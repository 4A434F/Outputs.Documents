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01105\AppData\Local\Temp\OneNote\16.0\Exported\{B8148BA4-FE92-4210-AED6-95062719E17C}\NT\3\"/>
    </mc:Choice>
  </mc:AlternateContent>
  <xr:revisionPtr revIDLastSave="0" documentId="13_ncr:1_{420CF689-D427-4937-959D-63AEF6305FF1}" xr6:coauthVersionLast="47" xr6:coauthVersionMax="47" xr10:uidLastSave="{00000000-0000-0000-0000-000000000000}"/>
  <bookViews>
    <workbookView xWindow="5715" yWindow="2715" windowWidth="19560" windowHeight="9450" xr2:uid="{00000000-000D-0000-FFFF-FFFF00000000}"/>
  </bookViews>
  <sheets>
    <sheet name="Layout FSCD - Fase II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3" l="1"/>
  <c r="D44" i="3" l="1"/>
  <c r="D60" i="3" l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4" i="3" l="1"/>
  <c r="D7" i="3" s="1"/>
  <c r="D9" i="3" s="1"/>
  <c r="D12" i="3" s="1"/>
  <c r="D13" i="3" s="1"/>
  <c r="D18" i="3" s="1"/>
  <c r="D27" i="3" s="1"/>
  <c r="D28" i="3" s="1"/>
  <c r="D29" i="3" s="1"/>
  <c r="D30" i="3" s="1"/>
  <c r="D40" i="3" s="1"/>
  <c r="D41" i="3" l="1"/>
  <c r="D90" i="3" l="1"/>
  <c r="D45" i="3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73" i="3" l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6" i="3" l="1"/>
  <c r="D87" i="3" s="1"/>
  <c r="D88" i="3" s="1"/>
  <c r="D89" i="3" s="1"/>
  <c r="D8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Ângela Cristiane Puhl [EE] (DSI)</author>
    <author>Paulo Jorge Santos Graça [EE] (DSI)</author>
  </authors>
  <commentList>
    <comment ref="F1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Obrigatório quando impressão on-line, TIPO-IMPRESSAO = I </t>
        </r>
      </text>
    </comment>
    <comment ref="F18" authorId="0" shapeId="0" xr:uid="{00000000-0006-0000-0000-000002000000}">
      <text>
        <r>
          <rPr>
            <sz val="9"/>
            <color indexed="81"/>
            <rFont val="Tahoma"/>
            <family val="2"/>
          </rPr>
          <t>Podem existir movimentos da marca FM, IB e IC para o mesmo destinatario.</t>
        </r>
      </text>
    </comment>
    <comment ref="F25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  <comment ref="F27" authorId="1" shapeId="0" xr:uid="{00000000-0006-0000-0000-000004000000}">
      <text>
        <r>
          <rPr>
            <sz val="9"/>
            <color indexed="81"/>
            <rFont val="Tahoma"/>
            <family val="2"/>
          </rPr>
          <t>Obrigatório quando destinatário mediador</t>
        </r>
      </text>
    </comment>
    <comment ref="F28" authorId="1" shapeId="0" xr:uid="{00000000-0006-0000-0000-000005000000}">
      <text>
        <r>
          <rPr>
            <sz val="9"/>
            <color indexed="81"/>
            <rFont val="Tahoma"/>
            <family val="2"/>
          </rPr>
          <t>Obrigatório quando destinatário cliente</t>
        </r>
      </text>
    </comment>
    <comment ref="F29" authorId="1" shapeId="0" xr:uid="{00000000-0006-0000-0000-000006000000}">
      <text>
        <r>
          <rPr>
            <sz val="9"/>
            <color indexed="81"/>
            <rFont val="Tahoma"/>
            <family val="2"/>
          </rPr>
          <t>a preencher quando existir informação de apólice (apenas uma apólice). Caso contrário, deverá ser preenchida a espaços</t>
        </r>
      </text>
    </comment>
    <comment ref="F44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45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46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49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50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51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52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5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54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Quando endereçado ao cliente
</t>
        </r>
      </text>
    </comment>
    <comment ref="F55" authorId="0" shapeId="0" xr:uid="{00000000-0006-0000-0000-000010000000}">
      <text>
        <r>
          <rPr>
            <sz val="9"/>
            <color indexed="81"/>
            <rFont val="Tahoma"/>
            <family val="2"/>
          </rPr>
          <t>Quando endereçado ao cliente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9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60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61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6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6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6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6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6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Quando endereçado ao mediador
</t>
        </r>
      </text>
    </comment>
    <comment ref="F71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obrigatório para documento "ordem de pagamento: transferência bancária"
</t>
        </r>
      </text>
    </comment>
    <comment ref="F74" authorId="1" shapeId="0" xr:uid="{00000000-0006-0000-0000-00001A000000}">
      <text>
        <r>
          <rPr>
            <sz val="9"/>
            <color indexed="81"/>
            <rFont val="Tahoma"/>
            <family val="2"/>
          </rPr>
          <t>Prenchido quando TRANSFERENCIA BANCARIA</t>
        </r>
      </text>
    </comment>
    <comment ref="F75" authorId="1" shapeId="0" xr:uid="{00000000-0006-0000-0000-00001B000000}">
      <text>
        <r>
          <rPr>
            <sz val="9"/>
            <color indexed="81"/>
            <rFont val="Tahoma"/>
            <family val="2"/>
          </rPr>
          <t>Prenchido quando TRANSFERENCIA BANCARIA</t>
        </r>
      </text>
    </comment>
    <comment ref="F76" authorId="1" shapeId="0" xr:uid="{00000000-0006-0000-0000-00001C000000}">
      <text>
        <r>
          <rPr>
            <sz val="9"/>
            <color indexed="81"/>
            <rFont val="Tahoma"/>
            <family val="2"/>
          </rPr>
          <t>Prenchido quando TRANSFERENCIA BANCARIA</t>
        </r>
      </text>
    </comment>
    <comment ref="F78" authorId="1" shapeId="0" xr:uid="{00000000-0006-0000-0000-00001D000000}">
      <text>
        <r>
          <rPr>
            <sz val="9"/>
            <color indexed="81"/>
            <rFont val="Tahoma"/>
            <family val="2"/>
          </rPr>
          <t xml:space="preserve">Prenchido quando ENVIO CHEQUE
</t>
        </r>
      </text>
    </comment>
    <comment ref="F79" authorId="1" shapeId="0" xr:uid="{00000000-0006-0000-0000-00001E000000}">
      <text>
        <r>
          <rPr>
            <sz val="9"/>
            <color indexed="81"/>
            <rFont val="Tahoma"/>
            <family val="2"/>
          </rPr>
          <t xml:space="preserve">Prenchido quando ENVIO CHEQUE
</t>
        </r>
      </text>
    </comment>
    <comment ref="F80" authorId="1" shapeId="0" xr:uid="{00000000-0006-0000-0000-00001F000000}">
      <text>
        <r>
          <rPr>
            <sz val="9"/>
            <color indexed="81"/>
            <rFont val="Tahoma"/>
            <family val="2"/>
          </rPr>
          <t xml:space="preserve">Prenchido quando ENVIO CHEQUE
</t>
        </r>
      </text>
    </comment>
    <comment ref="F81" authorId="1" shapeId="0" xr:uid="{00000000-0006-0000-0000-000020000000}">
      <text>
        <r>
          <rPr>
            <sz val="9"/>
            <color indexed="81"/>
            <rFont val="Tahoma"/>
            <family val="2"/>
          </rPr>
          <t xml:space="preserve">Prenchido quando ENVIO CHEQUE
</t>
        </r>
      </text>
    </comment>
    <comment ref="F82" authorId="1" shapeId="0" xr:uid="{00000000-0006-0000-0000-000021000000}">
      <text>
        <r>
          <rPr>
            <sz val="9"/>
            <color indexed="81"/>
            <rFont val="Tahoma"/>
            <family val="2"/>
          </rPr>
          <t xml:space="preserve">Prenchido quando ENVIO CHEQUE
</t>
        </r>
      </text>
    </comment>
    <comment ref="F88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texto livre do utilizador - opcional. Quando não preenchido deverá estar preenchido a espaços.
</t>
        </r>
      </text>
    </comment>
  </commentList>
</comments>
</file>

<file path=xl/sharedStrings.xml><?xml version="1.0" encoding="utf-8"?>
<sst xmlns="http://schemas.openxmlformats.org/spreadsheetml/2006/main" count="219" uniqueCount="164">
  <si>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</si>
  <si>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</si>
  <si>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</si>
  <si>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</si>
  <si>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</si>
  <si>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</si>
  <si>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</si>
  <si>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</si>
  <si>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</si>
  <si>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</si>
  <si>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</si>
  <si>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</si>
  <si>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</si>
  <si>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</si>
  <si>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</si>
  <si>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</si>
  <si>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</si>
  <si>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</si>
  <si>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</si>
  <si>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</si>
  <si>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</si>
  <si>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</si>
  <si>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Total: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</si>
  <si>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</si>
  <si>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</si>
  <si>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</si>
  <si>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</si>
  <si>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</si>
  <si>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</si>
  <si>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</si>
  <si>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</si>
  <si>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</si>
  <si>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</si>
  <si>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</si>
  <si>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 xml:space="preserve">  07  :PREFIX:-COD-DOCUMENTO            PIC X(04).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</si>
  <si>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</si>
  <si>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</si>
  <si>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</si>
  <si>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</si>
  <si>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</si>
  <si>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</si>
  <si>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</si>
  <si>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</si>
  <si>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</si>
  <si>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</si>
  <si>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</si>
  <si>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</si>
  <si>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</si>
  <si>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</si>
  <si>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</si>
  <si>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</si>
  <si>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</si>
  <si>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</si>
  <si>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</si>
  <si>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</si>
  <si>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</si>
  <si>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 xml:space="preserve">  07  :PREFIX:-IND-FLYER                PIC X(01).</t>
  </si>
  <si>
    <t>05  FILLER  REDEFINES  :PREFIX:-DADOS-DOCUMENTO.</t>
  </si>
  <si>
    <t xml:space="preserve">  07  :PREFIX:-DADOS-CLIENTE.</t>
  </si>
  <si>
    <t xml:space="preserve">    09  :PREFIX:-CL-NOME                PIC X(40).</t>
  </si>
  <si>
    <t xml:space="preserve">    09  :PREFIX:-CL-LOCATION-REF        PIC X(04).</t>
  </si>
  <si>
    <t xml:space="preserve">    09  :PREFIX:-CL-MORADA1             PIC X(40).</t>
  </si>
  <si>
    <t xml:space="preserve">    09  :PREFIX:-CL-MORADA2             PIC X(40).</t>
  </si>
  <si>
    <t xml:space="preserve">    09  :PREFIX:-CL-LOCALIDADE          PIC X(40).</t>
  </si>
  <si>
    <t xml:space="preserve">    09  :PREFIX:-CL-CPOSTAL             PIC X(09).</t>
  </si>
  <si>
    <t xml:space="preserve">    09  :PREFIX:-CL-CPOSTAL-DESC        PIC X(40).</t>
  </si>
  <si>
    <t xml:space="preserve">    09  :PREFIX:-CL-TIPO-ENTIDADE       PIC X(01).</t>
  </si>
  <si>
    <t xml:space="preserve">  07  :PREFIX:-USERID                   PIC X(08).</t>
  </si>
  <si>
    <t>User Id da impressão OnLine</t>
  </si>
  <si>
    <t xml:space="preserve">  07  :PREFIX:-AUX-MARCA                PIC X(01).</t>
  </si>
  <si>
    <t xml:space="preserve">      88  :PREFIX:-MAR-LEVE                 VALUE 'L'.</t>
  </si>
  <si>
    <t xml:space="preserve">        88  :PREFIX:-CL-ENT-PARTICUL        VALUE '1'.</t>
  </si>
  <si>
    <t xml:space="preserve">        88  :PREFIX:-CL-ENT-COLETIVA        VALUE '2'.</t>
  </si>
  <si>
    <t xml:space="preserve">     '1' - Pessoa / Particular</t>
  </si>
  <si>
    <t xml:space="preserve">     '2' - Colectivo/Conta Interna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</si>
  <si>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</si>
  <si>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</si>
  <si>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</si>
  <si>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</si>
  <si>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</si>
  <si>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>Código do País (Se estrangeiro, diferente de 620)</t>
  </si>
  <si>
    <t xml:space="preserve">    09  :PREFIX:-CL-CPAIS               PIC X(03).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</si>
  <si>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</si>
  <si>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</si>
  <si>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</si>
  <si>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</si>
  <si>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 xml:space="preserve">     '002' - Fidelidade</t>
  </si>
  <si>
    <t xml:space="preserve">      88  :PREFIX:-MAR-FIDELIDADE           VALUE '002'.</t>
  </si>
  <si>
    <t>Número de identificação fiscal (No caso de Portugal será PT999999999)</t>
  </si>
  <si>
    <t xml:space="preserve">    09  :PREFIX:-CL-NIF                 PIC X(22).</t>
  </si>
  <si>
    <t>05  :PREFIX:-DADOS-DOCUMENTO            PIC X(2138).</t>
  </si>
  <si>
    <t xml:space="preserve">     '138' - Império</t>
  </si>
  <si>
    <t xml:space="preserve">      88  :PREFIX:-COM-IMPERIO              VALUE '138'.</t>
  </si>
  <si>
    <t xml:space="preserve">      88  :PREFIX:-MAR-IMPERIO              VALUE '003'.</t>
  </si>
  <si>
    <t xml:space="preserve">     '003' - Império</t>
  </si>
  <si>
    <t xml:space="preserve">      88  :PREFIX:-MAR-ICI                  VALUE '004'.</t>
  </si>
  <si>
    <t xml:space="preserve">     '004' - ICI</t>
  </si>
  <si>
    <t xml:space="preserve">     'L' - Leve (Substitui 'L02' - FM Leve / 
                         'L03' - IB Leve, apenas para marca 002 ou 003)</t>
  </si>
  <si>
    <t>(Registo tipo 1)</t>
  </si>
  <si>
    <t xml:space="preserve">     '1' - Dados do Documento</t>
  </si>
  <si>
    <t xml:space="preserve">  07  :PREFIX:-DADOS-PAGAMENTO.</t>
  </si>
  <si>
    <t>Descritivo Banco</t>
  </si>
  <si>
    <t>IBAN</t>
  </si>
  <si>
    <t>Data do cheque - formato AAAAMMDD</t>
  </si>
  <si>
    <t>Linha otica do cheque</t>
  </si>
  <si>
    <t>Valor por extenso - preenchido com "*" até fim</t>
  </si>
  <si>
    <t>Observações</t>
  </si>
  <si>
    <t>Obrigatório</t>
  </si>
  <si>
    <t>Condicional</t>
  </si>
  <si>
    <t>Opcional</t>
  </si>
  <si>
    <t xml:space="preserve">      88  :PREFIX:-ORI-FCS                  VALUE 'FCS'.</t>
  </si>
  <si>
    <t xml:space="preserve">     'FCS' - FCS</t>
  </si>
  <si>
    <t xml:space="preserve">  07  :PREFIX:-DADOS-DATA.</t>
  </si>
  <si>
    <t xml:space="preserve">    09  :PREFIX:-DT-EMISSAO             PIC X(08).</t>
  </si>
  <si>
    <t>Data de emissão [aaaammdd]</t>
  </si>
  <si>
    <t xml:space="preserve">    09  :PREFIX:-PG-CHEQUE.</t>
  </si>
  <si>
    <t>Número do Cheque</t>
  </si>
  <si>
    <t xml:space="preserve">    09  :PREFIX:-PG-DEBITO.</t>
  </si>
  <si>
    <t xml:space="preserve">        11  :PREFIX:-DEB-NOME-BANCO     PIC X(60).</t>
  </si>
  <si>
    <t xml:space="preserve">        11  :PREFIX:-DEB-IBAN           PIC X(34).</t>
  </si>
  <si>
    <t xml:space="preserve">        11  :PREFIX:-DEB-SWIFT          PIC X(11).</t>
  </si>
  <si>
    <t>BICSWIFT</t>
  </si>
  <si>
    <t xml:space="preserve">        11  :PREFIX:-CH-NR-CHEQUE       PIC X(10).</t>
  </si>
  <si>
    <t xml:space="preserve">        11  :PREFIX:-CH-DATA-CHEQUE     PIC X(08).</t>
  </si>
  <si>
    <t xml:space="preserve">        11  :PREFIX:-CH-LINHA-OTICA     PIC X(52).</t>
  </si>
  <si>
    <t xml:space="preserve">  07  :PREFIX:-DADOS-CARTA.</t>
  </si>
  <si>
    <t xml:space="preserve">    09  :PREFIX:-COD-MOEDA              PIC X(03).</t>
  </si>
  <si>
    <t xml:space="preserve">        11  :PREFIX:-CH-EXTENSO-L1      PIC X(100).</t>
  </si>
  <si>
    <t xml:space="preserve">        11  :PREFIX:-CH-EXTENSO-L2      PIC X(100).</t>
  </si>
  <si>
    <t xml:space="preserve">      88  :PREFIX:-ENVIO-CHEQUE             VALUE 'ENCQ'.</t>
  </si>
  <si>
    <t xml:space="preserve">     'ENCQ' - Ordem de Pagamento: Envio Cheque</t>
  </si>
  <si>
    <t xml:space="preserve">      88  :PREFIX:-TRANSF-BANCAR            VALUE 'TRBC'.</t>
  </si>
  <si>
    <t xml:space="preserve">     'TRBC' - Ordem de Pagamento: Transferência Bancária</t>
  </si>
  <si>
    <t xml:space="preserve">  07  :PREFIX:-DADOS-MEDIADOR.</t>
  </si>
  <si>
    <t xml:space="preserve">    09  :PREFIX:-MD-NOME                PIC X(40).</t>
  </si>
  <si>
    <t xml:space="preserve">    09  :PREFIX:-MD-LOCATION-REF        PIC X(04).</t>
  </si>
  <si>
    <t xml:space="preserve">    09  :PREFIX:-MD-MORADA1             PIC X(40).</t>
  </si>
  <si>
    <t xml:space="preserve">    09  :PREFIX:-MD-MORADA2             PIC X(40).</t>
  </si>
  <si>
    <t xml:space="preserve">    09  :PREFIX:-MD-LOCALIDADE          PIC X(40).</t>
  </si>
  <si>
    <t xml:space="preserve">    09  :PREFIX:-MD-CPOSTAL             PIC X(09).</t>
  </si>
  <si>
    <t xml:space="preserve">    09  :PREFIX:-MD-CPOSTAL-DESC        PIC X(40).</t>
  </si>
  <si>
    <t xml:space="preserve">    09  :PREFIX:-MD-CPAIS               PIC X(03).</t>
  </si>
  <si>
    <t xml:space="preserve">    09  :PREFIX:-MD-CPAIS-DESC          PIC X(40).</t>
  </si>
  <si>
    <t xml:space="preserve">    09  :PREFIX:-MD-IDP                 PIC X(04).</t>
  </si>
  <si>
    <t xml:space="preserve">    09  :PREFIX:-DT-CREDITO             PIC X(08).</t>
  </si>
  <si>
    <t xml:space="preserve">Data de crédito  [aaaammdd] </t>
  </si>
  <si>
    <t>Número ordem de pagamento</t>
  </si>
  <si>
    <t>Número de documento</t>
  </si>
  <si>
    <t>Informação Adicional [opcional - observações colocadas pelo utilizador]</t>
  </si>
  <si>
    <t>Nome do Mediador</t>
  </si>
  <si>
    <t xml:space="preserve">    09  :PREFIX:-NR-ORDEM-PAG           PIC X(12).</t>
  </si>
  <si>
    <t xml:space="preserve">    09  :PREFIX:-INFO-ADICIONAL         PIC X(240).</t>
  </si>
  <si>
    <t xml:space="preserve">    09  :PREFIX:-NR-DOCUMENTO           PIC X(12).</t>
  </si>
  <si>
    <t xml:space="preserve">  07  FILLER                            PIC X(918).</t>
  </si>
  <si>
    <t xml:space="preserve">      88  :PREFIX:-ORI-FGS                  VALUE 'FGS'.</t>
  </si>
  <si>
    <t xml:space="preserve">     'FGS' - FGS</t>
  </si>
  <si>
    <t xml:space="preserve">      88  :PREFIX:-ORI-SGF-IN               VALUE 'SPA'.</t>
  </si>
  <si>
    <t xml:space="preserve">      88  :PREFIX:-ORI-SGF-GR               VALUE 'SPG'.</t>
  </si>
  <si>
    <t xml:space="preserve">     'SPA' - SGF</t>
  </si>
  <si>
    <t xml:space="preserve">     'SPG' - SGF</t>
  </si>
  <si>
    <t>Valor Ordem de Pagamento</t>
  </si>
  <si>
    <t xml:space="preserve">    09  :PREFIX:-DT-VLR-ORDEM-PAG       PIC S9(12)V9(02)
                                   SIGN LEADING SEPARATE.</t>
  </si>
  <si>
    <t xml:space="preserve">     '028' - Eurobic</t>
  </si>
  <si>
    <t>Número da Apólice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</si>
</sst>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2" borderId="3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2" xfId="0" applyFont="1" applyBorder="1"/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vertical="top"/>
    </xf>
    <xf numFmtId="0" fontId="0" fillId="3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0"/>
  <sheetViews>
    <sheetView tabSelected="1" topLeftCell="A12" workbookViewId="0">
      <selection activeCell="C21" sqref="C21"/>
    </sheetView>
  </sheetViews>
  <sheetFormatPr defaultRowHeight="15" x14ac:dyDescent="0.25"/>
  <cols>
    <col min="1" max="1" width="76.85546875" bestFit="1" customWidth="1"/>
    <col min="2" max="2" width="7.7109375" bestFit="1" customWidth="1"/>
    <col min="3" max="3" width="73.7109375" customWidth="1"/>
    <col min="4" max="4" width="9.140625" customWidth="1"/>
    <col min="5" max="5" width="9.140625" bestFit="1" customWidth="1"/>
    <col min="6" max="6" width="11.7109375" style="26" customWidth="1"/>
  </cols>
  <sheetData>
    <row r="1" spans="1:6" ht="8.4499999999999993" customHeight="1" x14ac:dyDescent="0.25"/>
    <row r="2" spans="1:6" x14ac:dyDescent="0.25">
      <c r="A2" s="1" t="s">
        <v>2</v>
      </c>
      <c r="B2" s="1" t="s">
        <v>23</v>
      </c>
      <c r="C2" s="1" t="s">
        <v>25</v>
      </c>
      <c r="D2" s="2" t="s">
        <v>0</v>
      </c>
      <c r="E2" s="2" t="s">
        <v>1</v>
      </c>
      <c r="F2" s="27" t="s">
        <v>106</v>
      </c>
    </row>
    <row r="3" spans="1:6" x14ac:dyDescent="0.25">
      <c r="A3" s="9" t="s">
        <v>13</v>
      </c>
      <c r="B3" s="10"/>
      <c r="C3" s="11"/>
      <c r="D3" s="12">
        <v>1</v>
      </c>
      <c r="E3" s="12">
        <v>0</v>
      </c>
      <c r="F3" s="28"/>
    </row>
    <row r="4" spans="1:6" x14ac:dyDescent="0.25">
      <c r="A4" s="7" t="s">
        <v>34</v>
      </c>
      <c r="B4" s="6"/>
      <c r="C4" s="17" t="s">
        <v>14</v>
      </c>
      <c r="D4" s="3">
        <f>D3+E3</f>
        <v>1</v>
      </c>
      <c r="E4" s="3">
        <v>4</v>
      </c>
      <c r="F4" s="39" t="s">
        <v>107</v>
      </c>
    </row>
    <row r="5" spans="1:6" x14ac:dyDescent="0.25">
      <c r="A5" s="7" t="s">
        <v>129</v>
      </c>
      <c r="B5" s="6"/>
      <c r="C5" s="17" t="s">
        <v>130</v>
      </c>
      <c r="D5" s="3"/>
      <c r="E5" s="3"/>
      <c r="F5" s="40"/>
    </row>
    <row r="6" spans="1:6" x14ac:dyDescent="0.25">
      <c r="A6" s="7" t="s">
        <v>131</v>
      </c>
      <c r="B6" s="6"/>
      <c r="C6" s="17" t="s">
        <v>132</v>
      </c>
      <c r="D6" s="3"/>
      <c r="E6" s="3"/>
      <c r="F6" s="38"/>
    </row>
    <row r="7" spans="1:6" x14ac:dyDescent="0.25">
      <c r="A7" s="7" t="s">
        <v>47</v>
      </c>
      <c r="B7" s="6"/>
      <c r="C7" s="5" t="s">
        <v>35</v>
      </c>
      <c r="D7" s="3">
        <f>D4+E4</f>
        <v>5</v>
      </c>
      <c r="E7" s="5">
        <v>1</v>
      </c>
      <c r="F7" s="39" t="s">
        <v>107</v>
      </c>
    </row>
    <row r="8" spans="1:6" x14ac:dyDescent="0.25">
      <c r="A8" s="7" t="s">
        <v>48</v>
      </c>
      <c r="B8" s="6"/>
      <c r="C8" s="5" t="s">
        <v>99</v>
      </c>
      <c r="D8" s="3"/>
      <c r="E8" s="5"/>
      <c r="F8" s="40"/>
    </row>
    <row r="9" spans="1:6" x14ac:dyDescent="0.25">
      <c r="A9" s="7" t="s">
        <v>36</v>
      </c>
      <c r="B9" s="6"/>
      <c r="C9" s="17" t="s">
        <v>31</v>
      </c>
      <c r="D9" s="3">
        <f>D7+E7</f>
        <v>6</v>
      </c>
      <c r="E9" s="3">
        <v>1</v>
      </c>
      <c r="F9" s="39" t="s">
        <v>107</v>
      </c>
    </row>
    <row r="10" spans="1:6" x14ac:dyDescent="0.25">
      <c r="A10" s="7" t="s">
        <v>37</v>
      </c>
      <c r="B10" s="6"/>
      <c r="C10" s="17" t="s">
        <v>32</v>
      </c>
      <c r="D10" s="3"/>
      <c r="E10" s="3"/>
      <c r="F10" s="40"/>
    </row>
    <row r="11" spans="1:6" ht="27" customHeight="1" x14ac:dyDescent="0.25">
      <c r="A11" s="7" t="s">
        <v>38</v>
      </c>
      <c r="B11" s="6"/>
      <c r="C11" s="17" t="s">
        <v>33</v>
      </c>
      <c r="D11" s="3"/>
      <c r="E11" s="3"/>
      <c r="F11" s="38"/>
    </row>
    <row r="12" spans="1:6" x14ac:dyDescent="0.25">
      <c r="A12" s="7" t="s">
        <v>67</v>
      </c>
      <c r="B12" s="6"/>
      <c r="C12" s="5" t="s">
        <v>68</v>
      </c>
      <c r="D12" s="3">
        <f>D9+E9</f>
        <v>7</v>
      </c>
      <c r="E12" s="5">
        <v>8</v>
      </c>
      <c r="F12" s="30" t="s">
        <v>108</v>
      </c>
    </row>
    <row r="13" spans="1:6" x14ac:dyDescent="0.25">
      <c r="A13" s="7" t="s">
        <v>39</v>
      </c>
      <c r="B13" s="16"/>
      <c r="C13" s="17" t="s">
        <v>3</v>
      </c>
      <c r="D13" s="3">
        <f>D12+E12</f>
        <v>15</v>
      </c>
      <c r="E13" s="3">
        <v>3</v>
      </c>
      <c r="F13" s="39" t="s">
        <v>107</v>
      </c>
    </row>
    <row r="14" spans="1:6" x14ac:dyDescent="0.25">
      <c r="A14" s="7" t="s">
        <v>40</v>
      </c>
      <c r="B14" s="16"/>
      <c r="C14" s="17" t="s">
        <v>15</v>
      </c>
      <c r="D14" s="3"/>
      <c r="E14" s="3"/>
      <c r="F14" s="40"/>
    </row>
    <row r="15" spans="1:6" x14ac:dyDescent="0.25">
      <c r="A15" s="7" t="s">
        <v>41</v>
      </c>
      <c r="B15" s="16"/>
      <c r="C15" s="17" t="s">
        <v>29</v>
      </c>
      <c r="D15" s="3"/>
      <c r="E15" s="3"/>
      <c r="F15" s="40"/>
    </row>
    <row r="16" spans="1:6" x14ac:dyDescent="0.25">
      <c r="A16" s="7" t="s">
        <v>92</v>
      </c>
      <c r="B16" s="16"/>
      <c r="C16" s="17" t="s">
        <v>91</v>
      </c>
      <c r="D16" s="3"/>
      <c r="E16" s="3"/>
      <c r="F16" s="40"/>
    </row>
    <row r="17" spans="1:6" x14ac:dyDescent="0.25">
      <c r="A17" s="7" t="s">
        <v>42</v>
      </c>
      <c r="B17" s="6"/>
      <c r="C17" s="17" t="s">
        <v>16</v>
      </c>
      <c r="D17" s="5"/>
      <c r="E17" s="5"/>
      <c r="F17" s="38"/>
    </row>
    <row r="18" spans="1:6" x14ac:dyDescent="0.25">
      <c r="A18" s="7" t="s">
        <v>43</v>
      </c>
      <c r="B18" s="6"/>
      <c r="C18" s="17" t="s">
        <v>4</v>
      </c>
      <c r="D18" s="3">
        <f>D13+E13</f>
        <v>18</v>
      </c>
      <c r="E18" s="5">
        <v>3</v>
      </c>
      <c r="F18" s="37" t="s">
        <v>109</v>
      </c>
    </row>
    <row r="19" spans="1:6" x14ac:dyDescent="0.25">
      <c r="A19" s="7" t="s">
        <v>44</v>
      </c>
      <c r="B19" s="6"/>
      <c r="C19" s="17" t="s">
        <v>17</v>
      </c>
      <c r="D19" s="5"/>
      <c r="E19" s="5"/>
      <c r="F19" s="40"/>
    </row>
    <row r="20" spans="1:6" x14ac:dyDescent="0.25">
      <c r="A20" s="7" t="s">
        <v>87</v>
      </c>
      <c r="B20" s="6"/>
      <c r="C20" s="17" t="s">
        <v>86</v>
      </c>
      <c r="D20" s="5"/>
      <c r="E20" s="5"/>
      <c r="F20" s="40"/>
    </row>
    <row r="21" spans="1:6" x14ac:dyDescent="0.25">
      <c r="A21" s="7" t="s">
        <v>93</v>
      </c>
      <c r="B21" s="6"/>
      <c r="C21" s="17" t="s">
        <v>94</v>
      </c>
      <c r="D21" s="5"/>
      <c r="E21" s="5"/>
      <c r="F21" s="40"/>
    </row>
    <row r="22" spans="1:6" x14ac:dyDescent="0.25">
      <c r="A22" s="7" t="s">
        <v>95</v>
      </c>
      <c r="B22" s="6"/>
      <c r="C22" s="17" t="s">
        <v>96</v>
      </c>
      <c r="D22" s="5"/>
      <c r="E22" s="5"/>
      <c r="F22" s="40"/>
    </row>
    <row r="23" spans="1:6" x14ac:dyDescent="0.25">
      <c r="A23" s="7" t="s">
        <v>45</v>
      </c>
      <c r="B23" s="6"/>
      <c r="C23" s="17" t="s">
        <v>19</v>
      </c>
      <c r="D23" s="5"/>
      <c r="E23" s="5"/>
      <c r="F23" s="40"/>
    </row>
    <row r="24" spans="1:6" x14ac:dyDescent="0.25">
      <c r="A24" s="7" t="s">
        <v>46</v>
      </c>
      <c r="B24" s="6"/>
      <c r="C24" s="17" t="s">
        <v>18</v>
      </c>
      <c r="D24" s="5"/>
      <c r="E24" s="5"/>
      <c r="F24" s="38"/>
    </row>
    <row r="25" spans="1:6" x14ac:dyDescent="0.25">
      <c r="A25" s="7" t="s">
        <v>69</v>
      </c>
      <c r="B25" s="6"/>
      <c r="C25" s="17" t="s">
        <v>162</v>
      </c>
      <c r="D25" s="5"/>
      <c r="E25" s="5"/>
      <c r="F25" s="37" t="s">
        <v>109</v>
      </c>
    </row>
    <row r="26" spans="1:6" ht="30" x14ac:dyDescent="0.25">
      <c r="A26" s="23" t="s">
        <v>70</v>
      </c>
      <c r="B26" s="21"/>
      <c r="C26" s="24" t="s">
        <v>97</v>
      </c>
      <c r="D26" s="22"/>
      <c r="E26" s="22"/>
      <c r="F26" s="38"/>
    </row>
    <row r="27" spans="1:6" x14ac:dyDescent="0.25">
      <c r="A27" s="7" t="s">
        <v>49</v>
      </c>
      <c r="B27" s="6"/>
      <c r="C27" s="5" t="s">
        <v>6</v>
      </c>
      <c r="D27" s="3">
        <f>D25+E25</f>
        <v>0</v>
      </c>
      <c r="E27" s="5">
        <v>10</v>
      </c>
      <c r="F27" s="30" t="s">
        <v>108</v>
      </c>
    </row>
    <row r="28" spans="1:6" x14ac:dyDescent="0.25">
      <c r="A28" s="7" t="s">
        <v>50</v>
      </c>
      <c r="B28" s="6"/>
      <c r="C28" s="5" t="s">
        <v>7</v>
      </c>
      <c r="D28" s="3">
        <f>D27+E27</f>
        <v>10</v>
      </c>
      <c r="E28" s="5">
        <v>10</v>
      </c>
      <c r="F28" s="30" t="s">
        <v>108</v>
      </c>
    </row>
    <row r="29" spans="1:6" x14ac:dyDescent="0.25">
      <c r="A29" s="7" t="s">
        <v>51</v>
      </c>
      <c r="B29" s="6"/>
      <c r="C29" s="5" t="s">
        <v>163</v>
      </c>
      <c r="D29" s="3">
        <f>D28+E28</f>
        <v>20</v>
      </c>
      <c r="E29" s="5">
        <v>16</v>
      </c>
      <c r="F29" s="30" t="s">
        <v>108</v>
      </c>
    </row>
    <row r="30" spans="1:6" x14ac:dyDescent="0.25">
      <c r="A30" s="7" t="s">
        <v>52</v>
      </c>
      <c r="B30" s="6"/>
      <c r="C30" s="17" t="s">
        <v>5</v>
      </c>
      <c r="D30" s="3">
        <f>D29+E29</f>
        <v>36</v>
      </c>
      <c r="E30" s="5">
        <v>3</v>
      </c>
      <c r="F30" s="39" t="s">
        <v>107</v>
      </c>
    </row>
    <row r="31" spans="1:6" x14ac:dyDescent="0.25">
      <c r="A31" s="7" t="s">
        <v>75</v>
      </c>
      <c r="B31" s="6"/>
      <c r="C31" s="5" t="s">
        <v>76</v>
      </c>
      <c r="D31" s="5"/>
      <c r="E31" s="5"/>
      <c r="F31" s="40"/>
    </row>
    <row r="32" spans="1:6" x14ac:dyDescent="0.25">
      <c r="A32" s="7" t="s">
        <v>77</v>
      </c>
      <c r="B32" s="6"/>
      <c r="C32" s="5" t="s">
        <v>78</v>
      </c>
      <c r="D32" s="5"/>
      <c r="E32" s="5"/>
      <c r="F32" s="40"/>
    </row>
    <row r="33" spans="1:6" x14ac:dyDescent="0.25">
      <c r="A33" s="7" t="s">
        <v>53</v>
      </c>
      <c r="B33" s="6"/>
      <c r="C33" s="5" t="s">
        <v>20</v>
      </c>
      <c r="D33" s="5"/>
      <c r="E33" s="5"/>
      <c r="F33" s="40"/>
    </row>
    <row r="34" spans="1:6" x14ac:dyDescent="0.25">
      <c r="A34" s="7" t="s">
        <v>54</v>
      </c>
      <c r="B34" s="6"/>
      <c r="C34" s="5" t="s">
        <v>79</v>
      </c>
      <c r="D34" s="5"/>
      <c r="E34" s="5"/>
      <c r="F34" s="40"/>
    </row>
    <row r="35" spans="1:6" x14ac:dyDescent="0.25">
      <c r="A35" s="7" t="s">
        <v>55</v>
      </c>
      <c r="B35" s="6"/>
      <c r="C35" s="5" t="s">
        <v>21</v>
      </c>
      <c r="D35" s="5"/>
      <c r="E35" s="5"/>
      <c r="F35" s="40"/>
    </row>
    <row r="36" spans="1:6" x14ac:dyDescent="0.25">
      <c r="A36" s="7" t="s">
        <v>157</v>
      </c>
      <c r="B36" s="6"/>
      <c r="C36" s="5" t="s">
        <v>159</v>
      </c>
      <c r="D36" s="5"/>
      <c r="E36" s="5"/>
      <c r="F36" s="40"/>
    </row>
    <row r="37" spans="1:6" x14ac:dyDescent="0.25">
      <c r="A37" s="7" t="s">
        <v>156</v>
      </c>
      <c r="B37" s="6"/>
      <c r="C37" s="5" t="s">
        <v>158</v>
      </c>
      <c r="D37" s="5"/>
      <c r="E37" s="5"/>
      <c r="F37" s="40"/>
    </row>
    <row r="38" spans="1:6" x14ac:dyDescent="0.25">
      <c r="A38" s="7" t="s">
        <v>154</v>
      </c>
      <c r="B38" s="6"/>
      <c r="C38" s="5" t="s">
        <v>155</v>
      </c>
      <c r="D38" s="5"/>
      <c r="E38" s="5"/>
      <c r="F38" s="38"/>
    </row>
    <row r="39" spans="1:6" x14ac:dyDescent="0.25">
      <c r="A39" s="7" t="s">
        <v>110</v>
      </c>
      <c r="B39" s="6"/>
      <c r="C39" s="5" t="s">
        <v>111</v>
      </c>
      <c r="D39" s="5"/>
      <c r="E39" s="5"/>
      <c r="F39" s="36"/>
    </row>
    <row r="40" spans="1:6" x14ac:dyDescent="0.25">
      <c r="A40" s="7" t="s">
        <v>56</v>
      </c>
      <c r="B40" s="6"/>
      <c r="C40" s="5" t="s">
        <v>24</v>
      </c>
      <c r="D40" s="3">
        <f>D30+E30</f>
        <v>39</v>
      </c>
      <c r="E40" s="5">
        <v>1</v>
      </c>
      <c r="F40" s="31" t="s">
        <v>109</v>
      </c>
    </row>
    <row r="41" spans="1:6" x14ac:dyDescent="0.25">
      <c r="A41" s="9" t="s">
        <v>90</v>
      </c>
      <c r="B41" s="10"/>
      <c r="C41" s="11"/>
      <c r="D41" s="12">
        <f>D40+E40</f>
        <v>40</v>
      </c>
      <c r="E41" s="12">
        <v>2138</v>
      </c>
      <c r="F41" s="28"/>
    </row>
    <row r="42" spans="1:6" x14ac:dyDescent="0.25">
      <c r="A42" s="9" t="s">
        <v>57</v>
      </c>
      <c r="B42" s="10"/>
      <c r="C42" s="11"/>
      <c r="D42" s="12">
        <v>62</v>
      </c>
      <c r="E42" s="12">
        <v>0</v>
      </c>
      <c r="F42" s="28"/>
    </row>
    <row r="43" spans="1:6" x14ac:dyDescent="0.25">
      <c r="A43" s="13" t="s">
        <v>58</v>
      </c>
      <c r="B43" s="14"/>
      <c r="C43" s="15" t="s">
        <v>98</v>
      </c>
      <c r="D43" s="32">
        <v>62</v>
      </c>
      <c r="E43" s="15">
        <v>0</v>
      </c>
      <c r="F43" s="15"/>
    </row>
    <row r="44" spans="1:6" x14ac:dyDescent="0.25">
      <c r="A44" s="7" t="s">
        <v>59</v>
      </c>
      <c r="B44" s="6"/>
      <c r="C44" s="5" t="s">
        <v>8</v>
      </c>
      <c r="D44" s="22">
        <f t="shared" ref="D44:D55" si="0">D43+E43</f>
        <v>62</v>
      </c>
      <c r="E44" s="5">
        <v>40</v>
      </c>
      <c r="F44" s="30" t="s">
        <v>108</v>
      </c>
    </row>
    <row r="45" spans="1:6" x14ac:dyDescent="0.25">
      <c r="A45" s="7" t="s">
        <v>60</v>
      </c>
      <c r="B45" s="6"/>
      <c r="C45" s="5" t="s">
        <v>27</v>
      </c>
      <c r="D45" s="22">
        <f t="shared" si="0"/>
        <v>102</v>
      </c>
      <c r="E45" s="5">
        <v>4</v>
      </c>
      <c r="F45" s="30" t="s">
        <v>108</v>
      </c>
    </row>
    <row r="46" spans="1:6" x14ac:dyDescent="0.25">
      <c r="A46" s="7" t="s">
        <v>61</v>
      </c>
      <c r="B46" s="6"/>
      <c r="C46" s="5" t="s">
        <v>9</v>
      </c>
      <c r="D46" s="22">
        <f t="shared" si="0"/>
        <v>106</v>
      </c>
      <c r="E46" s="5">
        <v>40</v>
      </c>
      <c r="F46" s="30" t="s">
        <v>108</v>
      </c>
    </row>
    <row r="47" spans="1:6" x14ac:dyDescent="0.25">
      <c r="A47" s="7" t="s">
        <v>62</v>
      </c>
      <c r="B47" s="6"/>
      <c r="C47" s="5" t="s">
        <v>10</v>
      </c>
      <c r="D47" s="22">
        <f t="shared" si="0"/>
        <v>146</v>
      </c>
      <c r="E47" s="5">
        <v>40</v>
      </c>
      <c r="F47" s="31" t="s">
        <v>109</v>
      </c>
    </row>
    <row r="48" spans="1:6" x14ac:dyDescent="0.25">
      <c r="A48" s="7" t="s">
        <v>63</v>
      </c>
      <c r="B48" s="6"/>
      <c r="C48" s="5" t="s">
        <v>11</v>
      </c>
      <c r="D48" s="22">
        <f t="shared" si="0"/>
        <v>186</v>
      </c>
      <c r="E48" s="5">
        <v>40</v>
      </c>
      <c r="F48" s="31" t="s">
        <v>109</v>
      </c>
    </row>
    <row r="49" spans="1:6" x14ac:dyDescent="0.25">
      <c r="A49" s="7" t="s">
        <v>64</v>
      </c>
      <c r="B49" s="6"/>
      <c r="C49" s="5" t="s">
        <v>28</v>
      </c>
      <c r="D49" s="22">
        <f t="shared" si="0"/>
        <v>226</v>
      </c>
      <c r="E49" s="5">
        <v>9</v>
      </c>
      <c r="F49" s="30" t="s">
        <v>108</v>
      </c>
    </row>
    <row r="50" spans="1:6" x14ac:dyDescent="0.25">
      <c r="A50" s="7" t="s">
        <v>65</v>
      </c>
      <c r="B50" s="6"/>
      <c r="C50" s="5" t="s">
        <v>12</v>
      </c>
      <c r="D50" s="22">
        <f t="shared" si="0"/>
        <v>235</v>
      </c>
      <c r="E50" s="5">
        <v>40</v>
      </c>
      <c r="F50" s="30" t="s">
        <v>108</v>
      </c>
    </row>
    <row r="51" spans="1:6" x14ac:dyDescent="0.25">
      <c r="A51" s="7" t="s">
        <v>81</v>
      </c>
      <c r="B51" s="6"/>
      <c r="C51" s="5" t="s">
        <v>80</v>
      </c>
      <c r="D51" s="22">
        <f t="shared" si="0"/>
        <v>275</v>
      </c>
      <c r="E51" s="5">
        <v>3</v>
      </c>
      <c r="F51" s="30" t="s">
        <v>108</v>
      </c>
    </row>
    <row r="52" spans="1:6" x14ac:dyDescent="0.25">
      <c r="A52" s="7" t="s">
        <v>82</v>
      </c>
      <c r="B52" s="6"/>
      <c r="C52" s="5" t="s">
        <v>83</v>
      </c>
      <c r="D52" s="22">
        <f t="shared" si="0"/>
        <v>278</v>
      </c>
      <c r="E52" s="5">
        <v>40</v>
      </c>
      <c r="F52" s="30" t="s">
        <v>108</v>
      </c>
    </row>
    <row r="53" spans="1:6" x14ac:dyDescent="0.25">
      <c r="A53" s="23" t="s">
        <v>84</v>
      </c>
      <c r="B53" s="21"/>
      <c r="C53" s="22" t="s">
        <v>85</v>
      </c>
      <c r="D53" s="22">
        <f t="shared" si="0"/>
        <v>318</v>
      </c>
      <c r="E53" s="22">
        <v>4</v>
      </c>
      <c r="F53" s="30" t="s">
        <v>108</v>
      </c>
    </row>
    <row r="54" spans="1:6" x14ac:dyDescent="0.25">
      <c r="A54" s="7" t="s">
        <v>89</v>
      </c>
      <c r="B54" s="6"/>
      <c r="C54" s="5" t="s">
        <v>88</v>
      </c>
      <c r="D54" s="22">
        <f t="shared" si="0"/>
        <v>322</v>
      </c>
      <c r="E54" s="5">
        <v>22</v>
      </c>
      <c r="F54" s="30" t="s">
        <v>108</v>
      </c>
    </row>
    <row r="55" spans="1:6" x14ac:dyDescent="0.25">
      <c r="A55" s="7" t="s">
        <v>66</v>
      </c>
      <c r="B55" s="6"/>
      <c r="C55" s="5" t="s">
        <v>30</v>
      </c>
      <c r="D55" s="22">
        <f t="shared" si="0"/>
        <v>344</v>
      </c>
      <c r="E55" s="5">
        <v>1</v>
      </c>
      <c r="F55" s="41" t="s">
        <v>108</v>
      </c>
    </row>
    <row r="56" spans="1:6" x14ac:dyDescent="0.25">
      <c r="A56" s="7" t="s">
        <v>71</v>
      </c>
      <c r="B56" s="6"/>
      <c r="C56" s="5" t="s">
        <v>73</v>
      </c>
      <c r="D56" s="22"/>
      <c r="E56" s="5"/>
      <c r="F56" s="42"/>
    </row>
    <row r="57" spans="1:6" x14ac:dyDescent="0.25">
      <c r="A57" s="7" t="s">
        <v>72</v>
      </c>
      <c r="B57" s="6"/>
      <c r="C57" s="5" t="s">
        <v>74</v>
      </c>
      <c r="D57" s="22"/>
      <c r="E57" s="5"/>
      <c r="F57" s="43"/>
    </row>
    <row r="58" spans="1:6" x14ac:dyDescent="0.25">
      <c r="A58" s="13" t="s">
        <v>133</v>
      </c>
      <c r="B58" s="14"/>
      <c r="C58" s="15"/>
      <c r="D58" s="15">
        <v>345</v>
      </c>
      <c r="E58" s="15">
        <v>0</v>
      </c>
      <c r="F58" s="15"/>
    </row>
    <row r="59" spans="1:6" x14ac:dyDescent="0.25">
      <c r="A59" s="7" t="s">
        <v>134</v>
      </c>
      <c r="B59" s="6"/>
      <c r="C59" s="5" t="s">
        <v>149</v>
      </c>
      <c r="D59" s="22">
        <v>345</v>
      </c>
      <c r="E59" s="5">
        <v>40</v>
      </c>
      <c r="F59" s="30" t="s">
        <v>108</v>
      </c>
    </row>
    <row r="60" spans="1:6" x14ac:dyDescent="0.25">
      <c r="A60" s="7" t="s">
        <v>135</v>
      </c>
      <c r="B60" s="6"/>
      <c r="C60" s="5" t="s">
        <v>27</v>
      </c>
      <c r="D60" s="22">
        <f t="shared" ref="D60:D89" si="1">D59+E59</f>
        <v>385</v>
      </c>
      <c r="E60" s="5">
        <v>4</v>
      </c>
      <c r="F60" s="30" t="s">
        <v>108</v>
      </c>
    </row>
    <row r="61" spans="1:6" x14ac:dyDescent="0.25">
      <c r="A61" s="7" t="s">
        <v>136</v>
      </c>
      <c r="B61" s="6"/>
      <c r="C61" s="5" t="s">
        <v>9</v>
      </c>
      <c r="D61" s="22">
        <f t="shared" si="1"/>
        <v>389</v>
      </c>
      <c r="E61" s="5">
        <v>40</v>
      </c>
      <c r="F61" s="30" t="s">
        <v>108</v>
      </c>
    </row>
    <row r="62" spans="1:6" x14ac:dyDescent="0.25">
      <c r="A62" s="7" t="s">
        <v>137</v>
      </c>
      <c r="B62" s="6"/>
      <c r="C62" s="5" t="s">
        <v>10</v>
      </c>
      <c r="D62" s="22">
        <f t="shared" si="1"/>
        <v>429</v>
      </c>
      <c r="E62" s="5">
        <v>40</v>
      </c>
      <c r="F62" s="31" t="s">
        <v>109</v>
      </c>
    </row>
    <row r="63" spans="1:6" x14ac:dyDescent="0.25">
      <c r="A63" s="7" t="s">
        <v>138</v>
      </c>
      <c r="B63" s="6"/>
      <c r="C63" s="5" t="s">
        <v>11</v>
      </c>
      <c r="D63" s="22">
        <f t="shared" si="1"/>
        <v>469</v>
      </c>
      <c r="E63" s="5">
        <v>40</v>
      </c>
      <c r="F63" s="31" t="s">
        <v>109</v>
      </c>
    </row>
    <row r="64" spans="1:6" x14ac:dyDescent="0.25">
      <c r="A64" s="7" t="s">
        <v>139</v>
      </c>
      <c r="B64" s="6"/>
      <c r="C64" s="5" t="s">
        <v>28</v>
      </c>
      <c r="D64" s="22">
        <f t="shared" si="1"/>
        <v>509</v>
      </c>
      <c r="E64" s="5">
        <v>9</v>
      </c>
      <c r="F64" s="30" t="s">
        <v>108</v>
      </c>
    </row>
    <row r="65" spans="1:6" x14ac:dyDescent="0.25">
      <c r="A65" s="7" t="s">
        <v>140</v>
      </c>
      <c r="B65" s="6"/>
      <c r="C65" s="5" t="s">
        <v>12</v>
      </c>
      <c r="D65" s="22">
        <f t="shared" si="1"/>
        <v>518</v>
      </c>
      <c r="E65" s="5">
        <v>40</v>
      </c>
      <c r="F65" s="30" t="s">
        <v>108</v>
      </c>
    </row>
    <row r="66" spans="1:6" x14ac:dyDescent="0.25">
      <c r="A66" s="7" t="s">
        <v>141</v>
      </c>
      <c r="B66" s="6"/>
      <c r="C66" s="5" t="s">
        <v>80</v>
      </c>
      <c r="D66" s="22">
        <f t="shared" si="1"/>
        <v>558</v>
      </c>
      <c r="E66" s="5">
        <v>3</v>
      </c>
      <c r="F66" s="30" t="s">
        <v>108</v>
      </c>
    </row>
    <row r="67" spans="1:6" x14ac:dyDescent="0.25">
      <c r="A67" s="7" t="s">
        <v>142</v>
      </c>
      <c r="B67" s="6"/>
      <c r="C67" s="5" t="s">
        <v>83</v>
      </c>
      <c r="D67" s="22">
        <f t="shared" si="1"/>
        <v>561</v>
      </c>
      <c r="E67" s="5">
        <v>40</v>
      </c>
      <c r="F67" s="30" t="s">
        <v>108</v>
      </c>
    </row>
    <row r="68" spans="1:6" x14ac:dyDescent="0.25">
      <c r="A68" s="23" t="s">
        <v>143</v>
      </c>
      <c r="B68" s="6"/>
      <c r="C68" s="22" t="s">
        <v>85</v>
      </c>
      <c r="D68" s="22">
        <f t="shared" si="1"/>
        <v>601</v>
      </c>
      <c r="E68" s="22">
        <v>4</v>
      </c>
      <c r="F68" s="30" t="s">
        <v>108</v>
      </c>
    </row>
    <row r="69" spans="1:6" x14ac:dyDescent="0.25">
      <c r="A69" s="13" t="s">
        <v>112</v>
      </c>
      <c r="B69" s="14"/>
      <c r="C69" s="15"/>
      <c r="D69" s="25">
        <f t="shared" si="1"/>
        <v>605</v>
      </c>
      <c r="E69" s="15">
        <v>0</v>
      </c>
      <c r="F69" s="15"/>
    </row>
    <row r="70" spans="1:6" x14ac:dyDescent="0.25">
      <c r="A70" s="7" t="s">
        <v>113</v>
      </c>
      <c r="B70" s="6"/>
      <c r="C70" s="5" t="s">
        <v>114</v>
      </c>
      <c r="D70" s="22">
        <f t="shared" si="1"/>
        <v>605</v>
      </c>
      <c r="E70" s="22">
        <v>10</v>
      </c>
      <c r="F70" s="29" t="s">
        <v>107</v>
      </c>
    </row>
    <row r="71" spans="1:6" x14ac:dyDescent="0.25">
      <c r="A71" s="7" t="s">
        <v>144</v>
      </c>
      <c r="B71" s="6"/>
      <c r="C71" s="5" t="s">
        <v>145</v>
      </c>
      <c r="D71" s="22">
        <f t="shared" si="1"/>
        <v>615</v>
      </c>
      <c r="E71" s="22">
        <v>10</v>
      </c>
      <c r="F71" s="30" t="s">
        <v>108</v>
      </c>
    </row>
    <row r="72" spans="1:6" x14ac:dyDescent="0.25">
      <c r="A72" s="13" t="s">
        <v>100</v>
      </c>
      <c r="B72" s="14"/>
      <c r="C72" s="15"/>
      <c r="D72" s="25">
        <f t="shared" si="1"/>
        <v>625</v>
      </c>
      <c r="E72" s="15">
        <v>0</v>
      </c>
      <c r="F72" s="15"/>
    </row>
    <row r="73" spans="1:6" x14ac:dyDescent="0.25">
      <c r="A73" s="7" t="s">
        <v>117</v>
      </c>
      <c r="B73" s="6"/>
      <c r="C73" s="5"/>
      <c r="D73" s="22">
        <f t="shared" si="1"/>
        <v>625</v>
      </c>
      <c r="E73" s="5">
        <v>0</v>
      </c>
      <c r="F73" s="5"/>
    </row>
    <row r="74" spans="1:6" x14ac:dyDescent="0.25">
      <c r="A74" s="23" t="s">
        <v>118</v>
      </c>
      <c r="B74" s="21"/>
      <c r="C74" s="22" t="s">
        <v>101</v>
      </c>
      <c r="D74" s="22">
        <f t="shared" si="1"/>
        <v>625</v>
      </c>
      <c r="E74" s="22">
        <v>60</v>
      </c>
      <c r="F74" s="30" t="s">
        <v>108</v>
      </c>
    </row>
    <row r="75" spans="1:6" x14ac:dyDescent="0.25">
      <c r="A75" s="23" t="s">
        <v>119</v>
      </c>
      <c r="B75" s="21"/>
      <c r="C75" s="22" t="s">
        <v>102</v>
      </c>
      <c r="D75" s="22">
        <f t="shared" si="1"/>
        <v>685</v>
      </c>
      <c r="E75" s="22">
        <v>34</v>
      </c>
      <c r="F75" s="30" t="s">
        <v>108</v>
      </c>
    </row>
    <row r="76" spans="1:6" x14ac:dyDescent="0.25">
      <c r="A76" s="23" t="s">
        <v>120</v>
      </c>
      <c r="B76" s="21"/>
      <c r="C76" s="22" t="s">
        <v>121</v>
      </c>
      <c r="D76" s="22">
        <f t="shared" si="1"/>
        <v>719</v>
      </c>
      <c r="E76" s="22">
        <v>11</v>
      </c>
      <c r="F76" s="30" t="s">
        <v>108</v>
      </c>
    </row>
    <row r="77" spans="1:6" x14ac:dyDescent="0.25">
      <c r="A77" s="7" t="s">
        <v>115</v>
      </c>
      <c r="B77" s="6"/>
      <c r="C77" s="5"/>
      <c r="D77" s="22">
        <f t="shared" si="1"/>
        <v>730</v>
      </c>
      <c r="E77" s="22">
        <v>0</v>
      </c>
      <c r="F77" s="5"/>
    </row>
    <row r="78" spans="1:6" x14ac:dyDescent="0.25">
      <c r="A78" s="23" t="s">
        <v>122</v>
      </c>
      <c r="B78" s="6"/>
      <c r="C78" s="22" t="s">
        <v>116</v>
      </c>
      <c r="D78" s="22">
        <f>D77+E77</f>
        <v>730</v>
      </c>
      <c r="E78" s="22">
        <v>10</v>
      </c>
      <c r="F78" s="30" t="s">
        <v>108</v>
      </c>
    </row>
    <row r="79" spans="1:6" x14ac:dyDescent="0.25">
      <c r="A79" s="23" t="s">
        <v>123</v>
      </c>
      <c r="B79" s="6"/>
      <c r="C79" s="22" t="s">
        <v>103</v>
      </c>
      <c r="D79" s="22">
        <f t="shared" si="1"/>
        <v>740</v>
      </c>
      <c r="E79" s="22">
        <v>8</v>
      </c>
      <c r="F79" s="30" t="s">
        <v>108</v>
      </c>
    </row>
    <row r="80" spans="1:6" x14ac:dyDescent="0.25">
      <c r="A80" s="23" t="s">
        <v>124</v>
      </c>
      <c r="B80" s="6"/>
      <c r="C80" s="22" t="s">
        <v>104</v>
      </c>
      <c r="D80" s="22">
        <f t="shared" si="1"/>
        <v>748</v>
      </c>
      <c r="E80" s="22">
        <v>52</v>
      </c>
      <c r="F80" s="30" t="s">
        <v>108</v>
      </c>
    </row>
    <row r="81" spans="1:6" x14ac:dyDescent="0.25">
      <c r="A81" s="23" t="s">
        <v>127</v>
      </c>
      <c r="B81" s="6"/>
      <c r="C81" s="22" t="s">
        <v>105</v>
      </c>
      <c r="D81" s="22">
        <f t="shared" si="1"/>
        <v>800</v>
      </c>
      <c r="E81" s="22">
        <v>100</v>
      </c>
      <c r="F81" s="30" t="s">
        <v>108</v>
      </c>
    </row>
    <row r="82" spans="1:6" x14ac:dyDescent="0.25">
      <c r="A82" s="23" t="s">
        <v>128</v>
      </c>
      <c r="B82" s="6"/>
      <c r="C82" s="22"/>
      <c r="D82" s="22">
        <f t="shared" si="1"/>
        <v>900</v>
      </c>
      <c r="E82" s="22">
        <v>100</v>
      </c>
      <c r="F82" s="30" t="s">
        <v>108</v>
      </c>
    </row>
    <row r="83" spans="1:6" x14ac:dyDescent="0.25">
      <c r="A83" s="13" t="s">
        <v>125</v>
      </c>
      <c r="B83" s="14"/>
      <c r="C83" s="15"/>
      <c r="D83" s="25">
        <f t="shared" si="1"/>
        <v>1000</v>
      </c>
      <c r="E83" s="33">
        <v>0</v>
      </c>
      <c r="F83" s="34"/>
    </row>
    <row r="84" spans="1:6" x14ac:dyDescent="0.25">
      <c r="A84" s="18" t="s">
        <v>126</v>
      </c>
      <c r="B84" s="6"/>
      <c r="C84" s="19" t="s">
        <v>26</v>
      </c>
      <c r="D84" s="22">
        <f t="shared" si="1"/>
        <v>1000</v>
      </c>
      <c r="E84" s="19">
        <v>3</v>
      </c>
      <c r="F84" s="29" t="s">
        <v>107</v>
      </c>
    </row>
    <row r="85" spans="1:6" x14ac:dyDescent="0.25">
      <c r="A85" s="18" t="s">
        <v>150</v>
      </c>
      <c r="B85" s="6"/>
      <c r="C85" s="19" t="s">
        <v>146</v>
      </c>
      <c r="D85" s="22">
        <f t="shared" si="1"/>
        <v>1003</v>
      </c>
      <c r="E85" s="19">
        <v>12</v>
      </c>
      <c r="F85" s="29" t="s">
        <v>107</v>
      </c>
    </row>
    <row r="86" spans="1:6" ht="30" x14ac:dyDescent="0.25">
      <c r="A86" s="20" t="s">
        <v>161</v>
      </c>
      <c r="B86" s="6"/>
      <c r="C86" s="22" t="s">
        <v>160</v>
      </c>
      <c r="D86" s="22">
        <f t="shared" si="1"/>
        <v>1015</v>
      </c>
      <c r="E86" s="22">
        <v>15</v>
      </c>
      <c r="F86" s="29" t="s">
        <v>107</v>
      </c>
    </row>
    <row r="87" spans="1:6" x14ac:dyDescent="0.25">
      <c r="A87" s="18" t="s">
        <v>152</v>
      </c>
      <c r="B87" s="6"/>
      <c r="C87" s="22" t="s">
        <v>147</v>
      </c>
      <c r="D87" s="22">
        <f t="shared" si="1"/>
        <v>1030</v>
      </c>
      <c r="E87" s="22">
        <v>12</v>
      </c>
      <c r="F87" s="29" t="s">
        <v>107</v>
      </c>
    </row>
    <row r="88" spans="1:6" x14ac:dyDescent="0.25">
      <c r="A88" s="18" t="s">
        <v>151</v>
      </c>
      <c r="B88" s="6"/>
      <c r="C88" s="22" t="s">
        <v>148</v>
      </c>
      <c r="D88" s="22">
        <f t="shared" si="1"/>
        <v>1042</v>
      </c>
      <c r="E88" s="22">
        <v>240</v>
      </c>
      <c r="F88" s="35" t="s">
        <v>108</v>
      </c>
    </row>
    <row r="89" spans="1:6" x14ac:dyDescent="0.25">
      <c r="A89" s="13" t="s">
        <v>153</v>
      </c>
      <c r="B89" s="14"/>
      <c r="C89" s="15"/>
      <c r="D89" s="25">
        <f t="shared" si="1"/>
        <v>1282</v>
      </c>
      <c r="E89" s="15">
        <f>SUM(2200-1282)</f>
        <v>918</v>
      </c>
      <c r="F89" s="15"/>
    </row>
    <row r="90" spans="1:6" x14ac:dyDescent="0.25">
      <c r="C90" s="4" t="s">
        <v>22</v>
      </c>
      <c r="D90" s="8">
        <f>D41+E41</f>
        <v>2178</v>
      </c>
    </row>
  </sheetData>
  <mergeCells count="8">
    <mergeCell ref="F25:F26"/>
    <mergeCell ref="F30:F38"/>
    <mergeCell ref="F55:F57"/>
    <mergeCell ref="F4:F6"/>
    <mergeCell ref="F7:F8"/>
    <mergeCell ref="F9:F11"/>
    <mergeCell ref="F13:F17"/>
    <mergeCell ref="F18:F24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FSCD - Fase III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Ângela Cristiane Puhl [EE] (FIT)</cp:lastModifiedBy>
  <cp:lastPrinted>2016-03-09T11:26:57Z</cp:lastPrinted>
  <dcterms:created xsi:type="dcterms:W3CDTF">2015-07-28T09:44:45Z</dcterms:created>
  <dcterms:modified xsi:type="dcterms:W3CDTF">2024-07-15T14:33:32Z</dcterms:modified>
</cp:coreProperties>
</file>