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defaultThemeVersion="124226"/>
  <mc:AlternateContent xmlns:mc="http://schemas.openxmlformats.org/markup-compatibility/2006">
    <mc:Choice Requires="x15">
      <x15ac:absPath xmlns:x15ac="http://schemas.microsoft.com/office/spreadsheetml/2010/11/ac" url="H:\z 202400301 Extrato Unico de Produtos Financeiros VIDA\"/>
    </mc:Choice>
  </mc:AlternateContent>
  <xr:revisionPtr revIDLastSave="0" documentId="13_ncr:1_{232F767E-A811-4D4B-B88C-641395DFED4A}" xr6:coauthVersionLast="47" xr6:coauthVersionMax="47" xr10:uidLastSave="{00000000-0000-0000-0000-000000000000}"/>
  <bookViews>
    <workbookView xWindow="-108" yWindow="-108" windowWidth="23256" windowHeight="12456" xr2:uid="{00000000-000D-0000-FFFF-FFFF00000000}"/>
  </bookViews>
  <sheets>
    <sheet name="BGOW9067" sheetId="3" r:id="rId1"/>
    <sheet name="Texto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7" i="3" l="1"/>
  <c r="C198" i="3"/>
  <c r="C199" i="3" s="1"/>
  <c r="C200" i="3" s="1"/>
  <c r="D200" i="3" s="1"/>
  <c r="C3" i="3"/>
  <c r="C6" i="3" s="1"/>
  <c r="C12" i="3" s="1"/>
  <c r="C14" i="3" s="1"/>
  <c r="C15" i="3" s="1"/>
  <c r="C16" i="3" s="1"/>
  <c r="C17" i="3" s="1"/>
  <c r="C18" i="3" s="1"/>
  <c r="C19" i="3" s="1"/>
  <c r="C20" i="3" s="1"/>
  <c r="C21" i="3" s="1"/>
  <c r="C22" i="3" l="1"/>
  <c r="C25" i="3" s="1"/>
  <c r="C26" i="3" s="1"/>
  <c r="C27" i="3" s="1"/>
  <c r="C52" i="3" l="1"/>
  <c r="C53" i="3" s="1"/>
  <c r="C55" i="3" s="1"/>
  <c r="C56" i="3" s="1"/>
  <c r="C57" i="3" l="1"/>
  <c r="C58" i="3" s="1"/>
  <c r="C246" i="3" l="1"/>
  <c r="C247" i="3" s="1"/>
  <c r="C248" i="3" s="1"/>
  <c r="C249" i="3" s="1"/>
  <c r="C250" i="3" s="1"/>
  <c r="D250" i="3" s="1"/>
  <c r="C262" i="3"/>
  <c r="C263" i="3" s="1"/>
  <c r="C264" i="3" s="1"/>
  <c r="C265" i="3" s="1"/>
  <c r="C266" i="3" s="1"/>
  <c r="D266" i="3" s="1"/>
  <c r="C202" i="3"/>
  <c r="C203" i="3" s="1"/>
  <c r="C204" i="3" s="1"/>
  <c r="C213" i="3"/>
  <c r="C214" i="3" s="1"/>
  <c r="C215" i="3" s="1"/>
  <c r="D215" i="3" s="1"/>
  <c r="C121" i="3"/>
  <c r="C122" i="3" s="1"/>
  <c r="C123" i="3" s="1"/>
  <c r="C124" i="3" s="1"/>
  <c r="C125" i="3" s="1"/>
  <c r="D125" i="3" s="1"/>
  <c r="C127" i="3"/>
  <c r="C128" i="3" s="1"/>
  <c r="C252" i="3"/>
  <c r="C253" i="3" s="1"/>
  <c r="C254" i="3" s="1"/>
  <c r="C173" i="3"/>
  <c r="C174" i="3" s="1"/>
  <c r="C238" i="3"/>
  <c r="C104" i="3"/>
  <c r="C105" i="3" s="1"/>
  <c r="C106" i="3" s="1"/>
  <c r="C107" i="3" s="1"/>
  <c r="C108" i="3" s="1"/>
  <c r="C154" i="3"/>
  <c r="C155" i="3" s="1"/>
  <c r="C156" i="3" s="1"/>
  <c r="C157" i="3" s="1"/>
  <c r="C158" i="3" s="1"/>
  <c r="D158" i="3" s="1"/>
  <c r="C60" i="3"/>
  <c r="C61" i="3" s="1"/>
  <c r="C62" i="3" s="1"/>
  <c r="C63" i="3" s="1"/>
  <c r="C64" i="3" s="1"/>
  <c r="C65" i="3" s="1"/>
  <c r="C66" i="3" s="1"/>
  <c r="C67" i="3" s="1"/>
  <c r="C68" i="3" s="1"/>
  <c r="C69" i="3" s="1"/>
  <c r="C70" i="3" s="1"/>
  <c r="C71" i="3" s="1"/>
  <c r="C72" i="3" s="1"/>
  <c r="C73" i="3" s="1"/>
  <c r="C179" i="3"/>
  <c r="C180" i="3" s="1"/>
  <c r="C181" i="3" s="1"/>
  <c r="C230" i="3"/>
  <c r="C231" i="3" s="1"/>
  <c r="C232" i="3" s="1"/>
  <c r="C233" i="3" s="1"/>
  <c r="C234" i="3" s="1"/>
  <c r="C235" i="3" s="1"/>
  <c r="C236" i="3" s="1"/>
  <c r="D236" i="3" s="1"/>
  <c r="D58" i="3"/>
  <c r="C85" i="3"/>
  <c r="C86" i="3" s="1"/>
  <c r="C87" i="3" s="1"/>
  <c r="C88" i="3" s="1"/>
  <c r="C89" i="3" s="1"/>
  <c r="C90" i="3" s="1"/>
  <c r="C91" i="3" s="1"/>
  <c r="C146" i="3"/>
  <c r="C147" i="3" s="1"/>
  <c r="C148" i="3" s="1"/>
  <c r="C268" i="3"/>
  <c r="C269" i="3" s="1"/>
  <c r="D269" i="3" s="1"/>
  <c r="C160" i="3"/>
  <c r="C161" i="3" s="1"/>
  <c r="C217" i="3"/>
  <c r="C218" i="3" s="1"/>
  <c r="C219" i="3" s="1"/>
  <c r="C220" i="3" s="1"/>
  <c r="D220" i="3" s="1"/>
  <c r="C187" i="3"/>
  <c r="C188" i="3" s="1"/>
  <c r="C189" i="3" s="1"/>
  <c r="C190" i="3" s="1"/>
  <c r="C191" i="3" s="1"/>
  <c r="C113" i="3"/>
  <c r="C114" i="3" s="1"/>
  <c r="C115" i="3" s="1"/>
  <c r="C222" i="3"/>
  <c r="C140" i="3"/>
  <c r="C182" i="3" l="1"/>
  <c r="C183" i="3" s="1"/>
  <c r="C184" i="3" s="1"/>
  <c r="C185" i="3" s="1"/>
  <c r="D185" i="3" s="1"/>
  <c r="C205" i="3"/>
  <c r="C206" i="3" s="1"/>
  <c r="C207" i="3" s="1"/>
  <c r="C208" i="3" s="1"/>
  <c r="C209" i="3" s="1"/>
  <c r="C210" i="3" s="1"/>
  <c r="C211" i="3" s="1"/>
  <c r="D211" i="3" s="1"/>
  <c r="C192" i="3"/>
  <c r="C193" i="3" s="1"/>
  <c r="C194" i="3" s="1"/>
  <c r="C195" i="3" s="1"/>
  <c r="D195" i="3" s="1"/>
  <c r="C149" i="3"/>
  <c r="C150" i="3" s="1"/>
  <c r="C151" i="3" s="1"/>
  <c r="C152" i="3" s="1"/>
  <c r="D152" i="3" s="1"/>
  <c r="C116" i="3"/>
  <c r="C117" i="3" s="1"/>
  <c r="C118" i="3" s="1"/>
  <c r="C119" i="3" s="1"/>
  <c r="D119" i="3" s="1"/>
  <c r="C109" i="3"/>
  <c r="C110" i="3" s="1"/>
  <c r="C111" i="3" s="1"/>
  <c r="D111" i="3" s="1"/>
  <c r="C255" i="3"/>
  <c r="C256" i="3" s="1"/>
  <c r="C257" i="3" s="1"/>
  <c r="C258" i="3" s="1"/>
  <c r="C162" i="3"/>
  <c r="C166" i="3" s="1"/>
  <c r="C167" i="3" s="1"/>
  <c r="C168" i="3" s="1"/>
  <c r="C169" i="3" s="1"/>
  <c r="C170" i="3" s="1"/>
  <c r="C171" i="3" s="1"/>
  <c r="D171" i="3" s="1"/>
  <c r="C92" i="3"/>
  <c r="C93" i="3" s="1"/>
  <c r="C94" i="3" s="1"/>
  <c r="C95" i="3" s="1"/>
  <c r="C96" i="3" s="1"/>
  <c r="C129" i="3"/>
  <c r="C133" i="3" s="1"/>
  <c r="C134" i="3" s="1"/>
  <c r="C135" i="3" s="1"/>
  <c r="C136" i="3" s="1"/>
  <c r="C137" i="3" s="1"/>
  <c r="C138" i="3" s="1"/>
  <c r="D138" i="3" s="1"/>
  <c r="C175" i="3"/>
  <c r="C176" i="3" s="1"/>
  <c r="C177" i="3" s="1"/>
  <c r="D177" i="3" s="1"/>
  <c r="C76" i="3"/>
  <c r="C77" i="3" s="1"/>
  <c r="C78" i="3" s="1"/>
  <c r="C79" i="3" s="1"/>
  <c r="C141" i="3"/>
  <c r="C142" i="3" s="1"/>
  <c r="C259" i="3" l="1"/>
  <c r="C260" i="3" s="1"/>
  <c r="D260" i="3" s="1"/>
  <c r="C97" i="3"/>
  <c r="C98" i="3" s="1"/>
  <c r="C223" i="3"/>
  <c r="C224" i="3" s="1"/>
  <c r="C225" i="3" s="1"/>
  <c r="C80" i="3"/>
  <c r="C143" i="3"/>
  <c r="C144" i="3" s="1"/>
  <c r="D144" i="3" s="1"/>
  <c r="C99" i="3" l="1"/>
  <c r="C100" i="3" s="1"/>
  <c r="C101" i="3" s="1"/>
  <c r="C102" i="3" s="1"/>
  <c r="D102" i="3" s="1"/>
  <c r="C239" i="3"/>
  <c r="C240" i="3" s="1"/>
  <c r="C241" i="3" s="1"/>
  <c r="C226" i="3"/>
  <c r="C227" i="3" s="1"/>
  <c r="C228" i="3" s="1"/>
  <c r="D228" i="3" s="1"/>
  <c r="C242" i="3" l="1"/>
  <c r="C243" i="3" l="1"/>
  <c r="C244" i="3" s="1"/>
  <c r="D244" i="3" s="1"/>
  <c r="C81" i="3"/>
  <c r="C82" i="3" l="1"/>
  <c r="C83" i="3" s="1"/>
  <c r="D83" i="3" s="1"/>
</calcChain>
</file>

<file path=xl/sharedStrings.xml><?xml version="1.0" encoding="utf-8"?>
<sst xmlns="http://schemas.openxmlformats.org/spreadsheetml/2006/main" count="627" uniqueCount="378">
  <si>
    <t>Copybook</t>
  </si>
  <si>
    <t>Descrição / 'Valores Possiveis' / (Notas) / [Formato]</t>
  </si>
  <si>
    <t>Posição</t>
  </si>
  <si>
    <t>Tamanho</t>
  </si>
  <si>
    <t>Observação</t>
  </si>
  <si>
    <t>05  :PREFIX:-DADOS-REGISTO.</t>
  </si>
  <si>
    <t xml:space="preserve">  07  :PREFIX:-COD-COMPANHIA          PIC X(03).</t>
  </si>
  <si>
    <t>Código de identificação da Companhia</t>
  </si>
  <si>
    <t>Obrigatório</t>
  </si>
  <si>
    <t xml:space="preserve">    88  :PREFIX:-COM-FIDELIDADE                 VALUE '128'.</t>
  </si>
  <si>
    <t xml:space="preserve">     '128' - Fidelidade</t>
  </si>
  <si>
    <t xml:space="preserve">    88  :PREFIX:-COM-IMPERIO                    VALUE '138'.</t>
  </si>
  <si>
    <t xml:space="preserve">     '138' - Império</t>
  </si>
  <si>
    <t xml:space="preserve">  07  :PREFIX:-COD-MARCA              PIC X(03).</t>
  </si>
  <si>
    <t>Código de identificação da Marca</t>
  </si>
  <si>
    <t xml:space="preserve">    88  :PREFIX:-MAR-FIDELIDADE                 VALUE '002'.</t>
  </si>
  <si>
    <t xml:space="preserve">     '002' - Fidelidade</t>
  </si>
  <si>
    <t xml:space="preserve">    88  :PREFIX:-MAR-FIDELIDADE-LEVE            VALUE 'L02'.</t>
  </si>
  <si>
    <t xml:space="preserve">     'L02' - Fidelidade Leve</t>
  </si>
  <si>
    <t xml:space="preserve">    88  :PREFIX:-MAR-IMPERIO                    VALUE '003'.</t>
  </si>
  <si>
    <t xml:space="preserve">     '003' - Império</t>
  </si>
  <si>
    <t xml:space="preserve">    88  :PREFIX:-MAR-IMPERIO-LEVE               VALUE 'L03'.</t>
  </si>
  <si>
    <t xml:space="preserve">     'L03' - Império Leve</t>
  </si>
  <si>
    <t xml:space="preserve">    88  :PREFIX:-MAR-ICI                        VALUE '004'.</t>
  </si>
  <si>
    <t xml:space="preserve">     '004' - ICI</t>
  </si>
  <si>
    <t xml:space="preserve">  07  :PREFIX:-COD-ORIGEM             PIC X(03).</t>
  </si>
  <si>
    <t>Código de identificação do Sistema Origem</t>
  </si>
  <si>
    <t xml:space="preserve">    88  :PREFIX:-ORI-GIS                        VALUE 'GIS'.</t>
  </si>
  <si>
    <t xml:space="preserve">     'GIS' - GIS</t>
  </si>
  <si>
    <t xml:space="preserve">  07  :PREFIX:-COD-POSTALM            PIC X(09).</t>
  </si>
  <si>
    <t>Código postal do Mediador (Se estrangeiro deverá vir a zeros) [99990999]</t>
  </si>
  <si>
    <t>Opcional</t>
  </si>
  <si>
    <t xml:space="preserve">  07  :PREFIX:-NR-MEDIADOR            PIC X(10).</t>
  </si>
  <si>
    <t>Número do Mediador (se existir Mediador, espaços para restantes casos)</t>
  </si>
  <si>
    <t xml:space="preserve">  07  :PREFIX:-COD-POSTALC            PIC X(09).</t>
  </si>
  <si>
    <t>Código postal do Cliente (Se estrangeiro deverá vir a zeros) [99990999]</t>
  </si>
  <si>
    <t xml:space="preserve">  07  :PREFIX:-NR-CLIENTE             PIC X(10).</t>
  </si>
  <si>
    <t>Número do Cliente</t>
  </si>
  <si>
    <t xml:space="preserve">  07  :PREFIX:-NR-APOLICE             PIC X(16).</t>
  </si>
  <si>
    <t>Número da Apólice</t>
  </si>
  <si>
    <t xml:space="preserve">  07  :PREFIX:-COD-PRODUTO            PIC X(06).</t>
  </si>
  <si>
    <t>Código do Produto (modalidade 2, versão 2, spaces 2)</t>
  </si>
  <si>
    <t xml:space="preserve">  07  :PREFIX:-DATA-HORA              PIC X(14).</t>
  </si>
  <si>
    <t>Data e hora da emissão do documento</t>
  </si>
  <si>
    <t xml:space="preserve">  07  FILLER                          PIC X(22).</t>
  </si>
  <si>
    <t>Filler</t>
  </si>
  <si>
    <t>Espaços</t>
  </si>
  <si>
    <t xml:space="preserve">  07  :PREFIX:-TIPO-IMPRESSAO         PIC X(03).</t>
  </si>
  <si>
    <t>Código de identificação do tipo de impressão [espaços para DOC-ID = '006']</t>
  </si>
  <si>
    <t xml:space="preserve">    88  :PREFIX:-IMP-ONLINE                     VALUE 'ONL'.</t>
  </si>
  <si>
    <t xml:space="preserve">     'ONL' - Impressão Online (Não Expedir)</t>
  </si>
  <si>
    <t xml:space="preserve">    88  :PREFIX:-IMP-EXPEDIR                    VALUE 'EXP'.</t>
  </si>
  <si>
    <t xml:space="preserve">     'EXP' - Impressão Batch (Expedir)</t>
  </si>
  <si>
    <t xml:space="preserve">  07  :PREFIX:-COD-IMPRESSORA         PIC X(08).</t>
  </si>
  <si>
    <t>Código da impressora (se impressão online, espaços para os restantes)</t>
  </si>
  <si>
    <t xml:space="preserve">  07  :PREFIX:-COD-DOC-ORIGEM         PIC X(10).</t>
  </si>
  <si>
    <t>Código do documento de origem</t>
  </si>
  <si>
    <t xml:space="preserve">  07  :PREFIX:-TIPO-REG               PIC X(04).</t>
  </si>
  <si>
    <t>Tipo de Registo</t>
  </si>
  <si>
    <t xml:space="preserve">    88  :PREFIX:-EXTUNIEA                       VALUE 'EXEA'.</t>
  </si>
  <si>
    <t xml:space="preserve">     Extrato Único - Registo tipo único - Endereçamento e Assunto</t>
  </si>
  <si>
    <t xml:space="preserve">    88  :PREFIX:-EXTUNISI                       VALUE 'EXSI'.</t>
  </si>
  <si>
    <t xml:space="preserve">     Extrato Único - Registo tipo único - Saldo Integrado</t>
  </si>
  <si>
    <t xml:space="preserve">    88  :PREFIX:-EXTUNICR                       VALUE 'EXCR'.</t>
  </si>
  <si>
    <t xml:space="preserve">     Extrato Único - Registo tipo único - Capital a Receber</t>
  </si>
  <si>
    <t xml:space="preserve">    88  :PREFIX:-EXTUNIP1                       VALUE 'EXP1'.</t>
  </si>
  <si>
    <t xml:space="preserve">     Extrato Único - Registo tipo único - Resumo Poupança HDR </t>
  </si>
  <si>
    <t xml:space="preserve">    88  :PREFIX:-EXTUNIP2                       VALUE 'EXP2'.</t>
  </si>
  <si>
    <t xml:space="preserve">     Extrato Único - Registo tipo Lista - Resumo Poupança TIT</t>
  </si>
  <si>
    <t xml:space="preserve">    88  :PREFIX:-EXTUNIP3                       VALUE 'EXP3'.</t>
  </si>
  <si>
    <t xml:space="preserve">     Extrato Único - Registo tipo Lista - Resumo Poupança DET</t>
  </si>
  <si>
    <t xml:space="preserve">    88  :PREFIX:-EXTUNIP4                       VALUE 'EXP4'.</t>
  </si>
  <si>
    <t xml:space="preserve">     Extrato Único - Registo tipo único - Resumo Poupança FTR</t>
  </si>
  <si>
    <t xml:space="preserve">    88  :PREFIX:-EXTUNIR1                       VALUE 'EXR1'.</t>
  </si>
  <si>
    <t xml:space="preserve">     Extrato Único - Registo tipo único - Resumo Reforma HDR</t>
  </si>
  <si>
    <t xml:space="preserve">    88  :PREFIX:-EXTUNIR2                       VALUE 'EXR2'.</t>
  </si>
  <si>
    <t xml:space="preserve">     Extrato Único - Registo tipo Lista - Resumo Reforma TIT</t>
  </si>
  <si>
    <t xml:space="preserve">    88  :PREFIX:-EXTUNIR3                       VALUE 'EXR3'.</t>
  </si>
  <si>
    <t xml:space="preserve">     Extrato Único - Registo tipo Lista - Resumo Reforma DET</t>
  </si>
  <si>
    <t xml:space="preserve">    88  :PREFIX:-EXTUNIR4                       VALUE 'EXR4'.</t>
  </si>
  <si>
    <t xml:space="preserve">     Extrato Único - Registo tipo único - Resumo Reforma FTR</t>
  </si>
  <si>
    <t xml:space="preserve">    88  :PREFIX:-EXTUNID1                       VALUE 'EXD1'.</t>
  </si>
  <si>
    <t xml:space="preserve">     Extrato Único - Registo tipo único - Detalhes das Apólices HDR</t>
  </si>
  <si>
    <t xml:space="preserve">    88  :PREFIX:-EXTUNID2                       VALUE 'EXD2'.</t>
  </si>
  <si>
    <t xml:space="preserve">     Extrato Único - Registo tipo Lista - Detalhes das Apólices TIT</t>
  </si>
  <si>
    <t xml:space="preserve">    88  :PREFIX:-EXTUNID3                       VALUE 'EXD3'.</t>
  </si>
  <si>
    <t xml:space="preserve">     Extrato Único - Registo tipo Lista - Detalhes das Apólices DET</t>
  </si>
  <si>
    <t xml:space="preserve">    88  :PREFIX:-EXTUNID4                       VALUE 'EXD4'.</t>
  </si>
  <si>
    <t xml:space="preserve">     Extrato Único - Registo tipo Lista - Detalhes das Apólices NOT</t>
  </si>
  <si>
    <t xml:space="preserve">    88  :PREFIX:-EXTUNITR                       VALUE 'EXTR'.</t>
  </si>
  <si>
    <t xml:space="preserve">     Extrato Único - Registo tipo Lista - Taxas de Rendimento</t>
  </si>
  <si>
    <t xml:space="preserve">    88  :PREFIX:-EXTUNITA                       VALUE 'EXTA'.</t>
  </si>
  <si>
    <t xml:space="preserve">     Extrato Único - Registo tipo Lista - Taxas Anuais</t>
  </si>
  <si>
    <t xml:space="preserve">    88  :PREFIX:-EXTUNIAG                       VALUE 'EXAG'.</t>
  </si>
  <si>
    <t xml:space="preserve">     Extrato Único - Registo tipo Lista - Agendamentos</t>
  </si>
  <si>
    <t xml:space="preserve">    88  :PREFIX:-EXTUNIII                       VALUE 'EXII'.</t>
  </si>
  <si>
    <t xml:space="preserve">     Extrato Único - Registo tipo Lista - Informações Importantes Apólices Vencer</t>
  </si>
  <si>
    <t xml:space="preserve">    88  :PREFIX:-EXTUNIZZ                       VALUE 'EXZZ'.</t>
  </si>
  <si>
    <t xml:space="preserve">     Extrato Único - Registo tipo único - Fim do documento</t>
  </si>
  <si>
    <t xml:space="preserve">  07  FILLER                          PIC X(07).</t>
  </si>
  <si>
    <t xml:space="preserve">  07  :PREFIX:-DOC-ID                 PIC X(03).</t>
  </si>
  <si>
    <t>Código para separar os movimentos conforme tipo de documento</t>
  </si>
  <si>
    <t xml:space="preserve">    88  :PREFIX:-DOCID-EXTUNI                   VALUE '014'.</t>
  </si>
  <si>
    <t xml:space="preserve">     '014' - Extrato Único</t>
  </si>
  <si>
    <t xml:space="preserve">  07  :PREFIX:-USER-ID                PIC X(08).</t>
  </si>
  <si>
    <t>User Id (se impressão online, espaços para os restantes casos)</t>
  </si>
  <si>
    <t xml:space="preserve">  07  :PREFIX:-ADERENTE               PIC X(08).</t>
  </si>
  <si>
    <t>Número de Aderente</t>
  </si>
  <si>
    <t xml:space="preserve">  07  FILLER                          PIC X(142).</t>
  </si>
  <si>
    <t>05  :PREFIX:-DADOS-DOCUMENTO          PIC X(3797).</t>
  </si>
  <si>
    <t>05  FILLER              REDEFINES :PREFIX:-DADOS-DOCUMENTO.</t>
  </si>
  <si>
    <t>Dados de Endereçamento e Assunto (Registo do tipo EXEA)</t>
  </si>
  <si>
    <t xml:space="preserve">  07  :PREFIX:-DADOS-TOMADOR.</t>
  </si>
  <si>
    <t xml:space="preserve">    09  :PREFIX:-TM-NOME              PIC X(40).</t>
  </si>
  <si>
    <t xml:space="preserve">Nome </t>
  </si>
  <si>
    <t xml:space="preserve">    09  :PREFIX:-TM-LOCATION-REF      PIC X(04).</t>
  </si>
  <si>
    <t>Referência da morada</t>
  </si>
  <si>
    <t xml:space="preserve">    09  :PREFIX:-TM-MORADA1           PIC X(40).</t>
  </si>
  <si>
    <t>Dados de morada 1</t>
  </si>
  <si>
    <t xml:space="preserve">    09  :PREFIX:-TM-MORADA2           PIC X(40).</t>
  </si>
  <si>
    <t>Dados de morada 2</t>
  </si>
  <si>
    <t xml:space="preserve">    09  :PREFIX:-TM-LOCALIDADE        PIC X(40).</t>
  </si>
  <si>
    <t>Localidade</t>
  </si>
  <si>
    <t xml:space="preserve">    09  :PREFIX:-TM-CPOSTAL           PIC X(09).</t>
  </si>
  <si>
    <t>Código postal (Se estrangeiro deverá vir a zeros) [99990999]</t>
  </si>
  <si>
    <t xml:space="preserve">    09  :PREFIX:-TM-CPOSTAL-DESC      PIC X(40).</t>
  </si>
  <si>
    <t>Descritivo do código postal</t>
  </si>
  <si>
    <t xml:space="preserve">    09  :PREFIX:-TM-CPAIS             PIC X(03).</t>
  </si>
  <si>
    <t>Código do País (Se estrangeiro, diferente de 620) - Se estrangeiro vai " "</t>
  </si>
  <si>
    <t xml:space="preserve">    09  :PREFIX:-TM-CPAIS-DESC        PIC X(40).</t>
  </si>
  <si>
    <t>Descritivo do País (se Portugal vem vazio)</t>
  </si>
  <si>
    <t xml:space="preserve">    09  :PREFIX:-TM-IDP               PIC X(04).</t>
  </si>
  <si>
    <t>Identificação da Porta (no CBC)</t>
  </si>
  <si>
    <t xml:space="preserve">    09  :PREFIX:-TM-NIF               PIC X(22).</t>
  </si>
  <si>
    <t>Número de Identificação Fiscal do Tomador (se Portugal PT999999999)</t>
  </si>
  <si>
    <t xml:space="preserve">    09  :PREFIX:-TM-TIPO-ENTIDADE     PIC X(01).</t>
  </si>
  <si>
    <t>Tipo Entidade</t>
  </si>
  <si>
    <t xml:space="preserve">      88  :PREFIX:-TM-ENT-PARTICUL              VALUE '1'.</t>
  </si>
  <si>
    <t xml:space="preserve">     '1' - Pessoa / Particular</t>
  </si>
  <si>
    <t xml:space="preserve">      88  :PREFIX:-TM-ENT-COLETIVA              VALUE '2'.</t>
  </si>
  <si>
    <t xml:space="preserve">     '2' - Colectivo/Conta Interna</t>
  </si>
  <si>
    <t xml:space="preserve">  07  :PREFIX:-DADOS-GERAIS.</t>
  </si>
  <si>
    <t xml:space="preserve">    09  :PREFIX:-DG-NOME-CLIENTE      PIC X(40).</t>
  </si>
  <si>
    <t>Nome do Cliente</t>
  </si>
  <si>
    <t xml:space="preserve">    09  :PREFIX:-DG-NR-EXTRATO        PIC X(10).</t>
  </si>
  <si>
    <t>Número do Extrato</t>
  </si>
  <si>
    <t>Dados do Saldo Integrado (Registo do tipo EXSI)</t>
  </si>
  <si>
    <t xml:space="preserve">  07  :PREFIX:-PERIODO-SALDO-INTEGRADO.</t>
  </si>
  <si>
    <t xml:space="preserve">  07  :PREFIX:-SALDO-POUPANCA.</t>
  </si>
  <si>
    <t xml:space="preserve">    09  :PREFIX:-SI-DESC-POUPANCA     PIC X(30).</t>
  </si>
  <si>
    <t>Descritivo da Poupança</t>
  </si>
  <si>
    <t xml:space="preserve">    09  :PREFIX:-SI-VL-INICIAL-P      PIC S9(12)V9(02) SIGN LEADING SEPARATE.</t>
  </si>
  <si>
    <t>Valor Inicial da Poupança</t>
  </si>
  <si>
    <t xml:space="preserve">    09  :PREFIX:-SI-VL-FINAL-P        PIC S9(12)V9(02) SIGN LEADING SEPARATE.</t>
  </si>
  <si>
    <t>Valor Final da Poupança</t>
  </si>
  <si>
    <t xml:space="preserve">  07  :PREFIX:-SALDO-REFORMA.</t>
  </si>
  <si>
    <t xml:space="preserve">    09  :PREFIX:-SI-DESC-REFORMA      PIC X(30).</t>
  </si>
  <si>
    <t>Descritivo da Reforma</t>
  </si>
  <si>
    <t xml:space="preserve">    09  :PREFIX:-SI-VL-INICIAL-R      PIC S9(12)V9(02) SIGN LEADING SEPARATE.</t>
  </si>
  <si>
    <t>Valor Inicial da Reforma</t>
  </si>
  <si>
    <t xml:space="preserve">    09  :PREFIX:-SI-VL-FINAL-R        PIC S9(12)V9(02) SIGN LEADING SEPARATE.</t>
  </si>
  <si>
    <t>Valor Final da Reforma</t>
  </si>
  <si>
    <t xml:space="preserve">  07  :PREFIX:-SALDO-INTEGRADO.</t>
  </si>
  <si>
    <t xml:space="preserve">    09  :PREFIX:-SI-VL-INICIAL-T      PIC S9(12)V9(02) SIGN LEADING SEPARATE.</t>
  </si>
  <si>
    <t>Valor Inicial Total</t>
  </si>
  <si>
    <t xml:space="preserve">    09  :PREFIX:-SI-VL-FINAL-T        PIC S9(12)V9(02) SIGN LEADING SEPARATE.</t>
  </si>
  <si>
    <t>Valor Final Total</t>
  </si>
  <si>
    <t xml:space="preserve">  07  :PREFIX:-CAPITAL-RECEBER.</t>
  </si>
  <si>
    <t xml:space="preserve">    09  :PREFIX:-CR-NR-CONTRATOS      PIC 9(03).</t>
  </si>
  <si>
    <t>Número de Contratos</t>
  </si>
  <si>
    <t xml:space="preserve">    09  :PREFIX:-CR-APOLICE           PIC X(16).</t>
  </si>
  <si>
    <t>Apólice</t>
  </si>
  <si>
    <t xml:space="preserve">    09  :PREFIX:-CR-VL-CAPITAL        PIC S9(12)V9(02) SIGN LEADING SEPARATE.</t>
  </si>
  <si>
    <t>Valor Capital</t>
  </si>
  <si>
    <r>
      <rPr>
        <sz val="11"/>
        <rFont val="Calibri"/>
        <family val="2"/>
        <scheme val="minor"/>
      </rPr>
      <t>Lista do Resumo da Poupança (Registo do tipo EXP1)</t>
    </r>
    <r>
      <rPr>
        <sz val="11"/>
        <color rgb="FFFF0000"/>
        <rFont val="Calibri"/>
        <family val="2"/>
        <scheme val="minor"/>
      </rPr>
      <t xml:space="preserve"> repete-se de 0 a 1</t>
    </r>
  </si>
  <si>
    <t xml:space="preserve">  07  :PREFIX:-QUADRO-RESUMO-POUPANCA-HDR.</t>
  </si>
  <si>
    <r>
      <rPr>
        <sz val="11"/>
        <rFont val="Calibri"/>
        <family val="2"/>
        <scheme val="minor"/>
      </rPr>
      <t>Lista do Resumo da Poupança (Registo do tipo EXP2)</t>
    </r>
    <r>
      <rPr>
        <sz val="11"/>
        <color rgb="FFFF0000"/>
        <rFont val="Calibri"/>
        <family val="2"/>
        <scheme val="minor"/>
      </rPr>
      <t xml:space="preserve"> repete-se de 0 a N</t>
    </r>
  </si>
  <si>
    <t xml:space="preserve">  07  :PREFIX:-QUADRO-RESUMO-POUPANCA-TIT.</t>
  </si>
  <si>
    <t xml:space="preserve">    09  :PREFIX:-QR-POU-TIT-PRODUTO   PIC X(30).</t>
  </si>
  <si>
    <t>Produto</t>
  </si>
  <si>
    <t xml:space="preserve">    09  :PREFIX:-QR-POU-TIT-APOLICE   PIC X(20).</t>
  </si>
  <si>
    <t xml:space="preserve">  07  FILLER                          PIC X(3747).</t>
  </si>
  <si>
    <r>
      <rPr>
        <sz val="11"/>
        <rFont val="Calibri"/>
        <family val="2"/>
        <scheme val="minor"/>
      </rPr>
      <t>Lista do Resumo da Poupança (Registo do tipo EXP3)</t>
    </r>
    <r>
      <rPr>
        <sz val="11"/>
        <color rgb="FFFF0000"/>
        <rFont val="Calibri"/>
        <family val="2"/>
        <scheme val="minor"/>
      </rPr>
      <t xml:space="preserve"> repete-se de 0 a N</t>
    </r>
  </si>
  <si>
    <t xml:space="preserve">  07  :PREFIX:-QUADRO-RESUMO-POUPANCA-DET.</t>
  </si>
  <si>
    <t xml:space="preserve">    09  :PREFIX:-QR-POU-DET-LEVEL     PIC X(01).</t>
  </si>
  <si>
    <t>Nível de apresentação</t>
  </si>
  <si>
    <t xml:space="preserve">      88  :PREFIX:-QR-POU-DET-LEVEL1            VALUE '1'.</t>
  </si>
  <si>
    <t xml:space="preserve">     '1' - Posição original</t>
  </si>
  <si>
    <t xml:space="preserve">      88  :PREFIX:-QR-POU-DET-LEVEL2            VALUE '2'.</t>
  </si>
  <si>
    <t xml:space="preserve">     '2' - Posição indentada sobre o nivel anterior</t>
  </si>
  <si>
    <t xml:space="preserve">      88  :PREFIX:-QR-POU-DET-LEVEL3            VALUE '3'.</t>
  </si>
  <si>
    <t xml:space="preserve">     '3' - Posição indentada sobre o nivel anterior</t>
  </si>
  <si>
    <t>Opção / Fundo</t>
  </si>
  <si>
    <t>Valor Inicial</t>
  </si>
  <si>
    <t>Número de UC / UR</t>
  </si>
  <si>
    <t>Cotação</t>
  </si>
  <si>
    <t>Valor Final</t>
  </si>
  <si>
    <r>
      <rPr>
        <sz val="11"/>
        <rFont val="Calibri"/>
        <family val="2"/>
        <scheme val="minor"/>
      </rPr>
      <t>Lista do Resumo da Poupança (Registo do tipo EXP4)</t>
    </r>
    <r>
      <rPr>
        <sz val="11"/>
        <color rgb="FFFF0000"/>
        <rFont val="Calibri"/>
        <family val="2"/>
        <scheme val="minor"/>
      </rPr>
      <t xml:space="preserve"> repete-se de 0 a 1</t>
    </r>
  </si>
  <si>
    <t xml:space="preserve">  07  :PREFIX:-QUADRO-RESUMO-POUPANCA-FTR.</t>
  </si>
  <si>
    <t>Total Valores Iniciais</t>
  </si>
  <si>
    <t>Total Valores Finais</t>
  </si>
  <si>
    <t xml:space="preserve">  07  FILLER                          PIC X(3767).</t>
  </si>
  <si>
    <r>
      <rPr>
        <sz val="11"/>
        <rFont val="Calibri"/>
        <family val="2"/>
        <scheme val="minor"/>
      </rPr>
      <t>Lista do Resumo da Reforma (Registo do tipo EXR1)</t>
    </r>
    <r>
      <rPr>
        <sz val="11"/>
        <color rgb="FFFF0000"/>
        <rFont val="Calibri"/>
        <family val="2"/>
        <scheme val="minor"/>
      </rPr>
      <t xml:space="preserve"> repete-se de 0 a 1</t>
    </r>
  </si>
  <si>
    <t xml:space="preserve">  07  :PREFIX:-QUADRO-RESUMO-REFORMA-HDR.</t>
  </si>
  <si>
    <r>
      <rPr>
        <sz val="11"/>
        <rFont val="Calibri"/>
        <family val="2"/>
        <scheme val="minor"/>
      </rPr>
      <t>Lista do Resumo da Reforma (Registo do tipo EXR2)</t>
    </r>
    <r>
      <rPr>
        <sz val="11"/>
        <color rgb="FFFF0000"/>
        <rFont val="Calibri"/>
        <family val="2"/>
        <scheme val="minor"/>
      </rPr>
      <t xml:space="preserve"> repete-se de 0 a N</t>
    </r>
  </si>
  <si>
    <t xml:space="preserve">  07  :PREFIX:-QUADRO-RESUMO-REFORMA-TIT.</t>
  </si>
  <si>
    <t xml:space="preserve">    09  :PREFIX:-QR-REF-TIT-PRODUTO   PIC X(30).</t>
  </si>
  <si>
    <t xml:space="preserve">    09  :PREFIX:-QR-REF-TIT-APOLICE   PIC X(20).</t>
  </si>
  <si>
    <r>
      <rPr>
        <sz val="11"/>
        <rFont val="Calibri"/>
        <family val="2"/>
        <scheme val="minor"/>
      </rPr>
      <t>Lista do Resumo da Reforma (Registo do tipo EXR3)</t>
    </r>
    <r>
      <rPr>
        <sz val="11"/>
        <color rgb="FFFF0000"/>
        <rFont val="Calibri"/>
        <family val="2"/>
        <scheme val="minor"/>
      </rPr>
      <t xml:space="preserve"> repete-se de 0 a N</t>
    </r>
  </si>
  <si>
    <t xml:space="preserve">  07  :PREFIX:-QUADRO-RESUMO-REFORMA-DET.</t>
  </si>
  <si>
    <t xml:space="preserve">    09  :PREFIX:-QR-REF-DET-LEVEL     PIC X(01).</t>
  </si>
  <si>
    <t xml:space="preserve">      88  :PREFIX:-QR-REF-DET-LEVEL1            VALUE '1'.</t>
  </si>
  <si>
    <t xml:space="preserve">      88  :PREFIX:-QR-REF-DET-LEVEL2            VALUE '2'.</t>
  </si>
  <si>
    <t xml:space="preserve">      88  :PREFIX:-QR-REF-DET-LEVEL3            VALUE '3'.</t>
  </si>
  <si>
    <r>
      <rPr>
        <sz val="11"/>
        <rFont val="Calibri"/>
        <family val="2"/>
        <scheme val="minor"/>
      </rPr>
      <t>Lista do Resumo da Reforma (Registo do tipo EXR4)</t>
    </r>
    <r>
      <rPr>
        <sz val="11"/>
        <color rgb="FFFF0000"/>
        <rFont val="Calibri"/>
        <family val="2"/>
        <scheme val="minor"/>
      </rPr>
      <t xml:space="preserve"> repete-se de 0 a 1</t>
    </r>
  </si>
  <si>
    <t xml:space="preserve">  07  :PREFIX:-QUADRO-RESUMO-REFORMA-FTR.</t>
  </si>
  <si>
    <r>
      <rPr>
        <sz val="11"/>
        <rFont val="Calibri"/>
        <family val="2"/>
        <scheme val="minor"/>
      </rPr>
      <t>Lista dos Detalhes das Apólices (Registo do tipo EXD1)</t>
    </r>
    <r>
      <rPr>
        <sz val="11"/>
        <color rgb="FFFF0000"/>
        <rFont val="Calibri"/>
        <family val="2"/>
        <scheme val="minor"/>
      </rPr>
      <t xml:space="preserve"> repete-se de 0 a 1</t>
    </r>
  </si>
  <si>
    <r>
      <rPr>
        <sz val="11"/>
        <rFont val="Calibri"/>
        <family val="2"/>
        <scheme val="minor"/>
      </rPr>
      <t>Lista dos Detalhes das Apólices (Registo do tipo EXD2)</t>
    </r>
    <r>
      <rPr>
        <sz val="11"/>
        <color rgb="FFFF0000"/>
        <rFont val="Calibri"/>
        <family val="2"/>
        <scheme val="minor"/>
      </rPr>
      <t xml:space="preserve"> repete-se de 0 a N</t>
    </r>
  </si>
  <si>
    <t xml:space="preserve">    09  :PREFIX:-QD-APO-TIT-PRODUTO   PIC X(30).</t>
  </si>
  <si>
    <r>
      <rPr>
        <sz val="11"/>
        <rFont val="Calibri"/>
        <family val="2"/>
        <scheme val="minor"/>
      </rPr>
      <t>Lista dos Detalhes das Apólices (Registo do tipo EXD3)</t>
    </r>
    <r>
      <rPr>
        <sz val="11"/>
        <color rgb="FFFF0000"/>
        <rFont val="Calibri"/>
        <family val="2"/>
        <scheme val="minor"/>
      </rPr>
      <t xml:space="preserve"> repete-se de 0 a N</t>
    </r>
  </si>
  <si>
    <t xml:space="preserve">    09  :PREFIX:-QD-APO-DET-MOVIMENTO PIC X(30).</t>
  </si>
  <si>
    <t>Movimento</t>
  </si>
  <si>
    <t xml:space="preserve">    09  :PREFIX:-QD-APO-DET-OPCAO     PIC X(30).</t>
  </si>
  <si>
    <t>Opção</t>
  </si>
  <si>
    <t>Valor Sujeito a Impostos</t>
  </si>
  <si>
    <t>Valor Retido</t>
  </si>
  <si>
    <t xml:space="preserve">    09  :PREFIX:-QD-APO-NOT-NOTAS     PIC X(1000).</t>
  </si>
  <si>
    <t>Texto</t>
  </si>
  <si>
    <t xml:space="preserve">  07  FILLER                          PIC X(2797).</t>
  </si>
  <si>
    <r>
      <t xml:space="preserve">Lista das Taxas de Rendimento (Registo do tipo EXTR) </t>
    </r>
    <r>
      <rPr>
        <sz val="11"/>
        <color rgb="FFFF0000"/>
        <rFont val="Calibri"/>
        <family val="2"/>
        <scheme val="minor"/>
      </rPr>
      <t>repete-se de 0 a N</t>
    </r>
  </si>
  <si>
    <t xml:space="preserve">  07  :PREFIX:-QUADRO-TAXAS-RENDIMENTO.</t>
  </si>
  <si>
    <t xml:space="preserve">    09  :PREFIX:-QT-REN-PRODUTO       PIC X(30).</t>
  </si>
  <si>
    <t xml:space="preserve">    09  :PREFIX:-QT-REN-OPCAO         PIC X(30).</t>
  </si>
  <si>
    <t xml:space="preserve">    09  :PREFIX:-QT-REN-PERIODICIDADE PIC X(10).</t>
  </si>
  <si>
    <t>Periodicidade</t>
  </si>
  <si>
    <t xml:space="preserve">    09  :PREFIX:-QT-REN-TAXA          PIC 9(03)V9(03).</t>
  </si>
  <si>
    <t>Taxa</t>
  </si>
  <si>
    <t xml:space="preserve">  07  FILLER                          PIC X(3721).</t>
  </si>
  <si>
    <r>
      <t xml:space="preserve">Lista das Taxas Anuais (Registo do tipo EXTA) </t>
    </r>
    <r>
      <rPr>
        <sz val="11"/>
        <color rgb="FFFF0000"/>
        <rFont val="Calibri"/>
        <family val="2"/>
        <scheme val="minor"/>
      </rPr>
      <t>repete-se de 0 a N</t>
    </r>
  </si>
  <si>
    <t xml:space="preserve">  07  :PREFIX:-QUADRO-TAXAS-ANUAIS.</t>
  </si>
  <si>
    <t xml:space="preserve">    09  :PREFIX:-QT-ANU-PRODUTO       PIC X(30).</t>
  </si>
  <si>
    <t xml:space="preserve">    09  :PREFIX:-QT-ANU-OPCAO         PIC X(30).</t>
  </si>
  <si>
    <t xml:space="preserve">    09  :PREFIX:-QT-ANU-DESCRITIVO    PIC X(30).</t>
  </si>
  <si>
    <t>Descritivo</t>
  </si>
  <si>
    <t xml:space="preserve">    09  :PREFIX:-QT-ANU-TAXA          PIC 9(03)V9(03).</t>
  </si>
  <si>
    <t xml:space="preserve">  07  FILLER                          PIC X(3701).</t>
  </si>
  <si>
    <r>
      <rPr>
        <sz val="11"/>
        <rFont val="Calibri"/>
        <family val="2"/>
        <scheme val="minor"/>
      </rPr>
      <t>Lista dos Agendamentos (Registo do tipo EXAG)</t>
    </r>
    <r>
      <rPr>
        <sz val="11"/>
        <color rgb="FFFF0000"/>
        <rFont val="Calibri"/>
        <family val="2"/>
        <scheme val="minor"/>
      </rPr>
      <t xml:space="preserve"> repete-se de 0 a N</t>
    </r>
  </si>
  <si>
    <t xml:space="preserve">  07  :PREFIX:-AGENDAMENTOS.</t>
  </si>
  <si>
    <t xml:space="preserve">    09  :PREFIX:-AG-PRODUTO           PIC X(30).</t>
  </si>
  <si>
    <t xml:space="preserve">    09  :PREFIX:-AG-APOLICE           PIC X(16).</t>
  </si>
  <si>
    <r>
      <rPr>
        <sz val="11"/>
        <rFont val="Calibri"/>
        <family val="2"/>
        <scheme val="minor"/>
      </rPr>
      <t>Lista de Informações Importantes (Registo do tipo EXII)</t>
    </r>
    <r>
      <rPr>
        <sz val="11"/>
        <color rgb="FFFF0000"/>
        <rFont val="Calibri"/>
        <family val="2"/>
        <scheme val="minor"/>
      </rPr>
      <t xml:space="preserve"> repete-se de 0 a N</t>
    </r>
  </si>
  <si>
    <t xml:space="preserve">  07  :PREFIX:-INF-IMPORT-APOLICES-VENCER.</t>
  </si>
  <si>
    <t xml:space="preserve">    09  :PREFIX:-II-APOLICE           PIC X(16).</t>
  </si>
  <si>
    <t xml:space="preserve">    09  :PREFIX:-II-CAPITAL-GAR       PIC S9(12)V9(02) SIGN LEADING SEPARATE.</t>
  </si>
  <si>
    <t>Capital Garantido</t>
  </si>
  <si>
    <t>Fim do Documento (Registo do tipo EXZZ)</t>
  </si>
  <si>
    <t xml:space="preserve">  07  :PREFIX:-FIM-DOCUMENTO          PIC X(3797).</t>
  </si>
  <si>
    <t xml:space="preserve">    09  :PREFIX:-II-PRODUTO           PIC X(30).</t>
  </si>
  <si>
    <t xml:space="preserve">    09  FILLER                        PIC X(3797).</t>
  </si>
  <si>
    <t xml:space="preserve">    88  :PREFIX:-EXTUNID5                       VALUE 'EXD5'.</t>
  </si>
  <si>
    <t xml:space="preserve">     Extrato Único - Registo tipo Lista - Detalhes das Apólices FTR</t>
  </si>
  <si>
    <t xml:space="preserve">  07  :PREFIX:-QUADRO-DETALHE-APOLICES-HDR.</t>
  </si>
  <si>
    <t xml:space="preserve">  07  :PREFIX:-QUADRO-DETALHE-APOLICES-TIT.</t>
  </si>
  <si>
    <t xml:space="preserve">  07  :PREFIX:-QUADRO-DETALHE-APOLICES-DET.</t>
  </si>
  <si>
    <t xml:space="preserve">  07  :PREFIX:-QUADRO-DETALHE-APOLICES-FTR.</t>
  </si>
  <si>
    <t xml:space="preserve">  07  :PREFIX:-QUADRO-DETALHE-APOLICES-NOT.</t>
  </si>
  <si>
    <t xml:space="preserve">    09  :PREFIX:-QR-REF-DET-OP-FUNDO  PIC X(30).</t>
  </si>
  <si>
    <t xml:space="preserve">  07  FILLER                          PIC X(3708).</t>
  </si>
  <si>
    <t xml:space="preserve">    09  :PREFIX:-QR-POU-DET-OP-FUNDO  PIC X(30).</t>
  </si>
  <si>
    <t xml:space="preserve">    09  :PREFIX:-QR-POU-DET-VL-INICIA PIC X(15).</t>
  </si>
  <si>
    <t xml:space="preserve">    09  :PREFIX:-QR-POU-DET-NR-UC-UR  PIC X(14).</t>
  </si>
  <si>
    <t xml:space="preserve">    09  :PREFIX:-QR-POU-DET-COTACAO   PIC X(14).</t>
  </si>
  <si>
    <t xml:space="preserve">    09  :PREFIX:-QR-POU-DET-VL-FINAL  PIC X(15).</t>
  </si>
  <si>
    <t xml:space="preserve">    09  :PREFIX:-QR-REF-DET-VL-INICIA PIC X(15).</t>
  </si>
  <si>
    <t xml:space="preserve">    09  :PREFIX:-QR-REF-DET-NR-UC-UR  PIC X(14).</t>
  </si>
  <si>
    <t xml:space="preserve">    09  :PREFIX:-QR-REF-DET-COTACAO   PIC X(14).</t>
  </si>
  <si>
    <t xml:space="preserve">    09  :PREFIX:-QR-REF-DET-VL-FINAL  PIC X(15).</t>
  </si>
  <si>
    <t xml:space="preserve">    09  :PREFIX:-QD-APO-DET-VL-SU-IMP PIC X(15).</t>
  </si>
  <si>
    <t xml:space="preserve">    09  :PREFIX:-QD-APO-DET-VL-RETIDO PIC X(15).</t>
  </si>
  <si>
    <t xml:space="preserve">    09  :PREFIX:-QD-APO-DET-VL-FINAL  PIC X(15).</t>
  </si>
  <si>
    <t xml:space="preserve">    09  :PREFIX:-QD-APO-TIT-APOLICE   PIC X(20).</t>
  </si>
  <si>
    <t xml:space="preserve">  07  FILLER                          PIC X(3727).</t>
  </si>
  <si>
    <t xml:space="preserve">    09  :PREFIX:-II-CONT-COM-APOL-PPR PIC X(01).</t>
  </si>
  <si>
    <t>Indicador se contrato tem apolices PPR (se sim 'Y', se não espaço ou 'N')</t>
  </si>
  <si>
    <t xml:space="preserve">    09  :PREFIX:-QR-POU-FTR-VL-INICIA PIC S9(12)V9(02) SIGN LEADING SEPARATE.</t>
  </si>
  <si>
    <t xml:space="preserve">    09  :PREFIX:-QR-POU-FTR-VL-FINAL  PIC S9(12)V9(02) SIGN LEADING SEPARATE.</t>
  </si>
  <si>
    <t xml:space="preserve">    09  :PREFIX:-QR-REF-FTR-VL-INICIA PIC S9(12)V9(02) SIGN LEADING SEPARATE.</t>
  </si>
  <si>
    <t xml:space="preserve">    09  :PREFIX:-QR-REF-FTR-VL-FINAL  PIC S9(12)V9(02) SIGN LEADING SEPARATE.</t>
  </si>
  <si>
    <t xml:space="preserve">  07  :PREFIX:-INF-LEGAIS-TEXT-LIVRE.</t>
  </si>
  <si>
    <r>
      <rPr>
        <sz val="11"/>
        <rFont val="Calibri"/>
        <family val="2"/>
        <scheme val="minor"/>
      </rPr>
      <t>Lista texto livre nas Informações Legais (Registo do tipo EXIL)</t>
    </r>
    <r>
      <rPr>
        <sz val="11"/>
        <color rgb="FFFF0000"/>
        <rFont val="Calibri"/>
        <family val="2"/>
        <scheme val="minor"/>
      </rPr>
      <t xml:space="preserve"> repete-se de 0 a N</t>
    </r>
  </si>
  <si>
    <t xml:space="preserve">    09  :PREFIX:-IL-TEXT-LIVRE-BOLD   PIC X(400).</t>
  </si>
  <si>
    <t>Texto livre normal</t>
  </si>
  <si>
    <t>Texto livre bold</t>
  </si>
  <si>
    <t xml:space="preserve">    09  :PREFIX:-IL-TEXT-LIVRE-NORMAL PIC X(3000).</t>
  </si>
  <si>
    <t xml:space="preserve">  07  FILLER                          PIC X(397).</t>
  </si>
  <si>
    <r>
      <rPr>
        <sz val="11"/>
        <rFont val="Calibri"/>
        <family val="2"/>
        <scheme val="minor"/>
      </rPr>
      <t>Lista texto livre Informações Importantes (Registo do tipo EXTL)</t>
    </r>
    <r>
      <rPr>
        <sz val="11"/>
        <color rgb="FFFF0000"/>
        <rFont val="Calibri"/>
        <family val="2"/>
        <scheme val="minor"/>
      </rPr>
      <t xml:space="preserve"> repete-se de 0 a N</t>
    </r>
  </si>
  <si>
    <t xml:space="preserve">  07  :PREFIX:-INF-IMPORT-TEXT-LIVRE.</t>
  </si>
  <si>
    <t xml:space="preserve">    09  :PREFIX:-II-TEXT-LIVRE-BOLD   PIC X(400).</t>
  </si>
  <si>
    <t xml:space="preserve">    09  :PREFIX:-II-TEXT-LIVRE-NORMAL PIC X(3000).</t>
  </si>
  <si>
    <t xml:space="preserve">    88  :PREFIX:-EXTUNIIL                       VALUE 'EXIL'.</t>
  </si>
  <si>
    <t xml:space="preserve">    88  :PREFIX:-EXTUNITL                       VALUE 'EXTL'.</t>
  </si>
  <si>
    <t xml:space="preserve">     Extrato Único - Registo tipo Lista - Informações Legais (texto livre)</t>
  </si>
  <si>
    <t xml:space="preserve">     Extrato Único - Registo tipo Lista - Informações Importantes (texto livre)</t>
  </si>
  <si>
    <t xml:space="preserve">    09  :PREFIX:-DG-DT-EMISSAO        PIC X(08).</t>
  </si>
  <si>
    <t>Data de emissão [aaaammdd]</t>
  </si>
  <si>
    <t xml:space="preserve">    09  :PREFIX:-DG-DT-INFORMACAO     PIC X(08).</t>
  </si>
  <si>
    <t>Data da Informação [aaaammdd]</t>
  </si>
  <si>
    <t>Data Inicio [aaaammdd]</t>
  </si>
  <si>
    <t>Data Final [aaaammdd]</t>
  </si>
  <si>
    <t xml:space="preserve">    09  :PREFIX:-SI-DT-INICIO         PIC X(08).</t>
  </si>
  <si>
    <t xml:space="preserve">    09  :PREFIX:-SI-DT-FINAL          PIC X(08).</t>
  </si>
  <si>
    <t>Data Termino [aaaammdd]</t>
  </si>
  <si>
    <t xml:space="preserve">    09  :PREFIX:-CR-DT-TERMINO        PIC X(08).</t>
  </si>
  <si>
    <t>Data Termo [aaaammdd]</t>
  </si>
  <si>
    <t xml:space="preserve">    09  :PREFIX:-QR-POU-HDR-DT-INICIO PIC X(08).</t>
  </si>
  <si>
    <t xml:space="preserve">    09  :PREFIX:-QR-POU-HDR-DT-TERMO  PIC X(08).</t>
  </si>
  <si>
    <t xml:space="preserve">    09  :PREFIX:-QR-REF-HDR-DT-INICIO PIC X(08).</t>
  </si>
  <si>
    <t xml:space="preserve">    09  :PREFIX:-QR-REF-HDR-DT-TERMO  PIC X(08).</t>
  </si>
  <si>
    <t xml:space="preserve">    09  :PREFIX:-QD-APO-HDR-DT-INICIO PIC X(08).</t>
  </si>
  <si>
    <t xml:space="preserve">    09  :PREFIX:-QD-APO-HDR-DT-TERMO  PIC X(08).</t>
  </si>
  <si>
    <t>Data [aaaammdd]</t>
  </si>
  <si>
    <t xml:space="preserve">    09  :PREFIX:-QD-APO-TIT-DT-INICIO PIC X(08).</t>
  </si>
  <si>
    <t xml:space="preserve">    09  :PREFIX:-QD-APO-TIT-DT-TERMO  PIC X(08).</t>
  </si>
  <si>
    <t xml:space="preserve">    09  :PREFIX:-QD-APO-DET-DATA      PIC X(08).</t>
  </si>
  <si>
    <t xml:space="preserve">    09  :PREFIX:-AG-DATA              PIC X(08).</t>
  </si>
  <si>
    <t xml:space="preserve">    09  :PREFIX:-II-DT-TERMO          PIC X(08).</t>
  </si>
  <si>
    <t xml:space="preserve">    09  FILLER                        PIC X(02).</t>
  </si>
  <si>
    <t xml:space="preserve">  07  FILLER                          PIC X(3444).</t>
  </si>
  <si>
    <t xml:space="preserve">  07  FILLER                          PIC X(3627).</t>
  </si>
  <si>
    <t xml:space="preserve">  07  FILLER                          PIC X(3753).</t>
  </si>
  <si>
    <t xml:space="preserve">  07  FILLER                          PIC X(3777).</t>
  </si>
  <si>
    <t xml:space="preserve">  07  FILLER                          PIC X(3682).</t>
  </si>
  <si>
    <t xml:space="preserve">  07  FILLER                          PIC X(3725).</t>
  </si>
  <si>
    <t xml:space="preserve">  07  FILLER                          PIC X(3741).</t>
  </si>
  <si>
    <t>Exemplo</t>
  </si>
  <si>
    <t>Registo do copybook</t>
  </si>
  <si>
    <r>
      <rPr>
        <b/>
        <sz val="11"/>
        <color theme="1"/>
        <rFont val="Calibri"/>
        <family val="2"/>
        <scheme val="minor"/>
      </rPr>
      <t xml:space="preserve">Opção titulo 1 (Se o cliente tiver mais de um contrato a vencer no período do apuramento):
</t>
    </r>
    <r>
      <rPr>
        <sz val="11"/>
        <color theme="1"/>
        <rFont val="Calibri"/>
        <family val="2"/>
        <scheme val="minor"/>
      </rPr>
      <t>"</t>
    </r>
    <r>
      <rPr>
        <sz val="11"/>
        <color theme="3" tint="0.39997558519241921"/>
        <rFont val="Calibri"/>
        <family val="2"/>
        <scheme val="minor"/>
      </rPr>
      <t xml:space="preserve">Tem </t>
    </r>
    <r>
      <rPr>
        <sz val="11"/>
        <color theme="6" tint="-0.249977111117893"/>
        <rFont val="Calibri"/>
        <family val="2"/>
        <scheme val="minor"/>
      </rPr>
      <t>&lt;PREFIX:-CR-NR-CONTRATOS&gt;</t>
    </r>
    <r>
      <rPr>
        <sz val="11"/>
        <color theme="3" tint="0.39997558519241921"/>
        <rFont val="Calibri"/>
        <family val="2"/>
        <scheme val="minor"/>
      </rPr>
      <t xml:space="preserve"> contratos a aproximar-se do vencimento, consulte a secção INFORMAÇÕES IMPORTANTES</t>
    </r>
    <r>
      <rPr>
        <sz val="11"/>
        <color theme="1"/>
        <rFont val="Calibri"/>
        <family val="2"/>
        <scheme val="minor"/>
      </rPr>
      <t xml:space="preserve">"
</t>
    </r>
    <r>
      <rPr>
        <b/>
        <sz val="11"/>
        <color theme="1"/>
        <rFont val="Calibri"/>
        <family val="2"/>
        <scheme val="minor"/>
      </rPr>
      <t xml:space="preserve">Opção titulo 2 (Só um contrato com capital):
</t>
    </r>
    <r>
      <rPr>
        <sz val="11"/>
        <color theme="1"/>
        <rFont val="Calibri"/>
        <family val="2"/>
        <scheme val="minor"/>
      </rPr>
      <t xml:space="preserve"> "</t>
    </r>
    <r>
      <rPr>
        <sz val="11"/>
        <color theme="3" tint="0.39997558519241921"/>
        <rFont val="Calibri"/>
        <family val="2"/>
        <scheme val="minor"/>
      </rPr>
      <t xml:space="preserve">A sua apólice </t>
    </r>
    <r>
      <rPr>
        <sz val="11"/>
        <color theme="6" tint="-0.249977111117893"/>
        <rFont val="Calibri"/>
        <family val="2"/>
        <scheme val="minor"/>
      </rPr>
      <t>&lt;PREFIX:-CR-APOLICE&gt;</t>
    </r>
    <r>
      <rPr>
        <sz val="11"/>
        <color theme="3" tint="0.39997558519241921"/>
        <rFont val="Calibri"/>
        <family val="2"/>
        <scheme val="minor"/>
      </rPr>
      <t xml:space="preserve">  vai terminar dia </t>
    </r>
    <r>
      <rPr>
        <sz val="11"/>
        <color theme="6" tint="-0.249977111117893"/>
        <rFont val="Calibri"/>
        <family val="2"/>
        <scheme val="minor"/>
      </rPr>
      <t>&lt;PREFIX:-CR-DT-TERMINO&gt;</t>
    </r>
    <r>
      <rPr>
        <sz val="11"/>
        <color theme="3" tint="0.39997558519241921"/>
        <rFont val="Calibri"/>
        <family val="2"/>
        <scheme val="minor"/>
      </rPr>
      <t xml:space="preserve"> com um capital a receber de </t>
    </r>
    <r>
      <rPr>
        <sz val="11"/>
        <color theme="6" tint="-0.249977111117893"/>
        <rFont val="Calibri"/>
        <family val="2"/>
        <scheme val="minor"/>
      </rPr>
      <t>&lt;PREFIX:-CR-VL-CAPITAL&gt;</t>
    </r>
    <r>
      <rPr>
        <sz val="11"/>
        <color theme="1"/>
        <rFont val="Calibri"/>
        <family val="2"/>
        <scheme val="minor"/>
      </rPr>
      <t xml:space="preserve">"
</t>
    </r>
    <r>
      <rPr>
        <b/>
        <sz val="11"/>
        <color theme="1"/>
        <rFont val="Calibri"/>
        <family val="2"/>
        <scheme val="minor"/>
      </rPr>
      <t xml:space="preserve">Opção titulo 3 (Só um contrato sem capital):
</t>
    </r>
    <r>
      <rPr>
        <sz val="11"/>
        <color theme="1"/>
        <rFont val="Calibri"/>
        <family val="2"/>
        <scheme val="minor"/>
      </rPr>
      <t xml:space="preserve"> "</t>
    </r>
    <r>
      <rPr>
        <sz val="11"/>
        <color theme="3" tint="0.39997558519241921"/>
        <rFont val="Calibri"/>
        <family val="2"/>
        <scheme val="minor"/>
      </rPr>
      <t xml:space="preserve">A sua apólice </t>
    </r>
    <r>
      <rPr>
        <sz val="11"/>
        <color theme="6" tint="-0.249977111117893"/>
        <rFont val="Calibri"/>
        <family val="2"/>
        <scheme val="minor"/>
      </rPr>
      <t>&lt;PREFIX:-CR-APOLICE&gt;</t>
    </r>
    <r>
      <rPr>
        <sz val="11"/>
        <color theme="3" tint="0.39997558519241921"/>
        <rFont val="Calibri"/>
        <family val="2"/>
        <scheme val="minor"/>
      </rPr>
      <t xml:space="preserve"> vai terminar dia </t>
    </r>
    <r>
      <rPr>
        <sz val="11"/>
        <color theme="6" tint="-0.249977111117893"/>
        <rFont val="Calibri"/>
        <family val="2"/>
        <scheme val="minor"/>
      </rPr>
      <t>&lt;PREFIX:-CR-DT-TERMINO&gt;</t>
    </r>
    <r>
      <rPr>
        <sz val="11"/>
        <color theme="1"/>
        <rFont val="Calibri"/>
        <family val="2"/>
        <scheme val="minor"/>
      </rPr>
      <t xml:space="preserve">"
</t>
    </r>
    <r>
      <rPr>
        <b/>
        <sz val="11"/>
        <color theme="1"/>
        <rFont val="Calibri"/>
        <family val="2"/>
        <scheme val="minor"/>
      </rPr>
      <t xml:space="preserve">Opção titulo 4 (Sem titulo se não houver nenhum vencimento para o cliente)
</t>
    </r>
    <r>
      <rPr>
        <sz val="11"/>
        <color theme="1"/>
        <rFont val="Calibri"/>
        <family val="2"/>
        <scheme val="minor"/>
      </rPr>
      <t xml:space="preserve">
</t>
    </r>
    <r>
      <rPr>
        <b/>
        <sz val="11"/>
        <color theme="1"/>
        <rFont val="Calibri"/>
        <family val="2"/>
        <scheme val="minor"/>
      </rPr>
      <t>Aparece sempre após o titulo:</t>
    </r>
    <r>
      <rPr>
        <sz val="11"/>
        <color theme="1"/>
        <rFont val="Calibri"/>
        <family val="2"/>
        <scheme val="minor"/>
      </rPr>
      <t xml:space="preserve">
"</t>
    </r>
    <r>
      <rPr>
        <sz val="11"/>
        <color theme="3" tint="0.39997558519241921"/>
        <rFont val="Calibri"/>
        <family val="2"/>
        <scheme val="minor"/>
      </rPr>
      <t xml:space="preserve">Conte com o melhor acompanhamento ao adquirir um novo produto
financeiro. </t>
    </r>
    <r>
      <rPr>
        <b/>
        <sz val="11"/>
        <color theme="3" tint="0.39997558519241921"/>
        <rFont val="Calibri"/>
        <family val="2"/>
        <scheme val="minor"/>
      </rPr>
      <t>Contacte-nos</t>
    </r>
    <r>
      <rPr>
        <sz val="11"/>
        <color theme="3" tint="0.39997558519241921"/>
        <rFont val="Calibri"/>
        <family val="2"/>
        <scheme val="minor"/>
      </rPr>
      <t xml:space="preserve"> agora e conheça as melhores soluções.
Os nossos produtos financeiros oferecem vantagens como:
1. Marca líder, reconhecida no mercado;
2. Diferentes opções de rendimento;
3. Vantagens fiscais.</t>
    </r>
    <r>
      <rPr>
        <sz val="11"/>
        <color theme="1"/>
        <rFont val="Calibri"/>
        <family val="2"/>
        <scheme val="minor"/>
      </rPr>
      <t>"</t>
    </r>
  </si>
  <si>
    <t>Observações</t>
  </si>
  <si>
    <r>
      <t>"</t>
    </r>
    <r>
      <rPr>
        <sz val="11"/>
        <color theme="3" tint="0.39997558519241921"/>
        <rFont val="Calibri"/>
        <family val="2"/>
        <scheme val="minor"/>
      </rPr>
      <t>(a) Neste extrato são considerados movimentos com Data Valor (Data de Cotação no caso de contratos com Unidades de
Conta ou Unidades de Referência) no período ou nos períodos anteriores quando são considerados em extratos anteriores.
(b) No caso de contratos em Unidades de Conta ou Unidades de Referência, os movimentos e a posição atual da carteira
poderão não refletir: evemtuais entregas/reembolsos solicitados mas não processados, pois a aquisição/venda das UC's/
UR's é efetuada com o valor divulgado no dia útil seguinte, D+1, sendo D o dia da e ntrega/pedido de reembolso. No caso
das recomposições a entrada no fundo de destino é efetuada em D+4 dias úteis. Neste extrato só são considerados
movimentos cobrados do período.
(c) Valores Brutos. Movimentos com sinal positivo (+) representam entradas de valores, movimentos com sinal negativo (-)
representam saídas de valores.</t>
    </r>
    <r>
      <rPr>
        <sz val="11"/>
        <color theme="1"/>
        <rFont val="Calibri"/>
        <family val="2"/>
        <scheme val="minor"/>
      </rPr>
      <t>"</t>
    </r>
  </si>
  <si>
    <r>
      <t xml:space="preserve">Aparece apenas se </t>
    </r>
    <r>
      <rPr>
        <sz val="11"/>
        <color theme="6" tint="-0.249977111117893"/>
        <rFont val="Calibri"/>
        <family val="2"/>
        <scheme val="minor"/>
      </rPr>
      <t>&lt;:PREFIX:-II-CONT-COM-APOL-PPR&gt;</t>
    </r>
    <r>
      <rPr>
        <sz val="11"/>
        <color theme="1"/>
        <rFont val="Calibri"/>
        <family val="2"/>
        <scheme val="minor"/>
      </rPr>
      <t xml:space="preserve"> = 'Y', no final do bloco INFORMAÇÕES IMPORTANTES</t>
    </r>
  </si>
  <si>
    <t>:PREFIX:-INF-LEGAIS-TEXT-LIVRE</t>
  </si>
  <si>
    <t>Opcional, sai no bloco INFORMAÇÕES LEGAIS</t>
  </si>
  <si>
    <t>:PREFIX:-INF-IMPORT-TEXT-LIVRE</t>
  </si>
  <si>
    <t>Opcional, sai no bloco INFORMAÇÕES IMPORTANTES</t>
  </si>
  <si>
    <t>Fixo no final da 1ª página
Caixa definida pelo marketing</t>
  </si>
  <si>
    <t>:PREFIX:-QUADRO-DETALHE-APOLICES-FTR</t>
  </si>
  <si>
    <t>:PREFIX:-CAPITAL-RECEBER</t>
  </si>
  <si>
    <t>No final do bloco dos DETALHES APÓLICE(S)…</t>
  </si>
  <si>
    <r>
      <rPr>
        <b/>
        <sz val="11"/>
        <color theme="1"/>
        <rFont val="Calibri"/>
        <family val="2"/>
        <scheme val="minor"/>
      </rPr>
      <t>"</t>
    </r>
    <r>
      <rPr>
        <b/>
        <sz val="11"/>
        <color theme="3" tint="0.39997558519241921"/>
        <rFont val="Calibri"/>
        <family val="2"/>
        <scheme val="minor"/>
      </rPr>
      <t>Cotações e rendimentos</t>
    </r>
    <r>
      <rPr>
        <sz val="11"/>
        <color theme="3" tint="0.39997558519241921"/>
        <rFont val="Calibri"/>
        <family val="2"/>
        <scheme val="minor"/>
      </rPr>
      <t xml:space="preserve">
A Fidelidade ajuda-o a preparar o seu futuro de acordo com os seus
objetivos e necessidades, assente em 2 eixos - </t>
    </r>
    <r>
      <rPr>
        <b/>
        <sz val="11"/>
        <color theme="3" tint="0.39997558519241921"/>
        <rFont val="Calibri"/>
        <family val="2"/>
        <scheme val="minor"/>
      </rPr>
      <t>poupar</t>
    </r>
    <r>
      <rPr>
        <sz val="11"/>
        <color theme="3" tint="0.39997558519241921"/>
        <rFont val="Calibri"/>
        <family val="2"/>
        <scheme val="minor"/>
      </rPr>
      <t xml:space="preserve"> e </t>
    </r>
    <r>
      <rPr>
        <b/>
        <sz val="11"/>
        <color theme="3" tint="0.39997558519241921"/>
        <rFont val="Calibri"/>
        <family val="2"/>
        <scheme val="minor"/>
      </rPr>
      <t>investir</t>
    </r>
    <r>
      <rPr>
        <sz val="11"/>
        <color theme="3" tint="0.39997558519241921"/>
        <rFont val="Calibri"/>
        <family val="2"/>
        <scheme val="minor"/>
      </rPr>
      <t xml:space="preserve">.
Aceda a </t>
    </r>
    <r>
      <rPr>
        <b/>
        <sz val="11"/>
        <color theme="3" tint="0.39997558519241921"/>
        <rFont val="Calibri"/>
        <family val="2"/>
        <scheme val="minor"/>
      </rPr>
      <t>https://poupareinvestir.fidelidade.pt</t>
    </r>
    <r>
      <rPr>
        <sz val="11"/>
        <color theme="3" tint="0.39997558519241921"/>
        <rFont val="Calibri"/>
        <family val="2"/>
        <scheme val="minor"/>
      </rPr>
      <t xml:space="preserve"> e acompanhe, de
forma personalizada, a evolução das cotações e rendimentos.</t>
    </r>
    <r>
      <rPr>
        <sz val="11"/>
        <color theme="1"/>
        <rFont val="Calibri"/>
        <family val="2"/>
        <scheme val="minor"/>
      </rPr>
      <t>"</t>
    </r>
  </si>
  <si>
    <t>A seguir ao bloco INFORMAÇÃO SOBRE TAXAS DE RENDIMENTO…
Caixa definida pelo marketing</t>
  </si>
  <si>
    <t>:PREFIX:-QUADRO-TAXAS-RENDIMENTO</t>
  </si>
  <si>
    <r>
      <rPr>
        <b/>
        <sz val="11"/>
        <color theme="1"/>
        <rFont val="Calibri"/>
        <family val="2"/>
        <scheme val="minor"/>
      </rPr>
      <t>"</t>
    </r>
    <r>
      <rPr>
        <b/>
        <sz val="11"/>
        <color theme="3" tint="0.39997558519241921"/>
        <rFont val="Calibri"/>
        <family val="2"/>
        <scheme val="minor"/>
      </rPr>
      <t>FIDELIDADE SAVINGS</t>
    </r>
    <r>
      <rPr>
        <sz val="11"/>
        <color theme="3" tint="0.39997558519241921"/>
        <rFont val="Calibri"/>
        <family val="2"/>
        <scheme val="minor"/>
      </rPr>
      <t xml:space="preserve">
Defina um objetivo e atinga-o ao seu ritmo, de forma 100% digital, através
da </t>
    </r>
    <r>
      <rPr>
        <b/>
        <sz val="11"/>
        <color theme="3" tint="0.39997558519241921"/>
        <rFont val="Calibri"/>
        <family val="2"/>
        <scheme val="minor"/>
      </rPr>
      <t>app MySavings</t>
    </r>
    <r>
      <rPr>
        <sz val="11"/>
        <color theme="3" tint="0.39997558519241921"/>
        <rFont val="Calibri"/>
        <family val="2"/>
        <scheme val="minor"/>
      </rPr>
      <t>. Faça download e comece a poupar em poucos minutos.
1. Defina o seu objetivo para poupar ou realize o seu investimento.
2. Escolha a opção mais ajustada ao que pretende alcançar.
3. Acompanhe tudo na app. Pode alterar o montante das entregas, sempre que desejar.</t>
    </r>
    <r>
      <rPr>
        <sz val="11"/>
        <color theme="1"/>
        <rFont val="Calibri"/>
        <family val="2"/>
        <scheme val="minor"/>
      </rPr>
      <t>"</t>
    </r>
  </si>
  <si>
    <t>Posiciona-se a seguir do bloco de AGENDAMENTOS
Caixa definida pelo marketing</t>
  </si>
  <si>
    <t>:PREFIX:-AGENDAMENTOS</t>
  </si>
  <si>
    <r>
      <t>"</t>
    </r>
    <r>
      <rPr>
        <sz val="11"/>
        <color theme="3" tint="0.39997558519241921"/>
        <rFont val="Calibri"/>
        <family val="2"/>
        <scheme val="minor"/>
      </rPr>
      <t>O(s) contrato(s) poderá(ão) estar sujeito(s) ao regime legal de comunicação obrigatória anual de informações financeiras à
Autoridade Tributária e Aduaneira (AT) e à autoridade competente da jurisdição destinatária da informação, caso esteja
abrangido pelo FATCA (Foreign Account Tax Compliance Act), pela Norma Comum de Comunicação (CRS - OCDE) ou pelo
regime de comunicação obrigatória de informações relativas a contratos cujos titulares ou beneficiários sejam residentes
em território nacional. Se for "Pessoa Específica dos EUA" ou resida noutro Estado da UE ou em outro Estado da OCDE
aderente, preencha o formulário disponível em:
www.fidelidade.pt/PT/a-fidelidade/informacoes_legais/informlegais/Paginas/produtos-finaceiros.aspx
Quando aplicável, consulte no link acima as correspondentes versões dos Documentos de Informação Fundamental dos
produtos subscritos, para obter informação sobre o respetivo âmbito, riscos associados e cenários de desempenho,
composição, custos, encargos associados e outras informações relevantes. São válidas as formas de pagamento acordadas
no momento da contratação do produto.</t>
    </r>
    <r>
      <rPr>
        <sz val="11"/>
        <color theme="1"/>
        <rFont val="Calibri"/>
        <family val="2"/>
        <scheme val="minor"/>
      </rPr>
      <t>"</t>
    </r>
  </si>
  <si>
    <t>Escrito no bloco INFORMAÇÕES LEGAIS</t>
  </si>
  <si>
    <r>
      <t>"</t>
    </r>
    <r>
      <rPr>
        <sz val="11"/>
        <color theme="3" tint="0.39997558519241921"/>
        <rFont val="Calibri"/>
        <family val="2"/>
        <scheme val="minor"/>
      </rPr>
      <t>Para as apólices que terminam nos próximos meses, os montantes seguros serão creditados na conta IBAN associada ao
contrato (ou outra que o beneficiário indique para o efeito), após a data de vencimento.
Caso a apólice não tenha IBAN de crédito associado (ou este já não se encontre ativo) e pretenda que o pagamento seja
efetuado por crédito em conta, agradecemos que nos seja enviado um pedido assinado pelo beneficiário da apólice,
acompanhado do comprovativo de titularidade de IBAN e de cópia do Cartão de Cidadão (ou do bilhete de identidade e
cartão de contribuinte). Se não nos for facultada esta documentação com 30 dias de antecedência, em relação à data de
vencimento do contrato, procederemos à emissão de um recibo que será enviado para a morada do beneficiário que se
encontra designado em caso de vida.</t>
    </r>
    <r>
      <rPr>
        <sz val="11"/>
        <color theme="1"/>
        <rFont val="Calibri"/>
        <family val="2"/>
        <scheme val="minor"/>
      </rPr>
      <t>"</t>
    </r>
  </si>
  <si>
    <t>Só sai se houver pelo menos uma apólice a vencar
Sairá depois do bloco INFORMAÇÕES IMPORTANTES</t>
  </si>
  <si>
    <t>:PREFIX:-INF-IMPORT-APOLICES-VENCER</t>
  </si>
  <si>
    <r>
      <rPr>
        <b/>
        <sz val="11"/>
        <color theme="1"/>
        <rFont val="Calibri"/>
        <family val="2"/>
        <scheme val="minor"/>
      </rPr>
      <t>"</t>
    </r>
    <r>
      <rPr>
        <b/>
        <sz val="11"/>
        <color theme="3" tint="0.39997558519241921"/>
        <rFont val="Calibri"/>
        <family val="2"/>
        <scheme val="minor"/>
      </rPr>
      <t>Alerta para vencimentos de PPR</t>
    </r>
    <r>
      <rPr>
        <sz val="11"/>
        <color theme="3" tint="0.39997558519241921"/>
        <rFont val="Calibri"/>
        <family val="2"/>
        <scheme val="minor"/>
      </rPr>
      <t xml:space="preserve">
Caso o seu seguro seja um Plano de Poupança Reforma, alertamos para as implicações fiscais em que pode incorrer,
previstas no n.º 4 do Artigo 21º do Estatuto dos Benefícios Fiscais, caso tenha efetuado entregas nos últimos 5 anos e
tenha beneficiado da dedução desses montantes à coleta do seu IRS.
Se for este o seu caso, na data de vencimento vão ser reembolsadas entregas com uma antiguidade inferior a 5 anos. De
forma a evitar as penalizações fiscais inerentes a esta situação, poderá optar pela transferência do valor da sua apólice
para outro seguro PPR disponível na Fidelidade. Assim, para além de garantir que na data do vencimento, não fica sujeito à
penalização fiscal prevista na Lei, mantém a antiguidade do seu PPR e, consequentemente, as vantagens fiscais em termos
de tributação, no momento da saída.</t>
    </r>
    <r>
      <rPr>
        <sz val="11"/>
        <color theme="1"/>
        <rFont val="Calibri"/>
        <family val="2"/>
        <scheme val="minor"/>
      </rPr>
      <t>"</t>
    </r>
  </si>
  <si>
    <t>No final do documento, no bloco GLOSSÁRIO…</t>
  </si>
  <si>
    <r>
      <t>"</t>
    </r>
    <r>
      <rPr>
        <sz val="11"/>
        <color theme="3" tint="0.39997558519241921"/>
        <rFont val="Calibri"/>
        <family val="2"/>
        <scheme val="minor"/>
      </rPr>
      <t>ICAE: Instrumento de Captação de Aforro Estruturado, Unit-Linked
UC/UR: Unidade de Conta / Unidade de Referência
Unidade de Conta: Valor de Referência em função do qual são definidas as garantias de um contrato ligado a fundos de
  investimento
Unidade de Referência: A Unidade de Referência é definida como um instrumento utilizado para dividir o valor das
  Provisões Técnicas de uma Opção de Investimento em quotas-partes, de características idênticas e sem valor nominal
Rendimento do Período: Saldo Final - Saldo Inicial - Entradas + Saídas
Valor Sujeito a Imposto: Diferença entre valor bruto a receber e prémios a abater na indemnização</t>
    </r>
    <r>
      <rPr>
        <sz val="11"/>
        <color theme="1"/>
        <rFont val="Calibri"/>
        <family val="2"/>
        <scheme val="minor"/>
      </rPr>
      <t>"</t>
    </r>
  </si>
  <si>
    <t xml:space="preserve">:PREFIX:-FIM-DOCUMENTO </t>
  </si>
  <si>
    <t>:PREFIX:-QUADRO-DETALHE-APOLICES-NOT</t>
  </si>
  <si>
    <t>Opcional, sai no final do bloco dos DETALHES APÓLICE(S)…</t>
  </si>
  <si>
    <t>Texto livre (1000 caracteres normal)</t>
  </si>
  <si>
    <t>Texto livre (400 caracteres Bold e/ou 3000 normal)</t>
  </si>
  <si>
    <t>Dados do Capital a Receber (Registo do tipo EXCR)</t>
  </si>
  <si>
    <t xml:space="preserve">    88  :PREFIX:-EXTUNID5                       VALUE 'EXD6'.</t>
  </si>
  <si>
    <t xml:space="preserve">     Extrato Único - Registo tipo Lista - Detalhes das Apólices SUB</t>
  </si>
  <si>
    <r>
      <rPr>
        <sz val="11"/>
        <rFont val="Calibri"/>
        <family val="2"/>
        <scheme val="minor"/>
      </rPr>
      <t>Lista dos Detalhes das Apólices (Registo do tipo EXD4)</t>
    </r>
    <r>
      <rPr>
        <sz val="11"/>
        <color rgb="FFFF0000"/>
        <rFont val="Calibri"/>
        <family val="2"/>
        <scheme val="minor"/>
      </rPr>
      <t xml:space="preserve"> repete-se de 0 a N</t>
    </r>
  </si>
  <si>
    <r>
      <rPr>
        <sz val="11"/>
        <rFont val="Calibri"/>
        <family val="2"/>
        <scheme val="minor"/>
      </rPr>
      <t>Lista dos Detalhes das Apólices (Registo do tipo EXD5)</t>
    </r>
    <r>
      <rPr>
        <sz val="11"/>
        <color rgb="FFFF0000"/>
        <rFont val="Calibri"/>
        <family val="2"/>
        <scheme val="minor"/>
      </rPr>
      <t xml:space="preserve"> repete-se de 0 a 1</t>
    </r>
  </si>
  <si>
    <r>
      <rPr>
        <sz val="11"/>
        <rFont val="Calibri"/>
        <family val="2"/>
        <scheme val="minor"/>
      </rPr>
      <t>Lista das Notas Detalhes Apólices (Registo do tipo EXD6)</t>
    </r>
    <r>
      <rPr>
        <sz val="11"/>
        <color rgb="FFFF0000"/>
        <rFont val="Calibri"/>
        <family val="2"/>
        <scheme val="minor"/>
      </rPr>
      <t xml:space="preserve"> repete-se de 0 a N</t>
    </r>
  </si>
  <si>
    <t xml:space="preserve">    09  :PREFIX:-QD-APO-SUB-OBJECTIVO PIC X(20).</t>
  </si>
  <si>
    <t xml:space="preserve">  07  :PREFIX:-QUADRO-DETALHE-APOLICES-SUB.</t>
  </si>
  <si>
    <t>Objectivo</t>
  </si>
  <si>
    <r>
      <t>Valor Inicial</t>
    </r>
    <r>
      <rPr>
        <b/>
        <sz val="11"/>
        <color rgb="FFFF0000"/>
        <rFont val="Calibri"/>
        <family val="2"/>
        <scheme val="minor"/>
      </rPr>
      <t xml:space="preserve"> (Obrigatório de o Nivel &lt;&gt; '2')</t>
    </r>
  </si>
  <si>
    <r>
      <t>Valor Final</t>
    </r>
    <r>
      <rPr>
        <b/>
        <sz val="11"/>
        <color rgb="FFFF0000"/>
        <rFont val="Calibri"/>
        <family val="2"/>
        <scheme val="minor"/>
      </rPr>
      <t xml:space="preserve"> (Obrigatório de o Nivel &lt;&gt; '2')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</si>
</sst>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0"/>
      <name val="Calibri"/>
      <family val="2"/>
      <scheme val="minor"/>
    </font>
    <font>
      <sz val="11"/>
      <color theme="1"/>
      <name val="Courier New"/>
      <family val="3"/>
    </font>
    <font>
      <sz val="11"/>
      <name val="Calibri"/>
      <family val="2"/>
      <scheme val="minor"/>
    </font>
    <font>
      <b/>
      <sz val="11"/>
      <color theme="0"/>
      <name val="Courier New"/>
      <family val="3"/>
    </font>
    <font>
      <sz val="11"/>
      <name val="Courier New"/>
      <family val="3"/>
    </font>
    <font>
      <sz val="11"/>
      <color rgb="FFFF0000"/>
      <name val="Calibri"/>
      <family val="2"/>
      <scheme val="minor"/>
    </font>
    <font>
      <sz val="8"/>
      <name val="Calibri"/>
      <family val="2"/>
      <scheme val="minor"/>
    </font>
    <font>
      <sz val="10"/>
      <name val="Arial"/>
    </font>
    <font>
      <b/>
      <sz val="11"/>
      <color theme="1"/>
      <name val="Calibri"/>
      <family val="2"/>
      <scheme val="minor"/>
    </font>
    <font>
      <sz val="11"/>
      <color theme="3" tint="0.39997558519241921"/>
      <name val="Calibri"/>
      <family val="2"/>
      <scheme val="minor"/>
    </font>
    <font>
      <sz val="11"/>
      <color theme="6" tint="-0.249977111117893"/>
      <name val="Calibri"/>
      <family val="2"/>
      <scheme val="minor"/>
    </font>
    <font>
      <b/>
      <sz val="11"/>
      <color theme="3" tint="0.39997558519241921"/>
      <name val="Calibri"/>
      <family val="2"/>
      <scheme val="minor"/>
    </font>
    <font>
      <b/>
      <sz val="11"/>
      <color rgb="FFFF0000"/>
      <name val="Calibri"/>
      <family val="2"/>
      <scheme val="minor"/>
    </font>
    <font>
      <sz val="11"/>
      <color rgb="FFFFC000"/>
      <name val="Calibri"/>
      <family val="2"/>
      <scheme val="minor"/>
    </font>
  </fonts>
  <fills count="10">
    <fill>
      <patternFill patternType="none"/>
    </fill>
    <fill>
      <patternFill patternType="gray125"/>
    </fill>
    <fill>
      <patternFill patternType="solid">
        <fgColor rgb="FF00B0F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8" fillId="0" borderId="0"/>
  </cellStyleXfs>
  <cellXfs count="55">
    <xf numFmtId="0" fontId="0" fillId="0" borderId="0" xfId="0"/>
    <xf numFmtId="0" fontId="1" fillId="2" borderId="1" xfId="0" applyFont="1" applyFill="1" applyBorder="1" applyAlignment="1">
      <alignment horizontal="center"/>
    </xf>
    <xf numFmtId="0" fontId="0" fillId="0" borderId="1" xfId="0" applyBorder="1" applyAlignment="1">
      <alignment horizontal="right"/>
    </xf>
    <xf numFmtId="0" fontId="0" fillId="0" borderId="1" xfId="0" applyBorder="1"/>
    <xf numFmtId="0" fontId="2" fillId="0" borderId="1" xfId="0" applyFont="1" applyBorder="1"/>
    <xf numFmtId="0" fontId="2" fillId="4" borderId="1" xfId="0" applyFont="1" applyFill="1" applyBorder="1" applyAlignment="1">
      <alignment horizontal="left"/>
    </xf>
    <xf numFmtId="0" fontId="0" fillId="4" borderId="1" xfId="0" applyFill="1" applyBorder="1" applyAlignment="1">
      <alignment horizontal="right"/>
    </xf>
    <xf numFmtId="0" fontId="2" fillId="3" borderId="1" xfId="0" applyFont="1" applyFill="1" applyBorder="1"/>
    <xf numFmtId="0" fontId="0" fillId="3" borderId="1" xfId="0" applyFill="1" applyBorder="1"/>
    <xf numFmtId="0" fontId="0" fillId="3" borderId="1" xfId="0" applyFill="1" applyBorder="1" applyAlignment="1">
      <alignment horizontal="right"/>
    </xf>
    <xf numFmtId="0" fontId="0" fillId="0" borderId="1" xfId="0" applyBorder="1" applyAlignment="1">
      <alignment horizontal="left"/>
    </xf>
    <xf numFmtId="0" fontId="0" fillId="0" borderId="2" xfId="0" applyBorder="1"/>
    <xf numFmtId="0" fontId="0" fillId="0" borderId="1" xfId="0" applyBorder="1" applyAlignment="1">
      <alignment vertical="top"/>
    </xf>
    <xf numFmtId="0" fontId="2" fillId="0" borderId="1" xfId="0" applyFont="1" applyBorder="1" applyAlignment="1">
      <alignment vertical="top"/>
    </xf>
    <xf numFmtId="0" fontId="0" fillId="3" borderId="1" xfId="0" applyFill="1" applyBorder="1" applyAlignment="1">
      <alignment vertical="top"/>
    </xf>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left"/>
    </xf>
    <xf numFmtId="0" fontId="0" fillId="4" borderId="1" xfId="0" applyFill="1" applyBorder="1" applyAlignment="1">
      <alignment horizontal="left"/>
    </xf>
    <xf numFmtId="0" fontId="0" fillId="0" borderId="0" xfId="0" applyAlignment="1">
      <alignment horizontal="center" vertical="center"/>
    </xf>
    <xf numFmtId="0" fontId="4" fillId="2" borderId="1" xfId="0" applyFont="1" applyFill="1" applyBorder="1"/>
    <xf numFmtId="0" fontId="2" fillId="0" borderId="0" xfId="0" applyFont="1"/>
    <xf numFmtId="0" fontId="2" fillId="8" borderId="1" xfId="0" applyFont="1" applyFill="1" applyBorder="1"/>
    <xf numFmtId="0" fontId="0" fillId="8" borderId="1" xfId="0" applyFill="1" applyBorder="1" applyAlignment="1">
      <alignment horizontal="left"/>
    </xf>
    <xf numFmtId="0" fontId="0" fillId="8" borderId="1" xfId="0" applyFill="1" applyBorder="1" applyAlignment="1">
      <alignment horizontal="right"/>
    </xf>
    <xf numFmtId="0" fontId="0" fillId="8" borderId="1" xfId="0" applyFill="1" applyBorder="1"/>
    <xf numFmtId="0" fontId="0" fillId="8" borderId="1" xfId="0" applyFill="1" applyBorder="1" applyAlignment="1">
      <alignment vertical="top"/>
    </xf>
    <xf numFmtId="0" fontId="5" fillId="8" borderId="1" xfId="0" applyFont="1" applyFill="1" applyBorder="1"/>
    <xf numFmtId="0" fontId="3" fillId="8" borderId="1" xfId="0" applyFont="1" applyFill="1" applyBorder="1" applyAlignment="1">
      <alignment horizontal="left"/>
    </xf>
    <xf numFmtId="0" fontId="3" fillId="4" borderId="1" xfId="0" applyFont="1" applyFill="1" applyBorder="1" applyAlignment="1">
      <alignment horizontal="left"/>
    </xf>
    <xf numFmtId="0" fontId="6" fillId="4" borderId="1" xfId="0" applyFont="1" applyFill="1" applyBorder="1" applyAlignment="1">
      <alignment horizontal="left"/>
    </xf>
    <xf numFmtId="0" fontId="0" fillId="5" borderId="1" xfId="0" applyFill="1" applyBorder="1" applyAlignment="1">
      <alignment horizontal="center" vertical="center"/>
    </xf>
    <xf numFmtId="0" fontId="0" fillId="7" borderId="1" xfId="0" applyFill="1" applyBorder="1" applyAlignment="1">
      <alignment horizontal="center" vertical="center"/>
    </xf>
    <xf numFmtId="0" fontId="0" fillId="4" borderId="1" xfId="0" applyFill="1" applyBorder="1" applyAlignment="1">
      <alignment horizontal="center"/>
    </xf>
    <xf numFmtId="0" fontId="0" fillId="6" borderId="1" xfId="0" applyFill="1" applyBorder="1" applyAlignment="1">
      <alignment horizontal="center" vertical="center"/>
    </xf>
    <xf numFmtId="0" fontId="0" fillId="3" borderId="1" xfId="0" applyFill="1" applyBorder="1" applyAlignment="1">
      <alignment horizontal="center"/>
    </xf>
    <xf numFmtId="0" fontId="0" fillId="3" borderId="1" xfId="0" applyFill="1" applyBorder="1" applyAlignment="1">
      <alignment horizontal="center" vertical="top"/>
    </xf>
    <xf numFmtId="0" fontId="0" fillId="0" borderId="1" xfId="0" applyBorder="1" applyAlignment="1">
      <alignment horizontal="center"/>
    </xf>
    <xf numFmtId="0" fontId="2" fillId="0" borderId="1" xfId="0" applyFont="1" applyBorder="1" applyAlignment="1">
      <alignment vertical="top" wrapText="1"/>
    </xf>
    <xf numFmtId="0" fontId="1" fillId="2" borderId="1" xfId="0" applyFont="1" applyFill="1" applyBorder="1"/>
    <xf numFmtId="0" fontId="9" fillId="0" borderId="0" xfId="0" applyFont="1"/>
    <xf numFmtId="0" fontId="9" fillId="9"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3" fillId="0" borderId="0" xfId="0" applyFont="1" applyAlignment="1">
      <alignment vertical="top" wrapText="1"/>
    </xf>
    <xf numFmtId="0" fontId="2" fillId="0" borderId="2" xfId="0" applyFont="1" applyBorder="1"/>
    <xf numFmtId="0" fontId="0" fillId="0" borderId="2" xfId="0" applyBorder="1" applyAlignment="1">
      <alignment vertical="top"/>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0" fillId="5" borderId="1" xfId="0" applyFill="1" applyBorder="1" applyAlignment="1">
      <alignment horizontal="center" vertical="center"/>
    </xf>
    <xf numFmtId="0" fontId="3" fillId="7" borderId="2"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3" xfId="0" applyFont="1" applyFill="1" applyBorder="1" applyAlignment="1">
      <alignment horizontal="center" vertical="center"/>
    </xf>
    <xf numFmtId="0" fontId="14" fillId="5" borderId="1" xfId="0" applyFont="1" applyFill="1" applyBorder="1" applyAlignment="1">
      <alignment horizontal="center" vertical="center"/>
    </xf>
  </cellXfs>
  <cellStyles count="2">
    <cellStyle name="Normal" xfId="0" builtinId="0"/>
    <cellStyle name="Normal 2" xfId="1" xr:uid="{EA512DD8-E7F6-4FD0-9A9D-3D07BC1DE6C6}"/>
  </cellStyles>
  <dxfs count="0"/>
  <tableStyles count="0" defaultTableStyle="TableStyleMedium2" defaultPivotStyle="PivotStyleLight16"/>
  <colors>
    <mruColors>
      <color rgb="FFFFFF99"/>
      <color rgb="FF0202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1</xdr:colOff>
      <xdr:row>1</xdr:row>
      <xdr:rowOff>0</xdr:rowOff>
    </xdr:from>
    <xdr:to>
      <xdr:col>3</xdr:col>
      <xdr:colOff>4352541</xdr:colOff>
      <xdr:row>1</xdr:row>
      <xdr:rowOff>1943099</xdr:rowOff>
    </xdr:to>
    <xdr:pic>
      <xdr:nvPicPr>
        <xdr:cNvPr id="2" name="Picture 1">
          <a:extLst>
            <a:ext uri="{FF2B5EF4-FFF2-40B4-BE49-F238E27FC236}">
              <a16:creationId xmlns:a16="http://schemas.microsoft.com/office/drawing/2014/main" id="{C74BE547-DE90-2D57-5363-2AC1960CCF59}"/>
            </a:ext>
          </a:extLst>
        </xdr:cNvPr>
        <xdr:cNvPicPr>
          <a:picLocks noChangeAspect="1"/>
        </xdr:cNvPicPr>
      </xdr:nvPicPr>
      <xdr:blipFill>
        <a:blip xmlns:r="http://schemas.openxmlformats.org/officeDocument/2006/relationships" r:embed="rId1"/>
        <a:stretch>
          <a:fillRect/>
        </a:stretch>
      </xdr:blipFill>
      <xdr:spPr>
        <a:xfrm>
          <a:off x="17228821" y="182880"/>
          <a:ext cx="4352540" cy="1943099"/>
        </a:xfrm>
        <a:prstGeom prst="rect">
          <a:avLst/>
        </a:prstGeom>
      </xdr:spPr>
    </xdr:pic>
    <xdr:clientData/>
  </xdr:twoCellAnchor>
  <xdr:twoCellAnchor editAs="oneCell">
    <xdr:from>
      <xdr:col>3</xdr:col>
      <xdr:colOff>0</xdr:colOff>
      <xdr:row>2</xdr:row>
      <xdr:rowOff>0</xdr:rowOff>
    </xdr:from>
    <xdr:to>
      <xdr:col>3</xdr:col>
      <xdr:colOff>6685563</xdr:colOff>
      <xdr:row>2</xdr:row>
      <xdr:rowOff>1685925</xdr:rowOff>
    </xdr:to>
    <xdr:pic>
      <xdr:nvPicPr>
        <xdr:cNvPr id="3" name="Picture 2">
          <a:extLst>
            <a:ext uri="{FF2B5EF4-FFF2-40B4-BE49-F238E27FC236}">
              <a16:creationId xmlns:a16="http://schemas.microsoft.com/office/drawing/2014/main" id="{8C87B7FC-4DC7-D6C6-5232-3B5305B8760D}"/>
            </a:ext>
          </a:extLst>
        </xdr:cNvPr>
        <xdr:cNvPicPr>
          <a:picLocks noChangeAspect="1"/>
        </xdr:cNvPicPr>
      </xdr:nvPicPr>
      <xdr:blipFill>
        <a:blip xmlns:r="http://schemas.openxmlformats.org/officeDocument/2006/relationships" r:embed="rId2"/>
        <a:stretch>
          <a:fillRect/>
        </a:stretch>
      </xdr:blipFill>
      <xdr:spPr>
        <a:xfrm>
          <a:off x="13477875" y="3429000"/>
          <a:ext cx="6685563" cy="1685925"/>
        </a:xfrm>
        <a:prstGeom prst="rect">
          <a:avLst/>
        </a:prstGeom>
      </xdr:spPr>
    </xdr:pic>
    <xdr:clientData/>
  </xdr:twoCellAnchor>
  <xdr:twoCellAnchor editAs="oneCell">
    <xdr:from>
      <xdr:col>3</xdr:col>
      <xdr:colOff>0</xdr:colOff>
      <xdr:row>4</xdr:row>
      <xdr:rowOff>0</xdr:rowOff>
    </xdr:from>
    <xdr:to>
      <xdr:col>3</xdr:col>
      <xdr:colOff>4991100</xdr:colOff>
      <xdr:row>5</xdr:row>
      <xdr:rowOff>6651</xdr:rowOff>
    </xdr:to>
    <xdr:pic>
      <xdr:nvPicPr>
        <xdr:cNvPr id="4" name="Picture 3">
          <a:extLst>
            <a:ext uri="{FF2B5EF4-FFF2-40B4-BE49-F238E27FC236}">
              <a16:creationId xmlns:a16="http://schemas.microsoft.com/office/drawing/2014/main" id="{771F6610-D1C8-7097-FF61-5C8875F6D338}"/>
            </a:ext>
          </a:extLst>
        </xdr:cNvPr>
        <xdr:cNvPicPr>
          <a:picLocks noChangeAspect="1"/>
        </xdr:cNvPicPr>
      </xdr:nvPicPr>
      <xdr:blipFill>
        <a:blip xmlns:r="http://schemas.openxmlformats.org/officeDocument/2006/relationships" r:embed="rId3"/>
        <a:stretch>
          <a:fillRect/>
        </a:stretch>
      </xdr:blipFill>
      <xdr:spPr>
        <a:xfrm>
          <a:off x="13700760" y="2926080"/>
          <a:ext cx="4991100" cy="921051"/>
        </a:xfrm>
        <a:prstGeom prst="rect">
          <a:avLst/>
        </a:prstGeom>
      </xdr:spPr>
    </xdr:pic>
    <xdr:clientData/>
  </xdr:twoCellAnchor>
  <xdr:twoCellAnchor editAs="oneCell">
    <xdr:from>
      <xdr:col>3</xdr:col>
      <xdr:colOff>0</xdr:colOff>
      <xdr:row>5</xdr:row>
      <xdr:rowOff>0</xdr:rowOff>
    </xdr:from>
    <xdr:to>
      <xdr:col>3</xdr:col>
      <xdr:colOff>5539740</xdr:colOff>
      <xdr:row>6</xdr:row>
      <xdr:rowOff>3700</xdr:rowOff>
    </xdr:to>
    <xdr:pic>
      <xdr:nvPicPr>
        <xdr:cNvPr id="5" name="Picture 4">
          <a:extLst>
            <a:ext uri="{FF2B5EF4-FFF2-40B4-BE49-F238E27FC236}">
              <a16:creationId xmlns:a16="http://schemas.microsoft.com/office/drawing/2014/main" id="{293CCA19-F03F-7802-72A6-47CFDC67965B}"/>
            </a:ext>
          </a:extLst>
        </xdr:cNvPr>
        <xdr:cNvPicPr>
          <a:picLocks noChangeAspect="1"/>
        </xdr:cNvPicPr>
      </xdr:nvPicPr>
      <xdr:blipFill>
        <a:blip xmlns:r="http://schemas.openxmlformats.org/officeDocument/2006/relationships" r:embed="rId4"/>
        <a:stretch>
          <a:fillRect/>
        </a:stretch>
      </xdr:blipFill>
      <xdr:spPr>
        <a:xfrm>
          <a:off x="13700760" y="3840480"/>
          <a:ext cx="5539740" cy="1100980"/>
        </a:xfrm>
        <a:prstGeom prst="rect">
          <a:avLst/>
        </a:prstGeom>
      </xdr:spPr>
    </xdr:pic>
    <xdr:clientData/>
  </xdr:twoCellAnchor>
  <xdr:twoCellAnchor editAs="oneCell">
    <xdr:from>
      <xdr:col>3</xdr:col>
      <xdr:colOff>0</xdr:colOff>
      <xdr:row>6</xdr:row>
      <xdr:rowOff>1</xdr:rowOff>
    </xdr:from>
    <xdr:to>
      <xdr:col>3</xdr:col>
      <xdr:colOff>3971926</xdr:colOff>
      <xdr:row>6</xdr:row>
      <xdr:rowOff>2033686</xdr:rowOff>
    </xdr:to>
    <xdr:pic>
      <xdr:nvPicPr>
        <xdr:cNvPr id="6" name="Picture 5">
          <a:extLst>
            <a:ext uri="{FF2B5EF4-FFF2-40B4-BE49-F238E27FC236}">
              <a16:creationId xmlns:a16="http://schemas.microsoft.com/office/drawing/2014/main" id="{139464C8-9B26-F55E-1838-DBA909DA153F}"/>
            </a:ext>
          </a:extLst>
        </xdr:cNvPr>
        <xdr:cNvPicPr>
          <a:picLocks noChangeAspect="1"/>
        </xdr:cNvPicPr>
      </xdr:nvPicPr>
      <xdr:blipFill>
        <a:blip xmlns:r="http://schemas.openxmlformats.org/officeDocument/2006/relationships" r:embed="rId5"/>
        <a:stretch>
          <a:fillRect/>
        </a:stretch>
      </xdr:blipFill>
      <xdr:spPr>
        <a:xfrm>
          <a:off x="13477875" y="7277101"/>
          <a:ext cx="3971926" cy="2033685"/>
        </a:xfrm>
        <a:prstGeom prst="rect">
          <a:avLst/>
        </a:prstGeom>
      </xdr:spPr>
    </xdr:pic>
    <xdr:clientData/>
  </xdr:twoCellAnchor>
  <xdr:twoCellAnchor editAs="oneCell">
    <xdr:from>
      <xdr:col>3</xdr:col>
      <xdr:colOff>38099</xdr:colOff>
      <xdr:row>7</xdr:row>
      <xdr:rowOff>0</xdr:rowOff>
    </xdr:from>
    <xdr:to>
      <xdr:col>3</xdr:col>
      <xdr:colOff>7997564</xdr:colOff>
      <xdr:row>7</xdr:row>
      <xdr:rowOff>1485900</xdr:rowOff>
    </xdr:to>
    <xdr:pic>
      <xdr:nvPicPr>
        <xdr:cNvPr id="7" name="Picture 6">
          <a:extLst>
            <a:ext uri="{FF2B5EF4-FFF2-40B4-BE49-F238E27FC236}">
              <a16:creationId xmlns:a16="http://schemas.microsoft.com/office/drawing/2014/main" id="{AD52069C-BFCF-A169-07D1-0B9225A7D0AF}"/>
            </a:ext>
          </a:extLst>
        </xdr:cNvPr>
        <xdr:cNvPicPr>
          <a:picLocks noChangeAspect="1"/>
        </xdr:cNvPicPr>
      </xdr:nvPicPr>
      <xdr:blipFill>
        <a:blip xmlns:r="http://schemas.openxmlformats.org/officeDocument/2006/relationships" r:embed="rId6"/>
        <a:stretch>
          <a:fillRect/>
        </a:stretch>
      </xdr:blipFill>
      <xdr:spPr>
        <a:xfrm>
          <a:off x="13773149" y="9401175"/>
          <a:ext cx="7959465" cy="1485900"/>
        </a:xfrm>
        <a:prstGeom prst="rect">
          <a:avLst/>
        </a:prstGeom>
      </xdr:spPr>
    </xdr:pic>
    <xdr:clientData/>
  </xdr:twoCellAnchor>
  <xdr:twoCellAnchor editAs="oneCell">
    <xdr:from>
      <xdr:col>3</xdr:col>
      <xdr:colOff>28574</xdr:colOff>
      <xdr:row>8</xdr:row>
      <xdr:rowOff>0</xdr:rowOff>
    </xdr:from>
    <xdr:to>
      <xdr:col>3</xdr:col>
      <xdr:colOff>8236775</xdr:colOff>
      <xdr:row>8</xdr:row>
      <xdr:rowOff>1714500</xdr:rowOff>
    </xdr:to>
    <xdr:pic>
      <xdr:nvPicPr>
        <xdr:cNvPr id="8" name="Picture 7">
          <a:extLst>
            <a:ext uri="{FF2B5EF4-FFF2-40B4-BE49-F238E27FC236}">
              <a16:creationId xmlns:a16="http://schemas.microsoft.com/office/drawing/2014/main" id="{F6C9A516-1211-5401-5BDC-6BE5900E6B40}"/>
            </a:ext>
          </a:extLst>
        </xdr:cNvPr>
        <xdr:cNvPicPr>
          <a:picLocks noChangeAspect="1"/>
        </xdr:cNvPicPr>
      </xdr:nvPicPr>
      <xdr:blipFill>
        <a:blip xmlns:r="http://schemas.openxmlformats.org/officeDocument/2006/relationships" r:embed="rId7"/>
        <a:stretch>
          <a:fillRect/>
        </a:stretch>
      </xdr:blipFill>
      <xdr:spPr>
        <a:xfrm>
          <a:off x="13763624" y="10944225"/>
          <a:ext cx="8208201" cy="1714500"/>
        </a:xfrm>
        <a:prstGeom prst="rect">
          <a:avLst/>
        </a:prstGeom>
      </xdr:spPr>
    </xdr:pic>
    <xdr:clientData/>
  </xdr:twoCellAnchor>
  <xdr:twoCellAnchor editAs="oneCell">
    <xdr:from>
      <xdr:col>3</xdr:col>
      <xdr:colOff>0</xdr:colOff>
      <xdr:row>9</xdr:row>
      <xdr:rowOff>0</xdr:rowOff>
    </xdr:from>
    <xdr:to>
      <xdr:col>3</xdr:col>
      <xdr:colOff>4084320</xdr:colOff>
      <xdr:row>9</xdr:row>
      <xdr:rowOff>1462351</xdr:rowOff>
    </xdr:to>
    <xdr:pic>
      <xdr:nvPicPr>
        <xdr:cNvPr id="9" name="Picture 8">
          <a:extLst>
            <a:ext uri="{FF2B5EF4-FFF2-40B4-BE49-F238E27FC236}">
              <a16:creationId xmlns:a16="http://schemas.microsoft.com/office/drawing/2014/main" id="{0A1E73F8-FDF0-2769-FC96-0F91E3A3AA37}"/>
            </a:ext>
          </a:extLst>
        </xdr:cNvPr>
        <xdr:cNvPicPr>
          <a:picLocks noChangeAspect="1"/>
        </xdr:cNvPicPr>
      </xdr:nvPicPr>
      <xdr:blipFill>
        <a:blip xmlns:r="http://schemas.openxmlformats.org/officeDocument/2006/relationships" r:embed="rId8"/>
        <a:stretch>
          <a:fillRect/>
        </a:stretch>
      </xdr:blipFill>
      <xdr:spPr>
        <a:xfrm>
          <a:off x="13700760" y="10058400"/>
          <a:ext cx="4084320" cy="1462351"/>
        </a:xfrm>
        <a:prstGeom prst="rect">
          <a:avLst/>
        </a:prstGeom>
      </xdr:spPr>
    </xdr:pic>
    <xdr:clientData/>
  </xdr:twoCellAnchor>
  <xdr:twoCellAnchor editAs="oneCell">
    <xdr:from>
      <xdr:col>3</xdr:col>
      <xdr:colOff>4434840</xdr:colOff>
      <xdr:row>1</xdr:row>
      <xdr:rowOff>0</xdr:rowOff>
    </xdr:from>
    <xdr:to>
      <xdr:col>4</xdr:col>
      <xdr:colOff>47625</xdr:colOff>
      <xdr:row>1</xdr:row>
      <xdr:rowOff>1215680</xdr:rowOff>
    </xdr:to>
    <xdr:pic>
      <xdr:nvPicPr>
        <xdr:cNvPr id="11" name="Picture 10">
          <a:extLst>
            <a:ext uri="{FF2B5EF4-FFF2-40B4-BE49-F238E27FC236}">
              <a16:creationId xmlns:a16="http://schemas.microsoft.com/office/drawing/2014/main" id="{2AE735CA-B585-441E-7530-470AE70F2F06}"/>
            </a:ext>
          </a:extLst>
        </xdr:cNvPr>
        <xdr:cNvPicPr>
          <a:picLocks noChangeAspect="1"/>
        </xdr:cNvPicPr>
      </xdr:nvPicPr>
      <xdr:blipFill>
        <a:blip xmlns:r="http://schemas.openxmlformats.org/officeDocument/2006/relationships" r:embed="rId9"/>
        <a:stretch>
          <a:fillRect/>
        </a:stretch>
      </xdr:blipFill>
      <xdr:spPr>
        <a:xfrm>
          <a:off x="17912715" y="190500"/>
          <a:ext cx="4147185" cy="12156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69"/>
  <sheetViews>
    <sheetView tabSelected="1" zoomScaleNormal="100" workbookViewId="0"/>
  </sheetViews>
  <sheetFormatPr defaultRowHeight="14.4" x14ac:dyDescent="0.3"/>
  <cols>
    <col min="1" max="1" width="103.44140625" style="21" bestFit="1" customWidth="1"/>
    <col min="2" max="2" width="69.6640625" bestFit="1" customWidth="1"/>
    <col min="3" max="3" width="7.33203125" bestFit="1" customWidth="1"/>
    <col min="4" max="4" width="8.6640625" bestFit="1" customWidth="1"/>
    <col min="5" max="5" width="10.6640625" style="19" bestFit="1" customWidth="1"/>
  </cols>
  <sheetData>
    <row r="1" spans="1:5" s="40" customFormat="1" x14ac:dyDescent="0.3">
      <c r="A1" s="20" t="s">
        <v>0</v>
      </c>
      <c r="B1" s="39" t="s">
        <v>1</v>
      </c>
      <c r="C1" s="1" t="s">
        <v>2</v>
      </c>
      <c r="D1" s="1" t="s">
        <v>3</v>
      </c>
      <c r="E1" s="15" t="s">
        <v>4</v>
      </c>
    </row>
    <row r="2" spans="1:5" x14ac:dyDescent="0.3">
      <c r="A2" s="5" t="s">
        <v>5</v>
      </c>
      <c r="B2" s="18"/>
      <c r="C2" s="6">
        <v>1</v>
      </c>
      <c r="D2" s="6">
        <v>0</v>
      </c>
      <c r="E2" s="33"/>
    </row>
    <row r="3" spans="1:5" x14ac:dyDescent="0.3">
      <c r="A3" s="22" t="s">
        <v>6</v>
      </c>
      <c r="B3" s="23" t="s">
        <v>7</v>
      </c>
      <c r="C3" s="24">
        <f>C2+D2</f>
        <v>1</v>
      </c>
      <c r="D3" s="24">
        <v>3</v>
      </c>
      <c r="E3" s="50" t="s">
        <v>8</v>
      </c>
    </row>
    <row r="4" spans="1:5" x14ac:dyDescent="0.3">
      <c r="A4" s="22" t="s">
        <v>9</v>
      </c>
      <c r="B4" s="23" t="s">
        <v>10</v>
      </c>
      <c r="C4" s="24"/>
      <c r="D4" s="24"/>
      <c r="E4" s="50"/>
    </row>
    <row r="5" spans="1:5" x14ac:dyDescent="0.3">
      <c r="A5" s="22" t="s">
        <v>11</v>
      </c>
      <c r="B5" s="23" t="s">
        <v>12</v>
      </c>
      <c r="C5" s="24"/>
      <c r="D5" s="24"/>
      <c r="E5" s="50"/>
    </row>
    <row r="6" spans="1:5" x14ac:dyDescent="0.3">
      <c r="A6" s="22" t="s">
        <v>13</v>
      </c>
      <c r="B6" s="23" t="s">
        <v>14</v>
      </c>
      <c r="C6" s="24">
        <f>C3+D3</f>
        <v>4</v>
      </c>
      <c r="D6" s="25">
        <v>3</v>
      </c>
      <c r="E6" s="50" t="s">
        <v>8</v>
      </c>
    </row>
    <row r="7" spans="1:5" x14ac:dyDescent="0.3">
      <c r="A7" s="22" t="s">
        <v>15</v>
      </c>
      <c r="B7" s="23" t="s">
        <v>16</v>
      </c>
      <c r="C7" s="25"/>
      <c r="D7" s="25"/>
      <c r="E7" s="50"/>
    </row>
    <row r="8" spans="1:5" x14ac:dyDescent="0.3">
      <c r="A8" s="22" t="s">
        <v>17</v>
      </c>
      <c r="B8" s="23" t="s">
        <v>18</v>
      </c>
      <c r="C8" s="25"/>
      <c r="D8" s="25"/>
      <c r="E8" s="50"/>
    </row>
    <row r="9" spans="1:5" x14ac:dyDescent="0.3">
      <c r="A9" s="22" t="s">
        <v>19</v>
      </c>
      <c r="B9" s="23" t="s">
        <v>20</v>
      </c>
      <c r="C9" s="25"/>
      <c r="D9" s="25"/>
      <c r="E9" s="50"/>
    </row>
    <row r="10" spans="1:5" x14ac:dyDescent="0.3">
      <c r="A10" s="22" t="s">
        <v>21</v>
      </c>
      <c r="B10" s="23" t="s">
        <v>22</v>
      </c>
      <c r="C10" s="25"/>
      <c r="D10" s="25"/>
      <c r="E10" s="50"/>
    </row>
    <row r="11" spans="1:5" x14ac:dyDescent="0.3">
      <c r="A11" s="22" t="s">
        <v>23</v>
      </c>
      <c r="B11" s="23" t="s">
        <v>24</v>
      </c>
      <c r="C11" s="25"/>
      <c r="D11" s="25"/>
      <c r="E11" s="50"/>
    </row>
    <row r="12" spans="1:5" x14ac:dyDescent="0.3">
      <c r="A12" s="22" t="s">
        <v>25</v>
      </c>
      <c r="B12" s="23" t="s">
        <v>26</v>
      </c>
      <c r="C12" s="24">
        <f>C6+D6</f>
        <v>7</v>
      </c>
      <c r="D12" s="25">
        <v>3</v>
      </c>
      <c r="E12" s="50" t="s">
        <v>8</v>
      </c>
    </row>
    <row r="13" spans="1:5" x14ac:dyDescent="0.3">
      <c r="A13" s="22" t="s">
        <v>27</v>
      </c>
      <c r="B13" s="25" t="s">
        <v>28</v>
      </c>
      <c r="C13" s="25"/>
      <c r="D13" s="25"/>
      <c r="E13" s="50"/>
    </row>
    <row r="14" spans="1:5" x14ac:dyDescent="0.3">
      <c r="A14" s="22" t="s">
        <v>29</v>
      </c>
      <c r="B14" s="25" t="s">
        <v>30</v>
      </c>
      <c r="C14" s="25">
        <f>C12+D12</f>
        <v>10</v>
      </c>
      <c r="D14" s="25">
        <v>9</v>
      </c>
      <c r="E14" s="32" t="s">
        <v>31</v>
      </c>
    </row>
    <row r="15" spans="1:5" x14ac:dyDescent="0.3">
      <c r="A15" s="22" t="s">
        <v>32</v>
      </c>
      <c r="B15" s="25" t="s">
        <v>33</v>
      </c>
      <c r="C15" s="24">
        <f t="shared" ref="C15:C21" si="0">C14+D14</f>
        <v>19</v>
      </c>
      <c r="D15" s="25">
        <v>10</v>
      </c>
      <c r="E15" s="32" t="s">
        <v>31</v>
      </c>
    </row>
    <row r="16" spans="1:5" x14ac:dyDescent="0.3">
      <c r="A16" s="22" t="s">
        <v>34</v>
      </c>
      <c r="B16" s="25" t="s">
        <v>35</v>
      </c>
      <c r="C16" s="26">
        <f t="shared" si="0"/>
        <v>29</v>
      </c>
      <c r="D16" s="25">
        <v>9</v>
      </c>
      <c r="E16" s="31" t="s">
        <v>8</v>
      </c>
    </row>
    <row r="17" spans="1:5" x14ac:dyDescent="0.3">
      <c r="A17" s="22" t="s">
        <v>36</v>
      </c>
      <c r="B17" s="25" t="s">
        <v>37</v>
      </c>
      <c r="C17" s="24">
        <f t="shared" si="0"/>
        <v>38</v>
      </c>
      <c r="D17" s="25">
        <v>10</v>
      </c>
      <c r="E17" s="31" t="s">
        <v>8</v>
      </c>
    </row>
    <row r="18" spans="1:5" x14ac:dyDescent="0.3">
      <c r="A18" s="22" t="s">
        <v>38</v>
      </c>
      <c r="B18" s="25" t="s">
        <v>39</v>
      </c>
      <c r="C18" s="24">
        <f t="shared" si="0"/>
        <v>48</v>
      </c>
      <c r="D18" s="25">
        <v>16</v>
      </c>
      <c r="E18" s="32" t="s">
        <v>31</v>
      </c>
    </row>
    <row r="19" spans="1:5" x14ac:dyDescent="0.3">
      <c r="A19" s="22" t="s">
        <v>40</v>
      </c>
      <c r="B19" s="23" t="s">
        <v>41</v>
      </c>
      <c r="C19" s="24">
        <f t="shared" si="0"/>
        <v>64</v>
      </c>
      <c r="D19" s="24">
        <v>6</v>
      </c>
      <c r="E19" s="32" t="s">
        <v>31</v>
      </c>
    </row>
    <row r="20" spans="1:5" x14ac:dyDescent="0.3">
      <c r="A20" s="22" t="s">
        <v>42</v>
      </c>
      <c r="B20" s="23" t="s">
        <v>43</v>
      </c>
      <c r="C20" s="24">
        <f t="shared" si="0"/>
        <v>70</v>
      </c>
      <c r="D20" s="24">
        <v>14</v>
      </c>
      <c r="E20" s="31" t="s">
        <v>8</v>
      </c>
    </row>
    <row r="21" spans="1:5" x14ac:dyDescent="0.3">
      <c r="A21" s="22" t="s">
        <v>44</v>
      </c>
      <c r="B21" s="23" t="s">
        <v>45</v>
      </c>
      <c r="C21" s="24">
        <f t="shared" si="0"/>
        <v>84</v>
      </c>
      <c r="D21" s="24">
        <v>22</v>
      </c>
      <c r="E21" s="34" t="s">
        <v>46</v>
      </c>
    </row>
    <row r="22" spans="1:5" x14ac:dyDescent="0.3">
      <c r="A22" s="22" t="s">
        <v>47</v>
      </c>
      <c r="B22" s="23" t="s">
        <v>48</v>
      </c>
      <c r="C22" s="24">
        <f>C21+D21</f>
        <v>106</v>
      </c>
      <c r="D22" s="24">
        <v>3</v>
      </c>
      <c r="E22" s="47" t="s">
        <v>8</v>
      </c>
    </row>
    <row r="23" spans="1:5" x14ac:dyDescent="0.3">
      <c r="A23" s="27" t="s">
        <v>49</v>
      </c>
      <c r="B23" s="28" t="s">
        <v>50</v>
      </c>
      <c r="C23" s="24"/>
      <c r="D23" s="24"/>
      <c r="E23" s="48"/>
    </row>
    <row r="24" spans="1:5" x14ac:dyDescent="0.3">
      <c r="A24" s="27" t="s">
        <v>51</v>
      </c>
      <c r="B24" s="28" t="s">
        <v>52</v>
      </c>
      <c r="C24" s="24"/>
      <c r="D24" s="24"/>
      <c r="E24" s="49"/>
    </row>
    <row r="25" spans="1:5" x14ac:dyDescent="0.3">
      <c r="A25" s="22" t="s">
        <v>53</v>
      </c>
      <c r="B25" s="23" t="s">
        <v>54</v>
      </c>
      <c r="C25" s="24">
        <f>C22+D22</f>
        <v>109</v>
      </c>
      <c r="D25" s="24">
        <v>8</v>
      </c>
      <c r="E25" s="32" t="s">
        <v>31</v>
      </c>
    </row>
    <row r="26" spans="1:5" x14ac:dyDescent="0.3">
      <c r="A26" s="22" t="s">
        <v>55</v>
      </c>
      <c r="B26" s="23" t="s">
        <v>56</v>
      </c>
      <c r="C26" s="24">
        <f>C25+D25</f>
        <v>117</v>
      </c>
      <c r="D26" s="24">
        <v>10</v>
      </c>
      <c r="E26" s="32" t="s">
        <v>31</v>
      </c>
    </row>
    <row r="27" spans="1:5" x14ac:dyDescent="0.3">
      <c r="A27" s="22" t="s">
        <v>57</v>
      </c>
      <c r="B27" s="23" t="s">
        <v>58</v>
      </c>
      <c r="C27" s="24">
        <f>C26+D26</f>
        <v>127</v>
      </c>
      <c r="D27" s="24">
        <v>4</v>
      </c>
      <c r="E27" s="47" t="s">
        <v>8</v>
      </c>
    </row>
    <row r="28" spans="1:5" x14ac:dyDescent="0.3">
      <c r="A28" s="27" t="s">
        <v>59</v>
      </c>
      <c r="B28" s="28" t="s">
        <v>60</v>
      </c>
      <c r="C28" s="24"/>
      <c r="D28" s="24"/>
      <c r="E28" s="48"/>
    </row>
    <row r="29" spans="1:5" x14ac:dyDescent="0.3">
      <c r="A29" s="27" t="s">
        <v>61</v>
      </c>
      <c r="B29" s="28" t="s">
        <v>62</v>
      </c>
      <c r="C29" s="24"/>
      <c r="D29" s="24"/>
      <c r="E29" s="48"/>
    </row>
    <row r="30" spans="1:5" x14ac:dyDescent="0.3">
      <c r="A30" s="27" t="s">
        <v>63</v>
      </c>
      <c r="B30" s="28" t="s">
        <v>64</v>
      </c>
      <c r="C30" s="24"/>
      <c r="D30" s="24"/>
      <c r="E30" s="48"/>
    </row>
    <row r="31" spans="1:5" x14ac:dyDescent="0.3">
      <c r="A31" s="27" t="s">
        <v>65</v>
      </c>
      <c r="B31" s="28" t="s">
        <v>66</v>
      </c>
      <c r="C31" s="24"/>
      <c r="D31" s="24"/>
      <c r="E31" s="48"/>
    </row>
    <row r="32" spans="1:5" x14ac:dyDescent="0.3">
      <c r="A32" s="27" t="s">
        <v>67</v>
      </c>
      <c r="B32" s="28" t="s">
        <v>68</v>
      </c>
      <c r="C32" s="24"/>
      <c r="D32" s="24"/>
      <c r="E32" s="48"/>
    </row>
    <row r="33" spans="1:5" x14ac:dyDescent="0.3">
      <c r="A33" s="27" t="s">
        <v>69</v>
      </c>
      <c r="B33" s="28" t="s">
        <v>70</v>
      </c>
      <c r="C33" s="24"/>
      <c r="D33" s="24"/>
      <c r="E33" s="48"/>
    </row>
    <row r="34" spans="1:5" x14ac:dyDescent="0.3">
      <c r="A34" s="27" t="s">
        <v>71</v>
      </c>
      <c r="B34" s="28" t="s">
        <v>72</v>
      </c>
      <c r="C34" s="24"/>
      <c r="D34" s="24"/>
      <c r="E34" s="48"/>
    </row>
    <row r="35" spans="1:5" x14ac:dyDescent="0.3">
      <c r="A35" s="27" t="s">
        <v>73</v>
      </c>
      <c r="B35" s="28" t="s">
        <v>74</v>
      </c>
      <c r="C35" s="24"/>
      <c r="D35" s="24"/>
      <c r="E35" s="48"/>
    </row>
    <row r="36" spans="1:5" x14ac:dyDescent="0.3">
      <c r="A36" s="27" t="s">
        <v>75</v>
      </c>
      <c r="B36" s="28" t="s">
        <v>76</v>
      </c>
      <c r="C36" s="24"/>
      <c r="D36" s="24"/>
      <c r="E36" s="48"/>
    </row>
    <row r="37" spans="1:5" x14ac:dyDescent="0.3">
      <c r="A37" s="27" t="s">
        <v>77</v>
      </c>
      <c r="B37" s="28" t="s">
        <v>78</v>
      </c>
      <c r="C37" s="24"/>
      <c r="D37" s="24"/>
      <c r="E37" s="48"/>
    </row>
    <row r="38" spans="1:5" x14ac:dyDescent="0.3">
      <c r="A38" s="27" t="s">
        <v>79</v>
      </c>
      <c r="B38" s="28" t="s">
        <v>80</v>
      </c>
      <c r="C38" s="24"/>
      <c r="D38" s="24"/>
      <c r="E38" s="48"/>
    </row>
    <row r="39" spans="1:5" x14ac:dyDescent="0.3">
      <c r="A39" s="27" t="s">
        <v>81</v>
      </c>
      <c r="B39" s="28" t="s">
        <v>82</v>
      </c>
      <c r="C39" s="24"/>
      <c r="D39" s="24"/>
      <c r="E39" s="48"/>
    </row>
    <row r="40" spans="1:5" x14ac:dyDescent="0.3">
      <c r="A40" s="27" t="s">
        <v>83</v>
      </c>
      <c r="B40" s="28" t="s">
        <v>84</v>
      </c>
      <c r="C40" s="24"/>
      <c r="D40" s="24"/>
      <c r="E40" s="48"/>
    </row>
    <row r="41" spans="1:5" x14ac:dyDescent="0.3">
      <c r="A41" s="27" t="s">
        <v>85</v>
      </c>
      <c r="B41" s="28" t="s">
        <v>369</v>
      </c>
      <c r="C41" s="24"/>
      <c r="D41" s="24"/>
      <c r="E41" s="48"/>
    </row>
    <row r="42" spans="1:5" x14ac:dyDescent="0.3">
      <c r="A42" s="27" t="s">
        <v>87</v>
      </c>
      <c r="B42" s="28" t="s">
        <v>86</v>
      </c>
      <c r="C42" s="24"/>
      <c r="D42" s="24"/>
      <c r="E42" s="48"/>
    </row>
    <row r="43" spans="1:5" x14ac:dyDescent="0.3">
      <c r="A43" s="27" t="s">
        <v>259</v>
      </c>
      <c r="B43" s="28" t="s">
        <v>260</v>
      </c>
      <c r="C43" s="24"/>
      <c r="D43" s="24"/>
      <c r="E43" s="48"/>
    </row>
    <row r="44" spans="1:5" x14ac:dyDescent="0.3">
      <c r="A44" s="27" t="s">
        <v>368</v>
      </c>
      <c r="B44" s="28" t="s">
        <v>88</v>
      </c>
      <c r="C44" s="24"/>
      <c r="D44" s="24"/>
      <c r="E44" s="48"/>
    </row>
    <row r="45" spans="1:5" x14ac:dyDescent="0.3">
      <c r="A45" s="27" t="s">
        <v>89</v>
      </c>
      <c r="B45" s="28" t="s">
        <v>90</v>
      </c>
      <c r="C45" s="24"/>
      <c r="D45" s="24"/>
      <c r="E45" s="48"/>
    </row>
    <row r="46" spans="1:5" x14ac:dyDescent="0.3">
      <c r="A46" s="27" t="s">
        <v>91</v>
      </c>
      <c r="B46" s="28" t="s">
        <v>92</v>
      </c>
      <c r="C46" s="24"/>
      <c r="D46" s="24"/>
      <c r="E46" s="48"/>
    </row>
    <row r="47" spans="1:5" x14ac:dyDescent="0.3">
      <c r="A47" s="27" t="s">
        <v>93</v>
      </c>
      <c r="B47" s="28" t="s">
        <v>94</v>
      </c>
      <c r="C47" s="24"/>
      <c r="D47" s="24"/>
      <c r="E47" s="48"/>
    </row>
    <row r="48" spans="1:5" x14ac:dyDescent="0.3">
      <c r="A48" s="27" t="s">
        <v>299</v>
      </c>
      <c r="B48" s="28" t="s">
        <v>301</v>
      </c>
      <c r="C48" s="24"/>
      <c r="D48" s="24"/>
      <c r="E48" s="48"/>
    </row>
    <row r="49" spans="1:5" x14ac:dyDescent="0.3">
      <c r="A49" s="27" t="s">
        <v>95</v>
      </c>
      <c r="B49" s="28" t="s">
        <v>96</v>
      </c>
      <c r="C49" s="24"/>
      <c r="D49" s="24"/>
      <c r="E49" s="48"/>
    </row>
    <row r="50" spans="1:5" x14ac:dyDescent="0.3">
      <c r="A50" s="27" t="s">
        <v>300</v>
      </c>
      <c r="B50" s="28" t="s">
        <v>302</v>
      </c>
      <c r="C50" s="24"/>
      <c r="D50" s="24"/>
      <c r="E50" s="48"/>
    </row>
    <row r="51" spans="1:5" x14ac:dyDescent="0.3">
      <c r="A51" s="27" t="s">
        <v>97</v>
      </c>
      <c r="B51" s="28" t="s">
        <v>98</v>
      </c>
      <c r="C51" s="24"/>
      <c r="D51" s="24"/>
      <c r="E51" s="49"/>
    </row>
    <row r="52" spans="1:5" x14ac:dyDescent="0.3">
      <c r="A52" s="22" t="s">
        <v>99</v>
      </c>
      <c r="B52" s="23" t="s">
        <v>45</v>
      </c>
      <c r="C52" s="24">
        <f>C27+D27</f>
        <v>131</v>
      </c>
      <c r="D52" s="24">
        <v>7</v>
      </c>
      <c r="E52" s="34" t="s">
        <v>46</v>
      </c>
    </row>
    <row r="53" spans="1:5" x14ac:dyDescent="0.3">
      <c r="A53" s="22" t="s">
        <v>100</v>
      </c>
      <c r="B53" s="23" t="s">
        <v>101</v>
      </c>
      <c r="C53" s="24">
        <f>C52+D52</f>
        <v>138</v>
      </c>
      <c r="D53" s="24">
        <v>3</v>
      </c>
      <c r="E53" s="47" t="s">
        <v>8</v>
      </c>
    </row>
    <row r="54" spans="1:5" x14ac:dyDescent="0.3">
      <c r="A54" s="27" t="s">
        <v>102</v>
      </c>
      <c r="B54" s="28" t="s">
        <v>103</v>
      </c>
      <c r="C54" s="24"/>
      <c r="D54" s="24"/>
      <c r="E54" s="49"/>
    </row>
    <row r="55" spans="1:5" x14ac:dyDescent="0.3">
      <c r="A55" s="22" t="s">
        <v>104</v>
      </c>
      <c r="B55" s="23" t="s">
        <v>105</v>
      </c>
      <c r="C55" s="24">
        <f>C53+D53</f>
        <v>141</v>
      </c>
      <c r="D55" s="24">
        <v>8</v>
      </c>
      <c r="E55" s="32" t="s">
        <v>31</v>
      </c>
    </row>
    <row r="56" spans="1:5" x14ac:dyDescent="0.3">
      <c r="A56" s="22" t="s">
        <v>106</v>
      </c>
      <c r="B56" s="23" t="s">
        <v>107</v>
      </c>
      <c r="C56" s="24">
        <f>C55+D55</f>
        <v>149</v>
      </c>
      <c r="D56" s="24">
        <v>8</v>
      </c>
      <c r="E56" s="32" t="s">
        <v>31</v>
      </c>
    </row>
    <row r="57" spans="1:5" x14ac:dyDescent="0.3">
      <c r="A57" s="22" t="s">
        <v>108</v>
      </c>
      <c r="B57" s="23" t="s">
        <v>45</v>
      </c>
      <c r="C57" s="24">
        <f>C56+D56</f>
        <v>157</v>
      </c>
      <c r="D57" s="24">
        <v>142</v>
      </c>
      <c r="E57" s="34" t="s">
        <v>46</v>
      </c>
    </row>
    <row r="58" spans="1:5" x14ac:dyDescent="0.3">
      <c r="A58" s="5" t="s">
        <v>109</v>
      </c>
      <c r="B58" s="18"/>
      <c r="C58" s="6">
        <f>C57+D57</f>
        <v>299</v>
      </c>
      <c r="D58" s="6">
        <f>4096-C58</f>
        <v>3797</v>
      </c>
      <c r="E58" s="33"/>
    </row>
    <row r="59" spans="1:5" x14ac:dyDescent="0.3">
      <c r="A59" s="17"/>
      <c r="B59" s="10"/>
      <c r="C59" s="2"/>
      <c r="D59" s="2"/>
      <c r="E59" s="16"/>
    </row>
    <row r="60" spans="1:5" x14ac:dyDescent="0.3">
      <c r="A60" s="5" t="s">
        <v>110</v>
      </c>
      <c r="B60" s="18" t="s">
        <v>111</v>
      </c>
      <c r="C60" s="6">
        <f>C58</f>
        <v>299</v>
      </c>
      <c r="D60" s="6">
        <v>0</v>
      </c>
      <c r="E60" s="33"/>
    </row>
    <row r="61" spans="1:5" x14ac:dyDescent="0.3">
      <c r="A61" s="7" t="s">
        <v>112</v>
      </c>
      <c r="B61" s="8"/>
      <c r="C61" s="14">
        <f>C60+D60</f>
        <v>299</v>
      </c>
      <c r="D61" s="8">
        <v>0</v>
      </c>
      <c r="E61" s="35"/>
    </row>
    <row r="62" spans="1:5" x14ac:dyDescent="0.3">
      <c r="A62" s="4" t="s">
        <v>113</v>
      </c>
      <c r="B62" s="3" t="s">
        <v>114</v>
      </c>
      <c r="C62" s="12">
        <f>C61+D61</f>
        <v>299</v>
      </c>
      <c r="D62" s="3">
        <v>40</v>
      </c>
      <c r="E62" s="31" t="s">
        <v>8</v>
      </c>
    </row>
    <row r="63" spans="1:5" x14ac:dyDescent="0.3">
      <c r="A63" s="4" t="s">
        <v>115</v>
      </c>
      <c r="B63" s="3" t="s">
        <v>116</v>
      </c>
      <c r="C63" s="12">
        <f t="shared" ref="C63:C80" si="1">C62+D62</f>
        <v>339</v>
      </c>
      <c r="D63" s="3">
        <v>4</v>
      </c>
      <c r="E63" s="31" t="s">
        <v>8</v>
      </c>
    </row>
    <row r="64" spans="1:5" x14ac:dyDescent="0.3">
      <c r="A64" s="4" t="s">
        <v>117</v>
      </c>
      <c r="B64" s="3" t="s">
        <v>118</v>
      </c>
      <c r="C64" s="12">
        <f t="shared" si="1"/>
        <v>343</v>
      </c>
      <c r="D64" s="3">
        <v>40</v>
      </c>
      <c r="E64" s="31" t="s">
        <v>8</v>
      </c>
    </row>
    <row r="65" spans="1:5" x14ac:dyDescent="0.3">
      <c r="A65" s="4" t="s">
        <v>119</v>
      </c>
      <c r="B65" s="3" t="s">
        <v>120</v>
      </c>
      <c r="C65" s="12">
        <f t="shared" si="1"/>
        <v>383</v>
      </c>
      <c r="D65" s="3">
        <v>40</v>
      </c>
      <c r="E65" s="32" t="s">
        <v>31</v>
      </c>
    </row>
    <row r="66" spans="1:5" x14ac:dyDescent="0.3">
      <c r="A66" s="4" t="s">
        <v>121</v>
      </c>
      <c r="B66" s="3" t="s">
        <v>122</v>
      </c>
      <c r="C66" s="12">
        <f t="shared" si="1"/>
        <v>423</v>
      </c>
      <c r="D66" s="3">
        <v>40</v>
      </c>
      <c r="E66" s="32" t="s">
        <v>31</v>
      </c>
    </row>
    <row r="67" spans="1:5" x14ac:dyDescent="0.3">
      <c r="A67" s="4" t="s">
        <v>123</v>
      </c>
      <c r="B67" s="3" t="s">
        <v>124</v>
      </c>
      <c r="C67" s="12">
        <f t="shared" si="1"/>
        <v>463</v>
      </c>
      <c r="D67" s="3">
        <v>9</v>
      </c>
      <c r="E67" s="31" t="s">
        <v>8</v>
      </c>
    </row>
    <row r="68" spans="1:5" x14ac:dyDescent="0.3">
      <c r="A68" s="4" t="s">
        <v>125</v>
      </c>
      <c r="B68" s="3" t="s">
        <v>126</v>
      </c>
      <c r="C68" s="12">
        <f t="shared" si="1"/>
        <v>472</v>
      </c>
      <c r="D68" s="3">
        <v>40</v>
      </c>
      <c r="E68" s="31" t="s">
        <v>8</v>
      </c>
    </row>
    <row r="69" spans="1:5" x14ac:dyDescent="0.3">
      <c r="A69" s="4" t="s">
        <v>127</v>
      </c>
      <c r="B69" s="3" t="s">
        <v>128</v>
      </c>
      <c r="C69" s="12">
        <f t="shared" si="1"/>
        <v>512</v>
      </c>
      <c r="D69" s="3">
        <v>3</v>
      </c>
      <c r="E69" s="31" t="s">
        <v>8</v>
      </c>
    </row>
    <row r="70" spans="1:5" x14ac:dyDescent="0.3">
      <c r="A70" s="4" t="s">
        <v>129</v>
      </c>
      <c r="B70" s="3" t="s">
        <v>130</v>
      </c>
      <c r="C70" s="12">
        <f t="shared" si="1"/>
        <v>515</v>
      </c>
      <c r="D70" s="3">
        <v>40</v>
      </c>
      <c r="E70" s="31" t="s">
        <v>8</v>
      </c>
    </row>
    <row r="71" spans="1:5" x14ac:dyDescent="0.3">
      <c r="A71" s="13" t="s">
        <v>131</v>
      </c>
      <c r="B71" s="11" t="s">
        <v>132</v>
      </c>
      <c r="C71" s="12">
        <f t="shared" si="1"/>
        <v>555</v>
      </c>
      <c r="D71" s="12">
        <v>4</v>
      </c>
      <c r="E71" s="31" t="s">
        <v>8</v>
      </c>
    </row>
    <row r="72" spans="1:5" x14ac:dyDescent="0.3">
      <c r="A72" s="13" t="s">
        <v>133</v>
      </c>
      <c r="B72" s="3" t="s">
        <v>134</v>
      </c>
      <c r="C72" s="12">
        <f>C71+D71</f>
        <v>559</v>
      </c>
      <c r="D72" s="12">
        <v>22</v>
      </c>
      <c r="E72" s="31" t="s">
        <v>8</v>
      </c>
    </row>
    <row r="73" spans="1:5" x14ac:dyDescent="0.3">
      <c r="A73" s="13" t="s">
        <v>135</v>
      </c>
      <c r="B73" s="3" t="s">
        <v>136</v>
      </c>
      <c r="C73" s="12">
        <f t="shared" si="1"/>
        <v>581</v>
      </c>
      <c r="D73" s="12">
        <v>1</v>
      </c>
      <c r="E73" s="51" t="s">
        <v>31</v>
      </c>
    </row>
    <row r="74" spans="1:5" x14ac:dyDescent="0.3">
      <c r="A74" s="13" t="s">
        <v>137</v>
      </c>
      <c r="B74" s="3" t="s">
        <v>138</v>
      </c>
      <c r="C74" s="12"/>
      <c r="D74" s="12"/>
      <c r="E74" s="52"/>
    </row>
    <row r="75" spans="1:5" x14ac:dyDescent="0.3">
      <c r="A75" s="13" t="s">
        <v>139</v>
      </c>
      <c r="B75" s="3" t="s">
        <v>140</v>
      </c>
      <c r="C75" s="12"/>
      <c r="D75" s="12"/>
      <c r="E75" s="53"/>
    </row>
    <row r="76" spans="1:5" x14ac:dyDescent="0.3">
      <c r="A76" s="7" t="s">
        <v>141</v>
      </c>
      <c r="B76" s="14"/>
      <c r="C76" s="14">
        <f>C73+D73</f>
        <v>582</v>
      </c>
      <c r="D76" s="14">
        <v>0</v>
      </c>
      <c r="E76" s="36"/>
    </row>
    <row r="77" spans="1:5" x14ac:dyDescent="0.3">
      <c r="A77" s="4" t="s">
        <v>303</v>
      </c>
      <c r="B77" s="3" t="s">
        <v>304</v>
      </c>
      <c r="C77" s="12">
        <f t="shared" si="1"/>
        <v>582</v>
      </c>
      <c r="D77" s="12">
        <v>8</v>
      </c>
      <c r="E77" s="31" t="s">
        <v>8</v>
      </c>
    </row>
    <row r="78" spans="1:5" x14ac:dyDescent="0.3">
      <c r="A78" s="45" t="s">
        <v>326</v>
      </c>
      <c r="B78" s="3" t="s">
        <v>45</v>
      </c>
      <c r="C78" s="12">
        <f t="shared" si="1"/>
        <v>590</v>
      </c>
      <c r="D78" s="46">
        <v>2</v>
      </c>
      <c r="E78" s="34" t="s">
        <v>46</v>
      </c>
    </row>
    <row r="79" spans="1:5" x14ac:dyDescent="0.3">
      <c r="A79" s="45" t="s">
        <v>142</v>
      </c>
      <c r="B79" s="3" t="s">
        <v>143</v>
      </c>
      <c r="C79" s="12">
        <f t="shared" si="1"/>
        <v>592</v>
      </c>
      <c r="D79" s="11">
        <v>40</v>
      </c>
      <c r="E79" s="31" t="s">
        <v>8</v>
      </c>
    </row>
    <row r="80" spans="1:5" x14ac:dyDescent="0.3">
      <c r="A80" s="4" t="s">
        <v>144</v>
      </c>
      <c r="B80" s="10" t="s">
        <v>145</v>
      </c>
      <c r="C80" s="12">
        <f t="shared" si="1"/>
        <v>632</v>
      </c>
      <c r="D80" s="2">
        <v>10</v>
      </c>
      <c r="E80" s="31" t="s">
        <v>8</v>
      </c>
    </row>
    <row r="81" spans="1:5" x14ac:dyDescent="0.3">
      <c r="A81" s="4" t="s">
        <v>305</v>
      </c>
      <c r="B81" s="10" t="s">
        <v>306</v>
      </c>
      <c r="C81" s="12">
        <f t="shared" ref="C81:C82" si="2">C80+D80</f>
        <v>642</v>
      </c>
      <c r="D81" s="2">
        <v>8</v>
      </c>
      <c r="E81" s="31" t="s">
        <v>8</v>
      </c>
    </row>
    <row r="82" spans="1:5" x14ac:dyDescent="0.3">
      <c r="A82" s="45" t="s">
        <v>326</v>
      </c>
      <c r="B82" s="3" t="s">
        <v>45</v>
      </c>
      <c r="C82" s="12">
        <f t="shared" si="2"/>
        <v>650</v>
      </c>
      <c r="D82" s="2">
        <v>2</v>
      </c>
      <c r="E82" s="34" t="s">
        <v>46</v>
      </c>
    </row>
    <row r="83" spans="1:5" x14ac:dyDescent="0.3">
      <c r="A83" s="7" t="s">
        <v>327</v>
      </c>
      <c r="B83" s="8" t="s">
        <v>46</v>
      </c>
      <c r="C83" s="14">
        <f>C82+D82</f>
        <v>652</v>
      </c>
      <c r="D83" s="8">
        <f>4096-C83</f>
        <v>3444</v>
      </c>
      <c r="E83" s="35"/>
    </row>
    <row r="84" spans="1:5" x14ac:dyDescent="0.3">
      <c r="A84" s="4"/>
      <c r="B84" s="3"/>
      <c r="C84" s="2"/>
      <c r="D84" s="3"/>
      <c r="E84" s="37"/>
    </row>
    <row r="85" spans="1:5" x14ac:dyDescent="0.3">
      <c r="A85" s="5" t="s">
        <v>110</v>
      </c>
      <c r="B85" s="29" t="s">
        <v>146</v>
      </c>
      <c r="C85" s="6">
        <f>C58</f>
        <v>299</v>
      </c>
      <c r="D85" s="6">
        <v>0</v>
      </c>
      <c r="E85" s="33"/>
    </row>
    <row r="86" spans="1:5" x14ac:dyDescent="0.3">
      <c r="A86" s="7" t="s">
        <v>147</v>
      </c>
      <c r="B86" s="8"/>
      <c r="C86" s="9">
        <f>C85+D85</f>
        <v>299</v>
      </c>
      <c r="D86" s="8">
        <v>0</v>
      </c>
      <c r="E86" s="35"/>
    </row>
    <row r="87" spans="1:5" x14ac:dyDescent="0.3">
      <c r="A87" s="38" t="s">
        <v>309</v>
      </c>
      <c r="B87" s="3" t="s">
        <v>307</v>
      </c>
      <c r="C87" s="2">
        <f>C86+D86</f>
        <v>299</v>
      </c>
      <c r="D87" s="12">
        <v>8</v>
      </c>
      <c r="E87" s="31" t="s">
        <v>8</v>
      </c>
    </row>
    <row r="88" spans="1:5" x14ac:dyDescent="0.3">
      <c r="A88" s="45" t="s">
        <v>326</v>
      </c>
      <c r="B88" s="3" t="s">
        <v>45</v>
      </c>
      <c r="C88" s="2">
        <f t="shared" ref="C88:C90" si="3">C87+D87</f>
        <v>307</v>
      </c>
      <c r="D88" s="12">
        <v>2</v>
      </c>
      <c r="E88" s="34" t="s">
        <v>46</v>
      </c>
    </row>
    <row r="89" spans="1:5" x14ac:dyDescent="0.3">
      <c r="A89" s="38" t="s">
        <v>310</v>
      </c>
      <c r="B89" s="3" t="s">
        <v>308</v>
      </c>
      <c r="C89" s="2">
        <f t="shared" si="3"/>
        <v>309</v>
      </c>
      <c r="D89" s="12">
        <v>8</v>
      </c>
      <c r="E89" s="31" t="s">
        <v>8</v>
      </c>
    </row>
    <row r="90" spans="1:5" x14ac:dyDescent="0.3">
      <c r="A90" s="45" t="s">
        <v>326</v>
      </c>
      <c r="B90" s="3" t="s">
        <v>45</v>
      </c>
      <c r="C90" s="2">
        <f t="shared" si="3"/>
        <v>317</v>
      </c>
      <c r="D90" s="12">
        <v>2</v>
      </c>
      <c r="E90" s="34" t="s">
        <v>46</v>
      </c>
    </row>
    <row r="91" spans="1:5" x14ac:dyDescent="0.3">
      <c r="A91" s="7" t="s">
        <v>148</v>
      </c>
      <c r="B91" s="8"/>
      <c r="C91" s="9">
        <f>C90+D90</f>
        <v>319</v>
      </c>
      <c r="D91" s="8">
        <v>0</v>
      </c>
      <c r="E91" s="35"/>
    </row>
    <row r="92" spans="1:5" x14ac:dyDescent="0.3">
      <c r="A92" s="38" t="s">
        <v>149</v>
      </c>
      <c r="B92" s="3" t="s">
        <v>150</v>
      </c>
      <c r="C92" s="2">
        <f>C91+D91</f>
        <v>319</v>
      </c>
      <c r="D92" s="12">
        <v>30</v>
      </c>
      <c r="E92" s="32" t="s">
        <v>31</v>
      </c>
    </row>
    <row r="93" spans="1:5" x14ac:dyDescent="0.3">
      <c r="A93" s="38" t="s">
        <v>151</v>
      </c>
      <c r="B93" s="3" t="s">
        <v>152</v>
      </c>
      <c r="C93" s="2">
        <f t="shared" ref="C93" si="4">C92+D92</f>
        <v>349</v>
      </c>
      <c r="D93" s="12">
        <v>15</v>
      </c>
      <c r="E93" s="32" t="s">
        <v>31</v>
      </c>
    </row>
    <row r="94" spans="1:5" x14ac:dyDescent="0.3">
      <c r="A94" s="38" t="s">
        <v>153</v>
      </c>
      <c r="B94" s="3" t="s">
        <v>154</v>
      </c>
      <c r="C94" s="2">
        <f>C93+D93</f>
        <v>364</v>
      </c>
      <c r="D94" s="12">
        <v>15</v>
      </c>
      <c r="E94" s="32" t="s">
        <v>31</v>
      </c>
    </row>
    <row r="95" spans="1:5" x14ac:dyDescent="0.3">
      <c r="A95" s="7" t="s">
        <v>155</v>
      </c>
      <c r="B95" s="8"/>
      <c r="C95" s="9">
        <f>C94+D94</f>
        <v>379</v>
      </c>
      <c r="D95" s="8">
        <v>0</v>
      </c>
      <c r="E95" s="35"/>
    </row>
    <row r="96" spans="1:5" x14ac:dyDescent="0.3">
      <c r="A96" s="38" t="s">
        <v>156</v>
      </c>
      <c r="B96" s="3" t="s">
        <v>157</v>
      </c>
      <c r="C96" s="2">
        <f>C95+D95</f>
        <v>379</v>
      </c>
      <c r="D96" s="12">
        <v>30</v>
      </c>
      <c r="E96" s="32" t="s">
        <v>31</v>
      </c>
    </row>
    <row r="97" spans="1:5" x14ac:dyDescent="0.3">
      <c r="A97" s="38" t="s">
        <v>158</v>
      </c>
      <c r="B97" s="3" t="s">
        <v>159</v>
      </c>
      <c r="C97" s="2">
        <f t="shared" ref="C97" si="5">C96+D96</f>
        <v>409</v>
      </c>
      <c r="D97" s="12">
        <v>15</v>
      </c>
      <c r="E97" s="32" t="s">
        <v>31</v>
      </c>
    </row>
    <row r="98" spans="1:5" x14ac:dyDescent="0.3">
      <c r="A98" s="38" t="s">
        <v>160</v>
      </c>
      <c r="B98" s="3" t="s">
        <v>161</v>
      </c>
      <c r="C98" s="2">
        <f>C97+D97</f>
        <v>424</v>
      </c>
      <c r="D98" s="12">
        <v>15</v>
      </c>
      <c r="E98" s="32" t="s">
        <v>31</v>
      </c>
    </row>
    <row r="99" spans="1:5" x14ac:dyDescent="0.3">
      <c r="A99" s="7" t="s">
        <v>162</v>
      </c>
      <c r="B99" s="8"/>
      <c r="C99" s="9">
        <f>C98+D98</f>
        <v>439</v>
      </c>
      <c r="D99" s="8">
        <v>0</v>
      </c>
      <c r="E99" s="35"/>
    </row>
    <row r="100" spans="1:5" x14ac:dyDescent="0.3">
      <c r="A100" s="38" t="s">
        <v>163</v>
      </c>
      <c r="B100" s="3" t="s">
        <v>164</v>
      </c>
      <c r="C100" s="2">
        <f>C99+D99</f>
        <v>439</v>
      </c>
      <c r="D100" s="12">
        <v>15</v>
      </c>
      <c r="E100" s="31" t="s">
        <v>8</v>
      </c>
    </row>
    <row r="101" spans="1:5" x14ac:dyDescent="0.3">
      <c r="A101" s="38" t="s">
        <v>165</v>
      </c>
      <c r="B101" s="3" t="s">
        <v>166</v>
      </c>
      <c r="C101" s="2">
        <f>C100+D100</f>
        <v>454</v>
      </c>
      <c r="D101" s="12">
        <v>15</v>
      </c>
      <c r="E101" s="31" t="s">
        <v>8</v>
      </c>
    </row>
    <row r="102" spans="1:5" x14ac:dyDescent="0.3">
      <c r="A102" s="7" t="s">
        <v>328</v>
      </c>
      <c r="B102" s="8" t="s">
        <v>46</v>
      </c>
      <c r="C102" s="9">
        <f>C101+D101</f>
        <v>469</v>
      </c>
      <c r="D102" s="8">
        <f>4096-C102</f>
        <v>3627</v>
      </c>
      <c r="E102" s="35"/>
    </row>
    <row r="103" spans="1:5" x14ac:dyDescent="0.3">
      <c r="A103" s="4"/>
      <c r="B103" s="3"/>
      <c r="C103" s="12"/>
      <c r="D103" s="3"/>
      <c r="E103" s="37"/>
    </row>
    <row r="104" spans="1:5" x14ac:dyDescent="0.3">
      <c r="A104" s="5" t="s">
        <v>110</v>
      </c>
      <c r="B104" s="29" t="s">
        <v>367</v>
      </c>
      <c r="C104" s="6">
        <f>C58</f>
        <v>299</v>
      </c>
      <c r="D104" s="6">
        <v>0</v>
      </c>
      <c r="E104" s="33"/>
    </row>
    <row r="105" spans="1:5" x14ac:dyDescent="0.3">
      <c r="A105" s="7" t="s">
        <v>167</v>
      </c>
      <c r="B105" s="8"/>
      <c r="C105" s="9">
        <f>C104+D104</f>
        <v>299</v>
      </c>
      <c r="D105" s="8">
        <v>0</v>
      </c>
      <c r="E105" s="35"/>
    </row>
    <row r="106" spans="1:5" x14ac:dyDescent="0.3">
      <c r="A106" s="38" t="s">
        <v>168</v>
      </c>
      <c r="B106" s="3" t="s">
        <v>169</v>
      </c>
      <c r="C106" s="2">
        <f>C105+D105</f>
        <v>299</v>
      </c>
      <c r="D106" s="12">
        <v>3</v>
      </c>
      <c r="E106" s="31" t="s">
        <v>8</v>
      </c>
    </row>
    <row r="107" spans="1:5" x14ac:dyDescent="0.3">
      <c r="A107" s="38" t="s">
        <v>170</v>
      </c>
      <c r="B107" s="3" t="s">
        <v>171</v>
      </c>
      <c r="C107" s="2">
        <f t="shared" ref="C107:C110" si="6">C106+D106</f>
        <v>302</v>
      </c>
      <c r="D107" s="12">
        <v>16</v>
      </c>
      <c r="E107" s="32" t="s">
        <v>31</v>
      </c>
    </row>
    <row r="108" spans="1:5" x14ac:dyDescent="0.3">
      <c r="A108" s="38" t="s">
        <v>312</v>
      </c>
      <c r="B108" s="3" t="s">
        <v>311</v>
      </c>
      <c r="C108" s="2">
        <f t="shared" si="6"/>
        <v>318</v>
      </c>
      <c r="D108" s="12">
        <v>8</v>
      </c>
      <c r="E108" s="32" t="s">
        <v>31</v>
      </c>
    </row>
    <row r="109" spans="1:5" x14ac:dyDescent="0.3">
      <c r="A109" s="45" t="s">
        <v>326</v>
      </c>
      <c r="B109" s="3" t="s">
        <v>45</v>
      </c>
      <c r="C109" s="2">
        <f t="shared" si="6"/>
        <v>326</v>
      </c>
      <c r="D109" s="12">
        <v>2</v>
      </c>
      <c r="E109" s="34" t="s">
        <v>46</v>
      </c>
    </row>
    <row r="110" spans="1:5" x14ac:dyDescent="0.3">
      <c r="A110" s="38" t="s">
        <v>172</v>
      </c>
      <c r="B110" s="3" t="s">
        <v>173</v>
      </c>
      <c r="C110" s="2">
        <f t="shared" si="6"/>
        <v>328</v>
      </c>
      <c r="D110" s="12">
        <v>15</v>
      </c>
      <c r="E110" s="32" t="s">
        <v>31</v>
      </c>
    </row>
    <row r="111" spans="1:5" x14ac:dyDescent="0.3">
      <c r="A111" s="7" t="s">
        <v>329</v>
      </c>
      <c r="B111" s="8" t="s">
        <v>46</v>
      </c>
      <c r="C111" s="9">
        <f>C110+D110</f>
        <v>343</v>
      </c>
      <c r="D111" s="8">
        <f>4096-C111</f>
        <v>3753</v>
      </c>
      <c r="E111" s="35"/>
    </row>
    <row r="112" spans="1:5" x14ac:dyDescent="0.3">
      <c r="A112" s="4"/>
      <c r="B112" s="3"/>
      <c r="C112" s="2"/>
      <c r="D112" s="3"/>
      <c r="E112" s="37"/>
    </row>
    <row r="113" spans="1:5" x14ac:dyDescent="0.3">
      <c r="A113" s="5" t="s">
        <v>110</v>
      </c>
      <c r="B113" s="30" t="s">
        <v>174</v>
      </c>
      <c r="C113" s="6">
        <f>C58</f>
        <v>299</v>
      </c>
      <c r="D113" s="6">
        <v>0</v>
      </c>
      <c r="E113" s="33"/>
    </row>
    <row r="114" spans="1:5" x14ac:dyDescent="0.3">
      <c r="A114" s="7" t="s">
        <v>175</v>
      </c>
      <c r="B114" s="8"/>
      <c r="C114" s="9">
        <f>C113+D113</f>
        <v>299</v>
      </c>
      <c r="D114" s="8">
        <v>0</v>
      </c>
      <c r="E114" s="35"/>
    </row>
    <row r="115" spans="1:5" x14ac:dyDescent="0.3">
      <c r="A115" s="38" t="s">
        <v>314</v>
      </c>
      <c r="B115" s="3" t="s">
        <v>307</v>
      </c>
      <c r="C115" s="2">
        <f t="shared" ref="C115:C118" si="7">C114+D114</f>
        <v>299</v>
      </c>
      <c r="D115" s="12">
        <v>8</v>
      </c>
      <c r="E115" s="31" t="s">
        <v>8</v>
      </c>
    </row>
    <row r="116" spans="1:5" x14ac:dyDescent="0.3">
      <c r="A116" s="45" t="s">
        <v>326</v>
      </c>
      <c r="B116" s="3" t="s">
        <v>45</v>
      </c>
      <c r="C116" s="2">
        <f t="shared" si="7"/>
        <v>307</v>
      </c>
      <c r="D116" s="12">
        <v>2</v>
      </c>
      <c r="E116" s="34" t="s">
        <v>46</v>
      </c>
    </row>
    <row r="117" spans="1:5" x14ac:dyDescent="0.3">
      <c r="A117" s="38" t="s">
        <v>315</v>
      </c>
      <c r="B117" s="3" t="s">
        <v>313</v>
      </c>
      <c r="C117" s="2">
        <f t="shared" si="7"/>
        <v>309</v>
      </c>
      <c r="D117" s="12">
        <v>8</v>
      </c>
      <c r="E117" s="31" t="s">
        <v>8</v>
      </c>
    </row>
    <row r="118" spans="1:5" x14ac:dyDescent="0.3">
      <c r="A118" s="45" t="s">
        <v>326</v>
      </c>
      <c r="B118" s="3" t="s">
        <v>45</v>
      </c>
      <c r="C118" s="2">
        <f t="shared" si="7"/>
        <v>317</v>
      </c>
      <c r="D118" s="12">
        <v>2</v>
      </c>
      <c r="E118" s="34" t="s">
        <v>46</v>
      </c>
    </row>
    <row r="119" spans="1:5" x14ac:dyDescent="0.3">
      <c r="A119" s="7" t="s">
        <v>330</v>
      </c>
      <c r="B119" s="8" t="s">
        <v>46</v>
      </c>
      <c r="C119" s="9">
        <f>C118+D118</f>
        <v>319</v>
      </c>
      <c r="D119" s="8">
        <f>4096-C119</f>
        <v>3777</v>
      </c>
      <c r="E119" s="35"/>
    </row>
    <row r="120" spans="1:5" x14ac:dyDescent="0.3">
      <c r="A120" s="4"/>
      <c r="B120" s="3"/>
      <c r="C120" s="2"/>
      <c r="D120" s="3"/>
      <c r="E120" s="37"/>
    </row>
    <row r="121" spans="1:5" x14ac:dyDescent="0.3">
      <c r="A121" s="5" t="s">
        <v>110</v>
      </c>
      <c r="B121" s="30" t="s">
        <v>176</v>
      </c>
      <c r="C121" s="6">
        <f>C58</f>
        <v>299</v>
      </c>
      <c r="D121" s="6">
        <v>0</v>
      </c>
      <c r="E121" s="33"/>
    </row>
    <row r="122" spans="1:5" x14ac:dyDescent="0.3">
      <c r="A122" s="7" t="s">
        <v>177</v>
      </c>
      <c r="B122" s="8"/>
      <c r="C122" s="9">
        <f>C121+D121</f>
        <v>299</v>
      </c>
      <c r="D122" s="8">
        <v>0</v>
      </c>
      <c r="E122" s="35"/>
    </row>
    <row r="123" spans="1:5" x14ac:dyDescent="0.3">
      <c r="A123" s="38" t="s">
        <v>178</v>
      </c>
      <c r="B123" s="3" t="s">
        <v>179</v>
      </c>
      <c r="C123" s="2">
        <f>C122+D122</f>
        <v>299</v>
      </c>
      <c r="D123" s="12">
        <v>30</v>
      </c>
      <c r="E123" s="31" t="s">
        <v>8</v>
      </c>
    </row>
    <row r="124" spans="1:5" x14ac:dyDescent="0.3">
      <c r="A124" s="38" t="s">
        <v>180</v>
      </c>
      <c r="B124" s="3" t="s">
        <v>171</v>
      </c>
      <c r="C124" s="2">
        <f t="shared" ref="C124" si="8">C123+D123</f>
        <v>329</v>
      </c>
      <c r="D124" s="12">
        <v>20</v>
      </c>
      <c r="E124" s="31" t="s">
        <v>8</v>
      </c>
    </row>
    <row r="125" spans="1:5" x14ac:dyDescent="0.3">
      <c r="A125" s="7" t="s">
        <v>181</v>
      </c>
      <c r="B125" s="8" t="s">
        <v>46</v>
      </c>
      <c r="C125" s="9">
        <f>C124+D124</f>
        <v>349</v>
      </c>
      <c r="D125" s="8">
        <f>4096-C125</f>
        <v>3747</v>
      </c>
      <c r="E125" s="35"/>
    </row>
    <row r="126" spans="1:5" x14ac:dyDescent="0.3">
      <c r="A126" s="4"/>
      <c r="B126" s="3"/>
      <c r="C126" s="2"/>
      <c r="D126" s="3"/>
      <c r="E126" s="37"/>
    </row>
    <row r="127" spans="1:5" x14ac:dyDescent="0.3">
      <c r="A127" s="5" t="s">
        <v>110</v>
      </c>
      <c r="B127" s="30" t="s">
        <v>182</v>
      </c>
      <c r="C127" s="6">
        <f>C58</f>
        <v>299</v>
      </c>
      <c r="D127" s="6">
        <v>0</v>
      </c>
      <c r="E127" s="33"/>
    </row>
    <row r="128" spans="1:5" x14ac:dyDescent="0.3">
      <c r="A128" s="7" t="s">
        <v>183</v>
      </c>
      <c r="B128" s="8"/>
      <c r="C128" s="9">
        <f>C127+D127</f>
        <v>299</v>
      </c>
      <c r="D128" s="8">
        <v>0</v>
      </c>
      <c r="E128" s="35"/>
    </row>
    <row r="129" spans="1:5" x14ac:dyDescent="0.3">
      <c r="A129" s="38" t="s">
        <v>184</v>
      </c>
      <c r="B129" s="3" t="s">
        <v>185</v>
      </c>
      <c r="C129" s="2">
        <f>C128+D128</f>
        <v>299</v>
      </c>
      <c r="D129" s="12">
        <v>1</v>
      </c>
      <c r="E129" s="47" t="s">
        <v>8</v>
      </c>
    </row>
    <row r="130" spans="1:5" x14ac:dyDescent="0.3">
      <c r="A130" s="13" t="s">
        <v>186</v>
      </c>
      <c r="B130" s="3" t="s">
        <v>187</v>
      </c>
      <c r="C130" s="2"/>
      <c r="D130" s="12"/>
      <c r="E130" s="48"/>
    </row>
    <row r="131" spans="1:5" x14ac:dyDescent="0.3">
      <c r="A131" s="13" t="s">
        <v>188</v>
      </c>
      <c r="B131" s="3" t="s">
        <v>189</v>
      </c>
      <c r="C131" s="2"/>
      <c r="D131" s="12"/>
      <c r="E131" s="48"/>
    </row>
    <row r="132" spans="1:5" x14ac:dyDescent="0.3">
      <c r="A132" s="13" t="s">
        <v>190</v>
      </c>
      <c r="B132" s="3" t="s">
        <v>191</v>
      </c>
      <c r="C132" s="2"/>
      <c r="D132" s="12"/>
      <c r="E132" s="49"/>
    </row>
    <row r="133" spans="1:5" x14ac:dyDescent="0.3">
      <c r="A133" s="38" t="s">
        <v>268</v>
      </c>
      <c r="B133" s="3" t="s">
        <v>192</v>
      </c>
      <c r="C133" s="2">
        <f>C129+D129</f>
        <v>300</v>
      </c>
      <c r="D133" s="12">
        <v>30</v>
      </c>
      <c r="E133" s="32" t="s">
        <v>31</v>
      </c>
    </row>
    <row r="134" spans="1:5" x14ac:dyDescent="0.3">
      <c r="A134" s="38" t="s">
        <v>269</v>
      </c>
      <c r="B134" s="3" t="s">
        <v>376</v>
      </c>
      <c r="C134" s="2">
        <f t="shared" ref="C134:C136" si="9">C133+D133</f>
        <v>330</v>
      </c>
      <c r="D134" s="12">
        <v>15</v>
      </c>
      <c r="E134" s="54" t="s">
        <v>8</v>
      </c>
    </row>
    <row r="135" spans="1:5" x14ac:dyDescent="0.3">
      <c r="A135" s="38" t="s">
        <v>270</v>
      </c>
      <c r="B135" s="3" t="s">
        <v>194</v>
      </c>
      <c r="C135" s="2">
        <f t="shared" si="9"/>
        <v>345</v>
      </c>
      <c r="D135" s="12">
        <v>14</v>
      </c>
      <c r="E135" s="32" t="s">
        <v>31</v>
      </c>
    </row>
    <row r="136" spans="1:5" x14ac:dyDescent="0.3">
      <c r="A136" s="38" t="s">
        <v>271</v>
      </c>
      <c r="B136" s="3" t="s">
        <v>195</v>
      </c>
      <c r="C136" s="2">
        <f t="shared" si="9"/>
        <v>359</v>
      </c>
      <c r="D136" s="12">
        <v>14</v>
      </c>
      <c r="E136" s="32" t="s">
        <v>31</v>
      </c>
    </row>
    <row r="137" spans="1:5" x14ac:dyDescent="0.3">
      <c r="A137" s="38" t="s">
        <v>272</v>
      </c>
      <c r="B137" s="3" t="s">
        <v>377</v>
      </c>
      <c r="C137" s="2">
        <f>C136+D136</f>
        <v>373</v>
      </c>
      <c r="D137" s="12">
        <v>15</v>
      </c>
      <c r="E137" s="54" t="s">
        <v>8</v>
      </c>
    </row>
    <row r="138" spans="1:5" x14ac:dyDescent="0.3">
      <c r="A138" s="7" t="s">
        <v>267</v>
      </c>
      <c r="B138" s="8" t="s">
        <v>46</v>
      </c>
      <c r="C138" s="9">
        <f>C137+D137</f>
        <v>388</v>
      </c>
      <c r="D138" s="8">
        <f>4096-C138</f>
        <v>3708</v>
      </c>
      <c r="E138" s="35"/>
    </row>
    <row r="139" spans="1:5" x14ac:dyDescent="0.3">
      <c r="A139" s="4"/>
      <c r="B139" s="3"/>
      <c r="C139" s="2"/>
      <c r="D139" s="3"/>
      <c r="E139" s="37"/>
    </row>
    <row r="140" spans="1:5" x14ac:dyDescent="0.3">
      <c r="A140" s="5" t="s">
        <v>110</v>
      </c>
      <c r="B140" s="30" t="s">
        <v>197</v>
      </c>
      <c r="C140" s="6">
        <f>C58</f>
        <v>299</v>
      </c>
      <c r="D140" s="6">
        <v>0</v>
      </c>
      <c r="E140" s="33"/>
    </row>
    <row r="141" spans="1:5" x14ac:dyDescent="0.3">
      <c r="A141" s="7" t="s">
        <v>198</v>
      </c>
      <c r="B141" s="8"/>
      <c r="C141" s="9">
        <f>C140+D140</f>
        <v>299</v>
      </c>
      <c r="D141" s="8">
        <v>0</v>
      </c>
      <c r="E141" s="35"/>
    </row>
    <row r="142" spans="1:5" x14ac:dyDescent="0.3">
      <c r="A142" s="38" t="s">
        <v>284</v>
      </c>
      <c r="B142" s="3" t="s">
        <v>199</v>
      </c>
      <c r="C142" s="2">
        <f>C141+D141</f>
        <v>299</v>
      </c>
      <c r="D142" s="12">
        <v>15</v>
      </c>
      <c r="E142" s="31" t="s">
        <v>8</v>
      </c>
    </row>
    <row r="143" spans="1:5" x14ac:dyDescent="0.3">
      <c r="A143" s="38" t="s">
        <v>285</v>
      </c>
      <c r="B143" s="3" t="s">
        <v>200</v>
      </c>
      <c r="C143" s="2">
        <f t="shared" ref="C143" si="10">C142+D142</f>
        <v>314</v>
      </c>
      <c r="D143" s="12">
        <v>15</v>
      </c>
      <c r="E143" s="31" t="s">
        <v>8</v>
      </c>
    </row>
    <row r="144" spans="1:5" x14ac:dyDescent="0.3">
      <c r="A144" s="7" t="s">
        <v>201</v>
      </c>
      <c r="B144" s="8" t="s">
        <v>46</v>
      </c>
      <c r="C144" s="9">
        <f>C143+D143</f>
        <v>329</v>
      </c>
      <c r="D144" s="8">
        <f>4096-C144</f>
        <v>3767</v>
      </c>
      <c r="E144" s="35"/>
    </row>
    <row r="145" spans="1:5" x14ac:dyDescent="0.3">
      <c r="A145" s="4"/>
      <c r="B145" s="3"/>
      <c r="C145" s="2"/>
      <c r="D145" s="3"/>
      <c r="E145" s="37"/>
    </row>
    <row r="146" spans="1:5" x14ac:dyDescent="0.3">
      <c r="A146" s="5" t="s">
        <v>110</v>
      </c>
      <c r="B146" s="30" t="s">
        <v>202</v>
      </c>
      <c r="C146" s="6">
        <f>C58</f>
        <v>299</v>
      </c>
      <c r="D146" s="6">
        <v>0</v>
      </c>
      <c r="E146" s="33"/>
    </row>
    <row r="147" spans="1:5" x14ac:dyDescent="0.3">
      <c r="A147" s="7" t="s">
        <v>203</v>
      </c>
      <c r="B147" s="8"/>
      <c r="C147" s="9">
        <f>C146+D146</f>
        <v>299</v>
      </c>
      <c r="D147" s="8">
        <v>0</v>
      </c>
      <c r="E147" s="35"/>
    </row>
    <row r="148" spans="1:5" x14ac:dyDescent="0.3">
      <c r="A148" s="38" t="s">
        <v>316</v>
      </c>
      <c r="B148" s="3" t="s">
        <v>307</v>
      </c>
      <c r="C148" s="2">
        <f t="shared" ref="C148:C151" si="11">C147+D147</f>
        <v>299</v>
      </c>
      <c r="D148" s="12">
        <v>8</v>
      </c>
      <c r="E148" s="31" t="s">
        <v>8</v>
      </c>
    </row>
    <row r="149" spans="1:5" x14ac:dyDescent="0.3">
      <c r="A149" s="45" t="s">
        <v>326</v>
      </c>
      <c r="B149" s="3" t="s">
        <v>45</v>
      </c>
      <c r="C149" s="2">
        <f t="shared" si="11"/>
        <v>307</v>
      </c>
      <c r="D149" s="12">
        <v>2</v>
      </c>
      <c r="E149" s="34" t="s">
        <v>46</v>
      </c>
    </row>
    <row r="150" spans="1:5" x14ac:dyDescent="0.3">
      <c r="A150" s="38" t="s">
        <v>317</v>
      </c>
      <c r="B150" s="3" t="s">
        <v>313</v>
      </c>
      <c r="C150" s="2">
        <f t="shared" si="11"/>
        <v>309</v>
      </c>
      <c r="D150" s="12">
        <v>8</v>
      </c>
      <c r="E150" s="31" t="s">
        <v>8</v>
      </c>
    </row>
    <row r="151" spans="1:5" x14ac:dyDescent="0.3">
      <c r="A151" s="45" t="s">
        <v>326</v>
      </c>
      <c r="B151" s="3" t="s">
        <v>45</v>
      </c>
      <c r="C151" s="2">
        <f t="shared" si="11"/>
        <v>317</v>
      </c>
      <c r="D151" s="12">
        <v>2</v>
      </c>
      <c r="E151" s="34" t="s">
        <v>46</v>
      </c>
    </row>
    <row r="152" spans="1:5" x14ac:dyDescent="0.3">
      <c r="A152" s="7" t="s">
        <v>330</v>
      </c>
      <c r="B152" s="8" t="s">
        <v>46</v>
      </c>
      <c r="C152" s="9">
        <f>C151+D151</f>
        <v>319</v>
      </c>
      <c r="D152" s="8">
        <f>4096-C152</f>
        <v>3777</v>
      </c>
      <c r="E152" s="35"/>
    </row>
    <row r="153" spans="1:5" x14ac:dyDescent="0.3">
      <c r="A153" s="4"/>
      <c r="B153" s="3"/>
      <c r="C153" s="2"/>
      <c r="D153" s="3"/>
      <c r="E153" s="37"/>
    </row>
    <row r="154" spans="1:5" x14ac:dyDescent="0.3">
      <c r="A154" s="5" t="s">
        <v>110</v>
      </c>
      <c r="B154" s="30" t="s">
        <v>204</v>
      </c>
      <c r="C154" s="6">
        <f>C58</f>
        <v>299</v>
      </c>
      <c r="D154" s="6">
        <v>0</v>
      </c>
      <c r="E154" s="33"/>
    </row>
    <row r="155" spans="1:5" x14ac:dyDescent="0.3">
      <c r="A155" s="7" t="s">
        <v>205</v>
      </c>
      <c r="B155" s="8"/>
      <c r="C155" s="9">
        <f>C154+D154</f>
        <v>299</v>
      </c>
      <c r="D155" s="8">
        <v>0</v>
      </c>
      <c r="E155" s="35"/>
    </row>
    <row r="156" spans="1:5" x14ac:dyDescent="0.3">
      <c r="A156" s="38" t="s">
        <v>206</v>
      </c>
      <c r="B156" s="3" t="s">
        <v>179</v>
      </c>
      <c r="C156" s="2">
        <f>C155+D155</f>
        <v>299</v>
      </c>
      <c r="D156" s="12">
        <v>30</v>
      </c>
      <c r="E156" s="31" t="s">
        <v>8</v>
      </c>
    </row>
    <row r="157" spans="1:5" x14ac:dyDescent="0.3">
      <c r="A157" s="38" t="s">
        <v>207</v>
      </c>
      <c r="B157" s="3" t="s">
        <v>171</v>
      </c>
      <c r="C157" s="2">
        <f t="shared" ref="C157" si="12">C156+D156</f>
        <v>329</v>
      </c>
      <c r="D157" s="12">
        <v>20</v>
      </c>
      <c r="E157" s="31" t="s">
        <v>8</v>
      </c>
    </row>
    <row r="158" spans="1:5" x14ac:dyDescent="0.3">
      <c r="A158" s="7" t="s">
        <v>181</v>
      </c>
      <c r="B158" s="8" t="s">
        <v>46</v>
      </c>
      <c r="C158" s="9">
        <f>C157+D157</f>
        <v>349</v>
      </c>
      <c r="D158" s="8">
        <f>4096-C158</f>
        <v>3747</v>
      </c>
      <c r="E158" s="35"/>
    </row>
    <row r="159" spans="1:5" x14ac:dyDescent="0.3">
      <c r="A159" s="4"/>
      <c r="B159" s="3"/>
      <c r="C159" s="2"/>
      <c r="D159" s="3"/>
      <c r="E159" s="37"/>
    </row>
    <row r="160" spans="1:5" x14ac:dyDescent="0.3">
      <c r="A160" s="5" t="s">
        <v>110</v>
      </c>
      <c r="B160" s="30" t="s">
        <v>208</v>
      </c>
      <c r="C160" s="6">
        <f>C58</f>
        <v>299</v>
      </c>
      <c r="D160" s="6">
        <v>0</v>
      </c>
      <c r="E160" s="33"/>
    </row>
    <row r="161" spans="1:5" x14ac:dyDescent="0.3">
      <c r="A161" s="7" t="s">
        <v>209</v>
      </c>
      <c r="B161" s="8"/>
      <c r="C161" s="9">
        <f>C160+D160</f>
        <v>299</v>
      </c>
      <c r="D161" s="8">
        <v>0</v>
      </c>
      <c r="E161" s="35"/>
    </row>
    <row r="162" spans="1:5" x14ac:dyDescent="0.3">
      <c r="A162" s="38" t="s">
        <v>210</v>
      </c>
      <c r="B162" s="3" t="s">
        <v>185</v>
      </c>
      <c r="C162" s="2">
        <f>C161+D161</f>
        <v>299</v>
      </c>
      <c r="D162" s="12">
        <v>1</v>
      </c>
      <c r="E162" s="47" t="s">
        <v>8</v>
      </c>
    </row>
    <row r="163" spans="1:5" x14ac:dyDescent="0.3">
      <c r="A163" s="13" t="s">
        <v>211</v>
      </c>
      <c r="B163" s="3" t="s">
        <v>187</v>
      </c>
      <c r="C163" s="2"/>
      <c r="D163" s="12"/>
      <c r="E163" s="48"/>
    </row>
    <row r="164" spans="1:5" x14ac:dyDescent="0.3">
      <c r="A164" s="13" t="s">
        <v>212</v>
      </c>
      <c r="B164" s="3" t="s">
        <v>189</v>
      </c>
      <c r="C164" s="2"/>
      <c r="D164" s="12"/>
      <c r="E164" s="48"/>
    </row>
    <row r="165" spans="1:5" x14ac:dyDescent="0.3">
      <c r="A165" s="13" t="s">
        <v>213</v>
      </c>
      <c r="B165" s="3" t="s">
        <v>191</v>
      </c>
      <c r="C165" s="2"/>
      <c r="D165" s="12"/>
      <c r="E165" s="49"/>
    </row>
    <row r="166" spans="1:5" x14ac:dyDescent="0.3">
      <c r="A166" s="38" t="s">
        <v>266</v>
      </c>
      <c r="B166" s="3" t="s">
        <v>192</v>
      </c>
      <c r="C166" s="2">
        <f>C162+D162</f>
        <v>300</v>
      </c>
      <c r="D166" s="12">
        <v>30</v>
      </c>
      <c r="E166" s="32" t="s">
        <v>31</v>
      </c>
    </row>
    <row r="167" spans="1:5" x14ac:dyDescent="0.3">
      <c r="A167" s="38" t="s">
        <v>273</v>
      </c>
      <c r="B167" s="3" t="s">
        <v>193</v>
      </c>
      <c r="C167" s="2">
        <f>C166+D166</f>
        <v>330</v>
      </c>
      <c r="D167" s="12">
        <v>15</v>
      </c>
      <c r="E167" s="31" t="s">
        <v>8</v>
      </c>
    </row>
    <row r="168" spans="1:5" x14ac:dyDescent="0.3">
      <c r="A168" s="38" t="s">
        <v>274</v>
      </c>
      <c r="B168" s="3" t="s">
        <v>194</v>
      </c>
      <c r="C168" s="2">
        <f t="shared" ref="C168:C169" si="13">C167+D167</f>
        <v>345</v>
      </c>
      <c r="D168" s="12">
        <v>14</v>
      </c>
      <c r="E168" s="32" t="s">
        <v>31</v>
      </c>
    </row>
    <row r="169" spans="1:5" x14ac:dyDescent="0.3">
      <c r="A169" s="38" t="s">
        <v>275</v>
      </c>
      <c r="B169" s="3" t="s">
        <v>195</v>
      </c>
      <c r="C169" s="2">
        <f t="shared" si="13"/>
        <v>359</v>
      </c>
      <c r="D169" s="12">
        <v>14</v>
      </c>
      <c r="E169" s="32" t="s">
        <v>31</v>
      </c>
    </row>
    <row r="170" spans="1:5" x14ac:dyDescent="0.3">
      <c r="A170" s="38" t="s">
        <v>276</v>
      </c>
      <c r="B170" s="3" t="s">
        <v>196</v>
      </c>
      <c r="C170" s="2">
        <f>C169+D169</f>
        <v>373</v>
      </c>
      <c r="D170" s="12">
        <v>15</v>
      </c>
      <c r="E170" s="31" t="s">
        <v>8</v>
      </c>
    </row>
    <row r="171" spans="1:5" x14ac:dyDescent="0.3">
      <c r="A171" s="7" t="s">
        <v>267</v>
      </c>
      <c r="B171" s="8" t="s">
        <v>46</v>
      </c>
      <c r="C171" s="9">
        <f>C170+D170</f>
        <v>388</v>
      </c>
      <c r="D171" s="8">
        <f>4096-C171</f>
        <v>3708</v>
      </c>
      <c r="E171" s="35"/>
    </row>
    <row r="172" spans="1:5" x14ac:dyDescent="0.3">
      <c r="A172" s="4"/>
      <c r="B172" s="3"/>
      <c r="C172" s="2"/>
      <c r="D172" s="3"/>
      <c r="E172" s="37"/>
    </row>
    <row r="173" spans="1:5" x14ac:dyDescent="0.3">
      <c r="A173" s="5" t="s">
        <v>110</v>
      </c>
      <c r="B173" s="30" t="s">
        <v>214</v>
      </c>
      <c r="C173" s="6">
        <f>C58</f>
        <v>299</v>
      </c>
      <c r="D173" s="6">
        <v>0</v>
      </c>
      <c r="E173" s="33"/>
    </row>
    <row r="174" spans="1:5" x14ac:dyDescent="0.3">
      <c r="A174" s="7" t="s">
        <v>215</v>
      </c>
      <c r="B174" s="8"/>
      <c r="C174" s="9">
        <f>C173+D173</f>
        <v>299</v>
      </c>
      <c r="D174" s="8">
        <v>0</v>
      </c>
      <c r="E174" s="35"/>
    </row>
    <row r="175" spans="1:5" x14ac:dyDescent="0.3">
      <c r="A175" s="38" t="s">
        <v>286</v>
      </c>
      <c r="B175" s="3" t="s">
        <v>199</v>
      </c>
      <c r="C175" s="2">
        <f>C174+D174</f>
        <v>299</v>
      </c>
      <c r="D175" s="12">
        <v>15</v>
      </c>
      <c r="E175" s="31" t="s">
        <v>8</v>
      </c>
    </row>
    <row r="176" spans="1:5" x14ac:dyDescent="0.3">
      <c r="A176" s="38" t="s">
        <v>287</v>
      </c>
      <c r="B176" s="3" t="s">
        <v>200</v>
      </c>
      <c r="C176" s="2">
        <f t="shared" ref="C176" si="14">C175+D175</f>
        <v>314</v>
      </c>
      <c r="D176" s="12">
        <v>15</v>
      </c>
      <c r="E176" s="31" t="s">
        <v>8</v>
      </c>
    </row>
    <row r="177" spans="1:5" x14ac:dyDescent="0.3">
      <c r="A177" s="7" t="s">
        <v>201</v>
      </c>
      <c r="B177" s="8" t="s">
        <v>46</v>
      </c>
      <c r="C177" s="9">
        <f>C176+D176</f>
        <v>329</v>
      </c>
      <c r="D177" s="8">
        <f>4096-C177</f>
        <v>3767</v>
      </c>
      <c r="E177" s="35"/>
    </row>
    <row r="178" spans="1:5" x14ac:dyDescent="0.3">
      <c r="A178" s="4"/>
      <c r="B178" s="3"/>
      <c r="C178" s="2"/>
      <c r="D178" s="3"/>
      <c r="E178" s="37"/>
    </row>
    <row r="179" spans="1:5" x14ac:dyDescent="0.3">
      <c r="A179" s="5" t="s">
        <v>110</v>
      </c>
      <c r="B179" s="30" t="s">
        <v>216</v>
      </c>
      <c r="C179" s="6">
        <f>C58</f>
        <v>299</v>
      </c>
      <c r="D179" s="6">
        <v>0</v>
      </c>
      <c r="E179" s="33"/>
    </row>
    <row r="180" spans="1:5" x14ac:dyDescent="0.3">
      <c r="A180" s="7" t="s">
        <v>261</v>
      </c>
      <c r="B180" s="8"/>
      <c r="C180" s="9">
        <f>C179+D179</f>
        <v>299</v>
      </c>
      <c r="D180" s="8">
        <v>0</v>
      </c>
      <c r="E180" s="35"/>
    </row>
    <row r="181" spans="1:5" x14ac:dyDescent="0.3">
      <c r="A181" s="38" t="s">
        <v>318</v>
      </c>
      <c r="B181" s="3" t="s">
        <v>307</v>
      </c>
      <c r="C181" s="2">
        <f t="shared" ref="C181:C184" si="15">C180+D180</f>
        <v>299</v>
      </c>
      <c r="D181" s="12">
        <v>8</v>
      </c>
      <c r="E181" s="31" t="s">
        <v>8</v>
      </c>
    </row>
    <row r="182" spans="1:5" x14ac:dyDescent="0.3">
      <c r="A182" s="45" t="s">
        <v>326</v>
      </c>
      <c r="B182" s="3" t="s">
        <v>45</v>
      </c>
      <c r="C182" s="2">
        <f t="shared" si="15"/>
        <v>307</v>
      </c>
      <c r="D182" s="12">
        <v>2</v>
      </c>
      <c r="E182" s="34" t="s">
        <v>46</v>
      </c>
    </row>
    <row r="183" spans="1:5" x14ac:dyDescent="0.3">
      <c r="A183" s="38" t="s">
        <v>319</v>
      </c>
      <c r="B183" s="3" t="s">
        <v>313</v>
      </c>
      <c r="C183" s="2">
        <f t="shared" si="15"/>
        <v>309</v>
      </c>
      <c r="D183" s="12">
        <v>8</v>
      </c>
      <c r="E183" s="31" t="s">
        <v>8</v>
      </c>
    </row>
    <row r="184" spans="1:5" x14ac:dyDescent="0.3">
      <c r="A184" s="45" t="s">
        <v>326</v>
      </c>
      <c r="B184" s="3" t="s">
        <v>45</v>
      </c>
      <c r="C184" s="2">
        <f t="shared" si="15"/>
        <v>317</v>
      </c>
      <c r="D184" s="12">
        <v>2</v>
      </c>
      <c r="E184" s="34" t="s">
        <v>46</v>
      </c>
    </row>
    <row r="185" spans="1:5" x14ac:dyDescent="0.3">
      <c r="A185" s="7" t="s">
        <v>330</v>
      </c>
      <c r="B185" s="8" t="s">
        <v>46</v>
      </c>
      <c r="C185" s="9">
        <f>C184+D184</f>
        <v>319</v>
      </c>
      <c r="D185" s="8">
        <f>4096-C185</f>
        <v>3777</v>
      </c>
      <c r="E185" s="35"/>
    </row>
    <row r="186" spans="1:5" x14ac:dyDescent="0.3">
      <c r="A186" s="4"/>
      <c r="B186" s="3"/>
      <c r="C186" s="2"/>
      <c r="D186" s="3"/>
      <c r="E186" s="37"/>
    </row>
    <row r="187" spans="1:5" x14ac:dyDescent="0.3">
      <c r="A187" s="5" t="s">
        <v>110</v>
      </c>
      <c r="B187" s="30" t="s">
        <v>217</v>
      </c>
      <c r="C187" s="6">
        <f>C58</f>
        <v>299</v>
      </c>
      <c r="D187" s="6">
        <v>0</v>
      </c>
      <c r="E187" s="33"/>
    </row>
    <row r="188" spans="1:5" x14ac:dyDescent="0.3">
      <c r="A188" s="7" t="s">
        <v>262</v>
      </c>
      <c r="B188" s="8"/>
      <c r="C188" s="9">
        <f>C187+D187</f>
        <v>299</v>
      </c>
      <c r="D188" s="8">
        <v>0</v>
      </c>
      <c r="E188" s="35"/>
    </row>
    <row r="189" spans="1:5" x14ac:dyDescent="0.3">
      <c r="A189" s="38" t="s">
        <v>218</v>
      </c>
      <c r="B189" s="3" t="s">
        <v>179</v>
      </c>
      <c r="C189" s="2">
        <f>C188+D188</f>
        <v>299</v>
      </c>
      <c r="D189" s="12">
        <v>30</v>
      </c>
      <c r="E189" s="31" t="s">
        <v>8</v>
      </c>
    </row>
    <row r="190" spans="1:5" x14ac:dyDescent="0.3">
      <c r="A190" s="38" t="s">
        <v>280</v>
      </c>
      <c r="B190" s="3" t="s">
        <v>171</v>
      </c>
      <c r="C190" s="2">
        <f t="shared" ref="C190:C194" si="16">C189+D189</f>
        <v>329</v>
      </c>
      <c r="D190" s="12">
        <v>20</v>
      </c>
      <c r="E190" s="31" t="s">
        <v>8</v>
      </c>
    </row>
    <row r="191" spans="1:5" x14ac:dyDescent="0.3">
      <c r="A191" s="38" t="s">
        <v>321</v>
      </c>
      <c r="B191" s="3" t="s">
        <v>307</v>
      </c>
      <c r="C191" s="2">
        <f t="shared" si="16"/>
        <v>349</v>
      </c>
      <c r="D191" s="12">
        <v>8</v>
      </c>
      <c r="E191" s="31" t="s">
        <v>8</v>
      </c>
    </row>
    <row r="192" spans="1:5" x14ac:dyDescent="0.3">
      <c r="A192" s="45" t="s">
        <v>326</v>
      </c>
      <c r="B192" s="3" t="s">
        <v>45</v>
      </c>
      <c r="C192" s="2">
        <f t="shared" si="16"/>
        <v>357</v>
      </c>
      <c r="D192" s="12">
        <v>2</v>
      </c>
      <c r="E192" s="34" t="s">
        <v>46</v>
      </c>
    </row>
    <row r="193" spans="1:5" x14ac:dyDescent="0.3">
      <c r="A193" s="38" t="s">
        <v>322</v>
      </c>
      <c r="B193" s="3" t="s">
        <v>313</v>
      </c>
      <c r="C193" s="2">
        <f t="shared" si="16"/>
        <v>359</v>
      </c>
      <c r="D193" s="12">
        <v>8</v>
      </c>
      <c r="E193" s="31" t="s">
        <v>8</v>
      </c>
    </row>
    <row r="194" spans="1:5" x14ac:dyDescent="0.3">
      <c r="A194" s="45" t="s">
        <v>326</v>
      </c>
      <c r="B194" s="3" t="s">
        <v>45</v>
      </c>
      <c r="C194" s="2">
        <f t="shared" si="16"/>
        <v>367</v>
      </c>
      <c r="D194" s="12">
        <v>2</v>
      </c>
      <c r="E194" s="34" t="s">
        <v>46</v>
      </c>
    </row>
    <row r="195" spans="1:5" x14ac:dyDescent="0.3">
      <c r="A195" s="7" t="s">
        <v>281</v>
      </c>
      <c r="B195" s="8" t="s">
        <v>46</v>
      </c>
      <c r="C195" s="9">
        <f>C194+D194</f>
        <v>369</v>
      </c>
      <c r="D195" s="8">
        <f>4096-C195</f>
        <v>3727</v>
      </c>
      <c r="E195" s="35"/>
    </row>
    <row r="196" spans="1:5" x14ac:dyDescent="0.3">
      <c r="A196" s="4"/>
      <c r="B196" s="3"/>
      <c r="C196" s="2"/>
      <c r="D196" s="3"/>
      <c r="E196" s="37"/>
    </row>
    <row r="197" spans="1:5" x14ac:dyDescent="0.3">
      <c r="A197" s="5" t="s">
        <v>110</v>
      </c>
      <c r="B197" s="30" t="s">
        <v>219</v>
      </c>
      <c r="C197" s="6">
        <f>C58</f>
        <v>299</v>
      </c>
      <c r="D197" s="6">
        <v>0</v>
      </c>
      <c r="E197" s="33"/>
    </row>
    <row r="198" spans="1:5" x14ac:dyDescent="0.3">
      <c r="A198" s="7" t="s">
        <v>374</v>
      </c>
      <c r="B198" s="8"/>
      <c r="C198" s="9">
        <f>C197+D197</f>
        <v>299</v>
      </c>
      <c r="D198" s="8">
        <v>0</v>
      </c>
      <c r="E198" s="35"/>
    </row>
    <row r="199" spans="1:5" x14ac:dyDescent="0.3">
      <c r="A199" s="38" t="s">
        <v>373</v>
      </c>
      <c r="B199" s="3" t="s">
        <v>375</v>
      </c>
      <c r="C199" s="2">
        <f>C198+D198</f>
        <v>299</v>
      </c>
      <c r="D199" s="12">
        <v>20</v>
      </c>
      <c r="E199" s="32" t="s">
        <v>31</v>
      </c>
    </row>
    <row r="200" spans="1:5" x14ac:dyDescent="0.3">
      <c r="A200" s="7" t="s">
        <v>330</v>
      </c>
      <c r="B200" s="8" t="s">
        <v>46</v>
      </c>
      <c r="C200" s="9">
        <f>C199+D199</f>
        <v>319</v>
      </c>
      <c r="D200" s="8">
        <f>4096-C200</f>
        <v>3777</v>
      </c>
      <c r="E200" s="35"/>
    </row>
    <row r="201" spans="1:5" x14ac:dyDescent="0.3">
      <c r="A201" s="4"/>
      <c r="B201" s="3"/>
      <c r="C201" s="2"/>
      <c r="D201" s="3"/>
      <c r="E201" s="37"/>
    </row>
    <row r="202" spans="1:5" x14ac:dyDescent="0.3">
      <c r="A202" s="5" t="s">
        <v>110</v>
      </c>
      <c r="B202" s="30" t="s">
        <v>370</v>
      </c>
      <c r="C202" s="6">
        <f>C58</f>
        <v>299</v>
      </c>
      <c r="D202" s="6">
        <v>0</v>
      </c>
      <c r="E202" s="33"/>
    </row>
    <row r="203" spans="1:5" x14ac:dyDescent="0.3">
      <c r="A203" s="7" t="s">
        <v>263</v>
      </c>
      <c r="B203" s="8"/>
      <c r="C203" s="9">
        <f>C202+D202</f>
        <v>299</v>
      </c>
      <c r="D203" s="8">
        <v>0</v>
      </c>
      <c r="E203" s="35"/>
    </row>
    <row r="204" spans="1:5" x14ac:dyDescent="0.3">
      <c r="A204" s="38" t="s">
        <v>323</v>
      </c>
      <c r="B204" s="3" t="s">
        <v>320</v>
      </c>
      <c r="C204" s="2">
        <f>C203+D203</f>
        <v>299</v>
      </c>
      <c r="D204" s="12">
        <v>8</v>
      </c>
      <c r="E204" s="31" t="s">
        <v>8</v>
      </c>
    </row>
    <row r="205" spans="1:5" x14ac:dyDescent="0.3">
      <c r="A205" s="45" t="s">
        <v>326</v>
      </c>
      <c r="B205" s="3" t="s">
        <v>45</v>
      </c>
      <c r="C205" s="2">
        <f t="shared" ref="C205:C206" si="17">C204+D204</f>
        <v>307</v>
      </c>
      <c r="D205" s="12">
        <v>2</v>
      </c>
      <c r="E205" s="34" t="s">
        <v>46</v>
      </c>
    </row>
    <row r="206" spans="1:5" x14ac:dyDescent="0.3">
      <c r="A206" s="38" t="s">
        <v>220</v>
      </c>
      <c r="B206" s="3" t="s">
        <v>221</v>
      </c>
      <c r="C206" s="2">
        <f t="shared" si="17"/>
        <v>309</v>
      </c>
      <c r="D206" s="12">
        <v>30</v>
      </c>
      <c r="E206" s="31" t="s">
        <v>8</v>
      </c>
    </row>
    <row r="207" spans="1:5" x14ac:dyDescent="0.3">
      <c r="A207" s="38" t="s">
        <v>222</v>
      </c>
      <c r="B207" s="3" t="s">
        <v>223</v>
      </c>
      <c r="C207" s="2">
        <f t="shared" ref="C207:C208" si="18">C206+D206</f>
        <v>339</v>
      </c>
      <c r="D207" s="12">
        <v>30</v>
      </c>
      <c r="E207" s="32" t="s">
        <v>31</v>
      </c>
    </row>
    <row r="208" spans="1:5" x14ac:dyDescent="0.3">
      <c r="A208" s="38" t="s">
        <v>277</v>
      </c>
      <c r="B208" s="3" t="s">
        <v>224</v>
      </c>
      <c r="C208" s="2">
        <f t="shared" si="18"/>
        <v>369</v>
      </c>
      <c r="D208" s="12">
        <v>15</v>
      </c>
      <c r="E208" s="32" t="s">
        <v>31</v>
      </c>
    </row>
    <row r="209" spans="1:5" x14ac:dyDescent="0.3">
      <c r="A209" s="38" t="s">
        <v>278</v>
      </c>
      <c r="B209" s="3" t="s">
        <v>225</v>
      </c>
      <c r="C209" s="2">
        <f>C208+D208</f>
        <v>384</v>
      </c>
      <c r="D209" s="12">
        <v>15</v>
      </c>
      <c r="E209" s="32" t="s">
        <v>31</v>
      </c>
    </row>
    <row r="210" spans="1:5" x14ac:dyDescent="0.3">
      <c r="A210" s="38" t="s">
        <v>279</v>
      </c>
      <c r="B210" s="3" t="s">
        <v>196</v>
      </c>
      <c r="C210" s="2">
        <f>C209+D209</f>
        <v>399</v>
      </c>
      <c r="D210" s="12">
        <v>15</v>
      </c>
      <c r="E210" s="31" t="s">
        <v>8</v>
      </c>
    </row>
    <row r="211" spans="1:5" x14ac:dyDescent="0.3">
      <c r="A211" s="7" t="s">
        <v>331</v>
      </c>
      <c r="B211" s="8" t="s">
        <v>46</v>
      </c>
      <c r="C211" s="9">
        <f>C210+D210</f>
        <v>414</v>
      </c>
      <c r="D211" s="8">
        <f>4096-C211</f>
        <v>3682</v>
      </c>
      <c r="E211" s="35"/>
    </row>
    <row r="212" spans="1:5" x14ac:dyDescent="0.3">
      <c r="A212" s="4"/>
      <c r="B212" s="3"/>
      <c r="C212" s="2"/>
      <c r="D212" s="3"/>
      <c r="E212" s="37"/>
    </row>
    <row r="213" spans="1:5" x14ac:dyDescent="0.3">
      <c r="A213" s="5" t="s">
        <v>110</v>
      </c>
      <c r="B213" s="30" t="s">
        <v>371</v>
      </c>
      <c r="C213" s="6">
        <f>C58</f>
        <v>299</v>
      </c>
      <c r="D213" s="6">
        <v>0</v>
      </c>
      <c r="E213" s="33"/>
    </row>
    <row r="214" spans="1:5" x14ac:dyDescent="0.3">
      <c r="A214" s="7" t="s">
        <v>264</v>
      </c>
      <c r="B214" s="8"/>
      <c r="C214" s="9">
        <f>C213+D213</f>
        <v>299</v>
      </c>
      <c r="D214" s="8">
        <v>0</v>
      </c>
      <c r="E214" s="31" t="s">
        <v>8</v>
      </c>
    </row>
    <row r="215" spans="1:5" x14ac:dyDescent="0.3">
      <c r="A215" s="7" t="s">
        <v>258</v>
      </c>
      <c r="B215" s="8" t="s">
        <v>46</v>
      </c>
      <c r="C215" s="9">
        <f>C214+D214</f>
        <v>299</v>
      </c>
      <c r="D215" s="8">
        <f>4096-C215</f>
        <v>3797</v>
      </c>
      <c r="E215" s="35"/>
    </row>
    <row r="216" spans="1:5" x14ac:dyDescent="0.3">
      <c r="A216" s="4"/>
      <c r="B216" s="3"/>
      <c r="C216" s="2"/>
      <c r="D216" s="3"/>
      <c r="E216" s="37"/>
    </row>
    <row r="217" spans="1:5" x14ac:dyDescent="0.3">
      <c r="A217" s="5" t="s">
        <v>110</v>
      </c>
      <c r="B217" s="30" t="s">
        <v>372</v>
      </c>
      <c r="C217" s="6">
        <f>C58</f>
        <v>299</v>
      </c>
      <c r="D217" s="6">
        <v>0</v>
      </c>
      <c r="E217" s="33"/>
    </row>
    <row r="218" spans="1:5" x14ac:dyDescent="0.3">
      <c r="A218" s="7" t="s">
        <v>265</v>
      </c>
      <c r="B218" s="8"/>
      <c r="C218" s="9">
        <f>C217+D217</f>
        <v>299</v>
      </c>
      <c r="D218" s="8">
        <v>0</v>
      </c>
      <c r="E218" s="35"/>
    </row>
    <row r="219" spans="1:5" x14ac:dyDescent="0.3">
      <c r="A219" s="38" t="s">
        <v>226</v>
      </c>
      <c r="B219" s="3" t="s">
        <v>227</v>
      </c>
      <c r="C219" s="2">
        <f>C218+D218</f>
        <v>299</v>
      </c>
      <c r="D219" s="12">
        <v>1000</v>
      </c>
      <c r="E219" s="31" t="s">
        <v>8</v>
      </c>
    </row>
    <row r="220" spans="1:5" x14ac:dyDescent="0.3">
      <c r="A220" s="7" t="s">
        <v>228</v>
      </c>
      <c r="B220" s="8" t="s">
        <v>46</v>
      </c>
      <c r="C220" s="9">
        <f>C219+D219</f>
        <v>1299</v>
      </c>
      <c r="D220" s="8">
        <f>4096-C220</f>
        <v>2797</v>
      </c>
      <c r="E220" s="35"/>
    </row>
    <row r="221" spans="1:5" x14ac:dyDescent="0.3">
      <c r="A221" s="4"/>
      <c r="B221" s="3"/>
      <c r="C221" s="2"/>
      <c r="D221" s="3"/>
      <c r="E221" s="37"/>
    </row>
    <row r="222" spans="1:5" x14ac:dyDescent="0.3">
      <c r="A222" s="5" t="s">
        <v>110</v>
      </c>
      <c r="B222" s="29" t="s">
        <v>229</v>
      </c>
      <c r="C222" s="6">
        <f>C58</f>
        <v>299</v>
      </c>
      <c r="D222" s="6">
        <v>0</v>
      </c>
      <c r="E222" s="33"/>
    </row>
    <row r="223" spans="1:5" x14ac:dyDescent="0.3">
      <c r="A223" s="7" t="s">
        <v>230</v>
      </c>
      <c r="B223" s="8"/>
      <c r="C223" s="9">
        <f>C222+D222</f>
        <v>299</v>
      </c>
      <c r="D223" s="8">
        <v>0</v>
      </c>
      <c r="E223" s="35"/>
    </row>
    <row r="224" spans="1:5" x14ac:dyDescent="0.3">
      <c r="A224" s="38" t="s">
        <v>231</v>
      </c>
      <c r="B224" s="12" t="s">
        <v>179</v>
      </c>
      <c r="C224" s="2">
        <f t="shared" ref="C224" si="19">C223+D223</f>
        <v>299</v>
      </c>
      <c r="D224" s="12">
        <v>30</v>
      </c>
      <c r="E224" s="31" t="s">
        <v>8</v>
      </c>
    </row>
    <row r="225" spans="1:5" x14ac:dyDescent="0.3">
      <c r="A225" s="38" t="s">
        <v>232</v>
      </c>
      <c r="B225" s="12" t="s">
        <v>223</v>
      </c>
      <c r="C225" s="2">
        <f>C224+D224</f>
        <v>329</v>
      </c>
      <c r="D225" s="12">
        <v>30</v>
      </c>
      <c r="E225" s="32" t="s">
        <v>31</v>
      </c>
    </row>
    <row r="226" spans="1:5" x14ac:dyDescent="0.3">
      <c r="A226" s="38" t="s">
        <v>233</v>
      </c>
      <c r="B226" s="12" t="s">
        <v>234</v>
      </c>
      <c r="C226" s="2">
        <f t="shared" ref="C226:C227" si="20">C225+D225</f>
        <v>359</v>
      </c>
      <c r="D226" s="12">
        <v>10</v>
      </c>
      <c r="E226" s="31" t="s">
        <v>8</v>
      </c>
    </row>
    <row r="227" spans="1:5" x14ac:dyDescent="0.3">
      <c r="A227" s="38" t="s">
        <v>235</v>
      </c>
      <c r="B227" s="12" t="s">
        <v>236</v>
      </c>
      <c r="C227" s="2">
        <f t="shared" si="20"/>
        <v>369</v>
      </c>
      <c r="D227" s="12">
        <v>6</v>
      </c>
      <c r="E227" s="31" t="s">
        <v>8</v>
      </c>
    </row>
    <row r="228" spans="1:5" x14ac:dyDescent="0.3">
      <c r="A228" s="7" t="s">
        <v>237</v>
      </c>
      <c r="B228" s="8" t="s">
        <v>46</v>
      </c>
      <c r="C228" s="9">
        <f>C227+D227</f>
        <v>375</v>
      </c>
      <c r="D228" s="8">
        <f>4096-C228</f>
        <v>3721</v>
      </c>
      <c r="E228" s="35"/>
    </row>
    <row r="229" spans="1:5" x14ac:dyDescent="0.3">
      <c r="A229" s="4"/>
      <c r="B229" s="3"/>
      <c r="C229" s="2"/>
      <c r="D229" s="3"/>
      <c r="E229" s="37"/>
    </row>
    <row r="230" spans="1:5" x14ac:dyDescent="0.3">
      <c r="A230" s="5" t="s">
        <v>110</v>
      </c>
      <c r="B230" s="29" t="s">
        <v>238</v>
      </c>
      <c r="C230" s="6">
        <f>C58</f>
        <v>299</v>
      </c>
      <c r="D230" s="6">
        <v>0</v>
      </c>
      <c r="E230" s="33"/>
    </row>
    <row r="231" spans="1:5" x14ac:dyDescent="0.3">
      <c r="A231" s="7" t="s">
        <v>239</v>
      </c>
      <c r="B231" s="8"/>
      <c r="C231" s="9">
        <f>C230+D230</f>
        <v>299</v>
      </c>
      <c r="D231" s="8">
        <v>0</v>
      </c>
      <c r="E231" s="35"/>
    </row>
    <row r="232" spans="1:5" x14ac:dyDescent="0.3">
      <c r="A232" s="38" t="s">
        <v>240</v>
      </c>
      <c r="B232" s="12" t="s">
        <v>179</v>
      </c>
      <c r="C232" s="2">
        <f t="shared" ref="C232" si="21">C231+D231</f>
        <v>299</v>
      </c>
      <c r="D232" s="12">
        <v>30</v>
      </c>
      <c r="E232" s="31" t="s">
        <v>8</v>
      </c>
    </row>
    <row r="233" spans="1:5" x14ac:dyDescent="0.3">
      <c r="A233" s="38" t="s">
        <v>241</v>
      </c>
      <c r="B233" s="12" t="s">
        <v>223</v>
      </c>
      <c r="C233" s="2">
        <f>C232+D232</f>
        <v>329</v>
      </c>
      <c r="D233" s="12">
        <v>30</v>
      </c>
      <c r="E233" s="32" t="s">
        <v>31</v>
      </c>
    </row>
    <row r="234" spans="1:5" x14ac:dyDescent="0.3">
      <c r="A234" s="38" t="s">
        <v>242</v>
      </c>
      <c r="B234" s="12" t="s">
        <v>243</v>
      </c>
      <c r="C234" s="2">
        <f t="shared" ref="C234:C235" si="22">C233+D233</f>
        <v>359</v>
      </c>
      <c r="D234" s="12">
        <v>30</v>
      </c>
      <c r="E234" s="31" t="s">
        <v>8</v>
      </c>
    </row>
    <row r="235" spans="1:5" x14ac:dyDescent="0.3">
      <c r="A235" s="38" t="s">
        <v>244</v>
      </c>
      <c r="B235" s="12" t="s">
        <v>236</v>
      </c>
      <c r="C235" s="2">
        <f t="shared" si="22"/>
        <v>389</v>
      </c>
      <c r="D235" s="12">
        <v>6</v>
      </c>
      <c r="E235" s="31" t="s">
        <v>8</v>
      </c>
    </row>
    <row r="236" spans="1:5" x14ac:dyDescent="0.3">
      <c r="A236" s="7" t="s">
        <v>245</v>
      </c>
      <c r="B236" s="8" t="s">
        <v>46</v>
      </c>
      <c r="C236" s="9">
        <f>C235+D235</f>
        <v>395</v>
      </c>
      <c r="D236" s="8">
        <f>4096-C236</f>
        <v>3701</v>
      </c>
      <c r="E236" s="35"/>
    </row>
    <row r="237" spans="1:5" x14ac:dyDescent="0.3">
      <c r="A237" s="4"/>
      <c r="B237" s="3"/>
      <c r="C237" s="2"/>
      <c r="D237" s="3"/>
      <c r="E237" s="37"/>
    </row>
    <row r="238" spans="1:5" x14ac:dyDescent="0.3">
      <c r="A238" s="5" t="s">
        <v>110</v>
      </c>
      <c r="B238" s="30" t="s">
        <v>246</v>
      </c>
      <c r="C238" s="6">
        <f>C58</f>
        <v>299</v>
      </c>
      <c r="D238" s="6">
        <v>0</v>
      </c>
      <c r="E238" s="33"/>
    </row>
    <row r="239" spans="1:5" x14ac:dyDescent="0.3">
      <c r="A239" s="7" t="s">
        <v>247</v>
      </c>
      <c r="B239" s="8"/>
      <c r="C239" s="9">
        <f t="shared" ref="C239:C244" si="23">C238+D238</f>
        <v>299</v>
      </c>
      <c r="D239" s="8">
        <v>0</v>
      </c>
      <c r="E239" s="35"/>
    </row>
    <row r="240" spans="1:5" x14ac:dyDescent="0.3">
      <c r="A240" s="38" t="s">
        <v>248</v>
      </c>
      <c r="B240" s="3" t="s">
        <v>179</v>
      </c>
      <c r="C240" s="2">
        <f t="shared" si="23"/>
        <v>299</v>
      </c>
      <c r="D240" s="12">
        <v>30</v>
      </c>
      <c r="E240" s="32" t="s">
        <v>31</v>
      </c>
    </row>
    <row r="241" spans="1:5" x14ac:dyDescent="0.3">
      <c r="A241" s="38" t="s">
        <v>249</v>
      </c>
      <c r="B241" s="3" t="s">
        <v>171</v>
      </c>
      <c r="C241" s="2">
        <f t="shared" si="23"/>
        <v>329</v>
      </c>
      <c r="D241" s="12">
        <v>16</v>
      </c>
      <c r="E241" s="31" t="s">
        <v>8</v>
      </c>
    </row>
    <row r="242" spans="1:5" x14ac:dyDescent="0.3">
      <c r="A242" s="38" t="s">
        <v>324</v>
      </c>
      <c r="B242" s="3" t="s">
        <v>320</v>
      </c>
      <c r="C242" s="2">
        <f t="shared" si="23"/>
        <v>345</v>
      </c>
      <c r="D242" s="12">
        <v>8</v>
      </c>
      <c r="E242" s="31" t="s">
        <v>8</v>
      </c>
    </row>
    <row r="243" spans="1:5" x14ac:dyDescent="0.3">
      <c r="A243" s="45" t="s">
        <v>326</v>
      </c>
      <c r="B243" s="3" t="s">
        <v>45</v>
      </c>
      <c r="C243" s="2">
        <f t="shared" si="23"/>
        <v>353</v>
      </c>
      <c r="D243" s="12">
        <v>2</v>
      </c>
      <c r="E243" s="34" t="s">
        <v>46</v>
      </c>
    </row>
    <row r="244" spans="1:5" x14ac:dyDescent="0.3">
      <c r="A244" s="7" t="s">
        <v>333</v>
      </c>
      <c r="B244" s="8" t="s">
        <v>46</v>
      </c>
      <c r="C244" s="9">
        <f t="shared" si="23"/>
        <v>355</v>
      </c>
      <c r="D244" s="8">
        <f>4096-C244</f>
        <v>3741</v>
      </c>
      <c r="E244" s="35"/>
    </row>
    <row r="245" spans="1:5" x14ac:dyDescent="0.3">
      <c r="A245" s="4"/>
      <c r="B245" s="3"/>
      <c r="C245" s="2"/>
      <c r="D245" s="3"/>
      <c r="E245" s="37"/>
    </row>
    <row r="246" spans="1:5" x14ac:dyDescent="0.3">
      <c r="A246" s="5" t="s">
        <v>110</v>
      </c>
      <c r="B246" s="30" t="s">
        <v>289</v>
      </c>
      <c r="C246" s="6">
        <f>C58</f>
        <v>299</v>
      </c>
      <c r="D246" s="6">
        <v>0</v>
      </c>
      <c r="E246" s="33"/>
    </row>
    <row r="247" spans="1:5" x14ac:dyDescent="0.3">
      <c r="A247" s="7" t="s">
        <v>288</v>
      </c>
      <c r="B247" s="8"/>
      <c r="C247" s="9">
        <f>C246+D246</f>
        <v>299</v>
      </c>
      <c r="D247" s="8">
        <v>0</v>
      </c>
      <c r="E247" s="35"/>
    </row>
    <row r="248" spans="1:5" x14ac:dyDescent="0.3">
      <c r="A248" s="38" t="s">
        <v>290</v>
      </c>
      <c r="B248" s="3" t="s">
        <v>292</v>
      </c>
      <c r="C248" s="2">
        <f>C247+D247</f>
        <v>299</v>
      </c>
      <c r="D248" s="12">
        <v>400</v>
      </c>
      <c r="E248" s="32" t="s">
        <v>31</v>
      </c>
    </row>
    <row r="249" spans="1:5" x14ac:dyDescent="0.3">
      <c r="A249" s="38" t="s">
        <v>293</v>
      </c>
      <c r="B249" s="3" t="s">
        <v>291</v>
      </c>
      <c r="C249" s="2">
        <f>C248+D248</f>
        <v>699</v>
      </c>
      <c r="D249" s="12">
        <v>3000</v>
      </c>
      <c r="E249" s="32" t="s">
        <v>31</v>
      </c>
    </row>
    <row r="250" spans="1:5" x14ac:dyDescent="0.3">
      <c r="A250" s="7" t="s">
        <v>294</v>
      </c>
      <c r="B250" s="8" t="s">
        <v>46</v>
      </c>
      <c r="C250" s="9">
        <f>C249+D249</f>
        <v>3699</v>
      </c>
      <c r="D250" s="8">
        <f>4096-C250</f>
        <v>397</v>
      </c>
      <c r="E250" s="35"/>
    </row>
    <row r="251" spans="1:5" x14ac:dyDescent="0.3">
      <c r="A251" s="4"/>
      <c r="B251" s="3"/>
      <c r="C251" s="2"/>
      <c r="D251" s="3"/>
      <c r="E251" s="37"/>
    </row>
    <row r="252" spans="1:5" x14ac:dyDescent="0.3">
      <c r="A252" s="5" t="s">
        <v>110</v>
      </c>
      <c r="B252" s="30" t="s">
        <v>250</v>
      </c>
      <c r="C252" s="6">
        <f>C58</f>
        <v>299</v>
      </c>
      <c r="D252" s="6">
        <v>0</v>
      </c>
      <c r="E252" s="33"/>
    </row>
    <row r="253" spans="1:5" x14ac:dyDescent="0.3">
      <c r="A253" s="7" t="s">
        <v>251</v>
      </c>
      <c r="B253" s="8"/>
      <c r="C253" s="9">
        <f>C252+D252</f>
        <v>299</v>
      </c>
      <c r="D253" s="8">
        <v>0</v>
      </c>
      <c r="E253" s="35"/>
    </row>
    <row r="254" spans="1:5" x14ac:dyDescent="0.3">
      <c r="A254" s="38" t="s">
        <v>252</v>
      </c>
      <c r="B254" s="3" t="s">
        <v>171</v>
      </c>
      <c r="C254" s="2">
        <f>C253+D253</f>
        <v>299</v>
      </c>
      <c r="D254" s="12">
        <v>16</v>
      </c>
      <c r="E254" s="31" t="s">
        <v>8</v>
      </c>
    </row>
    <row r="255" spans="1:5" x14ac:dyDescent="0.3">
      <c r="A255" s="38" t="s">
        <v>257</v>
      </c>
      <c r="B255" s="3" t="s">
        <v>179</v>
      </c>
      <c r="C255" s="2">
        <f t="shared" ref="C255:C258" si="24">C254+D254</f>
        <v>315</v>
      </c>
      <c r="D255" s="12">
        <v>30</v>
      </c>
      <c r="E255" s="31" t="s">
        <v>8</v>
      </c>
    </row>
    <row r="256" spans="1:5" x14ac:dyDescent="0.3">
      <c r="A256" s="38" t="s">
        <v>325</v>
      </c>
      <c r="B256" s="3" t="s">
        <v>313</v>
      </c>
      <c r="C256" s="2">
        <f t="shared" si="24"/>
        <v>345</v>
      </c>
      <c r="D256" s="12">
        <v>8</v>
      </c>
      <c r="E256" s="31" t="s">
        <v>8</v>
      </c>
    </row>
    <row r="257" spans="1:5" x14ac:dyDescent="0.3">
      <c r="A257" s="45" t="s">
        <v>326</v>
      </c>
      <c r="B257" s="3" t="s">
        <v>45</v>
      </c>
      <c r="C257" s="2">
        <f t="shared" si="24"/>
        <v>353</v>
      </c>
      <c r="D257" s="12">
        <v>2</v>
      </c>
      <c r="E257" s="34" t="s">
        <v>46</v>
      </c>
    </row>
    <row r="258" spans="1:5" x14ac:dyDescent="0.3">
      <c r="A258" s="38" t="s">
        <v>253</v>
      </c>
      <c r="B258" s="3" t="s">
        <v>254</v>
      </c>
      <c r="C258" s="2">
        <f t="shared" si="24"/>
        <v>355</v>
      </c>
      <c r="D258" s="12">
        <v>15</v>
      </c>
      <c r="E258" s="32" t="s">
        <v>31</v>
      </c>
    </row>
    <row r="259" spans="1:5" x14ac:dyDescent="0.3">
      <c r="A259" s="4" t="s">
        <v>282</v>
      </c>
      <c r="B259" s="3" t="s">
        <v>283</v>
      </c>
      <c r="C259" s="2">
        <f>C258+D258</f>
        <v>370</v>
      </c>
      <c r="D259" s="12">
        <v>1</v>
      </c>
      <c r="E259" s="32" t="s">
        <v>31</v>
      </c>
    </row>
    <row r="260" spans="1:5" x14ac:dyDescent="0.3">
      <c r="A260" s="7" t="s">
        <v>332</v>
      </c>
      <c r="B260" s="8" t="s">
        <v>46</v>
      </c>
      <c r="C260" s="9">
        <f>C259+D259</f>
        <v>371</v>
      </c>
      <c r="D260" s="8">
        <f>4096-C260</f>
        <v>3725</v>
      </c>
      <c r="E260" s="35"/>
    </row>
    <row r="261" spans="1:5" x14ac:dyDescent="0.3">
      <c r="A261" s="4"/>
      <c r="B261" s="3"/>
      <c r="C261" s="2"/>
      <c r="D261" s="3"/>
      <c r="E261" s="37"/>
    </row>
    <row r="262" spans="1:5" x14ac:dyDescent="0.3">
      <c r="A262" s="5" t="s">
        <v>110</v>
      </c>
      <c r="B262" s="30" t="s">
        <v>295</v>
      </c>
      <c r="C262" s="6">
        <f>C58</f>
        <v>299</v>
      </c>
      <c r="D262" s="6">
        <v>0</v>
      </c>
      <c r="E262" s="33"/>
    </row>
    <row r="263" spans="1:5" x14ac:dyDescent="0.3">
      <c r="A263" s="7" t="s">
        <v>296</v>
      </c>
      <c r="B263" s="8"/>
      <c r="C263" s="9">
        <f>C262+D262</f>
        <v>299</v>
      </c>
      <c r="D263" s="8">
        <v>0</v>
      </c>
      <c r="E263" s="35"/>
    </row>
    <row r="264" spans="1:5" x14ac:dyDescent="0.3">
      <c r="A264" s="38" t="s">
        <v>297</v>
      </c>
      <c r="B264" s="3" t="s">
        <v>292</v>
      </c>
      <c r="C264" s="2">
        <f>C263+D263</f>
        <v>299</v>
      </c>
      <c r="D264" s="12">
        <v>400</v>
      </c>
      <c r="E264" s="32" t="s">
        <v>31</v>
      </c>
    </row>
    <row r="265" spans="1:5" x14ac:dyDescent="0.3">
      <c r="A265" s="38" t="s">
        <v>298</v>
      </c>
      <c r="B265" s="3" t="s">
        <v>291</v>
      </c>
      <c r="C265" s="2">
        <f>C264+D264</f>
        <v>699</v>
      </c>
      <c r="D265" s="12">
        <v>3000</v>
      </c>
      <c r="E265" s="32" t="s">
        <v>31</v>
      </c>
    </row>
    <row r="266" spans="1:5" x14ac:dyDescent="0.3">
      <c r="A266" s="7" t="s">
        <v>294</v>
      </c>
      <c r="B266" s="8" t="s">
        <v>46</v>
      </c>
      <c r="C266" s="9">
        <f>C265+D265</f>
        <v>3699</v>
      </c>
      <c r="D266" s="8">
        <f>4096-C266</f>
        <v>397</v>
      </c>
      <c r="E266" s="35"/>
    </row>
    <row r="267" spans="1:5" x14ac:dyDescent="0.3">
      <c r="A267" s="4"/>
      <c r="B267" s="3"/>
      <c r="C267" s="2"/>
      <c r="D267" s="3"/>
      <c r="E267" s="37"/>
    </row>
    <row r="268" spans="1:5" x14ac:dyDescent="0.3">
      <c r="A268" s="5" t="s">
        <v>110</v>
      </c>
      <c r="B268" s="29" t="s">
        <v>255</v>
      </c>
      <c r="C268" s="6">
        <f>C58</f>
        <v>299</v>
      </c>
      <c r="D268" s="6">
        <v>0</v>
      </c>
      <c r="E268" s="33"/>
    </row>
    <row r="269" spans="1:5" x14ac:dyDescent="0.3">
      <c r="A269" s="7" t="s">
        <v>256</v>
      </c>
      <c r="B269" s="8" t="s">
        <v>46</v>
      </c>
      <c r="C269" s="9">
        <f>C268+D268</f>
        <v>299</v>
      </c>
      <c r="D269" s="8">
        <f>4096-C269</f>
        <v>3797</v>
      </c>
      <c r="E269" s="31" t="s">
        <v>8</v>
      </c>
    </row>
  </sheetData>
  <mergeCells count="9">
    <mergeCell ref="E162:E165"/>
    <mergeCell ref="E129:E132"/>
    <mergeCell ref="E3:E5"/>
    <mergeCell ref="E6:E11"/>
    <mergeCell ref="E12:E13"/>
    <mergeCell ref="E73:E75"/>
    <mergeCell ref="E22:E24"/>
    <mergeCell ref="E27:E51"/>
    <mergeCell ref="E53:E54"/>
  </mergeCells>
  <phoneticPr fontId="7" type="noConversion"/>
  <pageMargins left="0.23622047244094491" right="0.23622047244094491" top="0.74803149606299213" bottom="0.74803149606299213" header="0.31496062992125984" footer="0.31496062992125984"/>
  <pageSetup paperSize="9" scale="74" fitToHeight="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65E1-93D1-4BB3-8AA1-A85B8DEF54C1}">
  <dimension ref="A1:D12"/>
  <sheetViews>
    <sheetView workbookViewId="0"/>
  </sheetViews>
  <sheetFormatPr defaultRowHeight="14.4" x14ac:dyDescent="0.3"/>
  <cols>
    <col min="1" max="1" width="39.109375" bestFit="1" customWidth="1"/>
    <col min="2" max="2" width="109.109375" customWidth="1"/>
    <col min="3" max="3" width="57.6640625" customWidth="1"/>
    <col min="4" max="4" width="128" customWidth="1"/>
  </cols>
  <sheetData>
    <row r="1" spans="1:4" x14ac:dyDescent="0.3">
      <c r="A1" s="41" t="s">
        <v>335</v>
      </c>
      <c r="B1" s="41" t="s">
        <v>227</v>
      </c>
      <c r="C1" s="41" t="s">
        <v>337</v>
      </c>
      <c r="D1" s="41" t="s">
        <v>334</v>
      </c>
    </row>
    <row r="2" spans="1:4" ht="230.4" x14ac:dyDescent="0.3">
      <c r="A2" s="42" t="s">
        <v>346</v>
      </c>
      <c r="B2" s="43" t="s">
        <v>336</v>
      </c>
      <c r="C2" s="43" t="s">
        <v>344</v>
      </c>
      <c r="D2" s="42"/>
    </row>
    <row r="3" spans="1:4" ht="138" customHeight="1" x14ac:dyDescent="0.3">
      <c r="A3" s="42" t="s">
        <v>345</v>
      </c>
      <c r="B3" s="43" t="s">
        <v>338</v>
      </c>
      <c r="C3" s="43" t="s">
        <v>347</v>
      </c>
      <c r="D3" s="42"/>
    </row>
    <row r="4" spans="1:4" x14ac:dyDescent="0.3">
      <c r="A4" s="42" t="s">
        <v>363</v>
      </c>
      <c r="B4" s="44" t="s">
        <v>365</v>
      </c>
      <c r="C4" s="43" t="s">
        <v>364</v>
      </c>
      <c r="D4" s="42"/>
    </row>
    <row r="5" spans="1:4" ht="72" x14ac:dyDescent="0.3">
      <c r="A5" s="42" t="s">
        <v>350</v>
      </c>
      <c r="B5" s="43" t="s">
        <v>348</v>
      </c>
      <c r="C5" s="43" t="s">
        <v>349</v>
      </c>
      <c r="D5" s="42"/>
    </row>
    <row r="6" spans="1:4" ht="86.4" x14ac:dyDescent="0.3">
      <c r="A6" s="42" t="s">
        <v>353</v>
      </c>
      <c r="B6" s="43" t="s">
        <v>351</v>
      </c>
      <c r="C6" s="43" t="s">
        <v>352</v>
      </c>
      <c r="D6" s="42"/>
    </row>
    <row r="7" spans="1:4" ht="167.25" customHeight="1" x14ac:dyDescent="0.3">
      <c r="A7" s="42" t="s">
        <v>340</v>
      </c>
      <c r="B7" s="43" t="s">
        <v>354</v>
      </c>
      <c r="C7" s="43" t="s">
        <v>355</v>
      </c>
      <c r="D7" s="42"/>
    </row>
    <row r="8" spans="1:4" ht="121.5" customHeight="1" x14ac:dyDescent="0.3">
      <c r="A8" s="42" t="s">
        <v>358</v>
      </c>
      <c r="B8" s="43" t="s">
        <v>356</v>
      </c>
      <c r="C8" s="43" t="s">
        <v>357</v>
      </c>
      <c r="D8" s="42"/>
    </row>
    <row r="9" spans="1:4" ht="141.75" customHeight="1" x14ac:dyDescent="0.3">
      <c r="A9" s="42" t="s">
        <v>358</v>
      </c>
      <c r="B9" s="43" t="s">
        <v>359</v>
      </c>
      <c r="C9" s="43" t="s">
        <v>339</v>
      </c>
      <c r="D9" s="42"/>
    </row>
    <row r="10" spans="1:4" ht="115.2" x14ac:dyDescent="0.3">
      <c r="A10" s="42" t="s">
        <v>362</v>
      </c>
      <c r="B10" s="43" t="s">
        <v>361</v>
      </c>
      <c r="C10" s="43" t="s">
        <v>360</v>
      </c>
      <c r="D10" s="42"/>
    </row>
    <row r="11" spans="1:4" x14ac:dyDescent="0.3">
      <c r="A11" s="42" t="s">
        <v>340</v>
      </c>
      <c r="B11" s="44" t="s">
        <v>366</v>
      </c>
      <c r="C11" s="43" t="s">
        <v>341</v>
      </c>
      <c r="D11" s="42"/>
    </row>
    <row r="12" spans="1:4" x14ac:dyDescent="0.3">
      <c r="A12" s="42" t="s">
        <v>342</v>
      </c>
      <c r="B12" s="44" t="s">
        <v>366</v>
      </c>
      <c r="C12" s="43" t="s">
        <v>343</v>
      </c>
      <c r="D12" s="42"/>
    </row>
  </sheetData>
  <phoneticPr fontId="7" type="noConversion"/>
  <pageMargins left="0.7" right="0.7" top="0.75" bottom="0.75" header="0.3" footer="0.3"/>
  <drawing r:id="rId1"/>
</worksheet>
</file>

<file path=docMetadata/LabelInfo.xml><?xml version="1.0" encoding="utf-8"?>
<clbl:labelList xmlns:clbl="http://schemas.microsoft.com/office/2020/mipLabelMetadata">
  <clbl:label id="{b0391acc-8330-42a2-8f91-859034ac3aa4}" enabled="1" method="Standard" siteId="{b27f00d3-6ccb-4240-b5d0-56729544887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BGOW9067</vt:lpstr>
      <vt:lpstr>Textos</vt:lpstr>
    </vt:vector>
  </TitlesOfParts>
  <Manager/>
  <Company>Fidelidade Mundial,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Paulo Jorge Santos Graça [EE] (DSI)</dc:creator>
  <cp:keywords/>
  <dc:description/>
  <cp:lastModifiedBy>José Augusto Duarte dos Santos (ITD)</cp:lastModifiedBy>
  <cp:revision/>
  <dcterms:created xsi:type="dcterms:W3CDTF">2015-07-28T09:44:45Z</dcterms:created>
  <dcterms:modified xsi:type="dcterms:W3CDTF">2026-04-14T14:18:29Z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391acc-8330-42a2-8f91-859034ac3aa4_Enabled">
    <vt:lpwstr>true</vt:lpwstr>
  </property>
  <property fmtid="{D5CDD505-2E9C-101B-9397-08002B2CF9AE}" pid="3" name="MSIP_Label_b0391acc-8330-42a2-8f91-859034ac3aa4_SetDate">
    <vt:lpwstr>2026-01-20T17:14:35Z</vt:lpwstr>
  </property>
  <property fmtid="{D5CDD505-2E9C-101B-9397-08002B2CF9AE}" pid="4" name="MSIP_Label_b0391acc-8330-42a2-8f91-859034ac3aa4_Method">
    <vt:lpwstr>Standard</vt:lpwstr>
  </property>
  <property fmtid="{D5CDD505-2E9C-101B-9397-08002B2CF9AE}" pid="5" name="MSIP_Label_b0391acc-8330-42a2-8f91-859034ac3aa4_Name">
    <vt:lpwstr>b0391acc-8330-42a2-8f91-859034ac3aa4</vt:lpwstr>
  </property>
  <property fmtid="{D5CDD505-2E9C-101B-9397-08002B2CF9AE}" pid="6" name="MSIP_Label_b0391acc-8330-42a2-8f91-859034ac3aa4_SiteId">
    <vt:lpwstr>b27f00d3-6ccb-4240-b5d0-56729544887e</vt:lpwstr>
  </property>
  <property fmtid="{D5CDD505-2E9C-101B-9397-08002B2CF9AE}" pid="7" name="MSIP_Label_b0391acc-8330-42a2-8f91-859034ac3aa4_ActionId">
    <vt:lpwstr>081f218a-671a-4a85-87d0-e966d6f301f5</vt:lpwstr>
  </property>
  <property fmtid="{D5CDD505-2E9C-101B-9397-08002B2CF9AE}" pid="8" name="MSIP_Label_b0391acc-8330-42a2-8f91-859034ac3aa4_ContentBits">
    <vt:lpwstr>0</vt:lpwstr>
  </property>
  <property fmtid="{D5CDD505-2E9C-101B-9397-08002B2CF9AE}" pid="9" name="MSIP_Label_b0391acc-8330-42a2-8f91-859034ac3aa4_Tag">
    <vt:lpwstr>10, 3, 0, 1</vt:lpwstr>
  </property>
</Properties>
</file>