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F005473\AppData\Local\Temp\OneNote\16.0\Exported\{20BE5273-FCD0-4EE8-89D8-812D04CF3DD6}\NT\0\"/>
    </mc:Choice>
  </mc:AlternateContent>
  <xr:revisionPtr revIDLastSave="0" documentId="13_ncr:1_{BDCDA98D-7A80-477A-BCDA-D11C243BDA6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Layout FSCD - Vid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3" l="1"/>
  <c r="E8" i="3" l="1"/>
  <c r="I8" i="3" s="1"/>
  <c r="E10" i="3" l="1"/>
  <c r="I10" i="3" s="1"/>
  <c r="E13" i="3" l="1"/>
  <c r="E14" i="3" l="1"/>
  <c r="I13" i="3"/>
  <c r="E19" i="3" l="1"/>
  <c r="I14" i="3"/>
  <c r="I19" i="3" l="1"/>
  <c r="E27" i="3"/>
  <c r="E29" i="3" l="1"/>
  <c r="I27" i="3"/>
  <c r="E30" i="3" l="1"/>
  <c r="I29" i="3"/>
  <c r="E31" i="3" l="1"/>
  <c r="I30" i="3"/>
  <c r="E32" i="3" l="1"/>
  <c r="I31" i="3"/>
  <c r="E42" i="3" l="1"/>
  <c r="I32" i="3"/>
  <c r="I42" i="3" l="1"/>
  <c r="F43" i="3"/>
  <c r="E117" i="3" s="1"/>
  <c r="E43" i="3"/>
  <c r="E46" i="3" s="1"/>
  <c r="I46" i="3" l="1"/>
  <c r="E48" i="3"/>
  <c r="E49" i="3" l="1"/>
  <c r="I48" i="3"/>
  <c r="E50" i="3" l="1"/>
  <c r="I49" i="3"/>
  <c r="E51" i="3" l="1"/>
  <c r="I50" i="3"/>
  <c r="E52" i="3" l="1"/>
  <c r="I51" i="3"/>
  <c r="I52" i="3" l="1"/>
  <c r="E76" i="3"/>
  <c r="I76" i="3" l="1"/>
  <c r="E77" i="3"/>
  <c r="E79" i="3" l="1"/>
  <c r="E80" i="3" s="1"/>
  <c r="I77" i="3"/>
  <c r="I80" i="3" l="1"/>
  <c r="E81" i="3"/>
  <c r="E82" i="3" l="1"/>
  <c r="I81" i="3"/>
  <c r="E83" i="3" l="1"/>
  <c r="I82" i="3"/>
  <c r="E84" i="3" l="1"/>
  <c r="I83" i="3"/>
  <c r="E85" i="3" l="1"/>
  <c r="I84" i="3"/>
  <c r="E86" i="3" l="1"/>
  <c r="I85" i="3"/>
  <c r="E87" i="3" l="1"/>
  <c r="I86" i="3"/>
  <c r="E88" i="3" l="1"/>
  <c r="I87" i="3"/>
  <c r="E89" i="3" l="1"/>
  <c r="I88" i="3"/>
  <c r="E90" i="3" l="1"/>
  <c r="I89" i="3"/>
  <c r="E91" i="3" l="1"/>
  <c r="I90" i="3"/>
  <c r="E94" i="3" l="1"/>
  <c r="E95" i="3" s="1"/>
  <c r="I91" i="3"/>
  <c r="E96" i="3" l="1"/>
  <c r="I95" i="3"/>
  <c r="E97" i="3" l="1"/>
  <c r="I96" i="3"/>
  <c r="E98" i="3" l="1"/>
  <c r="I97" i="3"/>
  <c r="E99" i="3" l="1"/>
  <c r="I98" i="3"/>
  <c r="E100" i="3" l="1"/>
  <c r="I99" i="3"/>
  <c r="E101" i="3" l="1"/>
  <c r="I100" i="3"/>
  <c r="E102" i="3" l="1"/>
  <c r="I101" i="3"/>
  <c r="E103" i="3" l="1"/>
  <c r="I102" i="3"/>
  <c r="E104" i="3" l="1"/>
  <c r="I103" i="3"/>
  <c r="E105" i="3" l="1"/>
  <c r="I104" i="3"/>
  <c r="I105" i="3" l="1"/>
  <c r="E106" i="3"/>
  <c r="E111" i="3" l="1"/>
  <c r="E112" i="3" s="1"/>
  <c r="E113" i="3" s="1"/>
  <c r="I113" i="3" s="1"/>
  <c r="I106" i="3"/>
  <c r="E114" i="3" l="1"/>
  <c r="E115" i="3" s="1"/>
  <c r="I112" i="3"/>
  <c r="E116" i="3" l="1"/>
  <c r="I115" i="3"/>
  <c r="F1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Jorge Santos Graça [EE] (DSI)</author>
    <author>Nuno Jorge Sousa Fernandes [EE] (FIT)</author>
    <author>Nuno Jorge de Sousa Fernandes (ITD)</author>
  </authors>
  <commentList>
    <comment ref="G1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Obrigatório, quando se trata de uma impressão Online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Não é suposto receber ViaDirecta… deve ser enviado ficheiro para eles directamente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Não é suposto recebermos OK Teleseguro ou Continente. Deve ser enviado ficheiro para a ViaDirecta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Apenas para casos em que a marca é FM ou IB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6" authorId="1" shapeId="0" xr:uid="{84D0110F-948B-4D5E-8E91-200A817552E2}">
      <text>
        <r>
          <rPr>
            <b/>
            <sz val="9"/>
            <color indexed="81"/>
            <rFont val="Tahoma"/>
            <charset val="1"/>
          </rPr>
          <t>Obrigatório para o Aviso Crédito e Recibo por Tesouraria</t>
        </r>
      </text>
    </comment>
    <comment ref="G48" authorId="1" shapeId="0" xr:uid="{9970F7DD-55D7-419C-AE6F-225408350F91}">
      <text>
        <r>
          <rPr>
            <b/>
            <sz val="9"/>
            <color indexed="81"/>
            <rFont val="Tahoma"/>
            <charset val="1"/>
          </rPr>
          <t>Obrigatório para o Aviso Crédito e Recibo por Tesouraria</t>
        </r>
      </text>
    </comment>
    <comment ref="G49" authorId="1" shapeId="0" xr:uid="{F66938E4-6FD6-4045-B8C3-8A6EF1CFFD8F}">
      <text>
        <r>
          <rPr>
            <b/>
            <sz val="9"/>
            <color indexed="81"/>
            <rFont val="Tahoma"/>
            <charset val="1"/>
          </rPr>
          <t>Obrigatório para o Aviso Crédito e Recibo por Tesouraria</t>
        </r>
      </text>
    </comment>
    <comment ref="G50" authorId="2" shapeId="0" xr:uid="{6E8291B8-36B2-41CF-B63B-A3591A97936C}">
      <text>
        <r>
          <rPr>
            <b/>
            <sz val="9"/>
            <color indexed="81"/>
            <rFont val="Tahoma"/>
            <charset val="1"/>
          </rPr>
          <t>Nuno Jorge de Sousa Fernandes (ITD):</t>
        </r>
        <r>
          <rPr>
            <sz val="9"/>
            <color indexed="81"/>
            <rFont val="Tahoma"/>
            <charset val="1"/>
          </rPr>
          <t xml:space="preserve">
não é preenchido pelo FSCD</t>
        </r>
      </text>
    </comment>
    <comment ref="G51" authorId="1" shapeId="0" xr:uid="{0D1B23F2-E28D-471E-BF5F-0220A3263D1B}">
      <text>
        <r>
          <rPr>
            <b/>
            <sz val="9"/>
            <color indexed="81"/>
            <rFont val="Tahoma"/>
            <charset val="1"/>
          </rPr>
          <t>Obrigatório para o Aviso Crédito e Recibo por Tesouraria</t>
        </r>
      </text>
    </comment>
    <comment ref="G76" authorId="1" shapeId="0" xr:uid="{E20CDCE9-AB41-403B-AA41-7D28DD5AB820}">
      <text>
        <r>
          <rPr>
            <b/>
            <sz val="9"/>
            <color indexed="81"/>
            <rFont val="Tahoma"/>
            <family val="2"/>
          </rPr>
          <t>Obrigatório para o Aviso Crédito e Recibo por Tesouraria</t>
        </r>
      </text>
    </comment>
    <comment ref="G95" authorId="1" shapeId="0" xr:uid="{14E71053-9ED0-40AC-B3BF-02E09588732D}">
      <text>
        <r>
          <rPr>
            <b/>
            <sz val="9"/>
            <color indexed="81"/>
            <rFont val="Tahoma"/>
            <family val="2"/>
          </rPr>
          <t>Obrigatório para o Recibo por Tesouraria</t>
        </r>
      </text>
    </comment>
    <comment ref="G96" authorId="1" shapeId="0" xr:uid="{BFCFF1FA-0028-42C0-86E0-E9FAC35004C8}">
      <text>
        <r>
          <rPr>
            <b/>
            <sz val="9"/>
            <color indexed="81"/>
            <rFont val="Tahoma"/>
            <family val="2"/>
          </rPr>
          <t>Obrigatório para o Recibo por Tesouraria</t>
        </r>
      </text>
    </comment>
    <comment ref="G97" authorId="1" shapeId="0" xr:uid="{796C8ED5-81C7-4071-BC1B-D29F85D04F56}">
      <text>
        <r>
          <rPr>
            <b/>
            <sz val="9"/>
            <color indexed="81"/>
            <rFont val="Tahoma"/>
            <family val="2"/>
          </rPr>
          <t>Obrigatório para a Carta Controlo Qualidade e Aviso Crédito</t>
        </r>
      </text>
    </comment>
    <comment ref="G99" authorId="1" shapeId="0" xr:uid="{E9E9B338-52DD-4523-BB36-A232BB01B08C}">
      <text>
        <r>
          <rPr>
            <b/>
            <sz val="9"/>
            <color indexed="81"/>
            <rFont val="Tahoma"/>
            <family val="2"/>
          </rPr>
          <t>Obrigatório para o Aviso Crédito e Recibo por Tesouraria</t>
        </r>
      </text>
    </comment>
    <comment ref="G100" authorId="1" shapeId="0" xr:uid="{D3DF8B17-2DDA-4AE8-B8F5-0D4A8B169241}">
      <text>
        <r>
          <rPr>
            <b/>
            <sz val="9"/>
            <color indexed="81"/>
            <rFont val="Tahoma"/>
            <family val="2"/>
          </rPr>
          <t>Obrigatório para o Aviso Crédito e Recibo por Tesouraria</t>
        </r>
      </text>
    </comment>
    <comment ref="G101" authorId="1" shapeId="0" xr:uid="{F347E41F-94E2-4375-B70E-D7D42F222B7A}">
      <text>
        <r>
          <rPr>
            <b/>
            <sz val="9"/>
            <color indexed="81"/>
            <rFont val="Tahoma"/>
            <family val="2"/>
          </rPr>
          <t>Obrigatório para o Aviso Crédito e Recibo por Tesouraria</t>
        </r>
      </text>
    </comment>
    <comment ref="G104" authorId="1" shapeId="0" xr:uid="{2BA71BF0-B86F-428B-9CBA-893865908CA1}">
      <text>
        <r>
          <rPr>
            <b/>
            <sz val="9"/>
            <color indexed="81"/>
            <rFont val="Tahoma"/>
            <family val="2"/>
          </rPr>
          <t>Obrigatório para o Aviso Crédito</t>
        </r>
      </text>
    </comment>
    <comment ref="G105" authorId="1" shapeId="0" xr:uid="{7E886CF5-3F6B-4BC9-A0AE-3788941DBA1D}">
      <text>
        <r>
          <rPr>
            <b/>
            <sz val="9"/>
            <color indexed="81"/>
            <rFont val="Tahoma"/>
            <family val="2"/>
          </rPr>
          <t>Obrigatório para o Aviso Crédito</t>
        </r>
      </text>
    </comment>
    <comment ref="G106" authorId="1" shapeId="0" xr:uid="{5F44D23A-AB47-4FE3-B780-D7C23124B88A}">
      <text>
        <r>
          <rPr>
            <b/>
            <sz val="9"/>
            <color indexed="81"/>
            <rFont val="Tahoma"/>
            <charset val="1"/>
          </rPr>
          <t>Obrigatório para o Recibo por Tesouraria</t>
        </r>
      </text>
    </comment>
    <comment ref="G112" authorId="1" shapeId="0" xr:uid="{799AA37C-A1DC-4928-B9B2-17E7150DDBFD}">
      <text>
        <r>
          <rPr>
            <b/>
            <sz val="9"/>
            <color indexed="81"/>
            <rFont val="Tahoma"/>
            <family val="2"/>
          </rPr>
          <t>Obrigatório para o Aviso Crédito e Recibo por Tesouraria</t>
        </r>
      </text>
    </comment>
    <comment ref="G113" authorId="1" shapeId="0" xr:uid="{ABBF7B23-16B3-4D7F-B0C2-D636F680DCEF}">
      <text>
        <r>
          <rPr>
            <b/>
            <sz val="9"/>
            <color indexed="81"/>
            <rFont val="Tahoma"/>
            <family val="2"/>
          </rPr>
          <t>Obrigatório para o Aviso Crédito e Recibo por Tesouraria</t>
        </r>
      </text>
    </comment>
  </commentList>
</comments>
</file>

<file path=xl/sharedStrings.xml><?xml version="1.0" encoding="utf-8"?>
<sst xmlns="http://schemas.openxmlformats.org/spreadsheetml/2006/main" count="252" uniqueCount="209">
  <si>
    <t>Posição</t>
  </si>
  <si>
    <t>Tamanho</t>
  </si>
  <si>
    <t>Copybook</t>
  </si>
  <si>
    <t>Código de identificação da Companhia</t>
  </si>
  <si>
    <t>Código de identificação da Marca</t>
  </si>
  <si>
    <t>Código de identificação do Sistema Origem</t>
  </si>
  <si>
    <t>Número do Mediador</t>
  </si>
  <si>
    <t>Número do Cliente</t>
  </si>
  <si>
    <t>Número da Apólice</t>
  </si>
  <si>
    <t>Nome</t>
  </si>
  <si>
    <t>Dados de morada 1</t>
  </si>
  <si>
    <t>Dados de morada 2</t>
  </si>
  <si>
    <t>Localidade</t>
  </si>
  <si>
    <t>Descritivo do código postal</t>
  </si>
  <si>
    <t>05  :PREFIX:-DADOS-REGISTO.</t>
  </si>
  <si>
    <t>Código de documento</t>
  </si>
  <si>
    <t xml:space="preserve">     '111' - Via Directa</t>
  </si>
  <si>
    <t xml:space="preserve">     '148' - Multicare</t>
  </si>
  <si>
    <t xml:space="preserve">     '001' - OK Teleseguro</t>
  </si>
  <si>
    <t xml:space="preserve">     '006' - Multicare</t>
  </si>
  <si>
    <t xml:space="preserve">     '005' - Continente</t>
  </si>
  <si>
    <t xml:space="preserve">     'GIS' - GIS</t>
  </si>
  <si>
    <t xml:space="preserve">     'MHS' - Multicare</t>
  </si>
  <si>
    <t>Total:</t>
  </si>
  <si>
    <t>Novo</t>
  </si>
  <si>
    <t>Descrição / Valores Possiveis / [Formato]</t>
  </si>
  <si>
    <t>Referência da morada</t>
  </si>
  <si>
    <t>Código postal (Se estrangeiro deverá vir a zeros) [9999-999]</t>
  </si>
  <si>
    <t xml:space="preserve">     '128' - Fidelidade</t>
  </si>
  <si>
    <t>Tipo Entidade</t>
  </si>
  <si>
    <t>Tipo de impressão</t>
  </si>
  <si>
    <t xml:space="preserve">     'I' - Impressão OnLine (Immediate)</t>
  </si>
  <si>
    <t xml:space="preserve">     'O' - Impressão via batch (Overnight)</t>
  </si>
  <si>
    <t xml:space="preserve">  07  :PREFIX:-COD-DOCUMENTO            PIC X(04).</t>
  </si>
  <si>
    <t>Tipo de registo</t>
  </si>
  <si>
    <t xml:space="preserve">  07  :PREFIX:-TIPO-IMPRESSAO           PIC X(01).</t>
  </si>
  <si>
    <t xml:space="preserve">      88  :PREFIX:-IMP-ONLINE               VALUE 'I'.</t>
  </si>
  <si>
    <t xml:space="preserve">      88  :PREFIX:-IMP-BATCH                VALUE 'O'.</t>
  </si>
  <si>
    <t xml:space="preserve">  07  :PREFIX:-COD-COMPANHIA            PIC X(03).</t>
  </si>
  <si>
    <t xml:space="preserve">      88  :PREFIX:-COM-VIADIRECTA           VALUE '111'.</t>
  </si>
  <si>
    <t xml:space="preserve">      88  :PREFIX:-COM-FIDELIDADE           VALUE '128'.</t>
  </si>
  <si>
    <t xml:space="preserve">      88  :PREFIX:-COM-MULTICARE            VALUE '148'.</t>
  </si>
  <si>
    <t xml:space="preserve">  07  :PREFIX:-COD-MARCA                PIC X(03).</t>
  </si>
  <si>
    <t xml:space="preserve">      88  :PREFIX:-MAR-OKTELESEGURO         VALUE '001'.</t>
  </si>
  <si>
    <t xml:space="preserve">      88  :PREFIX:-MAR-SONAE                VALUE '005'.</t>
  </si>
  <si>
    <t xml:space="preserve">      88  :PREFIX:-MAR-MULTICARE            VALUE '006'.</t>
  </si>
  <si>
    <t xml:space="preserve">  07  :PREFIX:-TIPO-REGISTO             PIC X(01).</t>
  </si>
  <si>
    <t xml:space="preserve">      88  :PREFIX:-REG-TIPO1                VALUE '1'.</t>
  </si>
  <si>
    <t xml:space="preserve">  07  :PREFIX:-NR-AGENTE                PIC X(10).</t>
  </si>
  <si>
    <t xml:space="preserve">  07  :PREFIX:-NR-CLIENTE               PIC X(10).</t>
  </si>
  <si>
    <t xml:space="preserve">  07  :PREFIX:-NR-APOLICE               PIC X(16).</t>
  </si>
  <si>
    <t xml:space="preserve">  07  :PREFIX:-COD-ORIGEM               PIC X(03).</t>
  </si>
  <si>
    <t xml:space="preserve">      88  :PREFIX:-ORI-GIS                  VALUE 'GIS'.</t>
  </si>
  <si>
    <t xml:space="preserve">      88  :PREFIX:-ORI-COLHEITAS            VALUE 'CLH'.</t>
  </si>
  <si>
    <t xml:space="preserve">      88  :PREFIX:-ORI-MULTICARE            VALUE 'MHS'.</t>
  </si>
  <si>
    <t>05  FILLER  REDEFINES  :PREFIX:-DADOS-DOCUMENTO.</t>
  </si>
  <si>
    <t xml:space="preserve">  07  :PREFIX:-DADOS-CLIENTE.</t>
  </si>
  <si>
    <t xml:space="preserve">    09  :PREFIX:-CL-NOME                PIC X(40).</t>
  </si>
  <si>
    <t xml:space="preserve">    09  :PREFIX:-CL-LOCATION-REF        PIC X(04).</t>
  </si>
  <si>
    <t xml:space="preserve">    09  :PREFIX:-CL-MORADA1             PIC X(40).</t>
  </si>
  <si>
    <t xml:space="preserve">    09  :PREFIX:-CL-MORADA2             PIC X(40).</t>
  </si>
  <si>
    <t xml:space="preserve">    09  :PREFIX:-CL-LOCALIDADE          PIC X(40).</t>
  </si>
  <si>
    <t xml:space="preserve">    09  :PREFIX:-CL-CPOSTAL             PIC X(09).</t>
  </si>
  <si>
    <t xml:space="preserve">    09  :PREFIX:-CL-CPOSTAL-DESC        PIC X(40).</t>
  </si>
  <si>
    <t xml:space="preserve">    09  :PREFIX:-CL-TIPO-ENTIDADE       PIC X(01).</t>
  </si>
  <si>
    <t xml:space="preserve">  07  :PREFIX:-DADOS-DATA.</t>
  </si>
  <si>
    <t xml:space="preserve">  07  :PREFIX:-DADOS-VALOR.</t>
  </si>
  <si>
    <t xml:space="preserve">  07  :PREFIX:-USERID                   PIC X(08).</t>
  </si>
  <si>
    <t>User Id da impressão OnLine</t>
  </si>
  <si>
    <t xml:space="preserve">  07  :PREFIX:-AUX-MARCA                PIC X(01).</t>
  </si>
  <si>
    <t xml:space="preserve">      88  :PREFIX:-MAR-LEVE                 VALUE 'L'.</t>
  </si>
  <si>
    <t xml:space="preserve">        88  :PREFIX:-CL-ENT-PARTICUL        VALUE '1'.</t>
  </si>
  <si>
    <t xml:space="preserve">        88  :PREFIX:-CL-ENT-COLETIVA        VALUE '2'.</t>
  </si>
  <si>
    <t xml:space="preserve">     '1' - Pessoa / Particular</t>
  </si>
  <si>
    <t xml:space="preserve">     '2' - Colectivo/Conta Interna</t>
  </si>
  <si>
    <t xml:space="preserve">    09  :PREFIX:-TIPO-RECIBO            PIC X(02).</t>
  </si>
  <si>
    <t xml:space="preserve">    09  :PREFIX:-NR-RECIBO              PIC X(16).</t>
  </si>
  <si>
    <t xml:space="preserve">      88  :PREFIX:-ORI-COGEN22              VALUE 'CG2'.</t>
  </si>
  <si>
    <t xml:space="preserve">     'CG2' - Cogen 22</t>
  </si>
  <si>
    <t xml:space="preserve">      88  :PREFIX:-ORI-COGEN33              VALUE 'CGN'.</t>
  </si>
  <si>
    <t xml:space="preserve">     'CGN' - Cogen 33</t>
  </si>
  <si>
    <t xml:space="preserve">     'CLH' - Colheitas (GIC)</t>
  </si>
  <si>
    <t>Código do País (Se estrangeiro, diferente de 620)</t>
  </si>
  <si>
    <t xml:space="preserve">    09  :PREFIX:-CL-CPAIS               PIC X(03).</t>
  </si>
  <si>
    <t xml:space="preserve">     'L' - Leve (Substitui 'L02' - FM Leve / 'L03' - IB Leve, apenas para marca 002 ou 003)</t>
  </si>
  <si>
    <t xml:space="preserve">    09  :PREFIX:-CL-CPAIS-DESC          PIC X(40).</t>
  </si>
  <si>
    <t>Descritivo do País</t>
  </si>
  <si>
    <t xml:space="preserve">    09  :PREFIX:-CL-IDP                 PIC X(04).</t>
  </si>
  <si>
    <t>Identificação da Porta (no CBC)</t>
  </si>
  <si>
    <t xml:space="preserve">     '002' - Fidelidade</t>
  </si>
  <si>
    <t xml:space="preserve">      88  :PREFIX:-MAR-FIDELIDADE           VALUE '002'.</t>
  </si>
  <si>
    <t xml:space="preserve">        88  :PREFIX:-RAM-NVIDA              VALUE '0201  '</t>
  </si>
  <si>
    <t xml:space="preserve">              '0205  ' '0210  ' '0301  ' '0305  ' '0310  '</t>
  </si>
  <si>
    <t xml:space="preserve">              '3109  '.</t>
  </si>
  <si>
    <t>Ramos não vida</t>
  </si>
  <si>
    <t>Ramos não vida: Colheitas</t>
  </si>
  <si>
    <t>Ramos não vida: Saúde</t>
  </si>
  <si>
    <r>
      <t xml:space="preserve">Código do Ramo SO </t>
    </r>
    <r>
      <rPr>
        <sz val="11"/>
        <color rgb="FFFF0000"/>
        <rFont val="Calibri"/>
        <family val="2"/>
        <scheme val="minor"/>
      </rPr>
      <t>[Garantir que no máximo vem 6 posições]</t>
    </r>
  </si>
  <si>
    <t xml:space="preserve">    09  :PREFIX:-COD-RAMO               PIC X(10).</t>
  </si>
  <si>
    <t>Número de identificação fiscal (No caso de Portugal será PT999999999)</t>
  </si>
  <si>
    <t xml:space="preserve">    09  :PREFIX:-CL-NIF                 PIC X(22).</t>
  </si>
  <si>
    <t xml:space="preserve">        88  :PREFIX:-RAM-NVIDA-MHS          VALUE '3102  '</t>
  </si>
  <si>
    <t xml:space="preserve">        88  :PREFIX:-RAM-NVIDA-CLH          VALUE '22000 '</t>
  </si>
  <si>
    <t xml:space="preserve">     '138' - Império</t>
  </si>
  <si>
    <t xml:space="preserve">      88  :PREFIX:-COM-IMPERIO              VALUE '138'.</t>
  </si>
  <si>
    <t xml:space="preserve">      88  :PREFIX:-MAR-IMPERIO              VALUE '003'.</t>
  </si>
  <si>
    <t xml:space="preserve">     '003' - Império</t>
  </si>
  <si>
    <t xml:space="preserve">      88  :PREFIX:-MAR-ICI                  VALUE '004'.</t>
  </si>
  <si>
    <t xml:space="preserve">     '004' - ICI</t>
  </si>
  <si>
    <t xml:space="preserve">    09  :PREFIX:-DESCR-RAMO-PROD        PIC X(40).</t>
  </si>
  <si>
    <t>Opcional</t>
  </si>
  <si>
    <t>Condicional</t>
  </si>
  <si>
    <t>Obrigatório</t>
  </si>
  <si>
    <t>Observações</t>
  </si>
  <si>
    <t xml:space="preserve">        88  :PREFIX:-RAM-VIDA               VALUE '11    '</t>
  </si>
  <si>
    <t xml:space="preserve">              '13    ' '14    '.</t>
  </si>
  <si>
    <t xml:space="preserve">     'FGS' - FGS</t>
  </si>
  <si>
    <t xml:space="preserve">      88  :PREFIX:-ORI-SGF-GR               VALUE 'SPG'.</t>
  </si>
  <si>
    <t xml:space="preserve">     'SPG' - SGF Grupo (Paxus)</t>
  </si>
  <si>
    <t>Ramos Vida</t>
  </si>
  <si>
    <t xml:space="preserve">      88  :PREFIX:-ORI-FGS                  VALUE 'FGS'.</t>
  </si>
  <si>
    <t xml:space="preserve">      88  :PREFIX:-ORI-SGF-IN               VALUE 'SPA'.</t>
  </si>
  <si>
    <t xml:space="preserve">     'SPA' - SGF Individual (Paxus)</t>
  </si>
  <si>
    <t xml:space="preserve"> </t>
  </si>
  <si>
    <t xml:space="preserve">      88  :PREFIX:-ORI-FCS                  VALUE 'FCS'.</t>
  </si>
  <si>
    <t xml:space="preserve">     'FCS' - FCS</t>
  </si>
  <si>
    <t>05  :PREFIX:-DADOS-DOCUMENTO            PIC X(2406).</t>
  </si>
  <si>
    <t xml:space="preserve">      88  :PREFIX:-MAR-EUROBIC              VALUE '028'.</t>
  </si>
  <si>
    <t xml:space="preserve">     '028' - EuroBic</t>
  </si>
  <si>
    <t xml:space="preserve">              '22002 ' '22003 '.</t>
  </si>
  <si>
    <t xml:space="preserve">              '0350  ' '0351  ' '0352  ' '0353  ' '0354  '</t>
  </si>
  <si>
    <t xml:space="preserve">              '0355  ' '0356  ' '0357  ' '0358  ' '0359  '</t>
  </si>
  <si>
    <t xml:space="preserve">              '0360  ' '0370  ' '0380  ' '0390  ' '0395  '</t>
  </si>
  <si>
    <t xml:space="preserve">              '0401  ' '0405  ' '0501  ' '0510  ' '0515  '</t>
  </si>
  <si>
    <t xml:space="preserve">              '0520  ' '0525  ' '0601  ' '0701  ' '0705  '</t>
  </si>
  <si>
    <t xml:space="preserve">              '0750  ' '0905  ' '2001  ' '2010  ' '2101  '</t>
  </si>
  <si>
    <t xml:space="preserve">              '22000 ' '22002 ' '22003 ' '2201  ' '2210  '</t>
  </si>
  <si>
    <t xml:space="preserve">              '2211  ' '2215  ' '2220  ' '2250  ' '2301  '</t>
  </si>
  <si>
    <t xml:space="preserve">              '2401  ' '2402  ' '2501  ' '2601  ' '2605  '</t>
  </si>
  <si>
    <t xml:space="preserve">              '2705  ' '2801  ' '3102  ' '3109  ' '3150  '</t>
  </si>
  <si>
    <t xml:space="preserve">              '3201  ' '3205  ' '3210  ' '3215  ' '3301  '</t>
  </si>
  <si>
    <t xml:space="preserve">              '3401  ' '3405  ' '3410  ' '3420  ' '3425  '</t>
  </si>
  <si>
    <t xml:space="preserve">              '3430  ' '3501  ' '3505  ' '3601  ' '3605  '</t>
  </si>
  <si>
    <t xml:space="preserve">              '3625  ' '3701  ' '3801  ' '3802  ' '3803  '</t>
  </si>
  <si>
    <t xml:space="preserve">              '3901  '.</t>
  </si>
  <si>
    <t>IBAN (SEPA)</t>
  </si>
  <si>
    <t>SWIFT (SEPA)</t>
  </si>
  <si>
    <t xml:space="preserve">    09  :PREFIX:-DT-OCORRENCIA          PIC X(08).</t>
  </si>
  <si>
    <t>Data de ocorrência do Sinistro [aaaammdd]</t>
  </si>
  <si>
    <t xml:space="preserve">    09  :PREFIX:-DT-EMISSAO             PIC X(08).</t>
  </si>
  <si>
    <t>Data de emissão do Recibo [aaaammdd]</t>
  </si>
  <si>
    <t xml:space="preserve">    09  :PREFIX:-DT-EFEITO              PIC X(08).</t>
  </si>
  <si>
    <t>Data efeito do  Crédito [aaaammdd]</t>
  </si>
  <si>
    <t xml:space="preserve">     'IN' - Indemnização</t>
  </si>
  <si>
    <t>Tipo de Recibo:</t>
  </si>
  <si>
    <t xml:space="preserve">        88  :PREFIX:-TR-INDEMNIZACAO        VALUE 'IN'.</t>
  </si>
  <si>
    <t>Número do Recibo</t>
  </si>
  <si>
    <t>Número do Sinistro</t>
  </si>
  <si>
    <t>Número do Processo</t>
  </si>
  <si>
    <t xml:space="preserve">  07  :PREFIX:-DADOS-PAGAMENTO.</t>
  </si>
  <si>
    <t xml:space="preserve">    09  :PREFIX:-VLR-BASE-TRIBUTAVEL    PIC S9(12)V9(02)
                                   SIGN LEADING SEPARATE.</t>
  </si>
  <si>
    <t>Valor da Base Tributável do Recibo</t>
  </si>
  <si>
    <t xml:space="preserve">    09  :PREFIX:-VLR-IRS-IRC            PIC S9(12)V9(02)
                                   SIGN LEADING SEPARATE.</t>
  </si>
  <si>
    <t>Valor do IRS/IRC retido</t>
  </si>
  <si>
    <t xml:space="preserve">    09  :PREFIX:-VLR-LIQUIDO            PIC S9(12)V9(02)
                                   SIGN LEADING SEPARATE.</t>
  </si>
  <si>
    <t xml:space="preserve">     '1' - Dados VIDA</t>
  </si>
  <si>
    <t xml:space="preserve">      88  :PREFIX:-DOC-CQUA                 VALUE 'CQUA'.</t>
  </si>
  <si>
    <t xml:space="preserve">      88  :PREFIX:-DOC-ACRE                 VALUE 'ACRE'.</t>
  </si>
  <si>
    <t xml:space="preserve">     'ACRE' - Aviso de Crédito</t>
  </si>
  <si>
    <t xml:space="preserve">  07  :PREFIX:-IND-FLYER                PIC X(01).</t>
  </si>
  <si>
    <t>Indicador de inclusão de Flyer (ex: "V" - Cobertura PVC)</t>
  </si>
  <si>
    <t xml:space="preserve">    09  :PREFIX:-IND-CONFIDENCIAL       PIC X(01).</t>
  </si>
  <si>
    <t xml:space="preserve">        88  :PREFIX:-IND-CONF-SIM           VALUE 'S'.</t>
  </si>
  <si>
    <t xml:space="preserve">    09  :PREFIX:-VLR-ILIQUIDO           PIC S9(12)V9(02)
                                   SIGN LEADING SEPARATE.</t>
  </si>
  <si>
    <t>Valor Ilíquido do Recibo</t>
  </si>
  <si>
    <t>Valor Líquido</t>
  </si>
  <si>
    <t xml:space="preserve">    09  :PREFIX:-NR-SINISTRO            PIC X(16).</t>
  </si>
  <si>
    <t xml:space="preserve">    09  :PREFIX:-NR-PROCESSO            PIC X(16).</t>
  </si>
  <si>
    <t>Descritivo do Ramo / Produto</t>
  </si>
  <si>
    <t xml:space="preserve">      88  :PREFIX:-DOC-RTES                 VALUE 'RTES'.</t>
  </si>
  <si>
    <t xml:space="preserve">     'RTES' - Recibo por Tesouraria</t>
  </si>
  <si>
    <t xml:space="preserve">    09  :PREFIX:-DP-IBAN                PIC X(34).</t>
  </si>
  <si>
    <t xml:space="preserve">    09  :PREFIX:-DP-SWIFT               PIC X(11).</t>
  </si>
  <si>
    <t>Indicador de Confidencialidade:</t>
  </si>
  <si>
    <t>'S' - Documento Confidencial (Não expedido e não disponível na área de cliente)</t>
  </si>
  <si>
    <t>TIPO-REGISTO 1 (Carta Controlo Qualidade / Aviso Crédito / Recibo por Tesouraria</t>
  </si>
  <si>
    <t xml:space="preserve">     'CQUA' - Carta Controlo de Qualidade</t>
  </si>
  <si>
    <t xml:space="preserve">    09  :PREFIX:-DP-LOCAL-PAGAVEL       PIC X(04).</t>
  </si>
  <si>
    <t xml:space="preserve">        88  :PREFIX:-DP-LOCAL-FID           VALUE 'FID '.</t>
  </si>
  <si>
    <t xml:space="preserve">        88  :PREFIX:-DP-LOCAL-CGD           VALUE 'CGD '.</t>
  </si>
  <si>
    <t xml:space="preserve">        88  :PREFIX:-DP-LOCAL-CTT           VALUE 'CTT '.</t>
  </si>
  <si>
    <t xml:space="preserve">        88  :PREFIX:-DP-LOCAL-BCTT          VALUE 'BCTT'.</t>
  </si>
  <si>
    <t>Agência disponível para efectuar o Pagamento:</t>
  </si>
  <si>
    <t xml:space="preserve">     'FID ' - Agência Fidelidade</t>
  </si>
  <si>
    <t xml:space="preserve">     'CGD ' - Agência CGD</t>
  </si>
  <si>
    <t xml:space="preserve">     'CTT ' - Agência CTT</t>
  </si>
  <si>
    <t xml:space="preserve">     'BCTT' - Agência Banco CTT</t>
  </si>
  <si>
    <t xml:space="preserve">  07  :PREFIX:-DADOS-OUTROS.</t>
  </si>
  <si>
    <t xml:space="preserve">    09  :PREFIX:-DO-NOME-TOMADOR        PIC X(40).</t>
  </si>
  <si>
    <t>Nome do Tomador de Seguro</t>
  </si>
  <si>
    <t xml:space="preserve">  07  :PREFIX:-REFERENCIA-ARQUIVO.</t>
  </si>
  <si>
    <t xml:space="preserve">    09  :PREFIX:-RA-GUID                PIC X(36).</t>
  </si>
  <si>
    <t xml:space="preserve">  07  :PREFIX:-DADOS-AVISO.</t>
  </si>
  <si>
    <t>Referência única do Documento</t>
  </si>
  <si>
    <t xml:space="preserve">    09  :PREFIX:-DO-DESC-TIPO-SIN       PIC X(40).</t>
  </si>
  <si>
    <t>Descritivo do tipo de Sinistro</t>
  </si>
  <si>
    <t xml:space="preserve">  07  FILLER                            PIC X(1771).</t>
  </si>
  <si>
    <t xml:space="preserve">    09  FILLER                          PIC X(02).</t>
  </si>
  <si>
    <t>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</si>
</sst>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urier New"/>
      <family val="3"/>
    </font>
    <font>
      <sz val="11"/>
      <color rgb="FFFF0000"/>
      <name val="Courier New"/>
      <family val="3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0" xfId="0" applyFont="1" applyAlignment="1">
      <alignment horizontal="right"/>
    </xf>
    <xf numFmtId="0" fontId="0" fillId="0" borderId="1" xfId="0" applyBorder="1"/>
    <xf numFmtId="0" fontId="3" fillId="0" borderId="1" xfId="0" applyFont="1" applyBorder="1"/>
    <xf numFmtId="0" fontId="2" fillId="0" borderId="1" xfId="0" applyFont="1" applyBorder="1"/>
    <xf numFmtId="0" fontId="1" fillId="2" borderId="3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right"/>
    </xf>
    <xf numFmtId="0" fontId="2" fillId="3" borderId="1" xfId="0" applyFont="1" applyFill="1" applyBorder="1"/>
    <xf numFmtId="0" fontId="3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horizontal="right" vertical="top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quotePrefix="1" applyBorder="1"/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17"/>
  <sheetViews>
    <sheetView tabSelected="1" topLeftCell="A17" workbookViewId="0">
      <selection activeCell="K41" sqref="K41"/>
    </sheetView>
  </sheetViews>
  <sheetFormatPr defaultRowHeight="14.4" x14ac:dyDescent="0.3"/>
  <cols>
    <col min="1" max="1" width="3.77734375" customWidth="1"/>
    <col min="2" max="2" width="79.77734375" customWidth="1"/>
    <col min="3" max="3" width="7.77734375" bestFit="1" customWidth="1"/>
    <col min="4" max="4" width="90" bestFit="1" customWidth="1"/>
    <col min="5" max="5" width="9.21875" customWidth="1"/>
    <col min="6" max="6" width="11.33203125" customWidth="1"/>
    <col min="7" max="7" width="12.21875" style="25" bestFit="1" customWidth="1"/>
    <col min="8" max="8" width="1.77734375" customWidth="1"/>
  </cols>
  <sheetData>
    <row r="1" spans="2:9" ht="9" customHeight="1" x14ac:dyDescent="0.3"/>
    <row r="2" spans="2:9" x14ac:dyDescent="0.3">
      <c r="B2" s="1" t="s">
        <v>2</v>
      </c>
      <c r="C2" s="1" t="s">
        <v>24</v>
      </c>
      <c r="D2" s="1" t="s">
        <v>25</v>
      </c>
      <c r="E2" s="2" t="s">
        <v>0</v>
      </c>
      <c r="F2" s="2" t="s">
        <v>1</v>
      </c>
      <c r="G2" s="24" t="s">
        <v>113</v>
      </c>
    </row>
    <row r="3" spans="2:9" x14ac:dyDescent="0.3">
      <c r="B3" s="9" t="s">
        <v>14</v>
      </c>
      <c r="C3" s="10"/>
      <c r="D3" s="11"/>
      <c r="E3" s="12"/>
      <c r="F3" s="12"/>
      <c r="G3" s="26"/>
    </row>
    <row r="4" spans="2:9" x14ac:dyDescent="0.3">
      <c r="B4" s="7" t="s">
        <v>33</v>
      </c>
      <c r="C4" s="6"/>
      <c r="D4" s="18" t="s">
        <v>15</v>
      </c>
      <c r="E4" s="3">
        <v>1</v>
      </c>
      <c r="F4" s="3">
        <v>4</v>
      </c>
      <c r="G4" s="38" t="s">
        <v>112</v>
      </c>
      <c r="I4">
        <f>33+E4</f>
        <v>34</v>
      </c>
    </row>
    <row r="5" spans="2:9" x14ac:dyDescent="0.3">
      <c r="B5" s="7" t="s">
        <v>166</v>
      </c>
      <c r="C5" s="6"/>
      <c r="D5" s="18" t="s">
        <v>186</v>
      </c>
      <c r="E5" s="3"/>
      <c r="F5" s="3"/>
      <c r="G5" s="39"/>
    </row>
    <row r="6" spans="2:9" x14ac:dyDescent="0.3">
      <c r="B6" s="7" t="s">
        <v>167</v>
      </c>
      <c r="C6" s="6"/>
      <c r="D6" s="18" t="s">
        <v>168</v>
      </c>
      <c r="E6" s="3"/>
      <c r="F6" s="3"/>
      <c r="G6" s="39"/>
    </row>
    <row r="7" spans="2:9" x14ac:dyDescent="0.3">
      <c r="B7" s="7" t="s">
        <v>179</v>
      </c>
      <c r="C7" s="6"/>
      <c r="D7" s="18" t="s">
        <v>180</v>
      </c>
      <c r="E7" s="3"/>
      <c r="F7" s="3"/>
      <c r="G7" s="40"/>
    </row>
    <row r="8" spans="2:9" x14ac:dyDescent="0.3">
      <c r="B8" s="7" t="s">
        <v>46</v>
      </c>
      <c r="C8" s="6"/>
      <c r="D8" s="5" t="s">
        <v>34</v>
      </c>
      <c r="E8" s="3">
        <f>E4+F4</f>
        <v>5</v>
      </c>
      <c r="F8" s="5">
        <v>1</v>
      </c>
      <c r="G8" s="38" t="s">
        <v>112</v>
      </c>
      <c r="I8">
        <f t="shared" ref="I8:I52" si="0">33+E8</f>
        <v>38</v>
      </c>
    </row>
    <row r="9" spans="2:9" x14ac:dyDescent="0.3">
      <c r="B9" s="7" t="s">
        <v>47</v>
      </c>
      <c r="C9" s="6"/>
      <c r="D9" s="5" t="s">
        <v>165</v>
      </c>
      <c r="E9" s="3"/>
      <c r="F9" s="5"/>
      <c r="G9" s="39"/>
    </row>
    <row r="10" spans="2:9" x14ac:dyDescent="0.3">
      <c r="B10" s="7" t="s">
        <v>35</v>
      </c>
      <c r="C10" s="6"/>
      <c r="D10" s="18" t="s">
        <v>30</v>
      </c>
      <c r="E10" s="3">
        <f>E8+F8</f>
        <v>6</v>
      </c>
      <c r="F10" s="3">
        <v>1</v>
      </c>
      <c r="G10" s="38" t="s">
        <v>112</v>
      </c>
      <c r="I10">
        <f t="shared" si="0"/>
        <v>39</v>
      </c>
    </row>
    <row r="11" spans="2:9" x14ac:dyDescent="0.3">
      <c r="B11" s="7" t="s">
        <v>36</v>
      </c>
      <c r="C11" s="6"/>
      <c r="D11" s="18" t="s">
        <v>31</v>
      </c>
      <c r="E11" s="3"/>
      <c r="F11" s="3"/>
      <c r="G11" s="39"/>
    </row>
    <row r="12" spans="2:9" x14ac:dyDescent="0.3">
      <c r="B12" s="7" t="s">
        <v>37</v>
      </c>
      <c r="C12" s="6"/>
      <c r="D12" s="18" t="s">
        <v>32</v>
      </c>
      <c r="E12" s="3"/>
      <c r="F12" s="3"/>
      <c r="G12" s="40"/>
    </row>
    <row r="13" spans="2:9" x14ac:dyDescent="0.3">
      <c r="B13" s="7" t="s">
        <v>67</v>
      </c>
      <c r="C13" s="6"/>
      <c r="D13" s="5" t="s">
        <v>68</v>
      </c>
      <c r="E13" s="3">
        <f>E10+F10</f>
        <v>7</v>
      </c>
      <c r="F13" s="5">
        <v>8</v>
      </c>
      <c r="G13" s="28" t="s">
        <v>111</v>
      </c>
      <c r="I13">
        <f t="shared" si="0"/>
        <v>40</v>
      </c>
    </row>
    <row r="14" spans="2:9" x14ac:dyDescent="0.3">
      <c r="B14" s="7" t="s">
        <v>38</v>
      </c>
      <c r="C14" s="17"/>
      <c r="D14" s="18" t="s">
        <v>3</v>
      </c>
      <c r="E14" s="3">
        <f>E13+F13</f>
        <v>15</v>
      </c>
      <c r="F14" s="3">
        <v>3</v>
      </c>
      <c r="G14" s="38" t="s">
        <v>112</v>
      </c>
      <c r="I14">
        <f t="shared" si="0"/>
        <v>48</v>
      </c>
    </row>
    <row r="15" spans="2:9" x14ac:dyDescent="0.3">
      <c r="B15" s="7" t="s">
        <v>39</v>
      </c>
      <c r="C15" s="17"/>
      <c r="D15" s="18" t="s">
        <v>16</v>
      </c>
      <c r="E15" s="3"/>
      <c r="F15" s="3"/>
      <c r="G15" s="39"/>
    </row>
    <row r="16" spans="2:9" x14ac:dyDescent="0.3">
      <c r="B16" s="7" t="s">
        <v>40</v>
      </c>
      <c r="C16" s="17"/>
      <c r="D16" s="18" t="s">
        <v>28</v>
      </c>
      <c r="E16" s="3"/>
      <c r="F16" s="3"/>
      <c r="G16" s="39"/>
    </row>
    <row r="17" spans="2:9" x14ac:dyDescent="0.3">
      <c r="B17" s="7" t="s">
        <v>104</v>
      </c>
      <c r="C17" s="17"/>
      <c r="D17" s="18" t="s">
        <v>103</v>
      </c>
      <c r="E17" s="3"/>
      <c r="F17" s="3"/>
      <c r="G17" s="39"/>
    </row>
    <row r="18" spans="2:9" x14ac:dyDescent="0.3">
      <c r="B18" s="7" t="s">
        <v>41</v>
      </c>
      <c r="C18" s="6"/>
      <c r="D18" s="18" t="s">
        <v>17</v>
      </c>
      <c r="E18" s="5"/>
      <c r="F18" s="5"/>
      <c r="G18" s="40"/>
    </row>
    <row r="19" spans="2:9" x14ac:dyDescent="0.3">
      <c r="B19" s="7" t="s">
        <v>42</v>
      </c>
      <c r="C19" s="6"/>
      <c r="D19" s="18" t="s">
        <v>4</v>
      </c>
      <c r="E19" s="3">
        <f>E14+F14</f>
        <v>18</v>
      </c>
      <c r="F19" s="5">
        <v>3</v>
      </c>
      <c r="G19" s="38" t="s">
        <v>112</v>
      </c>
      <c r="I19">
        <f t="shared" si="0"/>
        <v>51</v>
      </c>
    </row>
    <row r="20" spans="2:9" x14ac:dyDescent="0.3">
      <c r="B20" s="7" t="s">
        <v>43</v>
      </c>
      <c r="C20" s="6"/>
      <c r="D20" s="18" t="s">
        <v>18</v>
      </c>
      <c r="E20" s="5"/>
      <c r="F20" s="5"/>
      <c r="G20" s="39"/>
    </row>
    <row r="21" spans="2:9" x14ac:dyDescent="0.3">
      <c r="B21" s="7" t="s">
        <v>90</v>
      </c>
      <c r="C21" s="6"/>
      <c r="D21" s="18" t="s">
        <v>89</v>
      </c>
      <c r="E21" s="5"/>
      <c r="F21" s="5"/>
      <c r="G21" s="39"/>
    </row>
    <row r="22" spans="2:9" x14ac:dyDescent="0.3">
      <c r="B22" s="7" t="s">
        <v>105</v>
      </c>
      <c r="C22" s="6"/>
      <c r="D22" s="18" t="s">
        <v>106</v>
      </c>
      <c r="E22" s="5"/>
      <c r="F22" s="5"/>
      <c r="G22" s="39"/>
    </row>
    <row r="23" spans="2:9" x14ac:dyDescent="0.3">
      <c r="B23" s="7" t="s">
        <v>107</v>
      </c>
      <c r="C23" s="6"/>
      <c r="D23" s="18" t="s">
        <v>108</v>
      </c>
      <c r="E23" s="5"/>
      <c r="F23" s="5"/>
      <c r="G23" s="39"/>
    </row>
    <row r="24" spans="2:9" x14ac:dyDescent="0.3">
      <c r="B24" s="7" t="s">
        <v>44</v>
      </c>
      <c r="C24" s="6"/>
      <c r="D24" s="18" t="s">
        <v>20</v>
      </c>
      <c r="E24" s="5"/>
      <c r="F24" s="5"/>
      <c r="G24" s="39"/>
    </row>
    <row r="25" spans="2:9" x14ac:dyDescent="0.3">
      <c r="B25" s="7" t="s">
        <v>45</v>
      </c>
      <c r="C25" s="6"/>
      <c r="D25" s="18" t="s">
        <v>19</v>
      </c>
      <c r="E25" s="5"/>
      <c r="F25" s="5"/>
      <c r="G25" s="39"/>
    </row>
    <row r="26" spans="2:9" x14ac:dyDescent="0.3">
      <c r="B26" s="7" t="s">
        <v>127</v>
      </c>
      <c r="C26" s="6"/>
      <c r="D26" s="18" t="s">
        <v>128</v>
      </c>
      <c r="E26" s="5"/>
      <c r="F26" s="5"/>
      <c r="G26" s="40"/>
    </row>
    <row r="27" spans="2:9" x14ac:dyDescent="0.3">
      <c r="B27" s="7" t="s">
        <v>69</v>
      </c>
      <c r="C27" s="6"/>
      <c r="D27" s="18"/>
      <c r="E27" s="5">
        <f>E19+F19</f>
        <v>21</v>
      </c>
      <c r="F27" s="5">
        <v>1</v>
      </c>
      <c r="G27" s="41" t="s">
        <v>110</v>
      </c>
      <c r="I27">
        <f t="shared" si="0"/>
        <v>54</v>
      </c>
    </row>
    <row r="28" spans="2:9" x14ac:dyDescent="0.3">
      <c r="B28" s="7" t="s">
        <v>70</v>
      </c>
      <c r="C28" s="6"/>
      <c r="D28" s="18" t="s">
        <v>84</v>
      </c>
      <c r="E28" s="5"/>
      <c r="F28" s="5"/>
      <c r="G28" s="43"/>
    </row>
    <row r="29" spans="2:9" x14ac:dyDescent="0.3">
      <c r="B29" s="7" t="s">
        <v>48</v>
      </c>
      <c r="C29" s="6"/>
      <c r="D29" s="5" t="s">
        <v>6</v>
      </c>
      <c r="E29" s="3">
        <f>E27+F27</f>
        <v>22</v>
      </c>
      <c r="F29" s="5">
        <v>10</v>
      </c>
      <c r="G29" s="30" t="s">
        <v>110</v>
      </c>
      <c r="I29">
        <f t="shared" si="0"/>
        <v>55</v>
      </c>
    </row>
    <row r="30" spans="2:9" x14ac:dyDescent="0.3">
      <c r="B30" s="7" t="s">
        <v>49</v>
      </c>
      <c r="C30" s="6"/>
      <c r="D30" s="5" t="s">
        <v>7</v>
      </c>
      <c r="E30" s="3">
        <f>E29+F29</f>
        <v>32</v>
      </c>
      <c r="F30" s="5">
        <v>10</v>
      </c>
      <c r="G30" s="30" t="s">
        <v>110</v>
      </c>
      <c r="I30">
        <f t="shared" si="0"/>
        <v>65</v>
      </c>
    </row>
    <row r="31" spans="2:9" x14ac:dyDescent="0.3">
      <c r="B31" s="7" t="s">
        <v>50</v>
      </c>
      <c r="C31" s="6"/>
      <c r="D31" s="5" t="s">
        <v>8</v>
      </c>
      <c r="E31" s="3">
        <f>E30+F30</f>
        <v>42</v>
      </c>
      <c r="F31" s="5">
        <v>16</v>
      </c>
      <c r="G31" s="29" t="s">
        <v>112</v>
      </c>
      <c r="I31">
        <f t="shared" si="0"/>
        <v>75</v>
      </c>
    </row>
    <row r="32" spans="2:9" x14ac:dyDescent="0.3">
      <c r="B32" s="7" t="s">
        <v>51</v>
      </c>
      <c r="C32" s="6"/>
      <c r="D32" s="18" t="s">
        <v>5</v>
      </c>
      <c r="E32" s="3">
        <f>E31+F31</f>
        <v>58</v>
      </c>
      <c r="F32" s="5">
        <v>3</v>
      </c>
      <c r="G32" s="38" t="s">
        <v>112</v>
      </c>
      <c r="I32">
        <f t="shared" si="0"/>
        <v>91</v>
      </c>
    </row>
    <row r="33" spans="2:9" x14ac:dyDescent="0.3">
      <c r="B33" s="7" t="s">
        <v>77</v>
      </c>
      <c r="C33" s="6"/>
      <c r="D33" s="5" t="s">
        <v>78</v>
      </c>
      <c r="E33" s="5"/>
      <c r="F33" s="5"/>
      <c r="G33" s="39"/>
    </row>
    <row r="34" spans="2:9" x14ac:dyDescent="0.3">
      <c r="B34" s="7" t="s">
        <v>79</v>
      </c>
      <c r="C34" s="6"/>
      <c r="D34" s="5" t="s">
        <v>80</v>
      </c>
      <c r="E34" s="5"/>
      <c r="F34" s="5"/>
      <c r="G34" s="39"/>
    </row>
    <row r="35" spans="2:9" x14ac:dyDescent="0.3">
      <c r="B35" s="7" t="s">
        <v>52</v>
      </c>
      <c r="C35" s="6"/>
      <c r="D35" s="5" t="s">
        <v>21</v>
      </c>
      <c r="E35" s="5"/>
      <c r="F35" s="5"/>
      <c r="G35" s="39"/>
    </row>
    <row r="36" spans="2:9" x14ac:dyDescent="0.3">
      <c r="B36" s="7" t="s">
        <v>53</v>
      </c>
      <c r="C36" s="6"/>
      <c r="D36" s="5" t="s">
        <v>81</v>
      </c>
      <c r="E36" s="5"/>
      <c r="F36" s="5"/>
      <c r="G36" s="39"/>
    </row>
    <row r="37" spans="2:9" x14ac:dyDescent="0.3">
      <c r="B37" s="7" t="s">
        <v>54</v>
      </c>
      <c r="C37" s="6"/>
      <c r="D37" s="5" t="s">
        <v>22</v>
      </c>
      <c r="E37" s="5"/>
      <c r="F37" s="5"/>
      <c r="G37" s="39"/>
    </row>
    <row r="38" spans="2:9" x14ac:dyDescent="0.3">
      <c r="B38" s="7" t="s">
        <v>117</v>
      </c>
      <c r="C38" s="6" t="s">
        <v>123</v>
      </c>
      <c r="D38" s="5" t="s">
        <v>118</v>
      </c>
      <c r="E38" s="5"/>
      <c r="F38" s="5"/>
      <c r="G38" s="39"/>
    </row>
    <row r="39" spans="2:9" x14ac:dyDescent="0.3">
      <c r="B39" s="7" t="s">
        <v>121</v>
      </c>
      <c r="C39" s="6" t="s">
        <v>123</v>
      </c>
      <c r="D39" s="5" t="s">
        <v>122</v>
      </c>
      <c r="E39" s="5"/>
      <c r="F39" s="5"/>
      <c r="G39" s="39"/>
    </row>
    <row r="40" spans="2:9" x14ac:dyDescent="0.3">
      <c r="B40" s="7" t="s">
        <v>120</v>
      </c>
      <c r="C40" s="6" t="s">
        <v>123</v>
      </c>
      <c r="D40" s="5" t="s">
        <v>116</v>
      </c>
      <c r="E40" s="5"/>
      <c r="F40" s="5"/>
      <c r="G40" s="39"/>
    </row>
    <row r="41" spans="2:9" x14ac:dyDescent="0.3">
      <c r="B41" s="7" t="s">
        <v>124</v>
      </c>
      <c r="C41" s="6" t="s">
        <v>123</v>
      </c>
      <c r="D41" s="5" t="s">
        <v>125</v>
      </c>
      <c r="E41" s="5"/>
      <c r="F41" s="5"/>
      <c r="G41" s="44"/>
    </row>
    <row r="42" spans="2:9" x14ac:dyDescent="0.3">
      <c r="B42" s="7" t="s">
        <v>169</v>
      </c>
      <c r="C42" s="6"/>
      <c r="D42" s="5" t="s">
        <v>170</v>
      </c>
      <c r="E42" s="3">
        <f>E32+F32</f>
        <v>61</v>
      </c>
      <c r="F42" s="5">
        <v>1</v>
      </c>
      <c r="G42" s="5"/>
      <c r="I42">
        <f t="shared" si="0"/>
        <v>94</v>
      </c>
    </row>
    <row r="43" spans="2:9" x14ac:dyDescent="0.3">
      <c r="B43" s="9" t="s">
        <v>126</v>
      </c>
      <c r="C43" s="10"/>
      <c r="D43" s="11"/>
      <c r="E43" s="12">
        <f>E42+F42</f>
        <v>62</v>
      </c>
      <c r="F43" s="12">
        <f>2467-E42</f>
        <v>2406</v>
      </c>
      <c r="G43" s="26"/>
    </row>
    <row r="44" spans="2:9" x14ac:dyDescent="0.3">
      <c r="B44" s="9" t="s">
        <v>55</v>
      </c>
      <c r="C44" s="10"/>
      <c r="D44" s="11" t="s">
        <v>185</v>
      </c>
      <c r="E44" s="12"/>
      <c r="F44" s="12"/>
      <c r="G44" s="26"/>
    </row>
    <row r="45" spans="2:9" x14ac:dyDescent="0.3">
      <c r="B45" s="13" t="s">
        <v>202</v>
      </c>
      <c r="C45" s="14"/>
      <c r="D45" s="15"/>
      <c r="E45" s="16"/>
      <c r="F45" s="15"/>
      <c r="G45" s="27"/>
    </row>
    <row r="46" spans="2:9" x14ac:dyDescent="0.3">
      <c r="B46" s="7" t="s">
        <v>75</v>
      </c>
      <c r="C46" s="6"/>
      <c r="D46" s="5" t="s">
        <v>154</v>
      </c>
      <c r="E46" s="5">
        <f>E43</f>
        <v>62</v>
      </c>
      <c r="F46" s="5">
        <v>2</v>
      </c>
      <c r="G46" s="35" t="s">
        <v>111</v>
      </c>
      <c r="I46">
        <f t="shared" si="0"/>
        <v>95</v>
      </c>
    </row>
    <row r="47" spans="2:9" x14ac:dyDescent="0.3">
      <c r="B47" s="7" t="s">
        <v>155</v>
      </c>
      <c r="C47" s="6"/>
      <c r="D47" s="5" t="s">
        <v>153</v>
      </c>
      <c r="E47" s="5"/>
      <c r="F47" s="5"/>
      <c r="G47" s="36"/>
    </row>
    <row r="48" spans="2:9" x14ac:dyDescent="0.3">
      <c r="B48" s="7" t="s">
        <v>207</v>
      </c>
      <c r="C48" s="6"/>
      <c r="D48" s="5" t="s">
        <v>208</v>
      </c>
      <c r="E48" s="5">
        <f>E46+F46</f>
        <v>64</v>
      </c>
      <c r="F48" s="5">
        <v>2</v>
      </c>
      <c r="G48" s="34" t="s">
        <v>111</v>
      </c>
      <c r="I48">
        <f t="shared" si="0"/>
        <v>97</v>
      </c>
    </row>
    <row r="49" spans="2:9" x14ac:dyDescent="0.3">
      <c r="B49" s="7" t="s">
        <v>76</v>
      </c>
      <c r="C49" s="6"/>
      <c r="D49" s="5" t="s">
        <v>156</v>
      </c>
      <c r="E49" s="5">
        <f>E48+F48</f>
        <v>66</v>
      </c>
      <c r="F49" s="5">
        <v>16</v>
      </c>
      <c r="G49" s="28" t="s">
        <v>111</v>
      </c>
      <c r="I49">
        <f t="shared" si="0"/>
        <v>99</v>
      </c>
    </row>
    <row r="50" spans="2:9" x14ac:dyDescent="0.3">
      <c r="B50" s="7" t="s">
        <v>176</v>
      </c>
      <c r="C50" s="6"/>
      <c r="D50" s="5" t="s">
        <v>157</v>
      </c>
      <c r="E50" s="5">
        <f>E49+F49</f>
        <v>82</v>
      </c>
      <c r="F50" s="5">
        <v>16</v>
      </c>
      <c r="G50" s="30" t="s">
        <v>110</v>
      </c>
      <c r="I50">
        <f t="shared" si="0"/>
        <v>115</v>
      </c>
    </row>
    <row r="51" spans="2:9" x14ac:dyDescent="0.3">
      <c r="B51" s="7" t="s">
        <v>177</v>
      </c>
      <c r="C51" s="6"/>
      <c r="D51" s="5" t="s">
        <v>158</v>
      </c>
      <c r="E51" s="5">
        <f t="shared" ref="E51:E52" si="1">E50+F50</f>
        <v>98</v>
      </c>
      <c r="F51" s="5">
        <v>16</v>
      </c>
      <c r="G51" s="28" t="s">
        <v>111</v>
      </c>
      <c r="I51">
        <f t="shared" si="0"/>
        <v>131</v>
      </c>
    </row>
    <row r="52" spans="2:9" x14ac:dyDescent="0.3">
      <c r="B52" s="7" t="s">
        <v>98</v>
      </c>
      <c r="C52" s="6"/>
      <c r="D52" s="5" t="s">
        <v>97</v>
      </c>
      <c r="E52" s="5">
        <f t="shared" si="1"/>
        <v>114</v>
      </c>
      <c r="F52" s="5">
        <v>10</v>
      </c>
      <c r="G52" s="38" t="s">
        <v>112</v>
      </c>
      <c r="I52">
        <f t="shared" si="0"/>
        <v>147</v>
      </c>
    </row>
    <row r="53" spans="2:9" x14ac:dyDescent="0.3">
      <c r="B53" s="7" t="s">
        <v>91</v>
      </c>
      <c r="C53" s="6"/>
      <c r="D53" s="5" t="s">
        <v>94</v>
      </c>
      <c r="E53" s="3"/>
      <c r="F53" s="5"/>
      <c r="G53" s="39"/>
    </row>
    <row r="54" spans="2:9" x14ac:dyDescent="0.3">
      <c r="B54" s="7" t="s">
        <v>92</v>
      </c>
      <c r="C54" s="6"/>
      <c r="D54" s="5"/>
      <c r="E54" s="3"/>
      <c r="F54" s="5"/>
      <c r="G54" s="39"/>
    </row>
    <row r="55" spans="2:9" x14ac:dyDescent="0.3">
      <c r="B55" s="7" t="s">
        <v>130</v>
      </c>
      <c r="C55" s="6"/>
      <c r="D55" s="5"/>
      <c r="E55" s="3"/>
      <c r="F55" s="5"/>
      <c r="G55" s="39"/>
    </row>
    <row r="56" spans="2:9" x14ac:dyDescent="0.3">
      <c r="B56" s="7" t="s">
        <v>131</v>
      </c>
      <c r="C56" s="6"/>
      <c r="D56" s="5"/>
      <c r="E56" s="3"/>
      <c r="F56" s="5"/>
      <c r="G56" s="39"/>
    </row>
    <row r="57" spans="2:9" x14ac:dyDescent="0.3">
      <c r="B57" s="7" t="s">
        <v>132</v>
      </c>
      <c r="C57" s="6"/>
      <c r="D57" s="5"/>
      <c r="E57" s="3"/>
      <c r="F57" s="5"/>
      <c r="G57" s="39"/>
    </row>
    <row r="58" spans="2:9" x14ac:dyDescent="0.3">
      <c r="B58" s="7" t="s">
        <v>133</v>
      </c>
      <c r="C58" s="6"/>
      <c r="D58" s="5"/>
      <c r="E58" s="3"/>
      <c r="F58" s="5"/>
      <c r="G58" s="39"/>
    </row>
    <row r="59" spans="2:9" x14ac:dyDescent="0.3">
      <c r="B59" s="7" t="s">
        <v>134</v>
      </c>
      <c r="C59" s="6"/>
      <c r="D59" s="5"/>
      <c r="E59" s="3"/>
      <c r="F59" s="5"/>
      <c r="G59" s="39"/>
    </row>
    <row r="60" spans="2:9" x14ac:dyDescent="0.3">
      <c r="B60" s="7" t="s">
        <v>135</v>
      </c>
      <c r="C60" s="6"/>
      <c r="D60" s="5"/>
      <c r="E60" s="3"/>
      <c r="F60" s="5"/>
      <c r="G60" s="39"/>
    </row>
    <row r="61" spans="2:9" x14ac:dyDescent="0.3">
      <c r="B61" s="7" t="s">
        <v>136</v>
      </c>
      <c r="C61" s="6"/>
      <c r="D61" s="5"/>
      <c r="E61" s="3"/>
      <c r="F61" s="5"/>
      <c r="G61" s="39"/>
    </row>
    <row r="62" spans="2:9" x14ac:dyDescent="0.3">
      <c r="B62" s="7" t="s">
        <v>137</v>
      </c>
      <c r="C62" s="6"/>
      <c r="D62" s="5"/>
      <c r="E62" s="3"/>
      <c r="F62" s="5"/>
      <c r="G62" s="39"/>
    </row>
    <row r="63" spans="2:9" x14ac:dyDescent="0.3">
      <c r="B63" s="7" t="s">
        <v>138</v>
      </c>
      <c r="C63" s="6"/>
      <c r="D63" s="5"/>
      <c r="E63" s="3"/>
      <c r="F63" s="5"/>
      <c r="G63" s="39"/>
    </row>
    <row r="64" spans="2:9" x14ac:dyDescent="0.3">
      <c r="B64" s="7" t="s">
        <v>139</v>
      </c>
      <c r="C64" s="6"/>
      <c r="D64" s="5"/>
      <c r="E64" s="3"/>
      <c r="F64" s="5"/>
      <c r="G64" s="39"/>
    </row>
    <row r="65" spans="1:9" x14ac:dyDescent="0.3">
      <c r="B65" s="7" t="s">
        <v>140</v>
      </c>
      <c r="C65" s="6"/>
      <c r="D65" s="5"/>
      <c r="E65" s="3"/>
      <c r="F65" s="5"/>
      <c r="G65" s="39"/>
    </row>
    <row r="66" spans="1:9" x14ac:dyDescent="0.3">
      <c r="B66" s="7" t="s">
        <v>141</v>
      </c>
      <c r="C66" s="6"/>
      <c r="D66" s="5"/>
      <c r="E66" s="3"/>
      <c r="F66" s="5"/>
      <c r="G66" s="39"/>
    </row>
    <row r="67" spans="1:9" x14ac:dyDescent="0.3">
      <c r="B67" s="7" t="s">
        <v>142</v>
      </c>
      <c r="C67" s="6"/>
      <c r="D67" s="5"/>
      <c r="E67" s="3"/>
      <c r="F67" s="5"/>
      <c r="G67" s="39"/>
    </row>
    <row r="68" spans="1:9" x14ac:dyDescent="0.3">
      <c r="B68" s="7" t="s">
        <v>143</v>
      </c>
      <c r="C68" s="6"/>
      <c r="D68" s="5"/>
      <c r="E68" s="3"/>
      <c r="F68" s="5"/>
      <c r="G68" s="39"/>
    </row>
    <row r="69" spans="1:9" x14ac:dyDescent="0.3">
      <c r="B69" s="7" t="s">
        <v>144</v>
      </c>
      <c r="C69" s="6"/>
      <c r="D69" s="5"/>
      <c r="E69" s="3"/>
      <c r="F69" s="5"/>
      <c r="G69" s="39"/>
    </row>
    <row r="70" spans="1:9" x14ac:dyDescent="0.3">
      <c r="B70" s="7" t="s">
        <v>102</v>
      </c>
      <c r="C70" s="6"/>
      <c r="D70" s="5" t="s">
        <v>95</v>
      </c>
      <c r="E70" s="3"/>
      <c r="F70" s="5"/>
      <c r="G70" s="39"/>
    </row>
    <row r="71" spans="1:9" x14ac:dyDescent="0.3">
      <c r="B71" s="7" t="s">
        <v>129</v>
      </c>
      <c r="C71" s="6"/>
      <c r="D71" s="5"/>
      <c r="E71" s="3"/>
      <c r="F71" s="5"/>
      <c r="G71" s="39"/>
    </row>
    <row r="72" spans="1:9" x14ac:dyDescent="0.3">
      <c r="B72" s="7" t="s">
        <v>101</v>
      </c>
      <c r="C72" s="6"/>
      <c r="D72" s="5" t="s">
        <v>96</v>
      </c>
      <c r="E72" s="3"/>
      <c r="F72" s="5"/>
      <c r="G72" s="39"/>
    </row>
    <row r="73" spans="1:9" x14ac:dyDescent="0.3">
      <c r="B73" s="7" t="s">
        <v>93</v>
      </c>
      <c r="C73" s="6"/>
      <c r="D73" s="5"/>
      <c r="E73" s="3"/>
      <c r="F73" s="5"/>
      <c r="G73" s="39"/>
    </row>
    <row r="74" spans="1:9" x14ac:dyDescent="0.3">
      <c r="B74" s="7" t="s">
        <v>114</v>
      </c>
      <c r="C74" s="6"/>
      <c r="D74" s="5" t="s">
        <v>119</v>
      </c>
      <c r="E74" s="3"/>
      <c r="F74" s="5"/>
      <c r="G74" s="39"/>
    </row>
    <row r="75" spans="1:9" x14ac:dyDescent="0.3">
      <c r="B75" s="7" t="s">
        <v>115</v>
      </c>
      <c r="C75" s="6"/>
      <c r="D75" s="5"/>
      <c r="E75" s="3"/>
      <c r="F75" s="5"/>
      <c r="G75" s="39"/>
    </row>
    <row r="76" spans="1:9" x14ac:dyDescent="0.3">
      <c r="A76" s="22"/>
      <c r="B76" s="31" t="s">
        <v>109</v>
      </c>
      <c r="C76" s="20"/>
      <c r="D76" s="21" t="s">
        <v>178</v>
      </c>
      <c r="E76" s="23">
        <f>E52+F52</f>
        <v>124</v>
      </c>
      <c r="F76" s="21">
        <v>40</v>
      </c>
      <c r="G76" s="28" t="s">
        <v>111</v>
      </c>
      <c r="I76">
        <f t="shared" ref="I76:I115" si="2">33+E76</f>
        <v>157</v>
      </c>
    </row>
    <row r="77" spans="1:9" x14ac:dyDescent="0.3">
      <c r="B77" s="7" t="s">
        <v>171</v>
      </c>
      <c r="C77" s="6"/>
      <c r="D77" s="5" t="s">
        <v>183</v>
      </c>
      <c r="E77" s="23">
        <f>E76+F76</f>
        <v>164</v>
      </c>
      <c r="F77" s="5">
        <v>1</v>
      </c>
      <c r="G77" s="41" t="s">
        <v>110</v>
      </c>
      <c r="I77">
        <f t="shared" si="2"/>
        <v>197</v>
      </c>
    </row>
    <row r="78" spans="1:9" x14ac:dyDescent="0.3">
      <c r="B78" s="7" t="s">
        <v>172</v>
      </c>
      <c r="C78" s="6"/>
      <c r="D78" s="33" t="s">
        <v>184</v>
      </c>
      <c r="E78" s="5"/>
      <c r="F78" s="5"/>
      <c r="G78" s="42"/>
    </row>
    <row r="79" spans="1:9" x14ac:dyDescent="0.3">
      <c r="B79" s="13" t="s">
        <v>56</v>
      </c>
      <c r="C79" s="14"/>
      <c r="D79" s="15"/>
      <c r="E79" s="16">
        <f>E77+F77</f>
        <v>165</v>
      </c>
      <c r="F79" s="15"/>
      <c r="G79" s="27"/>
    </row>
    <row r="80" spans="1:9" x14ac:dyDescent="0.3">
      <c r="B80" s="7" t="s">
        <v>57</v>
      </c>
      <c r="C80" s="6"/>
      <c r="D80" s="5" t="s">
        <v>9</v>
      </c>
      <c r="E80" s="3">
        <f t="shared" ref="E80:E91" si="3">E79+F79</f>
        <v>165</v>
      </c>
      <c r="F80" s="5">
        <v>40</v>
      </c>
      <c r="G80" s="29" t="s">
        <v>112</v>
      </c>
      <c r="I80">
        <f t="shared" si="2"/>
        <v>198</v>
      </c>
    </row>
    <row r="81" spans="2:9" x14ac:dyDescent="0.3">
      <c r="B81" s="7" t="s">
        <v>58</v>
      </c>
      <c r="C81" s="6"/>
      <c r="D81" s="5" t="s">
        <v>26</v>
      </c>
      <c r="E81" s="3">
        <f t="shared" si="3"/>
        <v>205</v>
      </c>
      <c r="F81" s="5">
        <v>4</v>
      </c>
      <c r="G81" s="29" t="s">
        <v>112</v>
      </c>
      <c r="I81">
        <f t="shared" si="2"/>
        <v>238</v>
      </c>
    </row>
    <row r="82" spans="2:9" x14ac:dyDescent="0.3">
      <c r="B82" s="7" t="s">
        <v>59</v>
      </c>
      <c r="C82" s="6"/>
      <c r="D82" s="5" t="s">
        <v>10</v>
      </c>
      <c r="E82" s="3">
        <f t="shared" si="3"/>
        <v>209</v>
      </c>
      <c r="F82" s="5">
        <v>40</v>
      </c>
      <c r="G82" s="29" t="s">
        <v>112</v>
      </c>
      <c r="I82">
        <f t="shared" si="2"/>
        <v>242</v>
      </c>
    </row>
    <row r="83" spans="2:9" x14ac:dyDescent="0.3">
      <c r="B83" s="7" t="s">
        <v>60</v>
      </c>
      <c r="C83" s="6"/>
      <c r="D83" s="5" t="s">
        <v>11</v>
      </c>
      <c r="E83" s="3">
        <f t="shared" si="3"/>
        <v>249</v>
      </c>
      <c r="F83" s="5">
        <v>40</v>
      </c>
      <c r="G83" s="30" t="s">
        <v>110</v>
      </c>
      <c r="I83">
        <f t="shared" si="2"/>
        <v>282</v>
      </c>
    </row>
    <row r="84" spans="2:9" x14ac:dyDescent="0.3">
      <c r="B84" s="7" t="s">
        <v>61</v>
      </c>
      <c r="C84" s="6"/>
      <c r="D84" s="5" t="s">
        <v>12</v>
      </c>
      <c r="E84" s="3">
        <f t="shared" si="3"/>
        <v>289</v>
      </c>
      <c r="F84" s="5">
        <v>40</v>
      </c>
      <c r="G84" s="30" t="s">
        <v>110</v>
      </c>
      <c r="I84">
        <f t="shared" si="2"/>
        <v>322</v>
      </c>
    </row>
    <row r="85" spans="2:9" x14ac:dyDescent="0.3">
      <c r="B85" s="7" t="s">
        <v>62</v>
      </c>
      <c r="C85" s="6"/>
      <c r="D85" s="5" t="s">
        <v>27</v>
      </c>
      <c r="E85" s="3">
        <f t="shared" si="3"/>
        <v>329</v>
      </c>
      <c r="F85" s="5">
        <v>9</v>
      </c>
      <c r="G85" s="29" t="s">
        <v>112</v>
      </c>
      <c r="I85">
        <f t="shared" si="2"/>
        <v>362</v>
      </c>
    </row>
    <row r="86" spans="2:9" x14ac:dyDescent="0.3">
      <c r="B86" s="7" t="s">
        <v>63</v>
      </c>
      <c r="C86" s="6"/>
      <c r="D86" s="5" t="s">
        <v>13</v>
      </c>
      <c r="E86" s="3">
        <f t="shared" si="3"/>
        <v>338</v>
      </c>
      <c r="F86" s="5">
        <v>40</v>
      </c>
      <c r="G86" s="29" t="s">
        <v>112</v>
      </c>
      <c r="I86">
        <f t="shared" si="2"/>
        <v>371</v>
      </c>
    </row>
    <row r="87" spans="2:9" x14ac:dyDescent="0.3">
      <c r="B87" s="7" t="s">
        <v>83</v>
      </c>
      <c r="C87" s="6"/>
      <c r="D87" s="5" t="s">
        <v>82</v>
      </c>
      <c r="E87" s="3">
        <f t="shared" si="3"/>
        <v>378</v>
      </c>
      <c r="F87" s="5">
        <v>3</v>
      </c>
      <c r="G87" s="29" t="s">
        <v>112</v>
      </c>
      <c r="I87">
        <f t="shared" si="2"/>
        <v>411</v>
      </c>
    </row>
    <row r="88" spans="2:9" x14ac:dyDescent="0.3">
      <c r="B88" s="7" t="s">
        <v>85</v>
      </c>
      <c r="C88" s="6"/>
      <c r="D88" s="5" t="s">
        <v>86</v>
      </c>
      <c r="E88" s="3">
        <f t="shared" si="3"/>
        <v>381</v>
      </c>
      <c r="F88" s="5">
        <v>40</v>
      </c>
      <c r="G88" s="29" t="s">
        <v>112</v>
      </c>
      <c r="I88">
        <f t="shared" si="2"/>
        <v>414</v>
      </c>
    </row>
    <row r="89" spans="2:9" x14ac:dyDescent="0.3">
      <c r="B89" s="7" t="s">
        <v>87</v>
      </c>
      <c r="C89" s="6"/>
      <c r="D89" s="5" t="s">
        <v>88</v>
      </c>
      <c r="E89" s="3">
        <f t="shared" si="3"/>
        <v>421</v>
      </c>
      <c r="F89" s="5">
        <v>4</v>
      </c>
      <c r="G89" s="29" t="s">
        <v>112</v>
      </c>
      <c r="I89">
        <f t="shared" si="2"/>
        <v>454</v>
      </c>
    </row>
    <row r="90" spans="2:9" x14ac:dyDescent="0.3">
      <c r="B90" s="7" t="s">
        <v>100</v>
      </c>
      <c r="C90" s="6"/>
      <c r="D90" s="5" t="s">
        <v>99</v>
      </c>
      <c r="E90" s="3">
        <f t="shared" si="3"/>
        <v>425</v>
      </c>
      <c r="F90" s="5">
        <v>22</v>
      </c>
      <c r="G90" s="29" t="s">
        <v>112</v>
      </c>
      <c r="I90">
        <f t="shared" si="2"/>
        <v>458</v>
      </c>
    </row>
    <row r="91" spans="2:9" x14ac:dyDescent="0.3">
      <c r="B91" s="7" t="s">
        <v>64</v>
      </c>
      <c r="C91" s="6"/>
      <c r="D91" s="5" t="s">
        <v>29</v>
      </c>
      <c r="E91" s="3">
        <f t="shared" si="3"/>
        <v>447</v>
      </c>
      <c r="F91" s="5">
        <v>1</v>
      </c>
      <c r="G91" s="41" t="s">
        <v>110</v>
      </c>
      <c r="I91">
        <f t="shared" si="2"/>
        <v>480</v>
      </c>
    </row>
    <row r="92" spans="2:9" x14ac:dyDescent="0.3">
      <c r="B92" s="7" t="s">
        <v>71</v>
      </c>
      <c r="C92" s="6"/>
      <c r="D92" s="5" t="s">
        <v>73</v>
      </c>
      <c r="E92" s="3"/>
      <c r="F92" s="5"/>
      <c r="G92" s="42"/>
    </row>
    <row r="93" spans="2:9" x14ac:dyDescent="0.3">
      <c r="B93" s="7" t="s">
        <v>72</v>
      </c>
      <c r="C93" s="6"/>
      <c r="D93" s="5" t="s">
        <v>74</v>
      </c>
      <c r="E93" s="3"/>
      <c r="F93" s="5"/>
      <c r="G93" s="43"/>
    </row>
    <row r="94" spans="2:9" x14ac:dyDescent="0.3">
      <c r="B94" s="13" t="s">
        <v>65</v>
      </c>
      <c r="C94" s="14"/>
      <c r="D94" s="15"/>
      <c r="E94" s="16">
        <f>E91+F91</f>
        <v>448</v>
      </c>
      <c r="F94" s="15"/>
      <c r="G94" s="27"/>
    </row>
    <row r="95" spans="2:9" x14ac:dyDescent="0.3">
      <c r="B95" s="7" t="s">
        <v>149</v>
      </c>
      <c r="C95" s="6"/>
      <c r="D95" s="5" t="s">
        <v>150</v>
      </c>
      <c r="E95" s="3">
        <f>E94+F94</f>
        <v>448</v>
      </c>
      <c r="F95" s="5">
        <v>8</v>
      </c>
      <c r="G95" s="28" t="s">
        <v>111</v>
      </c>
      <c r="I95">
        <f t="shared" si="2"/>
        <v>481</v>
      </c>
    </row>
    <row r="96" spans="2:9" x14ac:dyDescent="0.3">
      <c r="B96" s="7" t="s">
        <v>147</v>
      </c>
      <c r="C96" s="6"/>
      <c r="D96" s="5" t="s">
        <v>148</v>
      </c>
      <c r="E96" s="3">
        <f t="shared" ref="E96:E97" si="4">E95+F95</f>
        <v>456</v>
      </c>
      <c r="F96" s="5">
        <v>8</v>
      </c>
      <c r="G96" s="28" t="s">
        <v>111</v>
      </c>
      <c r="I96">
        <f t="shared" si="2"/>
        <v>489</v>
      </c>
    </row>
    <row r="97" spans="2:9" x14ac:dyDescent="0.3">
      <c r="B97" s="7" t="s">
        <v>151</v>
      </c>
      <c r="C97" s="6"/>
      <c r="D97" s="5" t="s">
        <v>152</v>
      </c>
      <c r="E97" s="3">
        <f t="shared" si="4"/>
        <v>464</v>
      </c>
      <c r="F97" s="5">
        <v>8</v>
      </c>
      <c r="G97" s="28" t="s">
        <v>111</v>
      </c>
      <c r="I97">
        <f t="shared" si="2"/>
        <v>497</v>
      </c>
    </row>
    <row r="98" spans="2:9" x14ac:dyDescent="0.3">
      <c r="B98" s="13" t="s">
        <v>66</v>
      </c>
      <c r="C98" s="14"/>
      <c r="D98" s="15"/>
      <c r="E98" s="16">
        <f>E97+F97</f>
        <v>472</v>
      </c>
      <c r="F98" s="15"/>
      <c r="G98" s="27"/>
      <c r="I98">
        <f t="shared" si="2"/>
        <v>505</v>
      </c>
    </row>
    <row r="99" spans="2:9" ht="28.8" x14ac:dyDescent="0.3">
      <c r="B99" s="19" t="s">
        <v>173</v>
      </c>
      <c r="C99" s="20"/>
      <c r="D99" s="32" t="s">
        <v>174</v>
      </c>
      <c r="E99" s="23">
        <f>E98</f>
        <v>472</v>
      </c>
      <c r="F99" s="21">
        <v>15</v>
      </c>
      <c r="G99" s="28" t="s">
        <v>111</v>
      </c>
      <c r="H99" s="22"/>
      <c r="I99">
        <f t="shared" si="2"/>
        <v>505</v>
      </c>
    </row>
    <row r="100" spans="2:9" ht="28.8" x14ac:dyDescent="0.3">
      <c r="B100" s="19" t="s">
        <v>160</v>
      </c>
      <c r="C100" s="20"/>
      <c r="D100" s="32" t="s">
        <v>161</v>
      </c>
      <c r="E100" s="23">
        <f t="shared" ref="E100:E102" si="5">E99+F99</f>
        <v>487</v>
      </c>
      <c r="F100" s="21">
        <v>15</v>
      </c>
      <c r="G100" s="28" t="s">
        <v>111</v>
      </c>
      <c r="H100" s="22"/>
      <c r="I100">
        <f t="shared" si="2"/>
        <v>520</v>
      </c>
    </row>
    <row r="101" spans="2:9" ht="28.8" x14ac:dyDescent="0.3">
      <c r="B101" s="19" t="s">
        <v>162</v>
      </c>
      <c r="C101" s="20"/>
      <c r="D101" s="32" t="s">
        <v>163</v>
      </c>
      <c r="E101" s="23">
        <f t="shared" si="5"/>
        <v>502</v>
      </c>
      <c r="F101" s="21">
        <v>15</v>
      </c>
      <c r="G101" s="28" t="s">
        <v>111</v>
      </c>
      <c r="H101" s="22"/>
      <c r="I101">
        <f t="shared" si="2"/>
        <v>535</v>
      </c>
    </row>
    <row r="102" spans="2:9" ht="28.8" x14ac:dyDescent="0.3">
      <c r="B102" s="19" t="s">
        <v>164</v>
      </c>
      <c r="C102" s="20"/>
      <c r="D102" s="32" t="s">
        <v>175</v>
      </c>
      <c r="E102" s="23">
        <f t="shared" si="5"/>
        <v>517</v>
      </c>
      <c r="F102" s="21">
        <v>15</v>
      </c>
      <c r="G102" s="29" t="s">
        <v>112</v>
      </c>
      <c r="H102" s="22"/>
      <c r="I102">
        <f t="shared" si="2"/>
        <v>550</v>
      </c>
    </row>
    <row r="103" spans="2:9" x14ac:dyDescent="0.3">
      <c r="B103" s="13" t="s">
        <v>159</v>
      </c>
      <c r="C103" s="14"/>
      <c r="D103" s="15"/>
      <c r="E103" s="16">
        <f>E102+F102</f>
        <v>532</v>
      </c>
      <c r="F103" s="15"/>
      <c r="G103" s="27"/>
      <c r="I103">
        <f t="shared" si="2"/>
        <v>565</v>
      </c>
    </row>
    <row r="104" spans="2:9" x14ac:dyDescent="0.3">
      <c r="B104" s="7" t="s">
        <v>181</v>
      </c>
      <c r="C104" s="6"/>
      <c r="D104" s="5" t="s">
        <v>145</v>
      </c>
      <c r="E104" s="3">
        <f>E103+F103</f>
        <v>532</v>
      </c>
      <c r="F104" s="5">
        <v>34</v>
      </c>
      <c r="G104" s="28" t="s">
        <v>111</v>
      </c>
      <c r="I104">
        <f t="shared" si="2"/>
        <v>565</v>
      </c>
    </row>
    <row r="105" spans="2:9" x14ac:dyDescent="0.3">
      <c r="B105" s="7" t="s">
        <v>182</v>
      </c>
      <c r="C105" s="6"/>
      <c r="D105" s="5" t="s">
        <v>146</v>
      </c>
      <c r="E105" s="3">
        <f t="shared" ref="E105:E106" si="6">E104+F104</f>
        <v>566</v>
      </c>
      <c r="F105" s="5">
        <v>11</v>
      </c>
      <c r="G105" s="28" t="s">
        <v>111</v>
      </c>
      <c r="I105">
        <f t="shared" si="2"/>
        <v>599</v>
      </c>
    </row>
    <row r="106" spans="2:9" x14ac:dyDescent="0.3">
      <c r="B106" s="7" t="s">
        <v>187</v>
      </c>
      <c r="C106" s="6"/>
      <c r="D106" s="5" t="s">
        <v>192</v>
      </c>
      <c r="E106" s="3">
        <f t="shared" si="6"/>
        <v>577</v>
      </c>
      <c r="F106" s="5">
        <v>4</v>
      </c>
      <c r="G106" s="35" t="s">
        <v>111</v>
      </c>
      <c r="I106">
        <f t="shared" si="2"/>
        <v>610</v>
      </c>
    </row>
    <row r="107" spans="2:9" x14ac:dyDescent="0.3">
      <c r="B107" s="7" t="s">
        <v>188</v>
      </c>
      <c r="C107" s="6"/>
      <c r="D107" s="5" t="s">
        <v>193</v>
      </c>
      <c r="E107" s="3"/>
      <c r="F107" s="5"/>
      <c r="G107" s="36"/>
    </row>
    <row r="108" spans="2:9" x14ac:dyDescent="0.3">
      <c r="B108" s="7" t="s">
        <v>189</v>
      </c>
      <c r="C108" s="6"/>
      <c r="D108" s="5" t="s">
        <v>194</v>
      </c>
      <c r="E108" s="3"/>
      <c r="F108" s="5"/>
      <c r="G108" s="36"/>
    </row>
    <row r="109" spans="2:9" x14ac:dyDescent="0.3">
      <c r="B109" s="7" t="s">
        <v>190</v>
      </c>
      <c r="C109" s="6"/>
      <c r="D109" s="5" t="s">
        <v>195</v>
      </c>
      <c r="E109" s="3"/>
      <c r="F109" s="5"/>
      <c r="G109" s="36"/>
    </row>
    <row r="110" spans="2:9" x14ac:dyDescent="0.3">
      <c r="B110" s="7" t="s">
        <v>191</v>
      </c>
      <c r="C110" s="6"/>
      <c r="D110" s="5" t="s">
        <v>196</v>
      </c>
      <c r="E110" s="3"/>
      <c r="F110" s="5"/>
      <c r="G110" s="37"/>
    </row>
    <row r="111" spans="2:9" x14ac:dyDescent="0.3">
      <c r="B111" s="13" t="s">
        <v>197</v>
      </c>
      <c r="C111" s="14"/>
      <c r="D111" s="15"/>
      <c r="E111" s="16">
        <f>E106+F106</f>
        <v>581</v>
      </c>
      <c r="F111" s="15"/>
      <c r="G111" s="27"/>
    </row>
    <row r="112" spans="2:9" x14ac:dyDescent="0.3">
      <c r="B112" s="7" t="s">
        <v>198</v>
      </c>
      <c r="C112" s="6"/>
      <c r="D112" s="5" t="s">
        <v>199</v>
      </c>
      <c r="E112" s="3">
        <f>E111+F111</f>
        <v>581</v>
      </c>
      <c r="F112" s="5">
        <v>40</v>
      </c>
      <c r="G112" s="28" t="s">
        <v>111</v>
      </c>
      <c r="I112">
        <f t="shared" si="2"/>
        <v>614</v>
      </c>
    </row>
    <row r="113" spans="2:9" x14ac:dyDescent="0.3">
      <c r="B113" s="7" t="s">
        <v>204</v>
      </c>
      <c r="C113" s="6"/>
      <c r="D113" s="5" t="s">
        <v>205</v>
      </c>
      <c r="E113" s="3">
        <f t="shared" ref="E113:E116" si="7">E112+F112</f>
        <v>621</v>
      </c>
      <c r="F113" s="5">
        <v>40</v>
      </c>
      <c r="G113" s="28" t="s">
        <v>111</v>
      </c>
      <c r="I113">
        <f t="shared" si="2"/>
        <v>654</v>
      </c>
    </row>
    <row r="114" spans="2:9" x14ac:dyDescent="0.3">
      <c r="B114" s="13" t="s">
        <v>200</v>
      </c>
      <c r="C114" s="14"/>
      <c r="D114" s="15"/>
      <c r="E114" s="16">
        <f t="shared" si="7"/>
        <v>661</v>
      </c>
      <c r="F114" s="15"/>
      <c r="G114" s="27"/>
    </row>
    <row r="115" spans="2:9" x14ac:dyDescent="0.3">
      <c r="B115" s="7" t="s">
        <v>201</v>
      </c>
      <c r="C115" s="6"/>
      <c r="D115" s="5" t="s">
        <v>203</v>
      </c>
      <c r="E115" s="3">
        <f t="shared" si="7"/>
        <v>661</v>
      </c>
      <c r="F115" s="5">
        <v>36</v>
      </c>
      <c r="G115" s="5"/>
      <c r="I115">
        <f t="shared" si="2"/>
        <v>694</v>
      </c>
    </row>
    <row r="116" spans="2:9" x14ac:dyDescent="0.3">
      <c r="B116" s="13" t="s">
        <v>206</v>
      </c>
      <c r="C116" s="14"/>
      <c r="D116" s="15"/>
      <c r="E116" s="16">
        <f t="shared" si="7"/>
        <v>697</v>
      </c>
      <c r="F116" s="15">
        <f>E117-E116+1</f>
        <v>1771</v>
      </c>
      <c r="G116" s="27"/>
    </row>
    <row r="117" spans="2:9" x14ac:dyDescent="0.3">
      <c r="D117" s="4" t="s">
        <v>23</v>
      </c>
      <c r="E117" s="8">
        <f>E42+F43</f>
        <v>2467</v>
      </c>
    </row>
  </sheetData>
  <mergeCells count="12">
    <mergeCell ref="G106:G110"/>
    <mergeCell ref="G4:G7"/>
    <mergeCell ref="G91:G93"/>
    <mergeCell ref="G27:G28"/>
    <mergeCell ref="G52:G75"/>
    <mergeCell ref="G46:G47"/>
    <mergeCell ref="G8:G9"/>
    <mergeCell ref="G10:G12"/>
    <mergeCell ref="G14:G18"/>
    <mergeCell ref="G19:G26"/>
    <mergeCell ref="G32:G41"/>
    <mergeCell ref="G77:G78"/>
  </mergeCells>
  <pageMargins left="0.23622047244094491" right="0.23622047244094491" top="0.74803149606299213" bottom="0.74803149606299213" header="0.31496062992125984" footer="0.31496062992125984"/>
  <pageSetup paperSize="9" scale="53" fitToHeight="6" orientation="landscape" r:id="rId1"/>
  <ignoredErrors>
    <ignoredError sqref="E99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Layout FSCD - Vida</vt:lpstr>
    </vt:vector>
  </TitlesOfParts>
  <Company>Fidelidade Mundial,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Jorge Santos Graça [EE] (DSI)</dc:creator>
  <cp:lastModifiedBy>Nuno Jorge de Sousa Fernandes (ITD)</cp:lastModifiedBy>
  <cp:lastPrinted>2016-03-09T11:26:57Z</cp:lastPrinted>
  <dcterms:created xsi:type="dcterms:W3CDTF">2015-07-28T09:44:45Z</dcterms:created>
  <dcterms:modified xsi:type="dcterms:W3CDTF">2024-11-12T10:04:12Z</dcterms:modified>
</cp:coreProperties>
</file>