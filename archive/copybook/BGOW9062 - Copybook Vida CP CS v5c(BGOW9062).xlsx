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defaultThemeVersion="124226"/>
  <mc:AlternateContent xmlns:mc="http://schemas.openxmlformats.org/markup-compatibility/2006">
    <mc:Choice Requires="x15">
      <x15ac:absPath xmlns:x15ac="http://schemas.microsoft.com/office/spreadsheetml/2010/11/ac" url="H:\z 202500298 OUT-3311 CP Vida\"/>
    </mc:Choice>
  </mc:AlternateContent>
  <xr:revisionPtr revIDLastSave="0" documentId="13_ncr:1_{AF5ADC16-D6EC-4C17-B388-FDA7F28C9C18}" xr6:coauthVersionLast="47" xr6:coauthVersionMax="47" xr10:uidLastSave="{00000000-0000-0000-0000-000000000000}"/>
  <bookViews>
    <workbookView xWindow="-120" yWindow="-120" windowWidth="29040" windowHeight="15720" xr2:uid="{00000000-000D-0000-FFFF-FFFF00000000}"/>
  </bookViews>
  <sheets>
    <sheet name="BGOW9062" sheetId="3" r:id="rId1"/>
    <sheet name="Texto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 i="3" l="1"/>
  <c r="C8" i="3" s="1"/>
  <c r="C17" i="3" s="1"/>
  <c r="C27" i="3" s="1"/>
  <c r="C28" i="3" s="1"/>
  <c r="C29" i="3" s="1"/>
  <c r="C30" i="3" s="1"/>
  <c r="C31" i="3" s="1"/>
  <c r="C32" i="3" s="1"/>
  <c r="C33" i="3" s="1"/>
  <c r="C34" i="3" s="1"/>
  <c r="C35" i="3" s="1"/>
  <c r="C36" i="3" s="1"/>
  <c r="C37" i="3" s="1"/>
  <c r="C38" i="3" s="1"/>
  <c r="C41" i="3" s="1"/>
  <c r="C42" i="3" s="1"/>
  <c r="C43" i="3" s="1"/>
  <c r="C62" i="3" s="1"/>
  <c r="C67" i="3" s="1"/>
  <c r="C68" i="3" s="1"/>
  <c r="C83" i="3" s="1"/>
  <c r="C84" i="3" s="1"/>
  <c r="C85" i="3" s="1"/>
  <c r="C86" i="3" l="1"/>
  <c r="C87" i="3" s="1"/>
  <c r="C222" i="3" s="1"/>
  <c r="C223" i="3" s="1"/>
  <c r="C224" i="3" s="1"/>
  <c r="C225" i="3" s="1"/>
  <c r="C226" i="3" s="1"/>
  <c r="C227" i="3" s="1"/>
  <c r="C228" i="3" s="1"/>
  <c r="C229" i="3" s="1"/>
  <c r="C230" i="3" s="1"/>
  <c r="C231" i="3" s="1"/>
  <c r="C232" i="3" s="1"/>
  <c r="C233" i="3" s="1"/>
  <c r="D233" i="3" s="1"/>
  <c r="C258" i="3" l="1"/>
  <c r="C259" i="3" s="1"/>
  <c r="C260" i="3" s="1"/>
  <c r="C261" i="3" s="1"/>
  <c r="C262" i="3" s="1"/>
  <c r="D262" i="3" s="1"/>
  <c r="C141" i="3"/>
  <c r="C142" i="3" s="1"/>
  <c r="C143" i="3" s="1"/>
  <c r="C144" i="3" s="1"/>
  <c r="C145" i="3" s="1"/>
  <c r="C146" i="3" s="1"/>
  <c r="D146" i="3" s="1"/>
  <c r="C134" i="3"/>
  <c r="C135" i="3" s="1"/>
  <c r="C136" i="3" s="1"/>
  <c r="C137" i="3" s="1"/>
  <c r="C138" i="3" s="1"/>
  <c r="C139" i="3" s="1"/>
  <c r="D139" i="3" s="1"/>
  <c r="C148" i="3"/>
  <c r="C149" i="3" s="1"/>
  <c r="C150" i="3" s="1"/>
  <c r="C151" i="3" s="1"/>
  <c r="D151" i="3" s="1"/>
  <c r="C184" i="3"/>
  <c r="C185" i="3" s="1"/>
  <c r="C187" i="3" s="1"/>
  <c r="C193" i="3" s="1"/>
  <c r="C194" i="3" s="1"/>
  <c r="C195" i="3" s="1"/>
  <c r="C196" i="3" s="1"/>
  <c r="C197" i="3" s="1"/>
  <c r="D197" i="3" s="1"/>
  <c r="C210" i="3"/>
  <c r="C211" i="3" s="1"/>
  <c r="C212" i="3" s="1"/>
  <c r="C213" i="3" s="1"/>
  <c r="D213" i="3" s="1"/>
  <c r="C215" i="3"/>
  <c r="C216" i="3" s="1"/>
  <c r="C217" i="3" s="1"/>
  <c r="C218" i="3" s="1"/>
  <c r="C219" i="3" s="1"/>
  <c r="C220" i="3" s="1"/>
  <c r="D220" i="3" s="1"/>
  <c r="C264" i="3"/>
  <c r="C265" i="3" s="1"/>
  <c r="D265" i="3" s="1"/>
  <c r="C246" i="3"/>
  <c r="C247" i="3" s="1"/>
  <c r="C248" i="3" s="1"/>
  <c r="C249" i="3" s="1"/>
  <c r="C250" i="3" s="1"/>
  <c r="D250" i="3" s="1"/>
  <c r="C235" i="3"/>
  <c r="C236" i="3" s="1"/>
  <c r="C166" i="3"/>
  <c r="C167" i="3" s="1"/>
  <c r="C168" i="3" s="1"/>
  <c r="C175" i="3"/>
  <c r="C176" i="3" s="1"/>
  <c r="C177" i="3" s="1"/>
  <c r="C178" i="3" s="1"/>
  <c r="C179" i="3" s="1"/>
  <c r="C180" i="3" s="1"/>
  <c r="C181" i="3" s="1"/>
  <c r="C182" i="3" s="1"/>
  <c r="C252" i="3"/>
  <c r="C203" i="3"/>
  <c r="C153" i="3"/>
  <c r="C154" i="3" s="1"/>
  <c r="C155" i="3" s="1"/>
  <c r="C156" i="3" s="1"/>
  <c r="C157" i="3" s="1"/>
  <c r="C158" i="3" s="1"/>
  <c r="C159" i="3" s="1"/>
  <c r="C160" i="3" s="1"/>
  <c r="C161" i="3" s="1"/>
  <c r="C162" i="3" s="1"/>
  <c r="C163" i="3" s="1"/>
  <c r="C164" i="3" s="1"/>
  <c r="C89" i="3"/>
  <c r="C90" i="3" s="1"/>
  <c r="C91" i="3" s="1"/>
  <c r="D87" i="3"/>
  <c r="C198" i="3" l="1"/>
  <c r="C200" i="3" s="1"/>
  <c r="C201" i="3" s="1"/>
  <c r="D201" i="3" s="1"/>
  <c r="C237" i="3"/>
  <c r="C241" i="3" s="1"/>
  <c r="C242" i="3" s="1"/>
  <c r="D164" i="3"/>
  <c r="C169" i="3"/>
  <c r="C92" i="3"/>
  <c r="C93" i="3" s="1"/>
  <c r="C94" i="3" s="1"/>
  <c r="C95" i="3" s="1"/>
  <c r="C96" i="3" s="1"/>
  <c r="C97" i="3" s="1"/>
  <c r="C98" i="3" s="1"/>
  <c r="C99" i="3" s="1"/>
  <c r="C100" i="3" s="1"/>
  <c r="C243" i="3" l="1"/>
  <c r="C244" i="3" s="1"/>
  <c r="D244" i="3" s="1"/>
  <c r="D182" i="3"/>
  <c r="C170" i="3"/>
  <c r="C171" i="3" s="1"/>
  <c r="C172" i="3" s="1"/>
  <c r="C101" i="3"/>
  <c r="C102" i="3" s="1"/>
  <c r="C105" i="3" s="1"/>
  <c r="C173" i="3" l="1"/>
  <c r="D173" i="3" s="1"/>
  <c r="C106" i="3"/>
  <c r="C107" i="3" s="1"/>
  <c r="C253" i="3" s="1"/>
  <c r="C254" i="3" l="1"/>
  <c r="C255" i="3" s="1"/>
  <c r="C256" i="3" s="1"/>
  <c r="D256" i="3" s="1"/>
  <c r="C108" i="3"/>
  <c r="C109" i="3" s="1"/>
  <c r="C110" i="3" l="1"/>
  <c r="C111" i="3" s="1"/>
  <c r="C112" i="3" s="1"/>
  <c r="C204" i="3"/>
  <c r="C205" i="3" s="1"/>
  <c r="C206" i="3" l="1"/>
  <c r="C207" i="3" s="1"/>
  <c r="C208" i="3" s="1"/>
  <c r="D208" i="3" s="1"/>
  <c r="C118" i="3"/>
  <c r="C122" i="3" s="1"/>
  <c r="C123" i="3" l="1"/>
  <c r="C124" i="3" s="1"/>
  <c r="C125" i="3" s="1"/>
  <c r="C126" i="3" s="1"/>
  <c r="C127" i="3" s="1"/>
  <c r="C128" i="3" s="1"/>
  <c r="C129" i="3" l="1"/>
  <c r="C130" i="3" s="1"/>
  <c r="C131" i="3" l="1"/>
  <c r="C132" i="3" s="1"/>
  <c r="D132" i="3" s="1"/>
</calcChain>
</file>

<file path=xl/sharedStrings.xml><?xml version="1.0" encoding="utf-8"?>
<sst xmlns="http://schemas.openxmlformats.org/spreadsheetml/2006/main" count="633" uniqueCount="446">
  <si>
    <t>Posição</t>
  </si>
  <si>
    <t>Tamanho</t>
  </si>
  <si>
    <t>Copybook</t>
  </si>
  <si>
    <t>Código de identificação da Companhia</t>
  </si>
  <si>
    <t>Código de identificação da Marca</t>
  </si>
  <si>
    <t>Código de identificação do Sistema Origem</t>
  </si>
  <si>
    <t>Número da Apólice</t>
  </si>
  <si>
    <t>05  :PREFIX:-DADOS-REGISTO.</t>
  </si>
  <si>
    <t xml:space="preserve">     '111' - Via Directa</t>
  </si>
  <si>
    <t xml:space="preserve">     '148' - Multicare</t>
  </si>
  <si>
    <t xml:space="preserve">     '001' - OK Teleseguro</t>
  </si>
  <si>
    <t xml:space="preserve">     '006' - Multicare</t>
  </si>
  <si>
    <t xml:space="preserve">     '005' - Continente</t>
  </si>
  <si>
    <t xml:space="preserve">     'GIS' - GIS</t>
  </si>
  <si>
    <t xml:space="preserve">     '128' - Fidelidade</t>
  </si>
  <si>
    <t xml:space="preserve">     'CLH' - Colheitas (GIC)</t>
  </si>
  <si>
    <t xml:space="preserve">     '002' - Fidelidade</t>
  </si>
  <si>
    <t xml:space="preserve">     '138' - Império</t>
  </si>
  <si>
    <t xml:space="preserve">     '003' - Império</t>
  </si>
  <si>
    <t xml:space="preserve">     '004' - ICI</t>
  </si>
  <si>
    <t>Obrigatório</t>
  </si>
  <si>
    <t>Opcional</t>
  </si>
  <si>
    <t>Espaços</t>
  </si>
  <si>
    <t xml:space="preserve">     'FGS' - FGS</t>
  </si>
  <si>
    <t xml:space="preserve">     '1' - Pessoa / Particular</t>
  </si>
  <si>
    <t xml:space="preserve">     '2' - Colectivo/Conta Interna</t>
  </si>
  <si>
    <t>Tipo de Registo</t>
  </si>
  <si>
    <t xml:space="preserve">    88  :PREFIX:-COM-VIADIRECTA                 VALUE '111'.</t>
  </si>
  <si>
    <t xml:space="preserve">    88  :PREFIX:-COM-FIDELIDADE                 VALUE '128'.</t>
  </si>
  <si>
    <t xml:space="preserve">    88  :PREFIX:-COM-IMPERIO                    VALUE '138'.</t>
  </si>
  <si>
    <t xml:space="preserve">    88  :PREFIX:-COM-MULTICARE                  VALUE '148'.</t>
  </si>
  <si>
    <t xml:space="preserve">    88  :PREFIX:-MAR-FIDELIDADE                 VALUE '002'.</t>
  </si>
  <si>
    <t xml:space="preserve">    88  :PREFIX:-MAR-FIDELIDADE-LEVE            VALUE 'L02'.</t>
  </si>
  <si>
    <t xml:space="preserve">     'L02' - Fidelidade Leve</t>
  </si>
  <si>
    <t xml:space="preserve">    88  :PREFIX:-MAR-IMPERIO                    VALUE '003'.</t>
  </si>
  <si>
    <t xml:space="preserve">    88  :PREFIX:-MAR-IMPERIO-LEVE               VALUE 'L03'.</t>
  </si>
  <si>
    <t xml:space="preserve">     'L03' - Império Leve</t>
  </si>
  <si>
    <t xml:space="preserve">    88  :PREFIX:-MAR-ICI                        VALUE '004'.</t>
  </si>
  <si>
    <t xml:space="preserve">    88  :PREFIX:-MAR-SONAE                      VALUE '005'.</t>
  </si>
  <si>
    <t xml:space="preserve">    88  :PREFIX:-MAR-MULTICARE                  VALUE '006'.</t>
  </si>
  <si>
    <t xml:space="preserve">    88  :PREFIX:-ORI-COGEN41                    VALUE 'C41'.</t>
  </si>
  <si>
    <t xml:space="preserve">    88  :PREFIX:-ORI-COGEN22                    VALUE 'C22'.</t>
  </si>
  <si>
    <t xml:space="preserve">    88  :PREFIX:-ORI-COGEN33                    VALUE 'C33'.</t>
  </si>
  <si>
    <t xml:space="preserve">     'C41' - Cogen 4.1</t>
  </si>
  <si>
    <t xml:space="preserve">     'C22' - Cogen 2.2</t>
  </si>
  <si>
    <t xml:space="preserve">     'C33' - Cogen 3.3</t>
  </si>
  <si>
    <t xml:space="preserve">    88  :PREFIX:-ORI-PRIC41                     VALUE 'P41'.</t>
  </si>
  <si>
    <t xml:space="preserve">     'P41' - PRIC</t>
  </si>
  <si>
    <t xml:space="preserve">    88  :PREFIX:-ORI-GIS                        VALUE 'GIS'.</t>
  </si>
  <si>
    <t xml:space="preserve">    88  :PREFIX:-ORI-COLHEITAS                  VALUE 'CLH'.</t>
  </si>
  <si>
    <t xml:space="preserve">    88  :PREFIX:-ORI-VIDA-GRUPO                 VALUE 'FGS'.</t>
  </si>
  <si>
    <t xml:space="preserve">    88  :PREFIX:-ORI-PAXUS                      VALUE 'PXS'.</t>
  </si>
  <si>
    <t xml:space="preserve">     'PXS' - Paxus</t>
  </si>
  <si>
    <t xml:space="preserve">    88  :PREFIX:-ORI-VIDA-IND                   VALUE 'RVI'.</t>
  </si>
  <si>
    <t xml:space="preserve">     'RVI' - RVI</t>
  </si>
  <si>
    <t>Número do Cliente</t>
  </si>
  <si>
    <t>Data e hora da emissão do documento</t>
  </si>
  <si>
    <t>Código de identificação do Tipo de Documento</t>
  </si>
  <si>
    <t>Código do documento de origem</t>
  </si>
  <si>
    <t xml:space="preserve">    88  :PREFIX:-ESPACO                         VALUE ' '.</t>
  </si>
  <si>
    <t xml:space="preserve">    88  :PREFIX:-ONLINE                         VALUE '1'.</t>
  </si>
  <si>
    <t xml:space="preserve">    88  :PREFIX:-SEG-VIA                        VALUE '2'.</t>
  </si>
  <si>
    <t xml:space="preserve">    88  :PREFIX:-REGISTADA                      VALUE '3'.</t>
  </si>
  <si>
    <t xml:space="preserve">     ' ' - Espaço</t>
  </si>
  <si>
    <t xml:space="preserve">     '1' - Impressão ONLINE</t>
  </si>
  <si>
    <t xml:space="preserve">     '2' - 2ª Via</t>
  </si>
  <si>
    <t xml:space="preserve">     '3' - Registada</t>
  </si>
  <si>
    <t>Marca de reimpressão</t>
  </si>
  <si>
    <t>Capa</t>
  </si>
  <si>
    <t>Código para separar os movimentos conforme tipo de documento</t>
  </si>
  <si>
    <t xml:space="preserve">     Espaços - Cartas 1ª fase</t>
  </si>
  <si>
    <t xml:space="preserve">     '001' - Cartas 1ª fase</t>
  </si>
  <si>
    <t xml:space="preserve">     '002' - Condições Particulares</t>
  </si>
  <si>
    <t xml:space="preserve">     '003' - Cartas de Reinvestimento</t>
  </si>
  <si>
    <t xml:space="preserve">     '004' - certificados</t>
  </si>
  <si>
    <t xml:space="preserve">     '005' - Extractos</t>
  </si>
  <si>
    <t xml:space="preserve">     '006' - Cartas Transferencia de Carteira</t>
  </si>
  <si>
    <t xml:space="preserve">     '007' - Recibos de Sinistros</t>
  </si>
  <si>
    <t xml:space="preserve">     '008' - Recibos de prémio/estorno</t>
  </si>
  <si>
    <t xml:space="preserve">     '009' - Listas Paxus Horizontais</t>
  </si>
  <si>
    <t xml:space="preserve">     '010' - Cessação de contrato extrato final</t>
  </si>
  <si>
    <t xml:space="preserve">     '011' - Extrato integrado</t>
  </si>
  <si>
    <t xml:space="preserve">    88  :PREFIX:-DOCID-CART                     VALUE '   '.</t>
  </si>
  <si>
    <t xml:space="preserve">    88  :PREFIX:-DOCID-CART1                    VALUE '001'.</t>
  </si>
  <si>
    <t xml:space="preserve">    88  :PREFIX:-DOCID-CP                       VALUE '002'.</t>
  </si>
  <si>
    <t xml:space="preserve">    88  :PREFIX:-DOCID-CR                       VALUE '003'.</t>
  </si>
  <si>
    <t xml:space="preserve">    88  :PREFIX:-DOCID-CERT                     VALUE '004'.</t>
  </si>
  <si>
    <t xml:space="preserve">    88  :PREFIX:-DOCID-EXTR                     VALUE '005'.</t>
  </si>
  <si>
    <t xml:space="preserve">    88  :PREFIX:-DOCID-TRF-CART                 VALUE '006'.</t>
  </si>
  <si>
    <t xml:space="preserve">    88  :PREFIX:-DOCID-REC-SINIS                VALUE '007'.</t>
  </si>
  <si>
    <t xml:space="preserve">    88  :PREFIX:-DOCID-LISTA                    VALUE '008'.</t>
  </si>
  <si>
    <t xml:space="preserve">    88  :PREFIX:-DOCID-LISTAH                   VALUE '009'.</t>
  </si>
  <si>
    <t xml:space="preserve">    88  :PREFIX:-DOCID-TRFAPOL                  VALUE '010'.</t>
  </si>
  <si>
    <t xml:space="preserve">    88  :PREFIX:-DOCID-EXTINT                   VALUE '011'.</t>
  </si>
  <si>
    <t>Número de Aderente</t>
  </si>
  <si>
    <t>Filler</t>
  </si>
  <si>
    <t xml:space="preserve">    88  :PREFIX:-DOCID-PLANOPAG                 VALUE '012'.</t>
  </si>
  <si>
    <t xml:space="preserve">     '012' - Plano Pagamento Anual</t>
  </si>
  <si>
    <t>Nome da Pessoa Segura</t>
  </si>
  <si>
    <t xml:space="preserve">  07  :PREFIX:-DADOS-TOMADOR.</t>
  </si>
  <si>
    <t xml:space="preserve">      88  :PREFIX:-TM-ENT-PARTICUL              VALUE '1'.</t>
  </si>
  <si>
    <t xml:space="preserve">      88  :PREFIX:-TM-ENT-COLETIVA              VALUE '2'.</t>
  </si>
  <si>
    <t xml:space="preserve">  07  :PREFIX:-PESSOAS-SEGURAS.</t>
  </si>
  <si>
    <t>Data Início do período de Vigência [aaaammdd]</t>
  </si>
  <si>
    <t>Data Fim do período de Vigência [aaaammdd]</t>
  </si>
  <si>
    <t>Fraccionamento (à semelhança do FSCD):</t>
  </si>
  <si>
    <t xml:space="preserve">    88  :PREFIX:-IMP-ONLINE                     VALUE 'ONL'.</t>
  </si>
  <si>
    <t xml:space="preserve">     'ONL' - Impressão Online (Não Expedir)</t>
  </si>
  <si>
    <t xml:space="preserve">    88  :PREFIX:-IMP-EXPEDIR                    VALUE 'EXP'.</t>
  </si>
  <si>
    <t xml:space="preserve">     'EXP' - Impressão Batch (Expedir)</t>
  </si>
  <si>
    <t xml:space="preserve">Nome </t>
  </si>
  <si>
    <t xml:space="preserve">Data de Vencimento [aaaammdd] </t>
  </si>
  <si>
    <t>05  FILLER              REDEFINES :PREFIX:-DADOS-DOCUMENTO.</t>
  </si>
  <si>
    <t xml:space="preserve">  07  :PREFIX:-COD-COMPANHIA          PIC X(03).</t>
  </si>
  <si>
    <t xml:space="preserve">  07  :PREFIX:-COD-MARCA              PIC X(03).</t>
  </si>
  <si>
    <t xml:space="preserve">  07  :PREFIX:-COD-ORIGEM             PIC X(03).</t>
  </si>
  <si>
    <t xml:space="preserve">  07  :PREFIX:-COD-POSTALM            PIC X(09).</t>
  </si>
  <si>
    <t xml:space="preserve">  07  :PREFIX:-NR-MEDIADOR            PIC X(10).</t>
  </si>
  <si>
    <t xml:space="preserve">  07  :PREFIX:-COD-POSTALC            PIC X(09).</t>
  </si>
  <si>
    <t xml:space="preserve">  07  :PREFIX:-NR-CLIENTE             PIC X(10).</t>
  </si>
  <si>
    <t xml:space="preserve">  07  :PREFIX:-NR-APOLICE             PIC X(16).</t>
  </si>
  <si>
    <t xml:space="preserve">  07  :PREFIX:-COD-PRODUTO            PIC X(06).</t>
  </si>
  <si>
    <t xml:space="preserve">  07  :PREFIX:-DATA-HORA              PIC X(14).</t>
  </si>
  <si>
    <t xml:space="preserve">  07  :PREFIX:-TIPO-DOCUMENTO         PIC X(04).</t>
  </si>
  <si>
    <t xml:space="preserve">  07  :PREFIX:-TIPO-IMPRESSAO         PIC X(03).</t>
  </si>
  <si>
    <t xml:space="preserve">  07  :PREFIX:-COD-IMPRESSORA         PIC X(08).</t>
  </si>
  <si>
    <t xml:space="preserve">  07  :PREFIX:-COD-DOC-ORIGEM         PIC X(10).</t>
  </si>
  <si>
    <t xml:space="preserve">  07  :PREFIX:-TIPO-REG               PIC X(04).</t>
  </si>
  <si>
    <t xml:space="preserve">  07  :PREFIX:-MARCA-REIMPRESSAO      PIC X(01).</t>
  </si>
  <si>
    <t xml:space="preserve">  07  :PREFIX:-COD-CAPA               PIC X(06).</t>
  </si>
  <si>
    <t xml:space="preserve">  07  :PREFIX:-DOC-ID                 PIC X(03).</t>
  </si>
  <si>
    <t xml:space="preserve">  07  :PREFIX:-USER-ID                PIC X(08).</t>
  </si>
  <si>
    <t xml:space="preserve">  07  :PREFIX:-ADERENTE               PIC X(08).</t>
  </si>
  <si>
    <t xml:space="preserve">  07  :PREFIX:-APOLICE-NCR            PIC X(08).</t>
  </si>
  <si>
    <t xml:space="preserve">  07  FILLER                          PIC X(134).</t>
  </si>
  <si>
    <t>05  :PREFIX:-DADOS-DOCUMENTO          PIC X(3797).</t>
  </si>
  <si>
    <t xml:space="preserve">    09  :PREFIX:-TM-NOME              PIC X(40).</t>
  </si>
  <si>
    <t xml:space="preserve">    09  :PREFIX:-TM-LOCATION-REF      PIC X(04).</t>
  </si>
  <si>
    <t xml:space="preserve">    09  :PREFIX:-TM-MORADA1           PIC X(40).</t>
  </si>
  <si>
    <t xml:space="preserve">    09  :PREFIX:-TM-MORADA2           PIC X(40).</t>
  </si>
  <si>
    <t xml:space="preserve">    09  :PREFIX:-TM-LOCALIDADE        PIC X(40).</t>
  </si>
  <si>
    <t xml:space="preserve">    09  :PREFIX:-TM-CPOSTAL           PIC X(09).</t>
  </si>
  <si>
    <t xml:space="preserve">    09  :PREFIX:-TM-CPOSTAL-DESC      PIC X(40).</t>
  </si>
  <si>
    <t xml:space="preserve">    09  :PREFIX:-TM-CPAIS             PIC X(03).</t>
  </si>
  <si>
    <t xml:space="preserve">    09  :PREFIX:-TM-CPAIS-DESC        PIC X(40).</t>
  </si>
  <si>
    <t xml:space="preserve">    09  :PREFIX:-TM-IDP               PIC X(04).</t>
  </si>
  <si>
    <t xml:space="preserve">    09  :PREFIX:-TM-NIF               PIC X(22).</t>
  </si>
  <si>
    <t xml:space="preserve">    09  :PREFIX:-TM-TIPO-ENTIDADE     PIC X(01).</t>
  </si>
  <si>
    <t xml:space="preserve">  07  :PREFIX:-FIM-DOCUMENTO          PIC X(3797).</t>
  </si>
  <si>
    <t xml:space="preserve">    88  :PREFIX:-MAR-OK-TELESEGURO              VALUE '001'.</t>
  </si>
  <si>
    <t xml:space="preserve">    88  :PREFIX:-CPARTEA                        VALUE 'CPEA'.</t>
  </si>
  <si>
    <t xml:space="preserve">    88  :PREFIX:-CPARTPS                        VALUE 'CPPS'.</t>
  </si>
  <si>
    <t xml:space="preserve">    88  :PREFIX:-CPARTZZ                        VALUE 'CPZZ'.</t>
  </si>
  <si>
    <t xml:space="preserve">     Condição Particular - Registo tipo único - Endereçamento e Assunto</t>
  </si>
  <si>
    <t xml:space="preserve">     Condição Particular - Registo tipo Lista - Pessoas Seguras</t>
  </si>
  <si>
    <t xml:space="preserve">  07  :PREFIX:-NUM-DOC                PIC 9(07).</t>
  </si>
  <si>
    <t>Número de ordem do documento</t>
  </si>
  <si>
    <t xml:space="preserve">  07  :PREFIX:-NUM-REGISTO            PIC 9(07).</t>
  </si>
  <si>
    <t>Número de ordem do registo</t>
  </si>
  <si>
    <t xml:space="preserve">  07  :PREFIX:-COD-ASSINATURA         PIC X(04).</t>
  </si>
  <si>
    <t>Fim do Documento (Registo do tipo CPZZ)</t>
  </si>
  <si>
    <t>Dados de Endereçamento e Assunto (Registo do tipo CPEA)</t>
  </si>
  <si>
    <t>Referência da morada</t>
  </si>
  <si>
    <t>Dados de morada 1</t>
  </si>
  <si>
    <t>Dados de morada 2</t>
  </si>
  <si>
    <t>Localidade</t>
  </si>
  <si>
    <t>Código do País (Se estrangeiro, diferente de 620) - Se estrangeiro vai " "</t>
  </si>
  <si>
    <t>Código postal (Se estrangeiro deverá vir a zeros) [99990999]</t>
  </si>
  <si>
    <t>Identificação da Porta (no CBC)</t>
  </si>
  <si>
    <t>Tipo Entidade</t>
  </si>
  <si>
    <t>Data de emissão [aaaammdd]</t>
  </si>
  <si>
    <t>Descritivo do Produto</t>
  </si>
  <si>
    <t>Tipo de Pagamento (Débito em Conta, ATM,…)</t>
  </si>
  <si>
    <t>Tipo da Transacção do Movimento:</t>
  </si>
  <si>
    <t xml:space="preserve">     'A' - Anual</t>
  </si>
  <si>
    <t xml:space="preserve">     'M' - Mensal</t>
  </si>
  <si>
    <t xml:space="preserve">     'S' - Semestral</t>
  </si>
  <si>
    <t xml:space="preserve">     'T' - Trimestral</t>
  </si>
  <si>
    <t xml:space="preserve">     'U' - Único</t>
  </si>
  <si>
    <t xml:space="preserve">     'N' - Novo Negócio</t>
  </si>
  <si>
    <t xml:space="preserve">     'R' - Renovação</t>
  </si>
  <si>
    <t xml:space="preserve">     'A' - Alteração</t>
  </si>
  <si>
    <t xml:space="preserve">  07  :PREFIX:-DADOS-GERAIS.</t>
  </si>
  <si>
    <t xml:space="preserve">    09  :PREFIX:-DG-PRODUTO-DESC      PIC X(40).</t>
  </si>
  <si>
    <t xml:space="preserve">    09  :PREFIX:-DG-COD-RAMO          PIC X(02).</t>
  </si>
  <si>
    <t xml:space="preserve">    09  :PREFIX:-DG-DT-VENCIMENTO     PIC X(08).</t>
  </si>
  <si>
    <t xml:space="preserve">    09  :PREFIX:-DG-DT-INI-PERIODO    PIC X(08).</t>
  </si>
  <si>
    <t xml:space="preserve">    09  :PREFIX:-DG-DT-FIM-PERIODO    PIC X(08).</t>
  </si>
  <si>
    <t xml:space="preserve">    09  :PREFIX:-DG-TIPO-FRACCIONA    PIC X(01).</t>
  </si>
  <si>
    <t xml:space="preserve">      88  :PREFIX:-DG-FRAC-ANUAL                VALUE 'A'.</t>
  </si>
  <si>
    <t xml:space="preserve">      88  :PREFIX:-DG-FRAC-MENSAL               VALUE 'M'.</t>
  </si>
  <si>
    <t xml:space="preserve">      88  :PREFIX:-DG-FRAC-SEMESTRAL            VALUE 'S'.</t>
  </si>
  <si>
    <t xml:space="preserve">      88  :PREFIX:-DG-FRAC-TRIMESTRAL           VALUE 'T'.</t>
  </si>
  <si>
    <t xml:space="preserve">      88  :PREFIX:-DG-FRAC-UNICO                VALUE 'U'.</t>
  </si>
  <si>
    <t xml:space="preserve">    09  :PREFIX:-DG-TIPO-TRANSACAO    PIC X(01).</t>
  </si>
  <si>
    <t xml:space="preserve">      88  :PREFIX:-DG-TRANS-NOVO                VALUE 'N'.</t>
  </si>
  <si>
    <t xml:space="preserve">      88  :PREFIX:-DG-TRANS-RENOVACAO           VALUE 'R'.</t>
  </si>
  <si>
    <t xml:space="preserve">      88  :PREFIX:-DG-TRANS-ALTERACAO           VALUE 'A'.</t>
  </si>
  <si>
    <t xml:space="preserve">    09  :PREFIX:-DG-TIPO-PAGAMENTO    PIC X(30).</t>
  </si>
  <si>
    <t xml:space="preserve">    09  :PREFIX:-DG-COND-GERAIS       PIC X(03).</t>
  </si>
  <si>
    <t xml:space="preserve">    09  :PREFIX:-DG-IDADE-MEDIA       PIC X(02).</t>
  </si>
  <si>
    <t xml:space="preserve">    09  :PREFIX:-DG-MODELO            PIC X(06).</t>
  </si>
  <si>
    <t xml:space="preserve">    09  :PREFIX:-DG-NR-PESSOAS-SEG    PIC X(05).</t>
  </si>
  <si>
    <t>Condições Gerais</t>
  </si>
  <si>
    <t>Idade Média</t>
  </si>
  <si>
    <t>Capital Seguro</t>
  </si>
  <si>
    <t>Prémio Anual</t>
  </si>
  <si>
    <t>Modelo</t>
  </si>
  <si>
    <t>Número de Pessoas Seguras</t>
  </si>
  <si>
    <t xml:space="preserve">    09  :PREFIX:-PS-NR-ADESAO         PIC X(05).</t>
  </si>
  <si>
    <t>Número de Adesão</t>
  </si>
  <si>
    <t>Código postal do Mediador (Se estrangeiro deverá vir a zeros) [99990999]</t>
  </si>
  <si>
    <t>Código postal do Cliente (Se estrangeiro deverá vir a zeros) [99990999]</t>
  </si>
  <si>
    <t>Código da assinatura do documento</t>
  </si>
  <si>
    <t>Número de apólice NCR</t>
  </si>
  <si>
    <t>Descritivo do código postal</t>
  </si>
  <si>
    <t>Descritivo do País (se Portugal vem vazio)</t>
  </si>
  <si>
    <t>User Id (se impressão online, espaços para os restantes casos)</t>
  </si>
  <si>
    <t xml:space="preserve">    09  :PREFIX:-PS-DT-ADESAO         PIC X(08).</t>
  </si>
  <si>
    <t xml:space="preserve">    09  :PREFIX:-PS-NOME              PIC X(40).</t>
  </si>
  <si>
    <t>Data de Adesão [aaaammdd]</t>
  </si>
  <si>
    <t>Data de Nascimento [aaaammdd]</t>
  </si>
  <si>
    <t xml:space="preserve">    09  :PREFIX:-PS-DT-NASC           PIC X(08).</t>
  </si>
  <si>
    <t>Morada</t>
  </si>
  <si>
    <t xml:space="preserve">    09  :PREFIX:-PS-MORADA            PIC X(40).</t>
  </si>
  <si>
    <t xml:space="preserve">    09  :PREFIX:-PS-LOCALIDADE        PIC X(40).</t>
  </si>
  <si>
    <t>Código Postal</t>
  </si>
  <si>
    <t xml:space="preserve">    09  :PREFIX:-PS-COD-POST          PIC X(08).</t>
  </si>
  <si>
    <t xml:space="preserve">    09  :PREFIX:-PS-DESC-CP           PIC X(40).</t>
  </si>
  <si>
    <t>Descritivo do Código Postal</t>
  </si>
  <si>
    <t>Concelho da Prestação</t>
  </si>
  <si>
    <t xml:space="preserve">    09  :PREFIX:-PS-CONC-PREST        PIC X(40).</t>
  </si>
  <si>
    <t>Descritivo da Cobertura</t>
  </si>
  <si>
    <t>Taxa</t>
  </si>
  <si>
    <t xml:space="preserve">    88  :PREFIX:-CPARTCB                        VALUE 'CPCB'.</t>
  </si>
  <si>
    <t xml:space="preserve">     Condição Particular - Registo tipo Lista - Coberturas</t>
  </si>
  <si>
    <t xml:space="preserve">     Condição Particular - Registo tipo único - Fim do documento</t>
  </si>
  <si>
    <t xml:space="preserve">    88  :PREFIX:-CPARTVR                        VALUE 'CPVR'.</t>
  </si>
  <si>
    <t xml:space="preserve">     Condição Particular - Registo tipo Lista - Valores de Resgate</t>
  </si>
  <si>
    <t xml:space="preserve">  07  :PREFIX:-VALORES-RESGATE.</t>
  </si>
  <si>
    <t>Ano</t>
  </si>
  <si>
    <t xml:space="preserve">    09  :PREFIX:-VR-ANO               PIC X(02).</t>
  </si>
  <si>
    <t>Descrição / 'Valores Possiveis' / (Notas) / [Formato]</t>
  </si>
  <si>
    <t>Data Início [aaaammdd]</t>
  </si>
  <si>
    <t>Data de Renovação [aaaammdd]</t>
  </si>
  <si>
    <t>Data Termo [aaaammdd]</t>
  </si>
  <si>
    <t xml:space="preserve">    09  :PREFIX:-DG-DT-EMISSAO        PIC X(08).</t>
  </si>
  <si>
    <t xml:space="preserve">    09  :PREFIX:-DG-CAPITAL-SEG       PIC S9(12)V9(02) SIGN LEADING SEPARATE.</t>
  </si>
  <si>
    <t xml:space="preserve">    09  :PREFIX:-DG-PREMIO-ANUAL      PIC S9(12)V9(02) SIGN LEADING SEPARATE.</t>
  </si>
  <si>
    <t xml:space="preserve">    09  :PREFIX:-VR-VALOR-RESG        PIC S9(12)V9(02) SIGN LEADING SEPARATE.</t>
  </si>
  <si>
    <t>Código da impressora (se impressão online, espaços para os restantes)</t>
  </si>
  <si>
    <t>Código de identificação do tipo de impressão [espaços para DOC-ID = '006']</t>
  </si>
  <si>
    <t>Número do Mediador (se existir Mediador, espaços para restantes casos)</t>
  </si>
  <si>
    <r>
      <rPr>
        <sz val="11"/>
        <rFont val="Calibri"/>
        <family val="2"/>
        <scheme val="minor"/>
      </rPr>
      <t>Lista das Pessoas Seguras (Registo do tipo CPPS)</t>
    </r>
    <r>
      <rPr>
        <sz val="11"/>
        <color rgb="FFFF0000"/>
        <rFont val="Calibri"/>
        <family val="2"/>
        <scheme val="minor"/>
      </rPr>
      <t xml:space="preserve"> repete-se de 0 a N</t>
    </r>
  </si>
  <si>
    <r>
      <rPr>
        <sz val="11"/>
        <rFont val="Calibri"/>
        <family val="2"/>
        <scheme val="minor"/>
      </rPr>
      <t>Lista dos Valores de Resgate (Registo do tipo CPVR)</t>
    </r>
    <r>
      <rPr>
        <sz val="11"/>
        <color rgb="FFFF0000"/>
        <rFont val="Calibri"/>
        <family val="2"/>
        <scheme val="minor"/>
      </rPr>
      <t xml:space="preserve"> repete-se de 0 a N</t>
    </r>
  </si>
  <si>
    <t>Número de Identificação Fiscal do Tomador (se Portugal PT999999999)</t>
  </si>
  <si>
    <t xml:space="preserve">    09  :PREFIX:-DG-DT-RENOV          PIC X(08).</t>
  </si>
  <si>
    <t>Tipo de Movimento (ex: Acta nº 00006…)</t>
  </si>
  <si>
    <t xml:space="preserve">    09  :PREFIX:-DG-TIPO-MOV          PIC X(20).</t>
  </si>
  <si>
    <t>Código do Produto (modalidade 2, versão 2, spaces 2)</t>
  </si>
  <si>
    <t>Valor de Resgate</t>
  </si>
  <si>
    <t xml:space="preserve">    09  :PREFIX:-PT-PREMIO            PIC S9(12)V9(02) SIGN LEADING SEPARATE.</t>
  </si>
  <si>
    <t>Valor Prémio da Apólice</t>
  </si>
  <si>
    <t>Código de Texto</t>
  </si>
  <si>
    <r>
      <rPr>
        <sz val="11"/>
        <rFont val="Calibri"/>
        <family val="2"/>
        <scheme val="minor"/>
      </rPr>
      <t>Lista dos Riscos Cobertos (Registo do tipo CPRC)</t>
    </r>
    <r>
      <rPr>
        <sz val="11"/>
        <color rgb="FFFF0000"/>
        <rFont val="Calibri"/>
        <family val="2"/>
        <scheme val="minor"/>
      </rPr>
      <t xml:space="preserve"> repete-se de 0 a N</t>
    </r>
  </si>
  <si>
    <t xml:space="preserve">    09  :PREFIX:-RC-DT-TERMO          PIC X(08).</t>
  </si>
  <si>
    <t xml:space="preserve">    09  :PREFIX:-RC-DT-RENOV          PIC X(08).</t>
  </si>
  <si>
    <t xml:space="preserve">    09  :PREFIX:-RC-DT-INICIO         PIC X(08).</t>
  </si>
  <si>
    <t xml:space="preserve">  07  :PREFIX:-RISCOS-COBERTOS.</t>
  </si>
  <si>
    <t xml:space="preserve">  07  :PREFIX:-PREMIOS.</t>
  </si>
  <si>
    <t xml:space="preserve">  07  :PREFIX:-COBERTURAS.</t>
  </si>
  <si>
    <r>
      <rPr>
        <sz val="11"/>
        <rFont val="Calibri"/>
        <family val="2"/>
        <scheme val="minor"/>
      </rPr>
      <t>Lista das Coberturas (Registo do tipo CPCB)</t>
    </r>
    <r>
      <rPr>
        <sz val="11"/>
        <color rgb="FFFF0000"/>
        <rFont val="Calibri"/>
        <family val="2"/>
        <scheme val="minor"/>
      </rPr>
      <t xml:space="preserve"> repete-se de 0 a N</t>
    </r>
  </si>
  <si>
    <t xml:space="preserve">    09  :PREFIX:-CB-TAXA              PIC X(06).</t>
  </si>
  <si>
    <t xml:space="preserve">    88  :PREFIX:-DOCID-CONDPART                 VALUE '013'.</t>
  </si>
  <si>
    <t xml:space="preserve">     '013' - Condições Particulares</t>
  </si>
  <si>
    <t xml:space="preserve">    09  :PREFIX:-VR-COB-DESC          PIC X(60).</t>
  </si>
  <si>
    <t>Nível da Cobertura</t>
  </si>
  <si>
    <t xml:space="preserve">  07  FILLER                          PIC X(3712).</t>
  </si>
  <si>
    <t xml:space="preserve">    09  :PREFIX:-RC-NIVEL             PIC X(01).</t>
  </si>
  <si>
    <t xml:space="preserve">    09  :PREFIX:-RC-DESC              PIC X(60).</t>
  </si>
  <si>
    <t xml:space="preserve">    88  :PREFIX:-CPARTRC                        VALUE 'CPRC'.</t>
  </si>
  <si>
    <t xml:space="preserve">     Condição Particular - Registo tipo Lista - Riscos Cobertos</t>
  </si>
  <si>
    <t xml:space="preserve">    88  :PREFIX:-CPARTPR                        VALUE 'CPPR'.</t>
  </si>
  <si>
    <t xml:space="preserve">     Condição Particular - Registo tipo Lista - Prémios</t>
  </si>
  <si>
    <t xml:space="preserve">  07  FILLER                          PIC X(3720).</t>
  </si>
  <si>
    <r>
      <rPr>
        <sz val="11"/>
        <rFont val="Calibri"/>
        <family val="2"/>
        <scheme val="minor"/>
      </rPr>
      <t>Lista de Prémios Pessoa Segura (Registo do tipo CPPR)</t>
    </r>
    <r>
      <rPr>
        <sz val="11"/>
        <color rgb="FFFF0000"/>
        <rFont val="Calibri"/>
        <family val="2"/>
        <scheme val="minor"/>
      </rPr>
      <t xml:space="preserve"> repete-se de 0 a N</t>
    </r>
  </si>
  <si>
    <t>Observação</t>
  </si>
  <si>
    <t>Descritivo do Prémio da Apólice / Contrato</t>
  </si>
  <si>
    <t xml:space="preserve">  07  FILLER                          PIC X(3722).</t>
  </si>
  <si>
    <r>
      <t xml:space="preserve">Lista dos Prémios Totais da Apólice (Registo do tipo CPPT) </t>
    </r>
    <r>
      <rPr>
        <sz val="11"/>
        <color rgb="FFFF0000"/>
        <rFont val="Calibri"/>
        <family val="2"/>
        <scheme val="minor"/>
      </rPr>
      <t>repete-se de 0 a N</t>
    </r>
  </si>
  <si>
    <t xml:space="preserve">  07  :PREFIX:-PREMIOS-TOTAIS.</t>
  </si>
  <si>
    <t xml:space="preserve">    09  :PREFIX:-PT-DESC              PIC X(60).</t>
  </si>
  <si>
    <t xml:space="preserve">    88  :PREFIX:-CPARTPT                        VALUE 'CPPT'.</t>
  </si>
  <si>
    <t xml:space="preserve">     Condição Particular - Registo tipo Lista - Prémios Totais da Apólice</t>
  </si>
  <si>
    <t xml:space="preserve">    09  :PREFIX:-PR-PREMIO-COM        PIC S9(12)V9(02) SIGN LEADING SEPARATE.</t>
  </si>
  <si>
    <t xml:space="preserve">    09  :PREFIX:-PR-PREMIO-TOT        PIC S9(12)V9(02) SIGN LEADING SEPARATE.</t>
  </si>
  <si>
    <t xml:space="preserve">    09  :PREFIX:-PR-ENCARGOS          PIC S9(12)V9(02) SIGN LEADING SEPARATE.</t>
  </si>
  <si>
    <t>Prémio Comercial</t>
  </si>
  <si>
    <t>Encargos Fiscais e Parafiscais</t>
  </si>
  <si>
    <t>Prémio Total</t>
  </si>
  <si>
    <t>Prémio Comercial - Adicional</t>
  </si>
  <si>
    <r>
      <rPr>
        <sz val="11"/>
        <rFont val="Calibri"/>
        <family val="2"/>
        <scheme val="minor"/>
      </rPr>
      <t>Lista dos Beneficiários (Registo do tipo CPBE)</t>
    </r>
    <r>
      <rPr>
        <sz val="11"/>
        <color rgb="FFFF0000"/>
        <rFont val="Calibri"/>
        <family val="2"/>
        <scheme val="minor"/>
      </rPr>
      <t xml:space="preserve"> repete-se de 0 a N</t>
    </r>
  </si>
  <si>
    <t xml:space="preserve">  07  :PREFIX:-BENEFICIARIOS.</t>
  </si>
  <si>
    <t xml:space="preserve">    09  :PREFIX:-BE-NOME              PIC X(40).</t>
  </si>
  <si>
    <t xml:space="preserve">    09  :PREFIX:-BE-NUMERO            PIC X(04).</t>
  </si>
  <si>
    <t xml:space="preserve">    09  :PREFIX:-BE-TIPO              PIC X(10).</t>
  </si>
  <si>
    <t>Nome do beneficiário</t>
  </si>
  <si>
    <t>Número</t>
  </si>
  <si>
    <t>Tipo (morte/invalidez)</t>
  </si>
  <si>
    <t xml:space="preserve">  07  FILLER                          PIC X(3743).</t>
  </si>
  <si>
    <t xml:space="preserve">     Condição Particular - Registo tipo Lista - Benefeciarios</t>
  </si>
  <si>
    <t xml:space="preserve">    09  :PREFIX:-CB-CAPS              PIC S9(12)V9(02) SIGN LEADING SEPARATE.</t>
  </si>
  <si>
    <t xml:space="preserve">    09  :PREFIX:-CB-VARI              PIC X(77).</t>
  </si>
  <si>
    <t xml:space="preserve">  07  FILLER                          PIC X(3685).</t>
  </si>
  <si>
    <t>Código</t>
  </si>
  <si>
    <t xml:space="preserve">  07  FILLER                          PIC X(397).</t>
  </si>
  <si>
    <t>Texto livre com caracteres a bold/negrito</t>
  </si>
  <si>
    <t>Texto livre com caracteres a normal</t>
  </si>
  <si>
    <r>
      <t xml:space="preserve">Lista dos Textos Livres (Registo do tipo CPTL) </t>
    </r>
    <r>
      <rPr>
        <sz val="11"/>
        <color rgb="FFFF0000"/>
        <rFont val="Calibri"/>
        <family val="2"/>
        <scheme val="minor"/>
      </rPr>
      <t>repete-se de 0 a N</t>
    </r>
  </si>
  <si>
    <t xml:space="preserve">  07  :PREFIX:-TEXTO-LIVRE.</t>
  </si>
  <si>
    <t xml:space="preserve">    09  :PREFIX:-TL-BOLD              PIC X(400).</t>
  </si>
  <si>
    <t xml:space="preserve">    09  :PREFIX:-TL-NORMAL            PIC X(3000).</t>
  </si>
  <si>
    <t xml:space="preserve">    88  :PREFIX:-CPARTBE                        VALUE 'CPBE'.</t>
  </si>
  <si>
    <t xml:space="preserve">    88  :PREFIX:-CPARTTL                        VALUE 'CPTL'.</t>
  </si>
  <si>
    <t xml:space="preserve">     Condição Particular - Registo tipo Lista - Texto Livre</t>
  </si>
  <si>
    <t xml:space="preserve">      11  :PREFIX:-CB-MODALIDADE      PIC X(02).</t>
  </si>
  <si>
    <t xml:space="preserve">      11  :PREFIX:-CB-VERSAO          PIC X(02).</t>
  </si>
  <si>
    <t xml:space="preserve">      11  :PREFIX:-CB-CODIGO          PIC X(10).</t>
  </si>
  <si>
    <t xml:space="preserve">    09  :PREFIX:-CB-CODE.</t>
  </si>
  <si>
    <t>Código do texto</t>
  </si>
  <si>
    <t>Modalidade</t>
  </si>
  <si>
    <t>Versão</t>
  </si>
  <si>
    <t xml:space="preserve">     Condição Particular - Registo tipo Lista - Exclusões / Agravamentos</t>
  </si>
  <si>
    <t xml:space="preserve">    88  :PREFIX:-CPARTEX                        VALUE 'CPEX'.</t>
  </si>
  <si>
    <t xml:space="preserve">    88  :PREFIX:-CPARTIF                        VALUE 'CPIF'.</t>
  </si>
  <si>
    <t xml:space="preserve">     Condição Particular - Registo tipo Lista - Informações finais</t>
  </si>
  <si>
    <t xml:space="preserve">    09  :PREFIX:-DG-DT-INICIO         PIC X(08).</t>
  </si>
  <si>
    <t>Data de Inicio [aaaammdd]</t>
  </si>
  <si>
    <t xml:space="preserve">  07  FILLER                          PIC X(3326).</t>
  </si>
  <si>
    <t xml:space="preserve">    09  :PREFIX:-PR-DESC              PIC X(20).</t>
  </si>
  <si>
    <t xml:space="preserve">    09  :PREFIX:-PR-CAPITAL-BASE      PIC S9(12)V9(02) SIGN LEADING SEPARATE.</t>
  </si>
  <si>
    <t xml:space="preserve">  07  FILLER                          PIC X(3717).</t>
  </si>
  <si>
    <t xml:space="preserve">  07  :PREFIX:-GARANTIAS.</t>
  </si>
  <si>
    <r>
      <rPr>
        <sz val="11"/>
        <rFont val="Calibri"/>
        <family val="2"/>
        <scheme val="minor"/>
      </rPr>
      <t>Lista das Garantias da Pessoa Segura (Registo do tipo CPGA)</t>
    </r>
    <r>
      <rPr>
        <sz val="11"/>
        <color rgb="FFFF0000"/>
        <rFont val="Calibri"/>
        <family val="2"/>
        <scheme val="minor"/>
      </rPr>
      <t xml:space="preserve"> repete-se de 0 a N</t>
    </r>
  </si>
  <si>
    <t xml:space="preserve">    09  :PREFIX:-GARANTIA-NORMAL.</t>
  </si>
  <si>
    <t xml:space="preserve">        88  :PREFIX:-DG-FRAC-ANUAL                VALUE 'A'.</t>
  </si>
  <si>
    <t xml:space="preserve">        88  :PREFIX:-DG-FRAC-MENSAL               VALUE 'M'.</t>
  </si>
  <si>
    <t xml:space="preserve">        88  :PREFIX:-DG-FRAC-SEMESTRAL            VALUE 'S'.</t>
  </si>
  <si>
    <t xml:space="preserve">        88  :PREFIX:-DG-FRAC-TRIMESTRAL           VALUE 'T'.</t>
  </si>
  <si>
    <t xml:space="preserve">        88  :PREFIX:-DG-FRAC-UNICO                VALUE 'U'.</t>
  </si>
  <si>
    <t xml:space="preserve">      11  :PREFIX:-GA-DESC-COB        PIC X(60).</t>
  </si>
  <si>
    <t xml:space="preserve">      11  :PREFIX:-GA-PREMIO-ANUAL    PIC S9(12)V9(02) SIGN LEADING SEPARATE.</t>
  </si>
  <si>
    <t xml:space="preserve">      11  :PREFIX:-GA-PREMIO-FRAC     PIC S9(12)V9(02) SIGN LEADING SEPARATE.</t>
  </si>
  <si>
    <t xml:space="preserve">      11  :PREFIX:-GA-CAPITAL-SEG     PIC S9(12)V9(02) SIGN LEADING SEPARATE.</t>
  </si>
  <si>
    <t>Descritivo da Garantia</t>
  </si>
  <si>
    <t>Prémio Fraccionado</t>
  </si>
  <si>
    <t xml:space="preserve">    09  FILLER                        PIC X(3691).</t>
  </si>
  <si>
    <t xml:space="preserve">      11  :PREFIX:-DG-TIPO-FRACCIONA  PIC X(01).</t>
  </si>
  <si>
    <t xml:space="preserve">    09  :PREFIX:-GARANTIA-NOTA.</t>
  </si>
  <si>
    <t xml:space="preserve">      11  :PREFIX:-GA-NOTA            PIC X(3000).</t>
  </si>
  <si>
    <t>Notas</t>
  </si>
  <si>
    <t xml:space="preserve">    09  FILLER                        PIC X(797).</t>
  </si>
  <si>
    <t xml:space="preserve">  07  :PREFIX:-EXCLU-AGRAV.</t>
  </si>
  <si>
    <r>
      <rPr>
        <sz val="11"/>
        <rFont val="Calibri"/>
        <family val="2"/>
        <scheme val="minor"/>
      </rPr>
      <t>Lista de Exclusões / Agravamentos (Registo do tipo CPEX)</t>
    </r>
    <r>
      <rPr>
        <sz val="11"/>
        <color rgb="FFFF0000"/>
        <rFont val="Calibri"/>
        <family val="2"/>
        <scheme val="minor"/>
      </rPr>
      <t xml:space="preserve"> repete-se de 0 a N</t>
    </r>
  </si>
  <si>
    <t xml:space="preserve">    09  :PREFIX:-EX-TEXT              PIC X(75).</t>
  </si>
  <si>
    <r>
      <t xml:space="preserve">Lista de Informações Finais (Registo do tipo CPIF) </t>
    </r>
    <r>
      <rPr>
        <sz val="11"/>
        <color rgb="FFFF0000"/>
        <rFont val="Calibri"/>
        <family val="2"/>
        <scheme val="minor"/>
      </rPr>
      <t>repete-se de 0 a N</t>
    </r>
  </si>
  <si>
    <t xml:space="preserve">  07  :PREFIX:-INFO-FINAL.</t>
  </si>
  <si>
    <t xml:space="preserve">    09  :PREFIX:-IF-BOLD              PIC X(400).</t>
  </si>
  <si>
    <t xml:space="preserve">    09  :PREFIX:-IF-NORMAL            PIC X(3000).</t>
  </si>
  <si>
    <t>Informação Final com caracteres a bold/negrito</t>
  </si>
  <si>
    <t>Informação Final com caracteres a normal</t>
  </si>
  <si>
    <t xml:space="preserve">    88  :PREFIX:-CPARTG1                        VALUE 'CPG1'.</t>
  </si>
  <si>
    <t xml:space="preserve">    88  :PREFIX:-CPARTG2                        VALUE 'CPG2'.</t>
  </si>
  <si>
    <t xml:space="preserve">    88  :PREFIX:-CPARTGN                        VALUE 'CPGN'.</t>
  </si>
  <si>
    <t xml:space="preserve">     Condição Particular - Registo tipo Lista - Garantias da Apolice (pessoa segura)</t>
  </si>
  <si>
    <t xml:space="preserve">     Condição Particular - Registo tipo Lista - Garantias da Apolice (filhos)</t>
  </si>
  <si>
    <t xml:space="preserve">     Condição Particular - Registo tipo Lista - Garantias da Apolice (notas)</t>
  </si>
  <si>
    <t xml:space="preserve">    88  :PREFIX:-CPARTGA                        VALUE 'CPG0'.</t>
  </si>
  <si>
    <t xml:space="preserve">     Condição Particular - Registo tipo Lista - Garantias (pessoa segura)</t>
  </si>
  <si>
    <t xml:space="preserve">    88  :PREFIX:-CPARTFS                        VALUE 'CPFS'.</t>
  </si>
  <si>
    <t xml:space="preserve">    88  :PREFIX:-CPARTG9                        VALUE 'CPG9'.</t>
  </si>
  <si>
    <t xml:space="preserve">     Condição Particular - Registo tipo Lista - Filhos</t>
  </si>
  <si>
    <t xml:space="preserve">     Condição Particular - Registo tipo Lista - Garantias (filhos)</t>
  </si>
  <si>
    <t xml:space="preserve">05  FILLER              REDEFINES :PREFIX:-DADOS-DOCUMENTO.    </t>
  </si>
  <si>
    <t xml:space="preserve">  07  :PREFIX:-GARANTIA1.                                      </t>
  </si>
  <si>
    <t xml:space="preserve">    09  :PREFIX:-G1-DESC-COB          PIC X(60).               </t>
  </si>
  <si>
    <t xml:space="preserve">  07  FILLER                          PIC X(3697).             </t>
  </si>
  <si>
    <t xml:space="preserve">    09  :PREFIX:-G1-CAPITAL-SEG       PIC S9(12)V9(02) SIGN LEADING SEPARATE.</t>
  </si>
  <si>
    <t xml:space="preserve">    09  :PREFIX:-G1-NOTA              PIC X(25).</t>
  </si>
  <si>
    <t>Nota</t>
  </si>
  <si>
    <t xml:space="preserve">  07  :PREFIX:-GARANTIA2.                                      </t>
  </si>
  <si>
    <t xml:space="preserve">    09  :PREFIX:-G2-DESC-COB          PIC X(60).               </t>
  </si>
  <si>
    <t xml:space="preserve">    09  :PREFIX:-G2-CAPITAL-SEG       PIC S9(12)V9(02) SIGN LEADING SEPARATE.</t>
  </si>
  <si>
    <t xml:space="preserve">    09  :PREFIX:-G2-NOTA              PIC X(25).</t>
  </si>
  <si>
    <r>
      <rPr>
        <sz val="11"/>
        <rFont val="Calibri"/>
        <family val="2"/>
        <scheme val="minor"/>
      </rPr>
      <t>Lista das Garantias da Apolice (Registo do tipo CPG1)</t>
    </r>
    <r>
      <rPr>
        <sz val="11"/>
        <color rgb="FFFF0000"/>
        <rFont val="Calibri"/>
        <family val="2"/>
        <scheme val="minor"/>
      </rPr>
      <t xml:space="preserve"> repete-se de 0 a N</t>
    </r>
  </si>
  <si>
    <t>Descritivo da Garantia (pessoas seguras)</t>
  </si>
  <si>
    <t>Descritivo da Garantia (filhos)</t>
  </si>
  <si>
    <r>
      <rPr>
        <sz val="11"/>
        <rFont val="Calibri"/>
        <family val="2"/>
        <scheme val="minor"/>
      </rPr>
      <t>Lista das Garantias da Apolice (Registo do tipo CPG2)</t>
    </r>
    <r>
      <rPr>
        <sz val="11"/>
        <color rgb="FFFF0000"/>
        <rFont val="Calibri"/>
        <family val="2"/>
        <scheme val="minor"/>
      </rPr>
      <t xml:space="preserve"> repete-se de 0 a N</t>
    </r>
  </si>
  <si>
    <t xml:space="preserve">  07  :PREFIX:-GARANTIAN.                                      </t>
  </si>
  <si>
    <t xml:space="preserve">    09  :PREFIX:-GN-NOTA              PIC X(3000).               </t>
  </si>
  <si>
    <t xml:space="preserve">  07  FILLER                          PIC X(797).</t>
  </si>
  <si>
    <t>Texto</t>
  </si>
  <si>
    <r>
      <rPr>
        <sz val="11"/>
        <rFont val="Calibri"/>
        <family val="2"/>
        <scheme val="minor"/>
      </rPr>
      <t>Lista das Garantias da Apolice (Registo do tipo CPGN)</t>
    </r>
    <r>
      <rPr>
        <sz val="11"/>
        <color rgb="FFFF0000"/>
        <rFont val="Calibri"/>
        <family val="2"/>
        <scheme val="minor"/>
      </rPr>
      <t xml:space="preserve"> repete-se de 0 a N</t>
    </r>
  </si>
  <si>
    <t>Texto (notas)</t>
  </si>
  <si>
    <t xml:space="preserve">  07  FILLER                          PIC X(3568).</t>
  </si>
  <si>
    <t xml:space="preserve">  07  :PREFIX:-FILHOS.</t>
  </si>
  <si>
    <r>
      <rPr>
        <sz val="11"/>
        <rFont val="Calibri"/>
        <family val="2"/>
        <scheme val="minor"/>
      </rPr>
      <t>Lista dos Filhos (Registo do tipo CPFS)</t>
    </r>
    <r>
      <rPr>
        <sz val="11"/>
        <color rgb="FFFF0000"/>
        <rFont val="Calibri"/>
        <family val="2"/>
        <scheme val="minor"/>
      </rPr>
      <t xml:space="preserve"> repete-se de 0 a N</t>
    </r>
  </si>
  <si>
    <t xml:space="preserve">    09  :PREFIX:-FS-NR-ADESAO         PIC X(05).</t>
  </si>
  <si>
    <t xml:space="preserve">    09  :PREFIX:-FS-NOME              PIC X(40).</t>
  </si>
  <si>
    <t xml:space="preserve">    09  :PREFIX:-FS-DT-ADESAO         PIC X(08).</t>
  </si>
  <si>
    <t xml:space="preserve">    09  :PREFIX:-FS-DT-NASC           PIC X(08).</t>
  </si>
  <si>
    <t xml:space="preserve">    09  :PREFIX:-FS-MORADA            PIC X(40).</t>
  </si>
  <si>
    <t xml:space="preserve">    09  :PREFIX:-FS-LOCALIDADE        PIC X(40).</t>
  </si>
  <si>
    <t xml:space="preserve">    09  :PREFIX:-FS-COD-POST          PIC X(08).</t>
  </si>
  <si>
    <t xml:space="preserve">    09  :PREFIX:-FS-DESC-CP           PIC X(40).</t>
  </si>
  <si>
    <t xml:space="preserve">    09  :PREFIX:-FS-CONC-PREST        PIC X(40).</t>
  </si>
  <si>
    <t>Nome Do Filho</t>
  </si>
  <si>
    <t>Registo do copybook</t>
  </si>
  <si>
    <t>Observações</t>
  </si>
  <si>
    <t>Exemplo</t>
  </si>
  <si>
    <t>Texto livre (Bold e/ou normal)</t>
  </si>
  <si>
    <t>:PREFIX:-INFO-FINAL</t>
  </si>
  <si>
    <t>:PREFIX:-TEXTO-LIVRE</t>
  </si>
  <si>
    <t>Opcional, sai no bloco INFORMAÇÕES</t>
  </si>
  <si>
    <t>Opcional, sai no final do bloco GARANTIAS / LIMITES…</t>
  </si>
  <si>
    <r>
      <rPr>
        <b/>
        <sz val="11"/>
        <color theme="1"/>
        <rFont val="Calibri"/>
        <family val="2"/>
        <scheme val="minor"/>
      </rPr>
      <t>"</t>
    </r>
    <r>
      <rPr>
        <sz val="11"/>
        <color theme="3" tint="0.39997558519241921"/>
        <rFont val="Calibri"/>
        <family val="2"/>
        <scheme val="minor"/>
      </rPr>
      <t xml:space="preserve">Ao presente contrato aplicam-se as Condíções Gerais: </t>
    </r>
    <r>
      <rPr>
        <sz val="11"/>
        <color theme="6" tint="-0.249977111117893"/>
        <rFont val="Calibri"/>
        <family val="2"/>
        <scheme val="minor"/>
      </rPr>
      <t>&lt;PREFIX:-DG-COND-GERAIS&gt;</t>
    </r>
    <r>
      <rPr>
        <sz val="11"/>
        <color theme="3" tint="0.39997558519241921"/>
        <rFont val="Calibri"/>
        <family val="2"/>
        <scheme val="minor"/>
      </rPr>
      <t xml:space="preserve"> .</t>
    </r>
    <r>
      <rPr>
        <b/>
        <sz val="11"/>
        <rFont val="Calibri"/>
        <family val="2"/>
        <scheme val="minor"/>
      </rPr>
      <t>"</t>
    </r>
    <r>
      <rPr>
        <sz val="11"/>
        <color theme="3" tint="0.39997558519241921"/>
        <rFont val="Calibri"/>
        <family val="2"/>
        <scheme val="minor"/>
      </rPr>
      <t xml:space="preserve">
</t>
    </r>
    <r>
      <rPr>
        <b/>
        <sz val="11"/>
        <rFont val="Calibri"/>
        <family val="2"/>
        <scheme val="minor"/>
      </rPr>
      <t>"</t>
    </r>
    <r>
      <rPr>
        <sz val="11"/>
        <color theme="3" tint="0.39997558519241921"/>
        <rFont val="Calibri"/>
        <family val="2"/>
        <scheme val="minor"/>
      </rPr>
      <t>As Condições Gerais estão disponíveis na sua área de cliente em www.fidelidade.pt, em todas as
Agências e Mediadores da Fidelidade ou mediante solicitação através do Apoío ao Clíente.</t>
    </r>
    <r>
      <rPr>
        <b/>
        <sz val="11"/>
        <rFont val="Calibri"/>
        <family val="2"/>
        <scheme val="minor"/>
      </rPr>
      <t>"</t>
    </r>
    <r>
      <rPr>
        <sz val="11"/>
        <color theme="3" tint="0.39997558519241921"/>
        <rFont val="Calibri"/>
        <family val="2"/>
        <scheme val="minor"/>
      </rPr>
      <t xml:space="preserve">
</t>
    </r>
    <r>
      <rPr>
        <b/>
        <sz val="11"/>
        <rFont val="Calibri"/>
        <family val="2"/>
        <scheme val="minor"/>
      </rPr>
      <t>"</t>
    </r>
    <r>
      <rPr>
        <sz val="11"/>
        <color theme="3" tint="0.39997558519241921"/>
        <rFont val="Calibri"/>
        <family val="2"/>
        <scheme val="minor"/>
      </rPr>
      <t>O IBAN, indícado e utilizado para o pagamento do prémio por débito direto, poderá também ser
utilizado pelo Segurador para o pagamento por transferência bancária de eventual valor de estorno
ou indemnização que venha a ter direito.</t>
    </r>
    <r>
      <rPr>
        <sz val="11"/>
        <color theme="1"/>
        <rFont val="Calibri"/>
        <family val="2"/>
        <scheme val="minor"/>
      </rPr>
      <t>"</t>
    </r>
  </si>
  <si>
    <t>:PREFIX:-DADOS-GERAIS</t>
  </si>
  <si>
    <r>
      <t xml:space="preserve">Texto livre (Bold e/ou normal)
</t>
    </r>
    <r>
      <rPr>
        <b/>
        <sz val="11"/>
        <rFont val="Calibri"/>
        <family val="2"/>
        <scheme val="minor"/>
      </rPr>
      <t>"</t>
    </r>
    <r>
      <rPr>
        <sz val="11"/>
        <color theme="3" tint="0.39997558519241921"/>
        <rFont val="Calibri"/>
        <family val="2"/>
        <scheme val="minor"/>
      </rPr>
      <t>Salvo convenção em contrário constante das Condições Particulares, os ríscos cobertos em qualquer
parte do Mundo, exceto nos Países, Áreas ou Regíöes Não Seguráveis constantes em Lista disponível
em qualquer agência da Fidelídade, suscetível de ser obtida através do Apoio ao Cliente {217 94 87
01, chamada para a rede fixa nacional) ou em http://www.fid,elidade.pt em secção relativa a Seguros
de Vida Risco/ Âmbíto Territorial - Condícíonamento das Garantias/Agravamentos do Risco. A Lista
de Países, Áreas ou Regiões Não Seguráveis atualizada perlodicamente motive pelo qual devera ser
sempre consuftada aquando da realização da deslocação. Contudo, o Tomador do Seguro ou Pessoa
Segura devem comunicar ao Segurador, no prazo de'14 dias a contar do conhecimento, a mudança
de país de residência da Pessoa Segura para fora da União Europeia, situação em que a cobertura
dos riscos garantídos pef o contrato tem gue ser expressamente aceite pelo Segurador, sendo que,
em f unção do País Area ou Região de ResÍdência poderão ser aplicados agravamentos/
sobre-prémios, exclusões de cobertura ou mesmo ser recusado o risco.</t>
    </r>
    <r>
      <rPr>
        <b/>
        <sz val="11"/>
        <rFont val="Calibri"/>
        <family val="2"/>
        <scheme val="minor"/>
      </rPr>
      <t>"</t>
    </r>
  </si>
  <si>
    <t>No final dos blocos DADOS DO CLIENTE / DADOS DO SEGURO</t>
  </si>
  <si>
    <t>No bloco GARANTIAS / LIMITES DE INDEMNIZAÇÃO</t>
  </si>
  <si>
    <t>:PREFIX:-COBERTURAS
(:PREFIX:-CB-CODE = '3403ACIDENTES ')</t>
  </si>
  <si>
    <t>:PREFIX:-COBERTURAS
(:PREFIX:-CB-CODE = '3403ASSISTMEDI')</t>
  </si>
  <si>
    <t>:PREFIX:-COBERTURAS
(:PREFIX:-CB-CODE = '3403ASSISTPESS')</t>
  </si>
  <si>
    <t>:PREFIX:-COBERTURAS
(:PREFIX:-CB-CODE = '3403ASSISTSENI')</t>
  </si>
  <si>
    <t>:PREFIX:-COBERTURAS
(:PREFIX:-CB-CODE = '3403JAZIGOGAVE')</t>
  </si>
  <si>
    <t>:PREFIX:-COBERTURAS
(:PREFIX:-CB-CODE = '3403ORGANIZACA')</t>
  </si>
  <si>
    <t>:PREFIX:-COBERTURAS
(:PREFIX:-CB-CODE = '3403REPATRIAME')</t>
  </si>
  <si>
    <t>:PREFIX:-COBERTURAS
(:PREFIX:-CB-CODE = '3403TRANSLADAC ')</t>
  </si>
  <si>
    <r>
      <t>"</t>
    </r>
    <r>
      <rPr>
        <b/>
        <sz val="11"/>
        <color theme="3" tint="0.39997558519241921"/>
        <rFont val="Calibri"/>
        <family val="2"/>
        <scheme val="minor"/>
      </rPr>
      <t>JAZIGO, GAVETÃO OU SEPÚLTURA PERPÉTUA</t>
    </r>
    <r>
      <rPr>
        <sz val="11"/>
        <color theme="3" tint="0.39997558519241921"/>
        <rFont val="Calibri"/>
        <family val="2"/>
        <scheme val="minor"/>
      </rPr>
      <t xml:space="preserve">
Capital Seguro: 1.500,00 €
Esta cobertura garante a prestação do serviço fúnebre, contemplando, no que respeita à urna a
disponibilizar, a prestação dos seguintes serviços:
o Urna em samba, cor mogno e respetíva cobertura
o Urna de zínco
o Aplicação de filtros depuradores no interior da urna</t>
    </r>
    <r>
      <rPr>
        <sz val="11"/>
        <color theme="1"/>
        <rFont val="Calibri"/>
        <family val="2"/>
        <scheme val="minor"/>
      </rPr>
      <t>"</t>
    </r>
  </si>
  <si>
    <r>
      <t>"</t>
    </r>
    <r>
      <rPr>
        <b/>
        <sz val="11"/>
        <color theme="3" tint="0.39997558519241921"/>
        <rFont val="Calibri"/>
        <family val="2"/>
        <scheme val="minor"/>
      </rPr>
      <t>ACIDENTES Capital Seguro</t>
    </r>
    <r>
      <rPr>
        <sz val="11"/>
        <color theme="3" tint="0.39997558519241921"/>
        <rFont val="Calibri"/>
        <family val="2"/>
        <scheme val="minor"/>
      </rPr>
      <t xml:space="preserve">
o Morte por Acidente 20.000 €
o Morte por Acidente de Circulação 40.000 €
o lnvalidez Defínitiva para a Profissão ou AtÍvidade Compatível por Acidente - (66,6%) 20.000 €
As garantias de Acidentes entram em vigor a partir da anuidade em que a Pessoa Segura tem idade
ígual ou superior a 16 anos e terminam no termo da anuidade em que a Pessoa Segura complete os
65 anos.
O capital seguro para as coberturas de Morte por Acidente, Morte por Acidente de Circulação e
lnvalidez Definítiva para a Profissão ou Atividade Compatível por Acidente (66,6%) é único, pelo que,
será pago por uma única vez.</t>
    </r>
    <r>
      <rPr>
        <sz val="11"/>
        <color theme="1"/>
        <rFont val="Calibri"/>
        <family val="2"/>
        <scheme val="minor"/>
      </rPr>
      <t>"</t>
    </r>
  </si>
  <si>
    <r>
      <t>"</t>
    </r>
    <r>
      <rPr>
        <b/>
        <sz val="11"/>
        <color theme="3" tint="0.39997558519241921"/>
        <rFont val="Calibri"/>
        <family val="2"/>
        <scheme val="minor"/>
      </rPr>
      <t>ASSISTÊNCIA MÉDICA E FAMILIAR</t>
    </r>
    <r>
      <rPr>
        <sz val="11"/>
        <color theme="3" tint="0.39997558519241921"/>
        <rFont val="Calibri"/>
        <family val="2"/>
        <scheme val="minor"/>
      </rPr>
      <t xml:space="preserve">
As garantias desta cobertura vão variando ao longo da vigência do contrato em função da idade da
Pessoa Segura:
</t>
    </r>
    <r>
      <rPr>
        <b/>
        <sz val="11"/>
        <color theme="3" tint="0.39997558519241921"/>
        <rFont val="Calibri"/>
        <family val="2"/>
        <scheme val="minor"/>
      </rPr>
      <t>Orientação Médica Online / Telefónica</t>
    </r>
    <r>
      <rPr>
        <sz val="11"/>
        <color theme="3" tint="0.39997558519241921"/>
        <rFont val="Calibri"/>
        <family val="2"/>
        <scheme val="minor"/>
      </rPr>
      <t xml:space="preserve">
o Orientação Médíca (Consultas de Medicina Familiar)
o Confirmação de Diagnóstico
o Testes de Hábitos Saudáveis
o Orientação Nutricional
o Oríentação Psicológica
o Orientação Pediátrica
o Programa "Põe-te em Forma"
</t>
    </r>
    <r>
      <rPr>
        <b/>
        <sz val="11"/>
        <color theme="3" tint="0.39997558519241921"/>
        <rFont val="Calibri"/>
        <family val="2"/>
        <scheme val="minor"/>
      </rPr>
      <t>Envio de Médico ao Domicílio
Envio de Medicamentos ao Domicílio
Transporte de Urgência
Acompanhamento da Pessoa Segura no Domicílio após Hospitalização
Acompanhamento da Pessoa Segura Hospitalizada
Acesso à Rede - Terapeutas da Fala
Assistência Sénior</t>
    </r>
    <r>
      <rPr>
        <sz val="11"/>
        <color theme="3" tint="0.39997558519241921"/>
        <rFont val="Calibri"/>
        <family val="2"/>
        <scheme val="minor"/>
      </rPr>
      <t xml:space="preserve">
o Avaliação Geriátríca lntegral
o lntervenções de Urgência
o lnformação Familiar em caso de Ocorrência de Sinistro
o Acompanhamento Personalizado da Pessoa Segura
</t>
    </r>
    <r>
      <rPr>
        <b/>
        <sz val="11"/>
        <color theme="3" tint="0.39997558519241921"/>
        <rFont val="Calibri"/>
        <family val="2"/>
        <scheme val="minor"/>
      </rPr>
      <t>Apoio à Família
Acesso à Rede de Prestadores (Limpeza Habítação)
Diagnóstico Preventivo Cond¡ções de Habitação</t>
    </r>
    <r>
      <rPr>
        <sz val="11"/>
        <color theme="1"/>
        <rFont val="Calibri"/>
        <family val="2"/>
        <scheme val="minor"/>
      </rPr>
      <t>"</t>
    </r>
  </si>
  <si>
    <r>
      <t>"</t>
    </r>
    <r>
      <rPr>
        <b/>
        <sz val="11"/>
        <color theme="3" tint="0.39997558519241921"/>
        <rFont val="Calibri"/>
        <family val="2"/>
        <scheme val="minor"/>
      </rPr>
      <t xml:space="preserve">ASSISTÊNCIA SÉNIOR+
- Acesso à Rede de Ambulatório - Consultas, Exames e Tratamentos
</t>
    </r>
    <r>
      <rPr>
        <sz val="11"/>
        <color theme="3" tint="0.39997558519241921"/>
        <rFont val="Calibri"/>
        <family val="2"/>
        <scheme val="minor"/>
      </rPr>
      <t xml:space="preserve">No âmbito desta cobertura são assegurados os atos de diagonóstico ou terapêuticos a preços
convencionados entre a Multicare e os prestadores, os quais são suportados integralmente pela
Pessoa Segura.
A lista dos prestadores da Rede Médica está disponívef para consulta em www.fidelidade.pt e neste
endereço pode consultar os preços de referência, por ato médico, pratícados genericamente pelos
prestadores Multicare.
Os preços de referência nas unidades de saúde CUF poderão ser diferentes.
</t>
    </r>
    <r>
      <rPr>
        <b/>
        <sz val="11"/>
        <color theme="3" tint="0.39997558519241921"/>
        <rFont val="Calibri"/>
        <family val="2"/>
        <scheme val="minor"/>
      </rPr>
      <t>- Medicina Preventiva Programa de Rastreío 65+</t>
    </r>
    <r>
      <rPr>
        <sz val="11"/>
        <color theme="3" tint="0.39997558519241921"/>
        <rFont val="Calibri"/>
        <family val="2"/>
        <scheme val="minor"/>
      </rPr>
      <t xml:space="preserve">
A cobertura garante a realízação periódica de rastreios de saúde personalizados, de acordo com
uma avaliação de saúde índividual.
Foram definidos ciclos de rastreios anuais de acordo com a idade da Pessoa Segura. O ano de
entrada da Pessoa Segura na apólice, após decorrido o período de carência, corresponde ao "Ano
0". Após realização do rastreío do último ano de cada ciclo, é reiniciado o ciclo no Ano 1.
Período de carência: 60 dias de período de carência após a data de adesão da Pessoa Segura à
cobertura.
</t>
    </r>
    <r>
      <rPr>
        <b/>
        <sz val="11"/>
        <color theme="3" tint="0.39997558519241921"/>
        <rFont val="Calibri"/>
        <family val="2"/>
        <scheme val="minor"/>
      </rPr>
      <t>- Acesso à Rede em Centros Residenciais para a Terce¡ra ldade</t>
    </r>
    <r>
      <rPr>
        <sz val="11"/>
        <color theme="3" tint="0.39997558519241921"/>
        <rFont val="Calibri"/>
        <family val="2"/>
        <scheme val="minor"/>
      </rPr>
      <t xml:space="preserve">
No âmbito desta cobertura é assegurado o acesso à Rede em Centros Residenciais para a Terceira
ldade, a preços convencionados entre a Multicare e os prestadores, os quais são suportados
integralmente pela Pessoa Segura.
Para mais informações sobre o seu Programa de Rastreio, bem como a Lista de Prestadores de
Centros Residenciais, consulte a informação disponível em www.fidelidade.pt, na página do produto.</t>
    </r>
    <r>
      <rPr>
        <sz val="11"/>
        <color theme="1"/>
        <rFont val="Calibri"/>
        <family val="2"/>
        <scheme val="minor"/>
      </rPr>
      <t>"</t>
    </r>
  </si>
  <si>
    <r>
      <t>"</t>
    </r>
    <r>
      <rPr>
        <b/>
        <sz val="11"/>
        <color theme="3" tint="0.39997558519241921"/>
        <rFont val="Calibri"/>
        <family val="2"/>
        <scheme val="minor"/>
      </rPr>
      <t>ORGANIZAÇÃO E DESPESAS DO SERVIÇO DE FUNERAL</t>
    </r>
    <r>
      <rPr>
        <sz val="11"/>
        <color theme="3" tint="0.39997558519241921"/>
        <rFont val="Calibri"/>
        <family val="2"/>
        <scheme val="minor"/>
      </rPr>
      <t xml:space="preserve">
Capital Seguro: 3.250,00 €
O Fidefidade Proteção Vital Familia garante, em caso de morte da Pessoa Segura, através da
Entidade Responsável pela Organização dos Serviços, a prestação dos seguintes serviços:
o lnumação ou cremação;
o Urna em pinho, modelo escultura semi-moldada com acabamento em verniz água;
o lnterior da urna em cetim ou algodão com renda;
o Pote de cinzas em metal ou urna de cinzas em argíla (sempre que aplicável);
o Preparação do falecido e fornecimento de produto de decomposição (sempre que aplicável)
o Obtenção de todos os documentos administrativos referentes ao funeral;
o Disponibilização de Transporte Funerário e para serviço religioso;
o Pagamento de taxas cemíteriais, bem como de despesas relativas à capela e serviço religioso;
o Cavalete para flores;
o Duas coroas ou palmas de flores;
o Lápide em mármore branco (40cmX40cmX10cm) com inscrição do respetívo epitáfio;
o Pagelas recordatórias personalizadas plásticas;
o Serviço de água, chá e café no local de velamento;
o Mesa e Livro de Condolêncías;
o Comunicação do falecimento à Segurança Social. Centro Nacional de Pensões e/ou Caíxa Geral de
Aposentações, bem como entrega da respetiva documentação.
</t>
    </r>
    <r>
      <rPr>
        <b/>
        <sz val="11"/>
        <color theme="3" tint="0.39997558519241921"/>
        <rFont val="Calibri"/>
        <family val="2"/>
        <scheme val="minor"/>
      </rPr>
      <t>Assistência Funeral</t>
    </r>
    <r>
      <rPr>
        <sz val="11"/>
        <color theme="3" tint="0.39997558519241921"/>
        <rFont val="Calibri"/>
        <family val="2"/>
        <scheme val="minor"/>
      </rPr>
      <t xml:space="preserve">
o Transladação
o Apoio Administrativo
o Guarda de Crianças (menores de 12 anos), Deficientes ou lncapazes
o Apoío Psicológico</t>
    </r>
    <r>
      <rPr>
        <sz val="11"/>
        <color theme="1"/>
        <rFont val="Calibri"/>
        <family val="2"/>
        <scheme val="minor"/>
      </rPr>
      <t>"</t>
    </r>
  </si>
  <si>
    <r>
      <t>"</t>
    </r>
    <r>
      <rPr>
        <b/>
        <sz val="11"/>
        <color theme="3" tint="0.39997558519241921"/>
        <rFont val="Calibri"/>
        <family val="2"/>
        <scheme val="minor"/>
      </rPr>
      <t xml:space="preserve">TRANSLADAçÃO
O segurador garante, em caso de morte da Pessoa Segura, a prestação do serviço de
Transladação da Pessoa Segura, a partir de qualquer parte do mundo para o local de Prestação
do Serviço Fúnebre.
</t>
    </r>
    <r>
      <rPr>
        <sz val="11"/>
        <color theme="3" tint="0.39997558519241921"/>
        <rFont val="Calibri"/>
        <family val="2"/>
        <scheme val="minor"/>
      </rPr>
      <t>Caso a(s) Pessoa(s) Segura(s) faleçam durante uma viagem ao estrangeiro, os herdeiros legais terão
direito a um bilhete de avíão, ou de outro meio de transporte adequado, em classe turística ou
similar, de ida e volta, para que uma pessoa por eles designada possa viajar, até ao lugar do
falecimento, e regressar acompanhando o corpo. Se o acompanhante tíver de ficar no lugar do
falecimento, para levar a cabo trâmites relacionados com a Transladação da Pessoa Segura falecida,
o Segurador pagará as despesas de estadia, até ao limite de 75€/dia num máximo de 300€.</t>
    </r>
    <r>
      <rPr>
        <sz val="11"/>
        <color theme="1"/>
        <rFont val="Calibri"/>
        <family val="2"/>
        <scheme val="minor"/>
      </rPr>
      <t>"</t>
    </r>
  </si>
  <si>
    <r>
      <t>"</t>
    </r>
    <r>
      <rPr>
        <b/>
        <sz val="11"/>
        <color theme="3" tint="0.39997558519241921"/>
        <rFont val="Calibri"/>
        <family val="2"/>
        <scheme val="minor"/>
      </rPr>
      <t>REPATRIAMENTO</t>
    </r>
    <r>
      <rPr>
        <sz val="11"/>
        <color theme="3" tint="0.39997558519241921"/>
        <rFont val="Calibri"/>
        <family val="2"/>
        <scheme val="minor"/>
      </rPr>
      <t xml:space="preserve">
Da Pessoa Segura falecida, residente temporariamente no estrangeiro.
Se a Pessoa Segura estiver ausente do seu Domicílio, em Portugal, mais de 90 dias, consecutivos, e
falecer no estrangeiro, é garantida a sua Transladação, exceto na lista de Países, Áreas ou Regiões
Não Seguráveis.
A lista é consultável através da Linha de Apoio ao Cliente ou em www.fidelídade.pt em secção
relativa a
lnformaçõesLegais/Produtos/SegurosVidaRisco/AmbitoTerritorial/CondicionamentoGarantias/Agr
avamentoRisco.</t>
    </r>
    <r>
      <rPr>
        <sz val="11"/>
        <color theme="1"/>
        <rFont val="Calibri"/>
        <family val="2"/>
        <scheme val="minor"/>
      </rPr>
      <t>"</t>
    </r>
  </si>
  <si>
    <r>
      <t>"</t>
    </r>
    <r>
      <rPr>
        <b/>
        <sz val="11"/>
        <color theme="3" tint="0.39997558519241921"/>
        <rFont val="Calibri"/>
        <family val="2"/>
        <scheme val="minor"/>
      </rPr>
      <t>ASSISTÊNCIA A PESSOAS EM VIAGEM</t>
    </r>
    <r>
      <rPr>
        <sz val="11"/>
        <color theme="3" tint="0.39997558519241921"/>
        <rFont val="Calibri"/>
        <family val="2"/>
        <scheme val="minor"/>
      </rPr>
      <t xml:space="preserve">
o Transporte de Urgência no Estrangeiro llimitado
o lnformação sobre a Evolução do Estado de Saúde no Estrangeiro llimitado
o Despesas de Odontofogia no Estrangeíro 500 €
o Transmissão de Mensagens Urgentes no Estrangeiro llimitado
o Envio de Documentos e Objetos Pessoais 150 €
o Deslocação de um Acompanhante junto da Pessoa Segura Hospitalizada llimitado
o Assistência Domiciliária à Famífia 600 €
o Gastos de Estadia para Acompanhante em caso de Hospitalização da Pessoa Segura no Estrangeiro
750 €
o Assistência aos Filhos menores de 16 anos da Pessoa Segura Hospítalizada llimitado
o Regresso Antecipado da Pessoa Segura que se encontre em Viagem llimitado
o Serviço de lnformação para Viagens ao Estrangeiro llimitado
o Gastos Médicos de Urgência em Consequência de Doença Aguda ou Acidente Grave no Estrangeiro
10.000 €
o Prolongamento de Estadia em Hotel no Estrangeíro 750 €
o Adiantamento de Fundos em caso de Acidente, Doença ou Roubo no Estrangeiro llimitado
o Depósito de Caução por Hospitalização no Estrangeiro 10.000 €
o lntérprete em caso de Hospitalização no Estrangeiro 500 €
o Repatriamento Sanitário em caso de Acídente ou Doença Grave Súbita ou Acidente Ocorridos no
Estrangeiro llimitado
o Assistência aos Acompanhantes da Pessoa Segura Hospitalizada no Estrangeiro llimitado
o Envio de Medicamentos ao Estrangeiro llimitado</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</si>
</sst>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sz val="11"/>
      <color theme="1"/>
      <name val="Courier New"/>
      <family val="3"/>
    </font>
    <font>
      <sz val="11"/>
      <name val="Calibri"/>
      <family val="2"/>
      <scheme val="minor"/>
    </font>
    <font>
      <b/>
      <sz val="11"/>
      <color theme="0"/>
      <name val="Courier New"/>
      <family val="3"/>
    </font>
    <font>
      <sz val="11"/>
      <name val="Courier New"/>
      <family val="3"/>
    </font>
    <font>
      <sz val="11"/>
      <color rgb="FFFF0000"/>
      <name val="Calibri"/>
      <family val="2"/>
      <scheme val="minor"/>
    </font>
    <font>
      <sz val="11"/>
      <color theme="0"/>
      <name val="Calibri"/>
      <family val="2"/>
      <scheme val="minor"/>
    </font>
    <font>
      <sz val="8"/>
      <name val="Calibri"/>
      <family val="2"/>
      <scheme val="minor"/>
    </font>
    <font>
      <b/>
      <sz val="11"/>
      <color theme="1"/>
      <name val="Calibri"/>
      <family val="2"/>
      <scheme val="minor"/>
    </font>
    <font>
      <sz val="11"/>
      <color theme="3" tint="0.39997558519241921"/>
      <name val="Calibri"/>
      <family val="2"/>
      <scheme val="minor"/>
    </font>
    <font>
      <sz val="11"/>
      <color theme="6" tint="-0.249977111117893"/>
      <name val="Calibri"/>
      <family val="2"/>
      <scheme val="minor"/>
    </font>
    <font>
      <b/>
      <sz val="11"/>
      <name val="Calibri"/>
      <family val="2"/>
      <scheme val="minor"/>
    </font>
    <font>
      <b/>
      <sz val="11"/>
      <color theme="3" tint="0.39997558519241921"/>
      <name val="Calibri"/>
      <family val="2"/>
      <scheme val="minor"/>
    </font>
  </fonts>
  <fills count="11">
    <fill>
      <patternFill patternType="none"/>
    </fill>
    <fill>
      <patternFill patternType="gray125"/>
    </fill>
    <fill>
      <patternFill patternType="solid">
        <fgColor rgb="FF00B0F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xf>
    <xf numFmtId="0" fontId="0" fillId="0" borderId="1" xfId="0" applyBorder="1" applyAlignment="1">
      <alignment horizontal="right"/>
    </xf>
    <xf numFmtId="0" fontId="0" fillId="0" borderId="1" xfId="0" applyBorder="1"/>
    <xf numFmtId="0" fontId="2" fillId="0" borderId="1" xfId="0" applyFont="1" applyBorder="1"/>
    <xf numFmtId="0" fontId="2" fillId="4" borderId="1" xfId="0" applyFont="1" applyFill="1" applyBorder="1" applyAlignment="1">
      <alignment horizontal="left"/>
    </xf>
    <xf numFmtId="0" fontId="0" fillId="4" borderId="1" xfId="0" applyFill="1" applyBorder="1" applyAlignment="1">
      <alignment horizontal="right"/>
    </xf>
    <xf numFmtId="0" fontId="2" fillId="3" borderId="1" xfId="0" applyFont="1" applyFill="1" applyBorder="1"/>
    <xf numFmtId="0" fontId="0" fillId="3" borderId="1" xfId="0" applyFill="1" applyBorder="1"/>
    <xf numFmtId="0" fontId="0" fillId="3" borderId="1" xfId="0" applyFill="1" applyBorder="1" applyAlignment="1">
      <alignment horizontal="right"/>
    </xf>
    <xf numFmtId="0" fontId="0" fillId="0" borderId="1" xfId="0" applyBorder="1" applyAlignment="1">
      <alignment horizontal="left"/>
    </xf>
    <xf numFmtId="0" fontId="2" fillId="0" borderId="2" xfId="0" applyFont="1" applyBorder="1"/>
    <xf numFmtId="0" fontId="0" fillId="0" borderId="2" xfId="0" applyBorder="1"/>
    <xf numFmtId="0" fontId="2" fillId="0" borderId="1" xfId="0" applyFont="1" applyBorder="1" applyAlignment="1">
      <alignment vertical="top" wrapText="1"/>
    </xf>
    <xf numFmtId="0" fontId="0" fillId="0" borderId="1" xfId="0" applyBorder="1" applyAlignment="1">
      <alignment vertical="top"/>
    </xf>
    <xf numFmtId="0" fontId="2" fillId="0" borderId="1" xfId="0" applyFont="1" applyBorder="1" applyAlignment="1">
      <alignment vertical="top"/>
    </xf>
    <xf numFmtId="0" fontId="0" fillId="3" borderId="1" xfId="0" applyFill="1" applyBorder="1" applyAlignment="1">
      <alignment vertical="top"/>
    </xf>
    <xf numFmtId="0" fontId="1" fillId="2"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left"/>
    </xf>
    <xf numFmtId="0" fontId="0" fillId="4" borderId="1" xfId="0" applyFill="1" applyBorder="1" applyAlignment="1">
      <alignment horizontal="left"/>
    </xf>
    <xf numFmtId="0" fontId="0" fillId="0" borderId="0" xfId="0" applyAlignment="1">
      <alignment horizontal="center" vertical="center"/>
    </xf>
    <xf numFmtId="0" fontId="4" fillId="2" borderId="1" xfId="0" applyFont="1" applyFill="1" applyBorder="1"/>
    <xf numFmtId="0" fontId="2" fillId="0" borderId="0" xfId="0" applyFont="1"/>
    <xf numFmtId="0" fontId="2" fillId="8" borderId="1" xfId="0" applyFont="1" applyFill="1" applyBorder="1"/>
    <xf numFmtId="0" fontId="0" fillId="8" borderId="1" xfId="0" applyFill="1" applyBorder="1" applyAlignment="1">
      <alignment horizontal="left"/>
    </xf>
    <xf numFmtId="0" fontId="0" fillId="8" borderId="1" xfId="0" applyFill="1" applyBorder="1" applyAlignment="1">
      <alignment horizontal="right"/>
    </xf>
    <xf numFmtId="0" fontId="0" fillId="8" borderId="1" xfId="0" applyFill="1" applyBorder="1"/>
    <xf numFmtId="0" fontId="0" fillId="8" borderId="1" xfId="0" applyFill="1" applyBorder="1" applyAlignment="1">
      <alignment vertical="top"/>
    </xf>
    <xf numFmtId="0" fontId="2" fillId="0" borderId="2" xfId="0" applyFont="1" applyBorder="1" applyAlignment="1">
      <alignment vertical="center"/>
    </xf>
    <xf numFmtId="0" fontId="5" fillId="8" borderId="1" xfId="0" applyFont="1" applyFill="1" applyBorder="1"/>
    <xf numFmtId="0" fontId="3" fillId="8" borderId="1" xfId="0" applyFont="1" applyFill="1" applyBorder="1" applyAlignment="1">
      <alignment horizontal="left"/>
    </xf>
    <xf numFmtId="0" fontId="3" fillId="4" borderId="1" xfId="0" applyFont="1" applyFill="1" applyBorder="1" applyAlignment="1">
      <alignment horizontal="left"/>
    </xf>
    <xf numFmtId="0" fontId="7" fillId="2" borderId="1" xfId="0" applyFont="1" applyFill="1" applyBorder="1"/>
    <xf numFmtId="0" fontId="6" fillId="4" borderId="1" xfId="0" applyFont="1" applyFill="1" applyBorder="1" applyAlignment="1">
      <alignment horizontal="left"/>
    </xf>
    <xf numFmtId="0" fontId="0" fillId="0" borderId="2" xfId="0" applyBorder="1" applyAlignment="1">
      <alignment wrapText="1"/>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0" fillId="4" borderId="1" xfId="0" applyFill="1" applyBorder="1" applyAlignment="1">
      <alignment horizontal="center"/>
    </xf>
    <xf numFmtId="0" fontId="0" fillId="6" borderId="1" xfId="0" applyFill="1" applyBorder="1" applyAlignment="1">
      <alignment horizontal="center" vertical="center"/>
    </xf>
    <xf numFmtId="0" fontId="0" fillId="3" borderId="1" xfId="0" applyFill="1" applyBorder="1" applyAlignment="1">
      <alignment horizontal="center"/>
    </xf>
    <xf numFmtId="0" fontId="0" fillId="2" borderId="2" xfId="0" applyFill="1" applyBorder="1" applyAlignment="1">
      <alignment horizontal="center"/>
    </xf>
    <xf numFmtId="0" fontId="0" fillId="3" borderId="1" xfId="0" applyFill="1" applyBorder="1" applyAlignment="1">
      <alignment horizontal="center" vertical="top"/>
    </xf>
    <xf numFmtId="0" fontId="0" fillId="2" borderId="2" xfId="0" applyFill="1" applyBorder="1" applyAlignment="1">
      <alignment horizontal="center" wrapText="1"/>
    </xf>
    <xf numFmtId="0" fontId="0" fillId="0" borderId="1" xfId="0" applyBorder="1" applyAlignment="1">
      <alignment horizontal="center"/>
    </xf>
    <xf numFmtId="0" fontId="5" fillId="9" borderId="1" xfId="0" applyFont="1" applyFill="1" applyBorder="1"/>
    <xf numFmtId="0" fontId="3" fillId="9" borderId="1" xfId="0" applyFont="1" applyFill="1" applyBorder="1" applyAlignment="1">
      <alignment horizontal="left"/>
    </xf>
    <xf numFmtId="0" fontId="0" fillId="9" borderId="1" xfId="0" applyFill="1" applyBorder="1" applyAlignment="1">
      <alignment horizontal="right"/>
    </xf>
    <xf numFmtId="0" fontId="9" fillId="10"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3" fillId="0" borderId="0" xfId="0" applyFont="1" applyAlignment="1">
      <alignment vertical="top" wrapText="1"/>
    </xf>
    <xf numFmtId="0" fontId="0" fillId="7" borderId="2" xfId="0" applyFill="1" applyBorder="1" applyAlignment="1">
      <alignment horizontal="center" vertical="center"/>
    </xf>
    <xf numFmtId="0" fontId="0" fillId="7" borderId="4" xfId="0" applyFill="1" applyBorder="1" applyAlignment="1">
      <alignment horizontal="center" vertical="center"/>
    </xf>
    <xf numFmtId="0" fontId="0" fillId="7" borderId="3"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1" xfId="0" applyFill="1" applyBorder="1" applyAlignment="1">
      <alignment horizontal="center" vertical="center"/>
    </xf>
    <xf numFmtId="0" fontId="3" fillId="7" borderId="2"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3" xfId="0" applyFont="1" applyFill="1" applyBorder="1" applyAlignment="1">
      <alignment horizontal="center" vertical="center"/>
    </xf>
    <xf numFmtId="0" fontId="0" fillId="7" borderId="1" xfId="0" applyFill="1" applyBorder="1" applyAlignment="1">
      <alignment horizontal="center" vertical="center"/>
    </xf>
    <xf numFmtId="0" fontId="0" fillId="5" borderId="2" xfId="0" applyFill="1" applyBorder="1" applyAlignment="1">
      <alignment vertical="center"/>
    </xf>
    <xf numFmtId="0" fontId="0" fillId="5" borderId="4" xfId="0" applyFill="1" applyBorder="1" applyAlignment="1">
      <alignment vertical="center"/>
    </xf>
    <xf numFmtId="0" fontId="0" fillId="5" borderId="3" xfId="0" applyFill="1" applyBorder="1" applyAlignment="1">
      <alignment vertical="center"/>
    </xf>
  </cellXfs>
  <cellStyles count="1">
    <cellStyle name="Normal" xfId="0" builtinId="0"/>
  </cellStyles>
  <dxfs count="0"/>
  <tableStyles count="0" defaultTableStyle="TableStyleMedium2" defaultPivotStyle="PivotStyleLight16"/>
  <colors>
    <mruColors>
      <color rgb="FFFFFF99"/>
      <color rgb="FF0202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0</xdr:rowOff>
    </xdr:from>
    <xdr:to>
      <xdr:col>3</xdr:col>
      <xdr:colOff>6217920</xdr:colOff>
      <xdr:row>11</xdr:row>
      <xdr:rowOff>2366872</xdr:rowOff>
    </xdr:to>
    <xdr:pic>
      <xdr:nvPicPr>
        <xdr:cNvPr id="2" name="Picture 1">
          <a:extLst>
            <a:ext uri="{FF2B5EF4-FFF2-40B4-BE49-F238E27FC236}">
              <a16:creationId xmlns:a16="http://schemas.microsoft.com/office/drawing/2014/main" id="{50B6FB38-1169-FFF3-F705-56C7BB1909E5}"/>
            </a:ext>
          </a:extLst>
        </xdr:cNvPr>
        <xdr:cNvPicPr>
          <a:picLocks noChangeAspect="1"/>
        </xdr:cNvPicPr>
      </xdr:nvPicPr>
      <xdr:blipFill>
        <a:blip xmlns:r="http://schemas.openxmlformats.org/officeDocument/2006/relationships" r:embed="rId1"/>
        <a:stretch>
          <a:fillRect/>
        </a:stretch>
      </xdr:blipFill>
      <xdr:spPr>
        <a:xfrm>
          <a:off x="11574780" y="22311360"/>
          <a:ext cx="6217920" cy="2366872"/>
        </a:xfrm>
        <a:prstGeom prst="rect">
          <a:avLst/>
        </a:prstGeom>
      </xdr:spPr>
    </xdr:pic>
    <xdr:clientData/>
  </xdr:twoCellAnchor>
  <xdr:twoCellAnchor editAs="oneCell">
    <xdr:from>
      <xdr:col>3</xdr:col>
      <xdr:colOff>1</xdr:colOff>
      <xdr:row>9</xdr:row>
      <xdr:rowOff>0</xdr:rowOff>
    </xdr:from>
    <xdr:to>
      <xdr:col>3</xdr:col>
      <xdr:colOff>2918461</xdr:colOff>
      <xdr:row>9</xdr:row>
      <xdr:rowOff>1076571</xdr:rowOff>
    </xdr:to>
    <xdr:pic>
      <xdr:nvPicPr>
        <xdr:cNvPr id="4" name="Picture 3">
          <a:extLst>
            <a:ext uri="{FF2B5EF4-FFF2-40B4-BE49-F238E27FC236}">
              <a16:creationId xmlns:a16="http://schemas.microsoft.com/office/drawing/2014/main" id="{82FDA006-DF2A-57AA-098D-9B559A1ABED6}"/>
            </a:ext>
          </a:extLst>
        </xdr:cNvPr>
        <xdr:cNvPicPr>
          <a:picLocks noChangeAspect="1"/>
        </xdr:cNvPicPr>
      </xdr:nvPicPr>
      <xdr:blipFill>
        <a:blip xmlns:r="http://schemas.openxmlformats.org/officeDocument/2006/relationships" r:embed="rId2"/>
        <a:stretch>
          <a:fillRect/>
        </a:stretch>
      </xdr:blipFill>
      <xdr:spPr>
        <a:xfrm>
          <a:off x="11925301" y="21031200"/>
          <a:ext cx="2918460" cy="1076571"/>
        </a:xfrm>
        <a:prstGeom prst="rect">
          <a:avLst/>
        </a:prstGeom>
      </xdr:spPr>
    </xdr:pic>
    <xdr:clientData/>
  </xdr:twoCellAnchor>
  <xdr:twoCellAnchor editAs="oneCell">
    <xdr:from>
      <xdr:col>3</xdr:col>
      <xdr:colOff>15241</xdr:colOff>
      <xdr:row>1</xdr:row>
      <xdr:rowOff>1</xdr:rowOff>
    </xdr:from>
    <xdr:to>
      <xdr:col>3</xdr:col>
      <xdr:colOff>6499860</xdr:colOff>
      <xdr:row>1</xdr:row>
      <xdr:rowOff>1811759</xdr:rowOff>
    </xdr:to>
    <xdr:pic>
      <xdr:nvPicPr>
        <xdr:cNvPr id="3" name="Picture 2">
          <a:extLst>
            <a:ext uri="{FF2B5EF4-FFF2-40B4-BE49-F238E27FC236}">
              <a16:creationId xmlns:a16="http://schemas.microsoft.com/office/drawing/2014/main" id="{2E87D4D2-F7FC-B99A-62AA-2E4507B3E83F}"/>
            </a:ext>
          </a:extLst>
        </xdr:cNvPr>
        <xdr:cNvPicPr>
          <a:picLocks noChangeAspect="1"/>
        </xdr:cNvPicPr>
      </xdr:nvPicPr>
      <xdr:blipFill>
        <a:blip xmlns:r="http://schemas.openxmlformats.org/officeDocument/2006/relationships" r:embed="rId3"/>
        <a:stretch>
          <a:fillRect/>
        </a:stretch>
      </xdr:blipFill>
      <xdr:spPr>
        <a:xfrm>
          <a:off x="11940541" y="182881"/>
          <a:ext cx="6484619" cy="1811758"/>
        </a:xfrm>
        <a:prstGeom prst="rect">
          <a:avLst/>
        </a:prstGeom>
      </xdr:spPr>
    </xdr:pic>
    <xdr:clientData/>
  </xdr:twoCellAnchor>
  <xdr:twoCellAnchor editAs="oneCell">
    <xdr:from>
      <xdr:col>3</xdr:col>
      <xdr:colOff>7621</xdr:colOff>
      <xdr:row>2</xdr:row>
      <xdr:rowOff>1</xdr:rowOff>
    </xdr:from>
    <xdr:to>
      <xdr:col>3</xdr:col>
      <xdr:colOff>6385560</xdr:colOff>
      <xdr:row>2</xdr:row>
      <xdr:rowOff>4559231</xdr:rowOff>
    </xdr:to>
    <xdr:pic>
      <xdr:nvPicPr>
        <xdr:cNvPr id="5" name="Picture 4">
          <a:extLst>
            <a:ext uri="{FF2B5EF4-FFF2-40B4-BE49-F238E27FC236}">
              <a16:creationId xmlns:a16="http://schemas.microsoft.com/office/drawing/2014/main" id="{E5541C57-4E96-8EE5-8BAA-56A5C5678AAD}"/>
            </a:ext>
          </a:extLst>
        </xdr:cNvPr>
        <xdr:cNvPicPr>
          <a:picLocks noChangeAspect="1"/>
        </xdr:cNvPicPr>
      </xdr:nvPicPr>
      <xdr:blipFill>
        <a:blip xmlns:r="http://schemas.openxmlformats.org/officeDocument/2006/relationships" r:embed="rId4"/>
        <a:stretch>
          <a:fillRect/>
        </a:stretch>
      </xdr:blipFill>
      <xdr:spPr>
        <a:xfrm>
          <a:off x="11932921" y="2011681"/>
          <a:ext cx="6377939" cy="4559230"/>
        </a:xfrm>
        <a:prstGeom prst="rect">
          <a:avLst/>
        </a:prstGeom>
      </xdr:spPr>
    </xdr:pic>
    <xdr:clientData/>
  </xdr:twoCellAnchor>
  <xdr:twoCellAnchor editAs="oneCell">
    <xdr:from>
      <xdr:col>3</xdr:col>
      <xdr:colOff>7620</xdr:colOff>
      <xdr:row>3</xdr:row>
      <xdr:rowOff>1</xdr:rowOff>
    </xdr:from>
    <xdr:to>
      <xdr:col>3</xdr:col>
      <xdr:colOff>6423660</xdr:colOff>
      <xdr:row>3</xdr:row>
      <xdr:rowOff>1964095</xdr:rowOff>
    </xdr:to>
    <xdr:pic>
      <xdr:nvPicPr>
        <xdr:cNvPr id="6" name="Picture 5">
          <a:extLst>
            <a:ext uri="{FF2B5EF4-FFF2-40B4-BE49-F238E27FC236}">
              <a16:creationId xmlns:a16="http://schemas.microsoft.com/office/drawing/2014/main" id="{0DBE3109-43C4-85C2-3F31-B31D2EF6852E}"/>
            </a:ext>
          </a:extLst>
        </xdr:cNvPr>
        <xdr:cNvPicPr>
          <a:picLocks noChangeAspect="1"/>
        </xdr:cNvPicPr>
      </xdr:nvPicPr>
      <xdr:blipFill>
        <a:blip xmlns:r="http://schemas.openxmlformats.org/officeDocument/2006/relationships" r:embed="rId5"/>
        <a:stretch>
          <a:fillRect/>
        </a:stretch>
      </xdr:blipFill>
      <xdr:spPr>
        <a:xfrm>
          <a:off x="11932920" y="6583681"/>
          <a:ext cx="6416040" cy="1964094"/>
        </a:xfrm>
        <a:prstGeom prst="rect">
          <a:avLst/>
        </a:prstGeom>
      </xdr:spPr>
    </xdr:pic>
    <xdr:clientData/>
  </xdr:twoCellAnchor>
  <xdr:twoCellAnchor editAs="oneCell">
    <xdr:from>
      <xdr:col>3</xdr:col>
      <xdr:colOff>7621</xdr:colOff>
      <xdr:row>3</xdr:row>
      <xdr:rowOff>1965960</xdr:rowOff>
    </xdr:from>
    <xdr:to>
      <xdr:col>3</xdr:col>
      <xdr:colOff>6442042</xdr:colOff>
      <xdr:row>3</xdr:row>
      <xdr:rowOff>4130040</xdr:rowOff>
    </xdr:to>
    <xdr:pic>
      <xdr:nvPicPr>
        <xdr:cNvPr id="7" name="Picture 6">
          <a:extLst>
            <a:ext uri="{FF2B5EF4-FFF2-40B4-BE49-F238E27FC236}">
              <a16:creationId xmlns:a16="http://schemas.microsoft.com/office/drawing/2014/main" id="{3924735C-F6B7-F19C-9295-75F7F0C5DBB4}"/>
            </a:ext>
          </a:extLst>
        </xdr:cNvPr>
        <xdr:cNvPicPr>
          <a:picLocks noChangeAspect="1"/>
        </xdr:cNvPicPr>
      </xdr:nvPicPr>
      <xdr:blipFill>
        <a:blip xmlns:r="http://schemas.openxmlformats.org/officeDocument/2006/relationships" r:embed="rId6"/>
        <a:stretch>
          <a:fillRect/>
        </a:stretch>
      </xdr:blipFill>
      <xdr:spPr>
        <a:xfrm>
          <a:off x="11932921" y="8549640"/>
          <a:ext cx="6434421" cy="2164080"/>
        </a:xfrm>
        <a:prstGeom prst="rect">
          <a:avLst/>
        </a:prstGeom>
      </xdr:spPr>
    </xdr:pic>
    <xdr:clientData/>
  </xdr:twoCellAnchor>
  <xdr:twoCellAnchor editAs="oneCell">
    <xdr:from>
      <xdr:col>3</xdr:col>
      <xdr:colOff>7620</xdr:colOff>
      <xdr:row>4</xdr:row>
      <xdr:rowOff>1</xdr:rowOff>
    </xdr:from>
    <xdr:to>
      <xdr:col>3</xdr:col>
      <xdr:colOff>6507480</xdr:colOff>
      <xdr:row>4</xdr:row>
      <xdr:rowOff>4177289</xdr:rowOff>
    </xdr:to>
    <xdr:pic>
      <xdr:nvPicPr>
        <xdr:cNvPr id="8" name="Picture 7">
          <a:extLst>
            <a:ext uri="{FF2B5EF4-FFF2-40B4-BE49-F238E27FC236}">
              <a16:creationId xmlns:a16="http://schemas.microsoft.com/office/drawing/2014/main" id="{2E96980D-3F21-2024-1019-3C61121C9B04}"/>
            </a:ext>
          </a:extLst>
        </xdr:cNvPr>
        <xdr:cNvPicPr>
          <a:picLocks noChangeAspect="1"/>
        </xdr:cNvPicPr>
      </xdr:nvPicPr>
      <xdr:blipFill>
        <a:blip xmlns:r="http://schemas.openxmlformats.org/officeDocument/2006/relationships" r:embed="rId7"/>
        <a:stretch>
          <a:fillRect/>
        </a:stretch>
      </xdr:blipFill>
      <xdr:spPr>
        <a:xfrm>
          <a:off x="11932920" y="10789921"/>
          <a:ext cx="6499860" cy="4177288"/>
        </a:xfrm>
        <a:prstGeom prst="rect">
          <a:avLst/>
        </a:prstGeom>
      </xdr:spPr>
    </xdr:pic>
    <xdr:clientData/>
  </xdr:twoCellAnchor>
  <xdr:twoCellAnchor editAs="oneCell">
    <xdr:from>
      <xdr:col>3</xdr:col>
      <xdr:colOff>7621</xdr:colOff>
      <xdr:row>5</xdr:row>
      <xdr:rowOff>0</xdr:rowOff>
    </xdr:from>
    <xdr:to>
      <xdr:col>3</xdr:col>
      <xdr:colOff>6332221</xdr:colOff>
      <xdr:row>5</xdr:row>
      <xdr:rowOff>1256811</xdr:rowOff>
    </xdr:to>
    <xdr:pic>
      <xdr:nvPicPr>
        <xdr:cNvPr id="9" name="Picture 8">
          <a:extLst>
            <a:ext uri="{FF2B5EF4-FFF2-40B4-BE49-F238E27FC236}">
              <a16:creationId xmlns:a16="http://schemas.microsoft.com/office/drawing/2014/main" id="{9CA6B767-B35E-4EA8-8E97-D6366702A039}"/>
            </a:ext>
          </a:extLst>
        </xdr:cNvPr>
        <xdr:cNvPicPr>
          <a:picLocks noChangeAspect="1"/>
        </xdr:cNvPicPr>
      </xdr:nvPicPr>
      <xdr:blipFill>
        <a:blip xmlns:r="http://schemas.openxmlformats.org/officeDocument/2006/relationships" r:embed="rId8"/>
        <a:stretch>
          <a:fillRect/>
        </a:stretch>
      </xdr:blipFill>
      <xdr:spPr>
        <a:xfrm>
          <a:off x="11932921" y="14996160"/>
          <a:ext cx="6324600" cy="1256811"/>
        </a:xfrm>
        <a:prstGeom prst="rect">
          <a:avLst/>
        </a:prstGeom>
      </xdr:spPr>
    </xdr:pic>
    <xdr:clientData/>
  </xdr:twoCellAnchor>
  <xdr:twoCellAnchor editAs="oneCell">
    <xdr:from>
      <xdr:col>3</xdr:col>
      <xdr:colOff>7621</xdr:colOff>
      <xdr:row>6</xdr:row>
      <xdr:rowOff>1</xdr:rowOff>
    </xdr:from>
    <xdr:to>
      <xdr:col>3</xdr:col>
      <xdr:colOff>5886450</xdr:colOff>
      <xdr:row>6</xdr:row>
      <xdr:rowOff>482986</xdr:rowOff>
    </xdr:to>
    <xdr:pic>
      <xdr:nvPicPr>
        <xdr:cNvPr id="10" name="Picture 9">
          <a:extLst>
            <a:ext uri="{FF2B5EF4-FFF2-40B4-BE49-F238E27FC236}">
              <a16:creationId xmlns:a16="http://schemas.microsoft.com/office/drawing/2014/main" id="{8573E204-33A4-3CE9-6429-DD875224476B}"/>
            </a:ext>
          </a:extLst>
        </xdr:cNvPr>
        <xdr:cNvPicPr>
          <a:picLocks noChangeAspect="1"/>
        </xdr:cNvPicPr>
      </xdr:nvPicPr>
      <xdr:blipFill>
        <a:blip xmlns:r="http://schemas.openxmlformats.org/officeDocument/2006/relationships" r:embed="rId9"/>
        <a:stretch>
          <a:fillRect/>
        </a:stretch>
      </xdr:blipFill>
      <xdr:spPr>
        <a:xfrm>
          <a:off x="12361546" y="17145001"/>
          <a:ext cx="5878829" cy="482985"/>
        </a:xfrm>
        <a:prstGeom prst="rect">
          <a:avLst/>
        </a:prstGeom>
      </xdr:spPr>
    </xdr:pic>
    <xdr:clientData/>
  </xdr:twoCellAnchor>
  <xdr:twoCellAnchor editAs="oneCell">
    <xdr:from>
      <xdr:col>3</xdr:col>
      <xdr:colOff>7620</xdr:colOff>
      <xdr:row>6</xdr:row>
      <xdr:rowOff>493396</xdr:rowOff>
    </xdr:from>
    <xdr:to>
      <xdr:col>3</xdr:col>
      <xdr:colOff>5915025</xdr:colOff>
      <xdr:row>6</xdr:row>
      <xdr:rowOff>4705901</xdr:rowOff>
    </xdr:to>
    <xdr:pic>
      <xdr:nvPicPr>
        <xdr:cNvPr id="11" name="Picture 10">
          <a:extLst>
            <a:ext uri="{FF2B5EF4-FFF2-40B4-BE49-F238E27FC236}">
              <a16:creationId xmlns:a16="http://schemas.microsoft.com/office/drawing/2014/main" id="{3CE368EA-A4C5-D013-19F5-392678DE8D3C}"/>
            </a:ext>
          </a:extLst>
        </xdr:cNvPr>
        <xdr:cNvPicPr>
          <a:picLocks noChangeAspect="1"/>
        </xdr:cNvPicPr>
      </xdr:nvPicPr>
      <xdr:blipFill>
        <a:blip xmlns:r="http://schemas.openxmlformats.org/officeDocument/2006/relationships" r:embed="rId10"/>
        <a:stretch>
          <a:fillRect/>
        </a:stretch>
      </xdr:blipFill>
      <xdr:spPr>
        <a:xfrm>
          <a:off x="12361545" y="17638396"/>
          <a:ext cx="5907405" cy="4212505"/>
        </a:xfrm>
        <a:prstGeom prst="rect">
          <a:avLst/>
        </a:prstGeom>
      </xdr:spPr>
    </xdr:pic>
    <xdr:clientData/>
  </xdr:twoCellAnchor>
  <xdr:twoCellAnchor editAs="oneCell">
    <xdr:from>
      <xdr:col>3</xdr:col>
      <xdr:colOff>7620</xdr:colOff>
      <xdr:row>7</xdr:row>
      <xdr:rowOff>1</xdr:rowOff>
    </xdr:from>
    <xdr:to>
      <xdr:col>3</xdr:col>
      <xdr:colOff>6598920</xdr:colOff>
      <xdr:row>7</xdr:row>
      <xdr:rowOff>1626645</xdr:rowOff>
    </xdr:to>
    <xdr:pic>
      <xdr:nvPicPr>
        <xdr:cNvPr id="12" name="Picture 11">
          <a:extLst>
            <a:ext uri="{FF2B5EF4-FFF2-40B4-BE49-F238E27FC236}">
              <a16:creationId xmlns:a16="http://schemas.microsoft.com/office/drawing/2014/main" id="{C1EBD462-45C6-1386-3252-901C45A8E0C6}"/>
            </a:ext>
          </a:extLst>
        </xdr:cNvPr>
        <xdr:cNvPicPr>
          <a:picLocks noChangeAspect="1"/>
        </xdr:cNvPicPr>
      </xdr:nvPicPr>
      <xdr:blipFill>
        <a:blip xmlns:r="http://schemas.openxmlformats.org/officeDocument/2006/relationships" r:embed="rId11"/>
        <a:stretch>
          <a:fillRect/>
        </a:stretch>
      </xdr:blipFill>
      <xdr:spPr>
        <a:xfrm>
          <a:off x="11932920" y="20848321"/>
          <a:ext cx="6591300" cy="1626644"/>
        </a:xfrm>
        <a:prstGeom prst="rect">
          <a:avLst/>
        </a:prstGeom>
      </xdr:spPr>
    </xdr:pic>
    <xdr:clientData/>
  </xdr:twoCellAnchor>
  <xdr:twoCellAnchor editAs="oneCell">
    <xdr:from>
      <xdr:col>3</xdr:col>
      <xdr:colOff>7620</xdr:colOff>
      <xdr:row>8</xdr:row>
      <xdr:rowOff>0</xdr:rowOff>
    </xdr:from>
    <xdr:to>
      <xdr:col>3</xdr:col>
      <xdr:colOff>6454140</xdr:colOff>
      <xdr:row>8</xdr:row>
      <xdr:rowOff>1806352</xdr:rowOff>
    </xdr:to>
    <xdr:pic>
      <xdr:nvPicPr>
        <xdr:cNvPr id="13" name="Picture 12">
          <a:extLst>
            <a:ext uri="{FF2B5EF4-FFF2-40B4-BE49-F238E27FC236}">
              <a16:creationId xmlns:a16="http://schemas.microsoft.com/office/drawing/2014/main" id="{B51B951B-A836-109F-4357-A069A7722E0D}"/>
            </a:ext>
          </a:extLst>
        </xdr:cNvPr>
        <xdr:cNvPicPr>
          <a:picLocks noChangeAspect="1"/>
        </xdr:cNvPicPr>
      </xdr:nvPicPr>
      <xdr:blipFill>
        <a:blip xmlns:r="http://schemas.openxmlformats.org/officeDocument/2006/relationships" r:embed="rId12"/>
        <a:stretch>
          <a:fillRect/>
        </a:stretch>
      </xdr:blipFill>
      <xdr:spPr>
        <a:xfrm>
          <a:off x="11932920" y="22494240"/>
          <a:ext cx="6446520" cy="180635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65"/>
  <sheetViews>
    <sheetView tabSelected="1" zoomScaleNormal="100" workbookViewId="0"/>
  </sheetViews>
  <sheetFormatPr defaultRowHeight="15" x14ac:dyDescent="0.25"/>
  <cols>
    <col min="1" max="1" width="103.42578125" style="23" bestFit="1" customWidth="1"/>
    <col min="2" max="2" width="70.28515625" bestFit="1" customWidth="1"/>
    <col min="3" max="3" width="7.7109375" bestFit="1" customWidth="1"/>
    <col min="4" max="4" width="9.140625" bestFit="1" customWidth="1"/>
    <col min="5" max="5" width="11.28515625" style="21" bestFit="1" customWidth="1"/>
  </cols>
  <sheetData>
    <row r="1" spans="1:5" ht="15.75" x14ac:dyDescent="0.3">
      <c r="A1" s="22" t="s">
        <v>2</v>
      </c>
      <c r="B1" s="33" t="s">
        <v>242</v>
      </c>
      <c r="C1" s="1" t="s">
        <v>0</v>
      </c>
      <c r="D1" s="1" t="s">
        <v>1</v>
      </c>
      <c r="E1" s="17" t="s">
        <v>286</v>
      </c>
    </row>
    <row r="2" spans="1:5" x14ac:dyDescent="0.25">
      <c r="A2" s="5" t="s">
        <v>7</v>
      </c>
      <c r="B2" s="20"/>
      <c r="C2" s="6">
        <v>1</v>
      </c>
      <c r="D2" s="6">
        <v>0</v>
      </c>
      <c r="E2" s="38"/>
    </row>
    <row r="3" spans="1:5" x14ac:dyDescent="0.25">
      <c r="A3" s="24" t="s">
        <v>113</v>
      </c>
      <c r="B3" s="25" t="s">
        <v>3</v>
      </c>
      <c r="C3" s="26">
        <f>C2+D2</f>
        <v>1</v>
      </c>
      <c r="D3" s="26">
        <v>3</v>
      </c>
      <c r="E3" s="58" t="s">
        <v>20</v>
      </c>
    </row>
    <row r="4" spans="1:5" x14ac:dyDescent="0.25">
      <c r="A4" s="24" t="s">
        <v>27</v>
      </c>
      <c r="B4" s="25" t="s">
        <v>8</v>
      </c>
      <c r="C4" s="26"/>
      <c r="D4" s="26"/>
      <c r="E4" s="58"/>
    </row>
    <row r="5" spans="1:5" x14ac:dyDescent="0.25">
      <c r="A5" s="24" t="s">
        <v>28</v>
      </c>
      <c r="B5" s="25" t="s">
        <v>14</v>
      </c>
      <c r="C5" s="26"/>
      <c r="D5" s="26"/>
      <c r="E5" s="58"/>
    </row>
    <row r="6" spans="1:5" x14ac:dyDescent="0.25">
      <c r="A6" s="24" t="s">
        <v>29</v>
      </c>
      <c r="B6" s="25" t="s">
        <v>17</v>
      </c>
      <c r="C6" s="26"/>
      <c r="D6" s="26"/>
      <c r="E6" s="58"/>
    </row>
    <row r="7" spans="1:5" x14ac:dyDescent="0.25">
      <c r="A7" s="24" t="s">
        <v>30</v>
      </c>
      <c r="B7" s="25" t="s">
        <v>9</v>
      </c>
      <c r="C7" s="27"/>
      <c r="D7" s="27"/>
      <c r="E7" s="58"/>
    </row>
    <row r="8" spans="1:5" x14ac:dyDescent="0.25">
      <c r="A8" s="24" t="s">
        <v>114</v>
      </c>
      <c r="B8" s="25" t="s">
        <v>4</v>
      </c>
      <c r="C8" s="26">
        <f>C3+D3</f>
        <v>4</v>
      </c>
      <c r="D8" s="27">
        <v>3</v>
      </c>
      <c r="E8" s="58" t="s">
        <v>20</v>
      </c>
    </row>
    <row r="9" spans="1:5" x14ac:dyDescent="0.25">
      <c r="A9" s="24" t="s">
        <v>149</v>
      </c>
      <c r="B9" s="25" t="s">
        <v>10</v>
      </c>
      <c r="C9" s="27"/>
      <c r="D9" s="27"/>
      <c r="E9" s="58"/>
    </row>
    <row r="10" spans="1:5" x14ac:dyDescent="0.25">
      <c r="A10" s="24" t="s">
        <v>31</v>
      </c>
      <c r="B10" s="25" t="s">
        <v>16</v>
      </c>
      <c r="C10" s="27"/>
      <c r="D10" s="27"/>
      <c r="E10" s="58"/>
    </row>
    <row r="11" spans="1:5" x14ac:dyDescent="0.25">
      <c r="A11" s="24" t="s">
        <v>32</v>
      </c>
      <c r="B11" s="25" t="s">
        <v>33</v>
      </c>
      <c r="C11" s="27"/>
      <c r="D11" s="27"/>
      <c r="E11" s="58"/>
    </row>
    <row r="12" spans="1:5" x14ac:dyDescent="0.25">
      <c r="A12" s="24" t="s">
        <v>34</v>
      </c>
      <c r="B12" s="25" t="s">
        <v>18</v>
      </c>
      <c r="C12" s="27"/>
      <c r="D12" s="27"/>
      <c r="E12" s="58"/>
    </row>
    <row r="13" spans="1:5" x14ac:dyDescent="0.25">
      <c r="A13" s="24" t="s">
        <v>35</v>
      </c>
      <c r="B13" s="25" t="s">
        <v>36</v>
      </c>
      <c r="C13" s="27"/>
      <c r="D13" s="27"/>
      <c r="E13" s="58"/>
    </row>
    <row r="14" spans="1:5" x14ac:dyDescent="0.25">
      <c r="A14" s="24" t="s">
        <v>37</v>
      </c>
      <c r="B14" s="25" t="s">
        <v>19</v>
      </c>
      <c r="C14" s="27"/>
      <c r="D14" s="27"/>
      <c r="E14" s="58"/>
    </row>
    <row r="15" spans="1:5" x14ac:dyDescent="0.25">
      <c r="A15" s="24" t="s">
        <v>38</v>
      </c>
      <c r="B15" s="25" t="s">
        <v>12</v>
      </c>
      <c r="C15" s="27"/>
      <c r="D15" s="27"/>
      <c r="E15" s="58"/>
    </row>
    <row r="16" spans="1:5" x14ac:dyDescent="0.25">
      <c r="A16" s="24" t="s">
        <v>39</v>
      </c>
      <c r="B16" s="25" t="s">
        <v>11</v>
      </c>
      <c r="C16" s="27"/>
      <c r="D16" s="27"/>
      <c r="E16" s="58"/>
    </row>
    <row r="17" spans="1:5" x14ac:dyDescent="0.25">
      <c r="A17" s="24" t="s">
        <v>115</v>
      </c>
      <c r="B17" s="25" t="s">
        <v>5</v>
      </c>
      <c r="C17" s="26">
        <f>C8+D8</f>
        <v>7</v>
      </c>
      <c r="D17" s="27">
        <v>3</v>
      </c>
      <c r="E17" s="58" t="s">
        <v>20</v>
      </c>
    </row>
    <row r="18" spans="1:5" x14ac:dyDescent="0.25">
      <c r="A18" s="24" t="s">
        <v>41</v>
      </c>
      <c r="B18" s="27" t="s">
        <v>44</v>
      </c>
      <c r="C18" s="27"/>
      <c r="D18" s="27"/>
      <c r="E18" s="58"/>
    </row>
    <row r="19" spans="1:5" x14ac:dyDescent="0.25">
      <c r="A19" s="24" t="s">
        <v>42</v>
      </c>
      <c r="B19" s="27" t="s">
        <v>45</v>
      </c>
      <c r="C19" s="27"/>
      <c r="D19" s="27"/>
      <c r="E19" s="58"/>
    </row>
    <row r="20" spans="1:5" x14ac:dyDescent="0.25">
      <c r="A20" s="24" t="s">
        <v>40</v>
      </c>
      <c r="B20" s="27" t="s">
        <v>43</v>
      </c>
      <c r="C20" s="27"/>
      <c r="D20" s="27"/>
      <c r="E20" s="58"/>
    </row>
    <row r="21" spans="1:5" x14ac:dyDescent="0.25">
      <c r="A21" s="24" t="s">
        <v>46</v>
      </c>
      <c r="B21" s="27" t="s">
        <v>47</v>
      </c>
      <c r="C21" s="27"/>
      <c r="D21" s="27"/>
      <c r="E21" s="58"/>
    </row>
    <row r="22" spans="1:5" x14ac:dyDescent="0.25">
      <c r="A22" s="24" t="s">
        <v>48</v>
      </c>
      <c r="B22" s="27" t="s">
        <v>13</v>
      </c>
      <c r="C22" s="27"/>
      <c r="D22" s="27"/>
      <c r="E22" s="58"/>
    </row>
    <row r="23" spans="1:5" x14ac:dyDescent="0.25">
      <c r="A23" s="24" t="s">
        <v>49</v>
      </c>
      <c r="B23" s="27" t="s">
        <v>15</v>
      </c>
      <c r="C23" s="27"/>
      <c r="D23" s="27"/>
      <c r="E23" s="58"/>
    </row>
    <row r="24" spans="1:5" x14ac:dyDescent="0.25">
      <c r="A24" s="24" t="s">
        <v>51</v>
      </c>
      <c r="B24" s="27" t="s">
        <v>52</v>
      </c>
      <c r="C24" s="27"/>
      <c r="D24" s="27"/>
      <c r="E24" s="58"/>
    </row>
    <row r="25" spans="1:5" x14ac:dyDescent="0.25">
      <c r="A25" s="24" t="s">
        <v>50</v>
      </c>
      <c r="B25" s="27" t="s">
        <v>23</v>
      </c>
      <c r="C25" s="27"/>
      <c r="D25" s="27"/>
      <c r="E25" s="58"/>
    </row>
    <row r="26" spans="1:5" x14ac:dyDescent="0.25">
      <c r="A26" s="24" t="s">
        <v>53</v>
      </c>
      <c r="B26" s="27" t="s">
        <v>54</v>
      </c>
      <c r="C26" s="27"/>
      <c r="D26" s="27"/>
      <c r="E26" s="58"/>
    </row>
    <row r="27" spans="1:5" x14ac:dyDescent="0.25">
      <c r="A27" s="24" t="s">
        <v>116</v>
      </c>
      <c r="B27" s="27" t="s">
        <v>211</v>
      </c>
      <c r="C27" s="27">
        <f>C17+D17</f>
        <v>10</v>
      </c>
      <c r="D27" s="27">
        <v>9</v>
      </c>
      <c r="E27" s="37" t="s">
        <v>21</v>
      </c>
    </row>
    <row r="28" spans="1:5" x14ac:dyDescent="0.25">
      <c r="A28" s="24" t="s">
        <v>117</v>
      </c>
      <c r="B28" s="27" t="s">
        <v>252</v>
      </c>
      <c r="C28" s="26">
        <f t="shared" ref="C28:C37" si="0">C27+D27</f>
        <v>19</v>
      </c>
      <c r="D28" s="27">
        <v>10</v>
      </c>
      <c r="E28" s="37" t="s">
        <v>21</v>
      </c>
    </row>
    <row r="29" spans="1:5" x14ac:dyDescent="0.25">
      <c r="A29" s="24" t="s">
        <v>118</v>
      </c>
      <c r="B29" s="27" t="s">
        <v>212</v>
      </c>
      <c r="C29" s="28">
        <f t="shared" si="0"/>
        <v>29</v>
      </c>
      <c r="D29" s="27">
        <v>9</v>
      </c>
      <c r="E29" s="36" t="s">
        <v>20</v>
      </c>
    </row>
    <row r="30" spans="1:5" x14ac:dyDescent="0.25">
      <c r="A30" s="24" t="s">
        <v>119</v>
      </c>
      <c r="B30" s="27" t="s">
        <v>55</v>
      </c>
      <c r="C30" s="26">
        <f t="shared" si="0"/>
        <v>38</v>
      </c>
      <c r="D30" s="27">
        <v>10</v>
      </c>
      <c r="E30" s="36" t="s">
        <v>20</v>
      </c>
    </row>
    <row r="31" spans="1:5" x14ac:dyDescent="0.25">
      <c r="A31" s="24" t="s">
        <v>120</v>
      </c>
      <c r="B31" s="27" t="s">
        <v>6</v>
      </c>
      <c r="C31" s="26">
        <f t="shared" si="0"/>
        <v>48</v>
      </c>
      <c r="D31" s="27">
        <v>16</v>
      </c>
      <c r="E31" s="36" t="s">
        <v>20</v>
      </c>
    </row>
    <row r="32" spans="1:5" x14ac:dyDescent="0.25">
      <c r="A32" s="24" t="s">
        <v>121</v>
      </c>
      <c r="B32" s="25" t="s">
        <v>259</v>
      </c>
      <c r="C32" s="26">
        <f t="shared" si="0"/>
        <v>64</v>
      </c>
      <c r="D32" s="26">
        <v>6</v>
      </c>
      <c r="E32" s="36" t="s">
        <v>20</v>
      </c>
    </row>
    <row r="33" spans="1:5" x14ac:dyDescent="0.25">
      <c r="A33" s="24" t="s">
        <v>122</v>
      </c>
      <c r="B33" s="25" t="s">
        <v>56</v>
      </c>
      <c r="C33" s="26">
        <f t="shared" si="0"/>
        <v>70</v>
      </c>
      <c r="D33" s="26">
        <v>14</v>
      </c>
      <c r="E33" s="36" t="s">
        <v>20</v>
      </c>
    </row>
    <row r="34" spans="1:5" x14ac:dyDescent="0.25">
      <c r="A34" s="24" t="s">
        <v>155</v>
      </c>
      <c r="B34" s="25" t="s">
        <v>156</v>
      </c>
      <c r="C34" s="26">
        <f t="shared" si="0"/>
        <v>84</v>
      </c>
      <c r="D34" s="26">
        <v>7</v>
      </c>
      <c r="E34" s="39" t="s">
        <v>22</v>
      </c>
    </row>
    <row r="35" spans="1:5" x14ac:dyDescent="0.25">
      <c r="A35" s="24" t="s">
        <v>157</v>
      </c>
      <c r="B35" s="25" t="s">
        <v>158</v>
      </c>
      <c r="C35" s="26">
        <f t="shared" si="0"/>
        <v>91</v>
      </c>
      <c r="D35" s="26">
        <v>7</v>
      </c>
      <c r="E35" s="39" t="s">
        <v>22</v>
      </c>
    </row>
    <row r="36" spans="1:5" x14ac:dyDescent="0.25">
      <c r="A36" s="24" t="s">
        <v>159</v>
      </c>
      <c r="B36" s="25" t="s">
        <v>213</v>
      </c>
      <c r="C36" s="26">
        <f t="shared" si="0"/>
        <v>98</v>
      </c>
      <c r="D36" s="26">
        <v>4</v>
      </c>
      <c r="E36" s="39" t="s">
        <v>22</v>
      </c>
    </row>
    <row r="37" spans="1:5" x14ac:dyDescent="0.25">
      <c r="A37" s="24" t="s">
        <v>123</v>
      </c>
      <c r="B37" s="25" t="s">
        <v>57</v>
      </c>
      <c r="C37" s="26">
        <f t="shared" si="0"/>
        <v>102</v>
      </c>
      <c r="D37" s="26">
        <v>4</v>
      </c>
      <c r="E37" s="39" t="s">
        <v>22</v>
      </c>
    </row>
    <row r="38" spans="1:5" x14ac:dyDescent="0.25">
      <c r="A38" s="24" t="s">
        <v>124</v>
      </c>
      <c r="B38" s="25" t="s">
        <v>251</v>
      </c>
      <c r="C38" s="26">
        <f>C37+D37</f>
        <v>106</v>
      </c>
      <c r="D38" s="26">
        <v>3</v>
      </c>
      <c r="E38" s="55" t="s">
        <v>20</v>
      </c>
    </row>
    <row r="39" spans="1:5" x14ac:dyDescent="0.25">
      <c r="A39" s="30" t="s">
        <v>106</v>
      </c>
      <c r="B39" s="31" t="s">
        <v>107</v>
      </c>
      <c r="C39" s="26"/>
      <c r="D39" s="26"/>
      <c r="E39" s="56"/>
    </row>
    <row r="40" spans="1:5" x14ac:dyDescent="0.25">
      <c r="A40" s="30" t="s">
        <v>108</v>
      </c>
      <c r="B40" s="31" t="s">
        <v>109</v>
      </c>
      <c r="C40" s="26"/>
      <c r="D40" s="26"/>
      <c r="E40" s="57"/>
    </row>
    <row r="41" spans="1:5" x14ac:dyDescent="0.25">
      <c r="A41" s="24" t="s">
        <v>125</v>
      </c>
      <c r="B41" s="25" t="s">
        <v>250</v>
      </c>
      <c r="C41" s="26">
        <f>C38+D38</f>
        <v>109</v>
      </c>
      <c r="D41" s="26">
        <v>8</v>
      </c>
      <c r="E41" s="37" t="s">
        <v>21</v>
      </c>
    </row>
    <row r="42" spans="1:5" x14ac:dyDescent="0.25">
      <c r="A42" s="24" t="s">
        <v>126</v>
      </c>
      <c r="B42" s="25" t="s">
        <v>58</v>
      </c>
      <c r="C42" s="26">
        <f>C41+D41</f>
        <v>117</v>
      </c>
      <c r="D42" s="26">
        <v>10</v>
      </c>
      <c r="E42" s="36" t="s">
        <v>20</v>
      </c>
    </row>
    <row r="43" spans="1:5" x14ac:dyDescent="0.25">
      <c r="A43" s="24" t="s">
        <v>127</v>
      </c>
      <c r="B43" s="25" t="s">
        <v>26</v>
      </c>
      <c r="C43" s="26">
        <f>C42+D42</f>
        <v>127</v>
      </c>
      <c r="D43" s="26">
        <v>4</v>
      </c>
      <c r="E43" s="55" t="s">
        <v>20</v>
      </c>
    </row>
    <row r="44" spans="1:5" x14ac:dyDescent="0.25">
      <c r="A44" s="45" t="s">
        <v>150</v>
      </c>
      <c r="B44" s="46" t="s">
        <v>153</v>
      </c>
      <c r="C44" s="47"/>
      <c r="D44" s="47"/>
      <c r="E44" s="56"/>
    </row>
    <row r="45" spans="1:5" x14ac:dyDescent="0.25">
      <c r="A45" s="45" t="s">
        <v>371</v>
      </c>
      <c r="B45" s="46" t="s">
        <v>374</v>
      </c>
      <c r="C45" s="47"/>
      <c r="D45" s="47"/>
      <c r="E45" s="56"/>
    </row>
    <row r="46" spans="1:5" x14ac:dyDescent="0.25">
      <c r="A46" s="45" t="s">
        <v>372</v>
      </c>
      <c r="B46" s="46" t="s">
        <v>375</v>
      </c>
      <c r="C46" s="47"/>
      <c r="D46" s="47"/>
      <c r="E46" s="56"/>
    </row>
    <row r="47" spans="1:5" x14ac:dyDescent="0.25">
      <c r="A47" s="45" t="s">
        <v>373</v>
      </c>
      <c r="B47" s="46" t="s">
        <v>376</v>
      </c>
      <c r="C47" s="47"/>
      <c r="D47" s="47"/>
      <c r="E47" s="56"/>
    </row>
    <row r="48" spans="1:5" x14ac:dyDescent="0.25">
      <c r="A48" s="45" t="s">
        <v>151</v>
      </c>
      <c r="B48" s="46" t="s">
        <v>154</v>
      </c>
      <c r="C48" s="47"/>
      <c r="D48" s="47"/>
      <c r="E48" s="56"/>
    </row>
    <row r="49" spans="1:5" x14ac:dyDescent="0.25">
      <c r="A49" s="45" t="s">
        <v>280</v>
      </c>
      <c r="B49" s="46" t="s">
        <v>281</v>
      </c>
      <c r="C49" s="47"/>
      <c r="D49" s="47"/>
      <c r="E49" s="56"/>
    </row>
    <row r="50" spans="1:5" x14ac:dyDescent="0.25">
      <c r="A50" s="45" t="s">
        <v>282</v>
      </c>
      <c r="B50" s="46" t="s">
        <v>283</v>
      </c>
      <c r="C50" s="47"/>
      <c r="D50" s="47"/>
      <c r="E50" s="56"/>
    </row>
    <row r="51" spans="1:5" x14ac:dyDescent="0.25">
      <c r="A51" s="45" t="s">
        <v>237</v>
      </c>
      <c r="B51" s="46" t="s">
        <v>238</v>
      </c>
      <c r="C51" s="47"/>
      <c r="D51" s="47"/>
      <c r="E51" s="56"/>
    </row>
    <row r="52" spans="1:5" x14ac:dyDescent="0.25">
      <c r="A52" s="45" t="s">
        <v>377</v>
      </c>
      <c r="B52" s="46" t="s">
        <v>378</v>
      </c>
      <c r="C52" s="47"/>
      <c r="D52" s="47"/>
      <c r="E52" s="56"/>
    </row>
    <row r="53" spans="1:5" x14ac:dyDescent="0.25">
      <c r="A53" s="45" t="s">
        <v>333</v>
      </c>
      <c r="B53" s="46" t="s">
        <v>332</v>
      </c>
      <c r="C53" s="47"/>
      <c r="D53" s="47"/>
      <c r="E53" s="56"/>
    </row>
    <row r="54" spans="1:5" x14ac:dyDescent="0.25">
      <c r="A54" s="45" t="s">
        <v>322</v>
      </c>
      <c r="B54" s="46" t="s">
        <v>310</v>
      </c>
      <c r="C54" s="47"/>
      <c r="D54" s="47"/>
      <c r="E54" s="56"/>
    </row>
    <row r="55" spans="1:5" x14ac:dyDescent="0.25">
      <c r="A55" s="45" t="s">
        <v>379</v>
      </c>
      <c r="B55" s="46" t="s">
        <v>381</v>
      </c>
      <c r="C55" s="47"/>
      <c r="D55" s="47"/>
      <c r="E55" s="56"/>
    </row>
    <row r="56" spans="1:5" x14ac:dyDescent="0.25">
      <c r="A56" s="45" t="s">
        <v>380</v>
      </c>
      <c r="B56" s="46" t="s">
        <v>382</v>
      </c>
      <c r="C56" s="47"/>
      <c r="D56" s="47"/>
      <c r="E56" s="56"/>
    </row>
    <row r="57" spans="1:5" x14ac:dyDescent="0.25">
      <c r="A57" s="45" t="s">
        <v>234</v>
      </c>
      <c r="B57" s="46" t="s">
        <v>235</v>
      </c>
      <c r="C57" s="47"/>
      <c r="D57" s="47"/>
      <c r="E57" s="56"/>
    </row>
    <row r="58" spans="1:5" x14ac:dyDescent="0.25">
      <c r="A58" s="45" t="s">
        <v>323</v>
      </c>
      <c r="B58" s="46" t="s">
        <v>324</v>
      </c>
      <c r="C58" s="47"/>
      <c r="D58" s="47"/>
      <c r="E58" s="56"/>
    </row>
    <row r="59" spans="1:5" x14ac:dyDescent="0.25">
      <c r="A59" s="45" t="s">
        <v>292</v>
      </c>
      <c r="B59" s="46" t="s">
        <v>293</v>
      </c>
      <c r="C59" s="47"/>
      <c r="D59" s="47"/>
      <c r="E59" s="56"/>
    </row>
    <row r="60" spans="1:5" x14ac:dyDescent="0.25">
      <c r="A60" s="45" t="s">
        <v>334</v>
      </c>
      <c r="B60" s="46" t="s">
        <v>335</v>
      </c>
      <c r="C60" s="47"/>
      <c r="D60" s="47"/>
      <c r="E60" s="56"/>
    </row>
    <row r="61" spans="1:5" x14ac:dyDescent="0.25">
      <c r="A61" s="45" t="s">
        <v>152</v>
      </c>
      <c r="B61" s="46" t="s">
        <v>236</v>
      </c>
      <c r="C61" s="47"/>
      <c r="D61" s="47"/>
      <c r="E61" s="57"/>
    </row>
    <row r="62" spans="1:5" x14ac:dyDescent="0.25">
      <c r="A62" s="24" t="s">
        <v>128</v>
      </c>
      <c r="B62" s="25" t="s">
        <v>67</v>
      </c>
      <c r="C62" s="26">
        <f>C43+D43</f>
        <v>131</v>
      </c>
      <c r="D62" s="26">
        <v>1</v>
      </c>
      <c r="E62" s="62" t="s">
        <v>21</v>
      </c>
    </row>
    <row r="63" spans="1:5" x14ac:dyDescent="0.25">
      <c r="A63" s="24" t="s">
        <v>59</v>
      </c>
      <c r="B63" s="25" t="s">
        <v>63</v>
      </c>
      <c r="C63" s="26"/>
      <c r="D63" s="26"/>
      <c r="E63" s="62"/>
    </row>
    <row r="64" spans="1:5" x14ac:dyDescent="0.25">
      <c r="A64" s="24" t="s">
        <v>60</v>
      </c>
      <c r="B64" s="25" t="s">
        <v>64</v>
      </c>
      <c r="C64" s="26"/>
      <c r="D64" s="26"/>
      <c r="E64" s="62"/>
    </row>
    <row r="65" spans="1:5" x14ac:dyDescent="0.25">
      <c r="A65" s="24" t="s">
        <v>61</v>
      </c>
      <c r="B65" s="25" t="s">
        <v>65</v>
      </c>
      <c r="C65" s="26"/>
      <c r="D65" s="26"/>
      <c r="E65" s="62"/>
    </row>
    <row r="66" spans="1:5" x14ac:dyDescent="0.25">
      <c r="A66" s="24" t="s">
        <v>62</v>
      </c>
      <c r="B66" s="25" t="s">
        <v>66</v>
      </c>
      <c r="C66" s="26"/>
      <c r="D66" s="26"/>
      <c r="E66" s="62"/>
    </row>
    <row r="67" spans="1:5" x14ac:dyDescent="0.25">
      <c r="A67" s="24" t="s">
        <v>129</v>
      </c>
      <c r="B67" s="25" t="s">
        <v>68</v>
      </c>
      <c r="C67" s="26">
        <f>C62+D62</f>
        <v>132</v>
      </c>
      <c r="D67" s="26">
        <v>6</v>
      </c>
      <c r="E67" s="39" t="s">
        <v>22</v>
      </c>
    </row>
    <row r="68" spans="1:5" x14ac:dyDescent="0.25">
      <c r="A68" s="24" t="s">
        <v>130</v>
      </c>
      <c r="B68" s="25" t="s">
        <v>69</v>
      </c>
      <c r="C68" s="26">
        <f>C67+D67</f>
        <v>138</v>
      </c>
      <c r="D68" s="26">
        <v>3</v>
      </c>
      <c r="E68" s="63" t="s">
        <v>20</v>
      </c>
    </row>
    <row r="69" spans="1:5" x14ac:dyDescent="0.25">
      <c r="A69" s="24" t="s">
        <v>82</v>
      </c>
      <c r="B69" s="25" t="s">
        <v>70</v>
      </c>
      <c r="C69" s="26"/>
      <c r="D69" s="26"/>
      <c r="E69" s="64"/>
    </row>
    <row r="70" spans="1:5" x14ac:dyDescent="0.25">
      <c r="A70" s="24" t="s">
        <v>83</v>
      </c>
      <c r="B70" s="25" t="s">
        <v>71</v>
      </c>
      <c r="C70" s="26"/>
      <c r="D70" s="26"/>
      <c r="E70" s="64"/>
    </row>
    <row r="71" spans="1:5" x14ac:dyDescent="0.25">
      <c r="A71" s="24" t="s">
        <v>84</v>
      </c>
      <c r="B71" s="25" t="s">
        <v>72</v>
      </c>
      <c r="C71" s="26"/>
      <c r="D71" s="26"/>
      <c r="E71" s="64"/>
    </row>
    <row r="72" spans="1:5" x14ac:dyDescent="0.25">
      <c r="A72" s="24" t="s">
        <v>85</v>
      </c>
      <c r="B72" s="25" t="s">
        <v>73</v>
      </c>
      <c r="C72" s="26"/>
      <c r="D72" s="26"/>
      <c r="E72" s="64"/>
    </row>
    <row r="73" spans="1:5" x14ac:dyDescent="0.25">
      <c r="A73" s="24" t="s">
        <v>86</v>
      </c>
      <c r="B73" s="25" t="s">
        <v>74</v>
      </c>
      <c r="C73" s="26"/>
      <c r="D73" s="26"/>
      <c r="E73" s="64"/>
    </row>
    <row r="74" spans="1:5" x14ac:dyDescent="0.25">
      <c r="A74" s="24" t="s">
        <v>87</v>
      </c>
      <c r="B74" s="25" t="s">
        <v>75</v>
      </c>
      <c r="C74" s="26"/>
      <c r="D74" s="26"/>
      <c r="E74" s="64"/>
    </row>
    <row r="75" spans="1:5" x14ac:dyDescent="0.25">
      <c r="A75" s="24" t="s">
        <v>88</v>
      </c>
      <c r="B75" s="25" t="s">
        <v>76</v>
      </c>
      <c r="C75" s="26"/>
      <c r="D75" s="26"/>
      <c r="E75" s="64"/>
    </row>
    <row r="76" spans="1:5" x14ac:dyDescent="0.25">
      <c r="A76" s="24" t="s">
        <v>89</v>
      </c>
      <c r="B76" s="25" t="s">
        <v>77</v>
      </c>
      <c r="C76" s="26"/>
      <c r="D76" s="26"/>
      <c r="E76" s="64"/>
    </row>
    <row r="77" spans="1:5" x14ac:dyDescent="0.25">
      <c r="A77" s="24" t="s">
        <v>90</v>
      </c>
      <c r="B77" s="25" t="s">
        <v>78</v>
      </c>
      <c r="C77" s="26"/>
      <c r="D77" s="26"/>
      <c r="E77" s="64"/>
    </row>
    <row r="78" spans="1:5" x14ac:dyDescent="0.25">
      <c r="A78" s="24" t="s">
        <v>91</v>
      </c>
      <c r="B78" s="25" t="s">
        <v>79</v>
      </c>
      <c r="C78" s="26"/>
      <c r="D78" s="26"/>
      <c r="E78" s="64"/>
    </row>
    <row r="79" spans="1:5" x14ac:dyDescent="0.25">
      <c r="A79" s="24" t="s">
        <v>92</v>
      </c>
      <c r="B79" s="25" t="s">
        <v>80</v>
      </c>
      <c r="C79" s="26"/>
      <c r="D79" s="26"/>
      <c r="E79" s="64"/>
    </row>
    <row r="80" spans="1:5" x14ac:dyDescent="0.25">
      <c r="A80" s="24" t="s">
        <v>93</v>
      </c>
      <c r="B80" s="25" t="s">
        <v>81</v>
      </c>
      <c r="C80" s="26"/>
      <c r="D80" s="26"/>
      <c r="E80" s="64"/>
    </row>
    <row r="81" spans="1:5" x14ac:dyDescent="0.25">
      <c r="A81" s="30" t="s">
        <v>96</v>
      </c>
      <c r="B81" s="31" t="s">
        <v>97</v>
      </c>
      <c r="C81" s="26"/>
      <c r="D81" s="26"/>
      <c r="E81" s="64"/>
    </row>
    <row r="82" spans="1:5" x14ac:dyDescent="0.25">
      <c r="A82" s="45" t="s">
        <v>273</v>
      </c>
      <c r="B82" s="46" t="s">
        <v>274</v>
      </c>
      <c r="C82" s="47"/>
      <c r="D82" s="47"/>
      <c r="E82" s="65"/>
    </row>
    <row r="83" spans="1:5" x14ac:dyDescent="0.25">
      <c r="A83" s="24" t="s">
        <v>131</v>
      </c>
      <c r="B83" s="25" t="s">
        <v>217</v>
      </c>
      <c r="C83" s="26">
        <f>C68+D68</f>
        <v>141</v>
      </c>
      <c r="D83" s="26">
        <v>8</v>
      </c>
      <c r="E83" s="37" t="s">
        <v>21</v>
      </c>
    </row>
    <row r="84" spans="1:5" x14ac:dyDescent="0.25">
      <c r="A84" s="24" t="s">
        <v>132</v>
      </c>
      <c r="B84" s="25" t="s">
        <v>94</v>
      </c>
      <c r="C84" s="26">
        <f>C83+D83</f>
        <v>149</v>
      </c>
      <c r="D84" s="26">
        <v>8</v>
      </c>
      <c r="E84" s="37" t="s">
        <v>21</v>
      </c>
    </row>
    <row r="85" spans="1:5" x14ac:dyDescent="0.25">
      <c r="A85" s="24" t="s">
        <v>133</v>
      </c>
      <c r="B85" s="25" t="s">
        <v>214</v>
      </c>
      <c r="C85" s="26">
        <f>C84+D84</f>
        <v>157</v>
      </c>
      <c r="D85" s="26">
        <v>8</v>
      </c>
      <c r="E85" s="39" t="s">
        <v>22</v>
      </c>
    </row>
    <row r="86" spans="1:5" x14ac:dyDescent="0.25">
      <c r="A86" s="24" t="s">
        <v>134</v>
      </c>
      <c r="B86" s="25" t="s">
        <v>95</v>
      </c>
      <c r="C86" s="26">
        <f>C85+D85</f>
        <v>165</v>
      </c>
      <c r="D86" s="26">
        <v>134</v>
      </c>
      <c r="E86" s="39" t="s">
        <v>22</v>
      </c>
    </row>
    <row r="87" spans="1:5" x14ac:dyDescent="0.25">
      <c r="A87" s="5" t="s">
        <v>135</v>
      </c>
      <c r="B87" s="20"/>
      <c r="C87" s="6">
        <f>C86+D86</f>
        <v>299</v>
      </c>
      <c r="D87" s="6">
        <f>4096-C87</f>
        <v>3797</v>
      </c>
      <c r="E87" s="38"/>
    </row>
    <row r="88" spans="1:5" x14ac:dyDescent="0.25">
      <c r="A88" s="19"/>
      <c r="B88" s="10"/>
      <c r="C88" s="2"/>
      <c r="D88" s="2"/>
      <c r="E88" s="18"/>
    </row>
    <row r="89" spans="1:5" x14ac:dyDescent="0.25">
      <c r="A89" s="5" t="s">
        <v>112</v>
      </c>
      <c r="B89" s="20" t="s">
        <v>161</v>
      </c>
      <c r="C89" s="6">
        <f>C87</f>
        <v>299</v>
      </c>
      <c r="D89" s="6">
        <v>0</v>
      </c>
      <c r="E89" s="38"/>
    </row>
    <row r="90" spans="1:5" x14ac:dyDescent="0.25">
      <c r="A90" s="7" t="s">
        <v>99</v>
      </c>
      <c r="B90" s="8"/>
      <c r="C90" s="16">
        <f>C89+D89</f>
        <v>299</v>
      </c>
      <c r="D90" s="8">
        <v>0</v>
      </c>
      <c r="E90" s="40"/>
    </row>
    <row r="91" spans="1:5" x14ac:dyDescent="0.25">
      <c r="A91" s="4" t="s">
        <v>136</v>
      </c>
      <c r="B91" s="3" t="s">
        <v>110</v>
      </c>
      <c r="C91" s="14">
        <f>C90+D90</f>
        <v>299</v>
      </c>
      <c r="D91" s="3">
        <v>40</v>
      </c>
      <c r="E91" s="36" t="s">
        <v>20</v>
      </c>
    </row>
    <row r="92" spans="1:5" x14ac:dyDescent="0.25">
      <c r="A92" s="4" t="s">
        <v>137</v>
      </c>
      <c r="B92" s="3" t="s">
        <v>162</v>
      </c>
      <c r="C92" s="14">
        <f t="shared" ref="C92:C110" si="1">C91+D91</f>
        <v>339</v>
      </c>
      <c r="D92" s="3">
        <v>4</v>
      </c>
      <c r="E92" s="37" t="s">
        <v>21</v>
      </c>
    </row>
    <row r="93" spans="1:5" x14ac:dyDescent="0.25">
      <c r="A93" s="4" t="s">
        <v>138</v>
      </c>
      <c r="B93" s="3" t="s">
        <v>163</v>
      </c>
      <c r="C93" s="14">
        <f t="shared" si="1"/>
        <v>343</v>
      </c>
      <c r="D93" s="3">
        <v>40</v>
      </c>
      <c r="E93" s="36" t="s">
        <v>20</v>
      </c>
    </row>
    <row r="94" spans="1:5" x14ac:dyDescent="0.25">
      <c r="A94" s="4" t="s">
        <v>139</v>
      </c>
      <c r="B94" s="3" t="s">
        <v>164</v>
      </c>
      <c r="C94" s="14">
        <f t="shared" si="1"/>
        <v>383</v>
      </c>
      <c r="D94" s="3">
        <v>40</v>
      </c>
      <c r="E94" s="37" t="s">
        <v>21</v>
      </c>
    </row>
    <row r="95" spans="1:5" x14ac:dyDescent="0.25">
      <c r="A95" s="4" t="s">
        <v>140</v>
      </c>
      <c r="B95" s="3" t="s">
        <v>165</v>
      </c>
      <c r="C95" s="14">
        <f t="shared" si="1"/>
        <v>423</v>
      </c>
      <c r="D95" s="3">
        <v>40</v>
      </c>
      <c r="E95" s="37" t="s">
        <v>21</v>
      </c>
    </row>
    <row r="96" spans="1:5" x14ac:dyDescent="0.25">
      <c r="A96" s="4" t="s">
        <v>141</v>
      </c>
      <c r="B96" s="3" t="s">
        <v>167</v>
      </c>
      <c r="C96" s="14">
        <f t="shared" si="1"/>
        <v>463</v>
      </c>
      <c r="D96" s="3">
        <v>9</v>
      </c>
      <c r="E96" s="36" t="s">
        <v>20</v>
      </c>
    </row>
    <row r="97" spans="1:5" x14ac:dyDescent="0.25">
      <c r="A97" s="4" t="s">
        <v>142</v>
      </c>
      <c r="B97" s="3" t="s">
        <v>215</v>
      </c>
      <c r="C97" s="14">
        <f t="shared" si="1"/>
        <v>472</v>
      </c>
      <c r="D97" s="3">
        <v>40</v>
      </c>
      <c r="E97" s="36" t="s">
        <v>20</v>
      </c>
    </row>
    <row r="98" spans="1:5" x14ac:dyDescent="0.25">
      <c r="A98" s="4" t="s">
        <v>143</v>
      </c>
      <c r="B98" s="3" t="s">
        <v>166</v>
      </c>
      <c r="C98" s="14">
        <f t="shared" si="1"/>
        <v>512</v>
      </c>
      <c r="D98" s="3">
        <v>3</v>
      </c>
      <c r="E98" s="36" t="s">
        <v>20</v>
      </c>
    </row>
    <row r="99" spans="1:5" x14ac:dyDescent="0.25">
      <c r="A99" s="4" t="s">
        <v>144</v>
      </c>
      <c r="B99" s="3" t="s">
        <v>216</v>
      </c>
      <c r="C99" s="14">
        <f t="shared" si="1"/>
        <v>515</v>
      </c>
      <c r="D99" s="3">
        <v>40</v>
      </c>
      <c r="E99" s="36" t="s">
        <v>20</v>
      </c>
    </row>
    <row r="100" spans="1:5" x14ac:dyDescent="0.25">
      <c r="A100" s="15" t="s">
        <v>145</v>
      </c>
      <c r="B100" s="12" t="s">
        <v>168</v>
      </c>
      <c r="C100" s="14">
        <f t="shared" si="1"/>
        <v>555</v>
      </c>
      <c r="D100" s="14">
        <v>4</v>
      </c>
      <c r="E100" s="41" t="s">
        <v>20</v>
      </c>
    </row>
    <row r="101" spans="1:5" x14ac:dyDescent="0.25">
      <c r="A101" s="15" t="s">
        <v>146</v>
      </c>
      <c r="B101" s="3" t="s">
        <v>255</v>
      </c>
      <c r="C101" s="14">
        <f>C100+D100</f>
        <v>559</v>
      </c>
      <c r="D101" s="14">
        <v>22</v>
      </c>
      <c r="E101" s="36" t="s">
        <v>20</v>
      </c>
    </row>
    <row r="102" spans="1:5" x14ac:dyDescent="0.25">
      <c r="A102" s="15" t="s">
        <v>147</v>
      </c>
      <c r="B102" s="3" t="s">
        <v>169</v>
      </c>
      <c r="C102" s="14">
        <f t="shared" si="1"/>
        <v>581</v>
      </c>
      <c r="D102" s="14">
        <v>1</v>
      </c>
      <c r="E102" s="59" t="s">
        <v>21</v>
      </c>
    </row>
    <row r="103" spans="1:5" x14ac:dyDescent="0.25">
      <c r="A103" s="15" t="s">
        <v>100</v>
      </c>
      <c r="B103" s="3" t="s">
        <v>24</v>
      </c>
      <c r="C103" s="14"/>
      <c r="D103" s="14"/>
      <c r="E103" s="60"/>
    </row>
    <row r="104" spans="1:5" x14ac:dyDescent="0.25">
      <c r="A104" s="15" t="s">
        <v>101</v>
      </c>
      <c r="B104" s="3" t="s">
        <v>25</v>
      </c>
      <c r="C104" s="14"/>
      <c r="D104" s="14"/>
      <c r="E104" s="61"/>
    </row>
    <row r="105" spans="1:5" x14ac:dyDescent="0.25">
      <c r="A105" s="7" t="s">
        <v>182</v>
      </c>
      <c r="B105" s="16"/>
      <c r="C105" s="16">
        <f>C102+D102</f>
        <v>582</v>
      </c>
      <c r="D105" s="16">
        <v>0</v>
      </c>
      <c r="E105" s="42"/>
    </row>
    <row r="106" spans="1:5" x14ac:dyDescent="0.25">
      <c r="A106" s="4" t="s">
        <v>246</v>
      </c>
      <c r="B106" s="3" t="s">
        <v>170</v>
      </c>
      <c r="C106" s="14">
        <f t="shared" si="1"/>
        <v>582</v>
      </c>
      <c r="D106" s="14">
        <v>8</v>
      </c>
      <c r="E106" s="36" t="s">
        <v>20</v>
      </c>
    </row>
    <row r="107" spans="1:5" x14ac:dyDescent="0.25">
      <c r="A107" s="11" t="s">
        <v>183</v>
      </c>
      <c r="B107" s="3" t="s">
        <v>171</v>
      </c>
      <c r="C107" s="14">
        <f t="shared" si="1"/>
        <v>590</v>
      </c>
      <c r="D107" s="12">
        <v>40</v>
      </c>
      <c r="E107" s="36" t="s">
        <v>20</v>
      </c>
    </row>
    <row r="108" spans="1:5" x14ac:dyDescent="0.25">
      <c r="A108" s="11" t="s">
        <v>184</v>
      </c>
      <c r="B108" s="12" t="s">
        <v>95</v>
      </c>
      <c r="C108" s="14">
        <f t="shared" ref="C108:C109" si="2">C107+D107</f>
        <v>630</v>
      </c>
      <c r="D108" s="12">
        <v>2</v>
      </c>
      <c r="E108" s="41" t="s">
        <v>20</v>
      </c>
    </row>
    <row r="109" spans="1:5" x14ac:dyDescent="0.25">
      <c r="A109" s="11" t="s">
        <v>185</v>
      </c>
      <c r="B109" s="3" t="s">
        <v>111</v>
      </c>
      <c r="C109" s="14">
        <f t="shared" si="2"/>
        <v>632</v>
      </c>
      <c r="D109" s="12">
        <v>8</v>
      </c>
      <c r="E109" s="36" t="s">
        <v>20</v>
      </c>
    </row>
    <row r="110" spans="1:5" x14ac:dyDescent="0.25">
      <c r="A110" s="11" t="s">
        <v>186</v>
      </c>
      <c r="B110" s="3" t="s">
        <v>103</v>
      </c>
      <c r="C110" s="14">
        <f t="shared" si="1"/>
        <v>640</v>
      </c>
      <c r="D110" s="12">
        <v>8</v>
      </c>
      <c r="E110" s="36" t="s">
        <v>20</v>
      </c>
    </row>
    <row r="111" spans="1:5" x14ac:dyDescent="0.25">
      <c r="A111" s="11" t="s">
        <v>187</v>
      </c>
      <c r="B111" s="3" t="s">
        <v>104</v>
      </c>
      <c r="C111" s="14">
        <f t="shared" ref="C111:C112" si="3">C110+D110</f>
        <v>648</v>
      </c>
      <c r="D111" s="12">
        <v>8</v>
      </c>
      <c r="E111" s="36" t="s">
        <v>20</v>
      </c>
    </row>
    <row r="112" spans="1:5" x14ac:dyDescent="0.25">
      <c r="A112" s="29" t="s">
        <v>188</v>
      </c>
      <c r="B112" s="3" t="s">
        <v>105</v>
      </c>
      <c r="C112" s="14">
        <f t="shared" si="3"/>
        <v>656</v>
      </c>
      <c r="D112" s="12">
        <v>1</v>
      </c>
      <c r="E112" s="55" t="s">
        <v>20</v>
      </c>
    </row>
    <row r="113" spans="1:5" x14ac:dyDescent="0.25">
      <c r="A113" s="15" t="s">
        <v>189</v>
      </c>
      <c r="B113" s="3" t="s">
        <v>174</v>
      </c>
      <c r="C113" s="14"/>
      <c r="D113" s="14"/>
      <c r="E113" s="56"/>
    </row>
    <row r="114" spans="1:5" x14ac:dyDescent="0.25">
      <c r="A114" s="15" t="s">
        <v>190</v>
      </c>
      <c r="B114" s="3" t="s">
        <v>175</v>
      </c>
      <c r="C114" s="14"/>
      <c r="D114" s="14"/>
      <c r="E114" s="56"/>
    </row>
    <row r="115" spans="1:5" x14ac:dyDescent="0.25">
      <c r="A115" s="15" t="s">
        <v>191</v>
      </c>
      <c r="B115" s="3" t="s">
        <v>176</v>
      </c>
      <c r="C115" s="14"/>
      <c r="D115" s="14"/>
      <c r="E115" s="56"/>
    </row>
    <row r="116" spans="1:5" x14ac:dyDescent="0.25">
      <c r="A116" s="15" t="s">
        <v>192</v>
      </c>
      <c r="B116" s="3" t="s">
        <v>177</v>
      </c>
      <c r="C116" s="14"/>
      <c r="D116" s="14"/>
      <c r="E116" s="56"/>
    </row>
    <row r="117" spans="1:5" x14ac:dyDescent="0.25">
      <c r="A117" s="15" t="s">
        <v>193</v>
      </c>
      <c r="B117" s="3" t="s">
        <v>178</v>
      </c>
      <c r="C117" s="14"/>
      <c r="D117" s="14"/>
      <c r="E117" s="57"/>
    </row>
    <row r="118" spans="1:5" x14ac:dyDescent="0.25">
      <c r="A118" s="29" t="s">
        <v>194</v>
      </c>
      <c r="B118" s="3" t="s">
        <v>173</v>
      </c>
      <c r="C118" s="14">
        <f>C112+D112</f>
        <v>657</v>
      </c>
      <c r="D118" s="12">
        <v>1</v>
      </c>
      <c r="E118" s="55" t="s">
        <v>20</v>
      </c>
    </row>
    <row r="119" spans="1:5" x14ac:dyDescent="0.25">
      <c r="A119" s="15" t="s">
        <v>195</v>
      </c>
      <c r="B119" s="3" t="s">
        <v>179</v>
      </c>
      <c r="C119" s="14"/>
      <c r="D119" s="14"/>
      <c r="E119" s="56"/>
    </row>
    <row r="120" spans="1:5" x14ac:dyDescent="0.25">
      <c r="A120" s="15" t="s">
        <v>196</v>
      </c>
      <c r="B120" s="3" t="s">
        <v>180</v>
      </c>
      <c r="C120" s="14"/>
      <c r="D120" s="14"/>
      <c r="E120" s="56"/>
    </row>
    <row r="121" spans="1:5" x14ac:dyDescent="0.25">
      <c r="A121" s="15" t="s">
        <v>197</v>
      </c>
      <c r="B121" s="3" t="s">
        <v>181</v>
      </c>
      <c r="C121" s="14"/>
      <c r="D121" s="14"/>
      <c r="E121" s="57"/>
    </row>
    <row r="122" spans="1:5" x14ac:dyDescent="0.25">
      <c r="A122" s="11" t="s">
        <v>198</v>
      </c>
      <c r="B122" s="35" t="s">
        <v>172</v>
      </c>
      <c r="C122" s="14">
        <f>C118+D118</f>
        <v>658</v>
      </c>
      <c r="D122" s="12">
        <v>30</v>
      </c>
      <c r="E122" s="43" t="s">
        <v>20</v>
      </c>
    </row>
    <row r="123" spans="1:5" x14ac:dyDescent="0.25">
      <c r="A123" s="11" t="s">
        <v>199</v>
      </c>
      <c r="B123" s="35" t="s">
        <v>203</v>
      </c>
      <c r="C123" s="14">
        <f>C122+D122</f>
        <v>688</v>
      </c>
      <c r="D123" s="12">
        <v>3</v>
      </c>
      <c r="E123" s="43" t="s">
        <v>20</v>
      </c>
    </row>
    <row r="124" spans="1:5" x14ac:dyDescent="0.25">
      <c r="A124" s="11" t="s">
        <v>200</v>
      </c>
      <c r="B124" s="35" t="s">
        <v>204</v>
      </c>
      <c r="C124" s="14">
        <f t="shared" ref="C124:C129" si="4">C123+D123</f>
        <v>691</v>
      </c>
      <c r="D124" s="12">
        <v>2</v>
      </c>
      <c r="E124" s="43" t="s">
        <v>20</v>
      </c>
    </row>
    <row r="125" spans="1:5" x14ac:dyDescent="0.25">
      <c r="A125" s="11" t="s">
        <v>247</v>
      </c>
      <c r="B125" s="35" t="s">
        <v>205</v>
      </c>
      <c r="C125" s="14">
        <f t="shared" si="4"/>
        <v>693</v>
      </c>
      <c r="D125" s="12">
        <v>15</v>
      </c>
      <c r="E125" s="43" t="s">
        <v>20</v>
      </c>
    </row>
    <row r="126" spans="1:5" x14ac:dyDescent="0.25">
      <c r="A126" s="11" t="s">
        <v>248</v>
      </c>
      <c r="B126" s="35" t="s">
        <v>206</v>
      </c>
      <c r="C126" s="14">
        <f t="shared" si="4"/>
        <v>708</v>
      </c>
      <c r="D126" s="12">
        <v>15</v>
      </c>
      <c r="E126" s="43" t="s">
        <v>20</v>
      </c>
    </row>
    <row r="127" spans="1:5" x14ac:dyDescent="0.25">
      <c r="A127" s="11" t="s">
        <v>201</v>
      </c>
      <c r="B127" s="35" t="s">
        <v>207</v>
      </c>
      <c r="C127" s="14">
        <f t="shared" si="4"/>
        <v>723</v>
      </c>
      <c r="D127" s="12">
        <v>6</v>
      </c>
      <c r="E127" s="43" t="s">
        <v>20</v>
      </c>
    </row>
    <row r="128" spans="1:5" x14ac:dyDescent="0.25">
      <c r="A128" s="11" t="s">
        <v>202</v>
      </c>
      <c r="B128" s="35" t="s">
        <v>208</v>
      </c>
      <c r="C128" s="14">
        <f t="shared" si="4"/>
        <v>729</v>
      </c>
      <c r="D128" s="12">
        <v>5</v>
      </c>
      <c r="E128" s="43" t="s">
        <v>20</v>
      </c>
    </row>
    <row r="129" spans="1:5" x14ac:dyDescent="0.25">
      <c r="A129" s="13" t="s">
        <v>256</v>
      </c>
      <c r="B129" s="3" t="s">
        <v>244</v>
      </c>
      <c r="C129" s="2">
        <f t="shared" si="4"/>
        <v>734</v>
      </c>
      <c r="D129" s="14">
        <v>8</v>
      </c>
      <c r="E129" s="43" t="s">
        <v>20</v>
      </c>
    </row>
    <row r="130" spans="1:5" x14ac:dyDescent="0.25">
      <c r="A130" s="11" t="s">
        <v>258</v>
      </c>
      <c r="B130" s="35" t="s">
        <v>257</v>
      </c>
      <c r="C130" s="14">
        <f>C129+D129</f>
        <v>742</v>
      </c>
      <c r="D130" s="12">
        <v>20</v>
      </c>
      <c r="E130" s="43" t="s">
        <v>20</v>
      </c>
    </row>
    <row r="131" spans="1:5" x14ac:dyDescent="0.25">
      <c r="A131" s="13" t="s">
        <v>336</v>
      </c>
      <c r="B131" s="3" t="s">
        <v>337</v>
      </c>
      <c r="C131" s="2">
        <f t="shared" ref="C131" si="5">C130+D130</f>
        <v>762</v>
      </c>
      <c r="D131" s="14">
        <v>8</v>
      </c>
      <c r="E131" s="43" t="s">
        <v>20</v>
      </c>
    </row>
    <row r="132" spans="1:5" x14ac:dyDescent="0.25">
      <c r="A132" s="7" t="s">
        <v>338</v>
      </c>
      <c r="B132" s="8" t="s">
        <v>22</v>
      </c>
      <c r="C132" s="16">
        <f>C131+D131</f>
        <v>770</v>
      </c>
      <c r="D132" s="8">
        <f>4096-C132</f>
        <v>3326</v>
      </c>
      <c r="E132" s="40"/>
    </row>
    <row r="133" spans="1:5" x14ac:dyDescent="0.25">
      <c r="A133" s="4"/>
      <c r="B133" s="3"/>
      <c r="C133" s="2"/>
      <c r="D133" s="3"/>
      <c r="E133" s="44"/>
    </row>
    <row r="134" spans="1:5" x14ac:dyDescent="0.25">
      <c r="A134" s="5" t="s">
        <v>383</v>
      </c>
      <c r="B134" s="34" t="s">
        <v>394</v>
      </c>
      <c r="C134" s="6">
        <f>C87</f>
        <v>299</v>
      </c>
      <c r="D134" s="6">
        <v>0</v>
      </c>
      <c r="E134" s="38"/>
    </row>
    <row r="135" spans="1:5" x14ac:dyDescent="0.25">
      <c r="A135" s="7" t="s">
        <v>384</v>
      </c>
      <c r="B135" s="8"/>
      <c r="C135" s="9">
        <f t="shared" ref="C135:C139" si="6">C134+D134</f>
        <v>299</v>
      </c>
      <c r="D135" s="8">
        <v>0</v>
      </c>
      <c r="E135" s="40"/>
    </row>
    <row r="136" spans="1:5" x14ac:dyDescent="0.25">
      <c r="A136" s="13" t="s">
        <v>385</v>
      </c>
      <c r="B136" s="14" t="s">
        <v>395</v>
      </c>
      <c r="C136" s="2">
        <f t="shared" si="6"/>
        <v>299</v>
      </c>
      <c r="D136" s="14">
        <v>60</v>
      </c>
      <c r="E136" s="37" t="s">
        <v>21</v>
      </c>
    </row>
    <row r="137" spans="1:5" x14ac:dyDescent="0.25">
      <c r="A137" s="13" t="s">
        <v>387</v>
      </c>
      <c r="B137" s="3" t="s">
        <v>205</v>
      </c>
      <c r="C137" s="2">
        <f t="shared" si="6"/>
        <v>359</v>
      </c>
      <c r="D137" s="14">
        <v>15</v>
      </c>
      <c r="E137" s="37" t="s">
        <v>21</v>
      </c>
    </row>
    <row r="138" spans="1:5" x14ac:dyDescent="0.25">
      <c r="A138" s="13" t="s">
        <v>388</v>
      </c>
      <c r="B138" s="14" t="s">
        <v>389</v>
      </c>
      <c r="C138" s="2">
        <f t="shared" si="6"/>
        <v>374</v>
      </c>
      <c r="D138" s="14">
        <v>25</v>
      </c>
      <c r="E138" s="37" t="s">
        <v>21</v>
      </c>
    </row>
    <row r="139" spans="1:5" x14ac:dyDescent="0.25">
      <c r="A139" s="7" t="s">
        <v>386</v>
      </c>
      <c r="B139" s="8" t="s">
        <v>22</v>
      </c>
      <c r="C139" s="9">
        <f t="shared" si="6"/>
        <v>399</v>
      </c>
      <c r="D139" s="8">
        <f>4096-C139</f>
        <v>3697</v>
      </c>
      <c r="E139" s="40"/>
    </row>
    <row r="140" spans="1:5" x14ac:dyDescent="0.25">
      <c r="A140" s="4"/>
      <c r="B140" s="3"/>
      <c r="C140" s="2"/>
      <c r="D140" s="3"/>
      <c r="E140" s="44"/>
    </row>
    <row r="141" spans="1:5" x14ac:dyDescent="0.25">
      <c r="A141" s="5" t="s">
        <v>112</v>
      </c>
      <c r="B141" s="34" t="s">
        <v>397</v>
      </c>
      <c r="C141" s="6">
        <f>C87</f>
        <v>299</v>
      </c>
      <c r="D141" s="6">
        <v>0</v>
      </c>
      <c r="E141" s="38"/>
    </row>
    <row r="142" spans="1:5" x14ac:dyDescent="0.25">
      <c r="A142" s="7" t="s">
        <v>390</v>
      </c>
      <c r="B142" s="8"/>
      <c r="C142" s="9">
        <f t="shared" ref="C142:C146" si="7">C141+D141</f>
        <v>299</v>
      </c>
      <c r="D142" s="8">
        <v>0</v>
      </c>
      <c r="E142" s="40"/>
    </row>
    <row r="143" spans="1:5" x14ac:dyDescent="0.25">
      <c r="A143" s="13" t="s">
        <v>391</v>
      </c>
      <c r="B143" s="14" t="s">
        <v>396</v>
      </c>
      <c r="C143" s="2">
        <f t="shared" si="7"/>
        <v>299</v>
      </c>
      <c r="D143" s="14">
        <v>60</v>
      </c>
      <c r="E143" s="37" t="s">
        <v>21</v>
      </c>
    </row>
    <row r="144" spans="1:5" x14ac:dyDescent="0.25">
      <c r="A144" s="13" t="s">
        <v>392</v>
      </c>
      <c r="B144" s="3" t="s">
        <v>205</v>
      </c>
      <c r="C144" s="2">
        <f t="shared" si="7"/>
        <v>359</v>
      </c>
      <c r="D144" s="14">
        <v>15</v>
      </c>
      <c r="E144" s="37" t="s">
        <v>21</v>
      </c>
    </row>
    <row r="145" spans="1:5" x14ac:dyDescent="0.25">
      <c r="A145" s="13" t="s">
        <v>393</v>
      </c>
      <c r="B145" s="14" t="s">
        <v>389</v>
      </c>
      <c r="C145" s="2">
        <f t="shared" si="7"/>
        <v>374</v>
      </c>
      <c r="D145" s="14">
        <v>25</v>
      </c>
      <c r="E145" s="37" t="s">
        <v>21</v>
      </c>
    </row>
    <row r="146" spans="1:5" x14ac:dyDescent="0.25">
      <c r="A146" s="7" t="s">
        <v>386</v>
      </c>
      <c r="B146" s="8" t="s">
        <v>22</v>
      </c>
      <c r="C146" s="9">
        <f t="shared" si="7"/>
        <v>399</v>
      </c>
      <c r="D146" s="8">
        <f>4096-C146</f>
        <v>3697</v>
      </c>
      <c r="E146" s="40"/>
    </row>
    <row r="147" spans="1:5" x14ac:dyDescent="0.25">
      <c r="A147" s="4"/>
      <c r="B147" s="3"/>
      <c r="C147" s="2"/>
      <c r="D147" s="3"/>
      <c r="E147" s="44"/>
    </row>
    <row r="148" spans="1:5" x14ac:dyDescent="0.25">
      <c r="A148" s="5" t="s">
        <v>112</v>
      </c>
      <c r="B148" s="34" t="s">
        <v>402</v>
      </c>
      <c r="C148" s="6">
        <f>C87</f>
        <v>299</v>
      </c>
      <c r="D148" s="6">
        <v>0</v>
      </c>
      <c r="E148" s="38"/>
    </row>
    <row r="149" spans="1:5" x14ac:dyDescent="0.25">
      <c r="A149" s="7" t="s">
        <v>398</v>
      </c>
      <c r="B149" s="8"/>
      <c r="C149" s="9">
        <f t="shared" ref="C149:C150" si="8">C148+D148</f>
        <v>299</v>
      </c>
      <c r="D149" s="8">
        <v>0</v>
      </c>
      <c r="E149" s="40"/>
    </row>
    <row r="150" spans="1:5" x14ac:dyDescent="0.25">
      <c r="A150" s="13" t="s">
        <v>399</v>
      </c>
      <c r="B150" s="14" t="s">
        <v>403</v>
      </c>
      <c r="C150" s="2">
        <f t="shared" si="8"/>
        <v>299</v>
      </c>
      <c r="D150" s="14">
        <v>3000</v>
      </c>
      <c r="E150" s="37" t="s">
        <v>21</v>
      </c>
    </row>
    <row r="151" spans="1:5" x14ac:dyDescent="0.25">
      <c r="A151" s="7" t="s">
        <v>400</v>
      </c>
      <c r="B151" s="8" t="s">
        <v>22</v>
      </c>
      <c r="C151" s="9">
        <f>C150+D150</f>
        <v>3299</v>
      </c>
      <c r="D151" s="8">
        <f>4096-C151</f>
        <v>797</v>
      </c>
      <c r="E151" s="40"/>
    </row>
    <row r="152" spans="1:5" x14ac:dyDescent="0.25">
      <c r="A152" s="4"/>
      <c r="B152" s="3"/>
      <c r="C152" s="2"/>
      <c r="D152" s="3"/>
      <c r="E152" s="44"/>
    </row>
    <row r="153" spans="1:5" x14ac:dyDescent="0.25">
      <c r="A153" s="5" t="s">
        <v>112</v>
      </c>
      <c r="B153" s="34" t="s">
        <v>253</v>
      </c>
      <c r="C153" s="6">
        <f>C87</f>
        <v>299</v>
      </c>
      <c r="D153" s="6">
        <v>0</v>
      </c>
      <c r="E153" s="38"/>
    </row>
    <row r="154" spans="1:5" x14ac:dyDescent="0.25">
      <c r="A154" s="7" t="s">
        <v>102</v>
      </c>
      <c r="B154" s="8"/>
      <c r="C154" s="9">
        <f>C153+D153</f>
        <v>299</v>
      </c>
      <c r="D154" s="8">
        <v>0</v>
      </c>
      <c r="E154" s="40"/>
    </row>
    <row r="155" spans="1:5" x14ac:dyDescent="0.25">
      <c r="A155" s="13" t="s">
        <v>209</v>
      </c>
      <c r="B155" s="3" t="s">
        <v>210</v>
      </c>
      <c r="C155" s="2">
        <f>C154+D154</f>
        <v>299</v>
      </c>
      <c r="D155" s="14">
        <v>5</v>
      </c>
      <c r="E155" s="37" t="s">
        <v>21</v>
      </c>
    </row>
    <row r="156" spans="1:5" x14ac:dyDescent="0.25">
      <c r="A156" s="13" t="s">
        <v>219</v>
      </c>
      <c r="B156" s="3" t="s">
        <v>98</v>
      </c>
      <c r="C156" s="2">
        <f>C155+D155</f>
        <v>304</v>
      </c>
      <c r="D156" s="14">
        <v>40</v>
      </c>
      <c r="E156" s="37" t="s">
        <v>21</v>
      </c>
    </row>
    <row r="157" spans="1:5" x14ac:dyDescent="0.25">
      <c r="A157" s="13" t="s">
        <v>218</v>
      </c>
      <c r="B157" s="3" t="s">
        <v>220</v>
      </c>
      <c r="C157" s="2">
        <f t="shared" ref="C157:C163" si="9">C156+D156</f>
        <v>344</v>
      </c>
      <c r="D157" s="14">
        <v>8</v>
      </c>
      <c r="E157" s="37" t="s">
        <v>21</v>
      </c>
    </row>
    <row r="158" spans="1:5" x14ac:dyDescent="0.25">
      <c r="A158" s="13" t="s">
        <v>222</v>
      </c>
      <c r="B158" s="3" t="s">
        <v>221</v>
      </c>
      <c r="C158" s="2">
        <f t="shared" si="9"/>
        <v>352</v>
      </c>
      <c r="D158" s="14">
        <v>8</v>
      </c>
      <c r="E158" s="37" t="s">
        <v>21</v>
      </c>
    </row>
    <row r="159" spans="1:5" x14ac:dyDescent="0.25">
      <c r="A159" s="13" t="s">
        <v>224</v>
      </c>
      <c r="B159" s="3" t="s">
        <v>223</v>
      </c>
      <c r="C159" s="2">
        <f t="shared" si="9"/>
        <v>360</v>
      </c>
      <c r="D159" s="14">
        <v>40</v>
      </c>
      <c r="E159" s="37" t="s">
        <v>21</v>
      </c>
    </row>
    <row r="160" spans="1:5" x14ac:dyDescent="0.25">
      <c r="A160" s="13" t="s">
        <v>225</v>
      </c>
      <c r="B160" s="3" t="s">
        <v>165</v>
      </c>
      <c r="C160" s="2">
        <f t="shared" si="9"/>
        <v>400</v>
      </c>
      <c r="D160" s="14">
        <v>40</v>
      </c>
      <c r="E160" s="37" t="s">
        <v>21</v>
      </c>
    </row>
    <row r="161" spans="1:5" x14ac:dyDescent="0.25">
      <c r="A161" s="13" t="s">
        <v>227</v>
      </c>
      <c r="B161" s="3" t="s">
        <v>226</v>
      </c>
      <c r="C161" s="2">
        <f t="shared" si="9"/>
        <v>440</v>
      </c>
      <c r="D161" s="14">
        <v>8</v>
      </c>
      <c r="E161" s="37" t="s">
        <v>21</v>
      </c>
    </row>
    <row r="162" spans="1:5" x14ac:dyDescent="0.25">
      <c r="A162" s="13" t="s">
        <v>228</v>
      </c>
      <c r="B162" s="3" t="s">
        <v>229</v>
      </c>
      <c r="C162" s="2">
        <f t="shared" si="9"/>
        <v>448</v>
      </c>
      <c r="D162" s="14">
        <v>40</v>
      </c>
      <c r="E162" s="37" t="s">
        <v>21</v>
      </c>
    </row>
    <row r="163" spans="1:5" x14ac:dyDescent="0.25">
      <c r="A163" s="13" t="s">
        <v>231</v>
      </c>
      <c r="B163" s="3" t="s">
        <v>230</v>
      </c>
      <c r="C163" s="2">
        <f t="shared" si="9"/>
        <v>488</v>
      </c>
      <c r="D163" s="14">
        <v>40</v>
      </c>
      <c r="E163" s="37" t="s">
        <v>21</v>
      </c>
    </row>
    <row r="164" spans="1:5" x14ac:dyDescent="0.25">
      <c r="A164" s="7" t="s">
        <v>404</v>
      </c>
      <c r="B164" s="8" t="s">
        <v>22</v>
      </c>
      <c r="C164" s="9">
        <f>C163+D163</f>
        <v>528</v>
      </c>
      <c r="D164" s="8">
        <f>4096-C164</f>
        <v>3568</v>
      </c>
      <c r="E164" s="40"/>
    </row>
    <row r="165" spans="1:5" x14ac:dyDescent="0.25">
      <c r="A165" s="4"/>
      <c r="B165" s="3"/>
      <c r="C165" s="14"/>
      <c r="D165" s="3"/>
      <c r="E165" s="44"/>
    </row>
    <row r="166" spans="1:5" x14ac:dyDescent="0.25">
      <c r="A166" s="5" t="s">
        <v>112</v>
      </c>
      <c r="B166" s="34" t="s">
        <v>264</v>
      </c>
      <c r="C166" s="6">
        <f>C87</f>
        <v>299</v>
      </c>
      <c r="D166" s="6">
        <v>0</v>
      </c>
      <c r="E166" s="38"/>
    </row>
    <row r="167" spans="1:5" x14ac:dyDescent="0.25">
      <c r="A167" s="7" t="s">
        <v>268</v>
      </c>
      <c r="B167" s="8"/>
      <c r="C167" s="9">
        <f>C166+D166</f>
        <v>299</v>
      </c>
      <c r="D167" s="8">
        <v>0</v>
      </c>
      <c r="E167" s="40"/>
    </row>
    <row r="168" spans="1:5" x14ac:dyDescent="0.25">
      <c r="A168" s="13" t="s">
        <v>278</v>
      </c>
      <c r="B168" s="3" t="s">
        <v>276</v>
      </c>
      <c r="C168" s="2">
        <f>C167+D167</f>
        <v>299</v>
      </c>
      <c r="D168" s="14">
        <v>1</v>
      </c>
      <c r="E168" s="37" t="s">
        <v>21</v>
      </c>
    </row>
    <row r="169" spans="1:5" x14ac:dyDescent="0.25">
      <c r="A169" s="13" t="s">
        <v>279</v>
      </c>
      <c r="B169" s="3" t="s">
        <v>232</v>
      </c>
      <c r="C169" s="2">
        <f>C168+D168</f>
        <v>300</v>
      </c>
      <c r="D169" s="14">
        <v>60</v>
      </c>
      <c r="E169" s="37" t="s">
        <v>21</v>
      </c>
    </row>
    <row r="170" spans="1:5" x14ac:dyDescent="0.25">
      <c r="A170" s="13" t="s">
        <v>267</v>
      </c>
      <c r="B170" s="3" t="s">
        <v>243</v>
      </c>
      <c r="C170" s="2">
        <f t="shared" ref="C170:C172" si="10">C169+D169</f>
        <v>360</v>
      </c>
      <c r="D170" s="14">
        <v>8</v>
      </c>
      <c r="E170" s="37" t="s">
        <v>21</v>
      </c>
    </row>
    <row r="171" spans="1:5" x14ac:dyDescent="0.25">
      <c r="A171" s="13" t="s">
        <v>266</v>
      </c>
      <c r="B171" s="3" t="s">
        <v>244</v>
      </c>
      <c r="C171" s="2">
        <f t="shared" si="10"/>
        <v>368</v>
      </c>
      <c r="D171" s="14">
        <v>8</v>
      </c>
      <c r="E171" s="37" t="s">
        <v>21</v>
      </c>
    </row>
    <row r="172" spans="1:5" x14ac:dyDescent="0.25">
      <c r="A172" s="13" t="s">
        <v>265</v>
      </c>
      <c r="B172" s="3" t="s">
        <v>245</v>
      </c>
      <c r="C172" s="2">
        <f t="shared" si="10"/>
        <v>376</v>
      </c>
      <c r="D172" s="14">
        <v>8</v>
      </c>
      <c r="E172" s="37" t="s">
        <v>21</v>
      </c>
    </row>
    <row r="173" spans="1:5" x14ac:dyDescent="0.25">
      <c r="A173" s="7" t="s">
        <v>277</v>
      </c>
      <c r="B173" s="8" t="s">
        <v>22</v>
      </c>
      <c r="C173" s="9">
        <f>C172+D172</f>
        <v>384</v>
      </c>
      <c r="D173" s="8">
        <f>4096-C173</f>
        <v>3712</v>
      </c>
      <c r="E173" s="40"/>
    </row>
    <row r="174" spans="1:5" x14ac:dyDescent="0.25">
      <c r="A174" s="4"/>
      <c r="B174" s="3"/>
      <c r="C174" s="2"/>
      <c r="D174" s="3"/>
      <c r="E174" s="44"/>
    </row>
    <row r="175" spans="1:5" x14ac:dyDescent="0.25">
      <c r="A175" s="5" t="s">
        <v>112</v>
      </c>
      <c r="B175" s="34" t="s">
        <v>285</v>
      </c>
      <c r="C175" s="6">
        <f>C87</f>
        <v>299</v>
      </c>
      <c r="D175" s="6">
        <v>0</v>
      </c>
      <c r="E175" s="38"/>
    </row>
    <row r="176" spans="1:5" x14ac:dyDescent="0.25">
      <c r="A176" s="7" t="s">
        <v>269</v>
      </c>
      <c r="B176" s="8"/>
      <c r="C176" s="9">
        <f>C175+D175</f>
        <v>299</v>
      </c>
      <c r="D176" s="8">
        <v>0</v>
      </c>
      <c r="E176" s="40"/>
    </row>
    <row r="177" spans="1:5" x14ac:dyDescent="0.25">
      <c r="A177" s="13" t="s">
        <v>339</v>
      </c>
      <c r="B177" s="14" t="s">
        <v>232</v>
      </c>
      <c r="C177" s="2">
        <f>C176+D176</f>
        <v>299</v>
      </c>
      <c r="D177" s="14">
        <v>20</v>
      </c>
      <c r="E177" s="37" t="s">
        <v>21</v>
      </c>
    </row>
    <row r="178" spans="1:5" x14ac:dyDescent="0.25">
      <c r="A178" s="13" t="s">
        <v>294</v>
      </c>
      <c r="B178" s="35" t="s">
        <v>297</v>
      </c>
      <c r="C178" s="2">
        <f t="shared" ref="C178:C181" si="11">C177+D177</f>
        <v>319</v>
      </c>
      <c r="D178" s="14">
        <v>15</v>
      </c>
      <c r="E178" s="37" t="s">
        <v>21</v>
      </c>
    </row>
    <row r="179" spans="1:5" x14ac:dyDescent="0.25">
      <c r="A179" s="13" t="s">
        <v>296</v>
      </c>
      <c r="B179" s="3" t="s">
        <v>298</v>
      </c>
      <c r="C179" s="2">
        <f t="shared" si="11"/>
        <v>334</v>
      </c>
      <c r="D179" s="14">
        <v>15</v>
      </c>
      <c r="E179" s="37" t="s">
        <v>21</v>
      </c>
    </row>
    <row r="180" spans="1:5" x14ac:dyDescent="0.25">
      <c r="A180" s="13" t="s">
        <v>295</v>
      </c>
      <c r="B180" s="35" t="s">
        <v>299</v>
      </c>
      <c r="C180" s="2">
        <f t="shared" si="11"/>
        <v>349</v>
      </c>
      <c r="D180" s="14">
        <v>15</v>
      </c>
      <c r="E180" s="37" t="s">
        <v>21</v>
      </c>
    </row>
    <row r="181" spans="1:5" x14ac:dyDescent="0.25">
      <c r="A181" s="13" t="s">
        <v>340</v>
      </c>
      <c r="B181" s="35" t="s">
        <v>300</v>
      </c>
      <c r="C181" s="2">
        <f t="shared" si="11"/>
        <v>364</v>
      </c>
      <c r="D181" s="14">
        <v>15</v>
      </c>
      <c r="E181" s="37" t="s">
        <v>21</v>
      </c>
    </row>
    <row r="182" spans="1:5" x14ac:dyDescent="0.25">
      <c r="A182" s="7" t="s">
        <v>341</v>
      </c>
      <c r="B182" s="8" t="s">
        <v>22</v>
      </c>
      <c r="C182" s="9">
        <f>C181+D181</f>
        <v>379</v>
      </c>
      <c r="D182" s="8">
        <f>4096-C182</f>
        <v>3717</v>
      </c>
      <c r="E182" s="40"/>
    </row>
    <row r="183" spans="1:5" x14ac:dyDescent="0.25">
      <c r="A183" s="4"/>
      <c r="B183" s="3"/>
      <c r="C183" s="2"/>
      <c r="D183" s="3"/>
      <c r="E183" s="44"/>
    </row>
    <row r="184" spans="1:5" x14ac:dyDescent="0.25">
      <c r="A184" s="5" t="s">
        <v>112</v>
      </c>
      <c r="B184" s="34" t="s">
        <v>343</v>
      </c>
      <c r="C184" s="6">
        <f>C87</f>
        <v>299</v>
      </c>
      <c r="D184" s="6">
        <v>0</v>
      </c>
      <c r="E184" s="38"/>
    </row>
    <row r="185" spans="1:5" x14ac:dyDescent="0.25">
      <c r="A185" s="7" t="s">
        <v>342</v>
      </c>
      <c r="B185" s="8"/>
      <c r="C185" s="9">
        <f>C184+D184</f>
        <v>299</v>
      </c>
      <c r="D185" s="8">
        <v>0</v>
      </c>
      <c r="E185" s="40"/>
    </row>
    <row r="186" spans="1:5" x14ac:dyDescent="0.25">
      <c r="A186" s="4" t="s">
        <v>344</v>
      </c>
      <c r="B186" s="3"/>
      <c r="C186" s="2"/>
      <c r="D186" s="3"/>
      <c r="E186" s="37" t="s">
        <v>21</v>
      </c>
    </row>
    <row r="187" spans="1:5" x14ac:dyDescent="0.25">
      <c r="A187" s="29" t="s">
        <v>357</v>
      </c>
      <c r="B187" s="3" t="s">
        <v>105</v>
      </c>
      <c r="C187" s="14">
        <f>C185+D185</f>
        <v>299</v>
      </c>
      <c r="D187" s="12">
        <v>1</v>
      </c>
      <c r="E187" s="52" t="s">
        <v>21</v>
      </c>
    </row>
    <row r="188" spans="1:5" x14ac:dyDescent="0.25">
      <c r="A188" s="15" t="s">
        <v>345</v>
      </c>
      <c r="B188" s="3" t="s">
        <v>174</v>
      </c>
      <c r="C188" s="14"/>
      <c r="D188" s="14"/>
      <c r="E188" s="53"/>
    </row>
    <row r="189" spans="1:5" x14ac:dyDescent="0.25">
      <c r="A189" s="15" t="s">
        <v>346</v>
      </c>
      <c r="B189" s="3" t="s">
        <v>175</v>
      </c>
      <c r="C189" s="14"/>
      <c r="D189" s="14"/>
      <c r="E189" s="53"/>
    </row>
    <row r="190" spans="1:5" x14ac:dyDescent="0.25">
      <c r="A190" s="15" t="s">
        <v>347</v>
      </c>
      <c r="B190" s="3" t="s">
        <v>176</v>
      </c>
      <c r="C190" s="14"/>
      <c r="D190" s="14"/>
      <c r="E190" s="53"/>
    </row>
    <row r="191" spans="1:5" x14ac:dyDescent="0.25">
      <c r="A191" s="15" t="s">
        <v>348</v>
      </c>
      <c r="B191" s="3" t="s">
        <v>177</v>
      </c>
      <c r="C191" s="14"/>
      <c r="D191" s="14"/>
      <c r="E191" s="53"/>
    </row>
    <row r="192" spans="1:5" x14ac:dyDescent="0.25">
      <c r="A192" s="15" t="s">
        <v>349</v>
      </c>
      <c r="B192" s="3" t="s">
        <v>178</v>
      </c>
      <c r="C192" s="14"/>
      <c r="D192" s="14"/>
      <c r="E192" s="54"/>
    </row>
    <row r="193" spans="1:5" x14ac:dyDescent="0.25">
      <c r="A193" s="4" t="s">
        <v>350</v>
      </c>
      <c r="B193" s="3" t="s">
        <v>354</v>
      </c>
      <c r="C193" s="2">
        <f>C187+D187</f>
        <v>300</v>
      </c>
      <c r="D193" s="3">
        <v>60</v>
      </c>
      <c r="E193" s="37" t="s">
        <v>21</v>
      </c>
    </row>
    <row r="194" spans="1:5" x14ac:dyDescent="0.25">
      <c r="A194" s="4" t="s">
        <v>351</v>
      </c>
      <c r="B194" s="3" t="s">
        <v>206</v>
      </c>
      <c r="C194" s="2">
        <f>C193+D193</f>
        <v>360</v>
      </c>
      <c r="D194" s="3">
        <v>15</v>
      </c>
      <c r="E194" s="37" t="s">
        <v>21</v>
      </c>
    </row>
    <row r="195" spans="1:5" x14ac:dyDescent="0.25">
      <c r="A195" s="4" t="s">
        <v>352</v>
      </c>
      <c r="B195" s="3" t="s">
        <v>355</v>
      </c>
      <c r="C195" s="2">
        <f t="shared" ref="C195:C196" si="12">C194+D194</f>
        <v>375</v>
      </c>
      <c r="D195" s="3">
        <v>15</v>
      </c>
      <c r="E195" s="37" t="s">
        <v>21</v>
      </c>
    </row>
    <row r="196" spans="1:5" x14ac:dyDescent="0.25">
      <c r="A196" s="4" t="s">
        <v>353</v>
      </c>
      <c r="B196" s="3" t="s">
        <v>205</v>
      </c>
      <c r="C196" s="2">
        <f t="shared" si="12"/>
        <v>390</v>
      </c>
      <c r="D196" s="3">
        <v>15</v>
      </c>
      <c r="E196" s="37" t="s">
        <v>21</v>
      </c>
    </row>
    <row r="197" spans="1:5" x14ac:dyDescent="0.25">
      <c r="A197" s="7" t="s">
        <v>356</v>
      </c>
      <c r="B197" s="8" t="s">
        <v>22</v>
      </c>
      <c r="C197" s="9">
        <f>C196+D196</f>
        <v>405</v>
      </c>
      <c r="D197" s="8">
        <f>4096-C197</f>
        <v>3691</v>
      </c>
      <c r="E197" s="40"/>
    </row>
    <row r="198" spans="1:5" x14ac:dyDescent="0.25">
      <c r="A198" s="7" t="s">
        <v>342</v>
      </c>
      <c r="B198" s="8"/>
      <c r="C198" s="9">
        <f>C184+D184</f>
        <v>299</v>
      </c>
      <c r="D198" s="8">
        <v>0</v>
      </c>
      <c r="E198" s="40"/>
    </row>
    <row r="199" spans="1:5" x14ac:dyDescent="0.25">
      <c r="A199" s="4" t="s">
        <v>358</v>
      </c>
      <c r="B199" s="3"/>
      <c r="C199" s="2"/>
      <c r="D199" s="3"/>
      <c r="E199" s="37" t="s">
        <v>21</v>
      </c>
    </row>
    <row r="200" spans="1:5" x14ac:dyDescent="0.25">
      <c r="A200" s="4" t="s">
        <v>359</v>
      </c>
      <c r="B200" s="3" t="s">
        <v>360</v>
      </c>
      <c r="C200" s="2">
        <f>C198+D198</f>
        <v>299</v>
      </c>
      <c r="D200" s="3">
        <v>3000</v>
      </c>
      <c r="E200" s="37" t="s">
        <v>21</v>
      </c>
    </row>
    <row r="201" spans="1:5" x14ac:dyDescent="0.25">
      <c r="A201" s="7" t="s">
        <v>361</v>
      </c>
      <c r="B201" s="8" t="s">
        <v>22</v>
      </c>
      <c r="C201" s="9">
        <f>C200+D200</f>
        <v>3299</v>
      </c>
      <c r="D201" s="8">
        <f>4096-C201</f>
        <v>797</v>
      </c>
      <c r="E201" s="40"/>
    </row>
    <row r="202" spans="1:5" x14ac:dyDescent="0.25">
      <c r="A202" s="4"/>
      <c r="B202" s="3"/>
      <c r="C202" s="2"/>
      <c r="D202" s="3"/>
      <c r="E202" s="44"/>
    </row>
    <row r="203" spans="1:5" x14ac:dyDescent="0.25">
      <c r="A203" s="5" t="s">
        <v>112</v>
      </c>
      <c r="B203" s="34" t="s">
        <v>254</v>
      </c>
      <c r="C203" s="6">
        <f>C87</f>
        <v>299</v>
      </c>
      <c r="D203" s="6">
        <v>0</v>
      </c>
      <c r="E203" s="38"/>
    </row>
    <row r="204" spans="1:5" x14ac:dyDescent="0.25">
      <c r="A204" s="7" t="s">
        <v>239</v>
      </c>
      <c r="B204" s="8"/>
      <c r="C204" s="9">
        <f t="shared" ref="C204:C208" si="13">C203+D203</f>
        <v>299</v>
      </c>
      <c r="D204" s="8">
        <v>0</v>
      </c>
      <c r="E204" s="40"/>
    </row>
    <row r="205" spans="1:5" x14ac:dyDescent="0.25">
      <c r="A205" s="13" t="s">
        <v>241</v>
      </c>
      <c r="B205" s="14" t="s">
        <v>240</v>
      </c>
      <c r="C205" s="2">
        <f t="shared" si="13"/>
        <v>299</v>
      </c>
      <c r="D205" s="14">
        <v>2</v>
      </c>
      <c r="E205" s="37" t="s">
        <v>21</v>
      </c>
    </row>
    <row r="206" spans="1:5" x14ac:dyDescent="0.25">
      <c r="A206" s="13" t="s">
        <v>275</v>
      </c>
      <c r="B206" s="3" t="s">
        <v>232</v>
      </c>
      <c r="C206" s="2">
        <f t="shared" si="13"/>
        <v>301</v>
      </c>
      <c r="D206" s="14">
        <v>60</v>
      </c>
      <c r="E206" s="37" t="s">
        <v>21</v>
      </c>
    </row>
    <row r="207" spans="1:5" x14ac:dyDescent="0.25">
      <c r="A207" s="13" t="s">
        <v>249</v>
      </c>
      <c r="B207" s="14" t="s">
        <v>260</v>
      </c>
      <c r="C207" s="2">
        <f t="shared" si="13"/>
        <v>361</v>
      </c>
      <c r="D207" s="14">
        <v>15</v>
      </c>
      <c r="E207" s="37" t="s">
        <v>21</v>
      </c>
    </row>
    <row r="208" spans="1:5" x14ac:dyDescent="0.25">
      <c r="A208" s="7" t="s">
        <v>284</v>
      </c>
      <c r="B208" s="8" t="s">
        <v>22</v>
      </c>
      <c r="C208" s="9">
        <f t="shared" si="13"/>
        <v>376</v>
      </c>
      <c r="D208" s="8">
        <f>4096-C208</f>
        <v>3720</v>
      </c>
      <c r="E208" s="40"/>
    </row>
    <row r="209" spans="1:5" x14ac:dyDescent="0.25">
      <c r="A209" s="4"/>
      <c r="B209" s="3"/>
      <c r="C209" s="2"/>
      <c r="D209" s="3"/>
      <c r="E209" s="44"/>
    </row>
    <row r="210" spans="1:5" x14ac:dyDescent="0.25">
      <c r="A210" s="5" t="s">
        <v>112</v>
      </c>
      <c r="B210" s="34" t="s">
        <v>363</v>
      </c>
      <c r="C210" s="6">
        <f>C87</f>
        <v>299</v>
      </c>
      <c r="D210" s="6">
        <v>0</v>
      </c>
      <c r="E210" s="38"/>
    </row>
    <row r="211" spans="1:5" x14ac:dyDescent="0.25">
      <c r="A211" s="7" t="s">
        <v>362</v>
      </c>
      <c r="B211" s="8"/>
      <c r="C211" s="9">
        <f t="shared" ref="C211:C212" si="14">C210+D210</f>
        <v>299</v>
      </c>
      <c r="D211" s="8">
        <v>0</v>
      </c>
      <c r="E211" s="40"/>
    </row>
    <row r="212" spans="1:5" x14ac:dyDescent="0.25">
      <c r="A212" s="13" t="s">
        <v>364</v>
      </c>
      <c r="B212" s="14" t="s">
        <v>401</v>
      </c>
      <c r="C212" s="2">
        <f t="shared" si="14"/>
        <v>299</v>
      </c>
      <c r="D212" s="14">
        <v>75</v>
      </c>
      <c r="E212" s="37" t="s">
        <v>21</v>
      </c>
    </row>
    <row r="213" spans="1:5" x14ac:dyDescent="0.25">
      <c r="A213" s="7" t="s">
        <v>288</v>
      </c>
      <c r="B213" s="8" t="s">
        <v>22</v>
      </c>
      <c r="C213" s="9">
        <f>C212+D212</f>
        <v>374</v>
      </c>
      <c r="D213" s="8">
        <f>4096-C213</f>
        <v>3722</v>
      </c>
      <c r="E213" s="40"/>
    </row>
    <row r="214" spans="1:5" x14ac:dyDescent="0.25">
      <c r="A214" s="4"/>
      <c r="B214" s="3"/>
      <c r="C214" s="2"/>
      <c r="D214" s="3"/>
      <c r="E214" s="44"/>
    </row>
    <row r="215" spans="1:5" x14ac:dyDescent="0.25">
      <c r="A215" s="5" t="s">
        <v>112</v>
      </c>
      <c r="B215" s="34" t="s">
        <v>301</v>
      </c>
      <c r="C215" s="6">
        <f>C87</f>
        <v>299</v>
      </c>
      <c r="D215" s="6">
        <v>0</v>
      </c>
      <c r="E215" s="38"/>
    </row>
    <row r="216" spans="1:5" x14ac:dyDescent="0.25">
      <c r="A216" s="7" t="s">
        <v>302</v>
      </c>
      <c r="B216" s="8"/>
      <c r="C216" s="9">
        <f t="shared" ref="C216:C220" si="15">C215+D215</f>
        <v>299</v>
      </c>
      <c r="D216" s="8">
        <v>0</v>
      </c>
      <c r="E216" s="40"/>
    </row>
    <row r="217" spans="1:5" x14ac:dyDescent="0.25">
      <c r="A217" s="13" t="s">
        <v>305</v>
      </c>
      <c r="B217" s="14" t="s">
        <v>308</v>
      </c>
      <c r="C217" s="2">
        <f t="shared" si="15"/>
        <v>299</v>
      </c>
      <c r="D217" s="14">
        <v>10</v>
      </c>
      <c r="E217" s="37" t="s">
        <v>21</v>
      </c>
    </row>
    <row r="218" spans="1:5" x14ac:dyDescent="0.25">
      <c r="A218" s="13" t="s">
        <v>303</v>
      </c>
      <c r="B218" s="3" t="s">
        <v>306</v>
      </c>
      <c r="C218" s="2">
        <f t="shared" si="15"/>
        <v>309</v>
      </c>
      <c r="D218" s="14">
        <v>40</v>
      </c>
      <c r="E218" s="37" t="s">
        <v>21</v>
      </c>
    </row>
    <row r="219" spans="1:5" x14ac:dyDescent="0.25">
      <c r="A219" s="13" t="s">
        <v>304</v>
      </c>
      <c r="B219" s="14" t="s">
        <v>307</v>
      </c>
      <c r="C219" s="2">
        <f t="shared" si="15"/>
        <v>349</v>
      </c>
      <c r="D219" s="14">
        <v>4</v>
      </c>
      <c r="E219" s="37" t="s">
        <v>21</v>
      </c>
    </row>
    <row r="220" spans="1:5" x14ac:dyDescent="0.25">
      <c r="A220" s="7" t="s">
        <v>309</v>
      </c>
      <c r="B220" s="8" t="s">
        <v>22</v>
      </c>
      <c r="C220" s="9">
        <f t="shared" si="15"/>
        <v>353</v>
      </c>
      <c r="D220" s="8">
        <f>4096-C220</f>
        <v>3743</v>
      </c>
      <c r="E220" s="40"/>
    </row>
    <row r="221" spans="1:5" x14ac:dyDescent="0.25">
      <c r="A221" s="4"/>
      <c r="B221" s="3"/>
      <c r="C221" s="2"/>
      <c r="D221" s="3"/>
      <c r="E221" s="44"/>
    </row>
    <row r="222" spans="1:5" x14ac:dyDescent="0.25">
      <c r="A222" s="5" t="s">
        <v>112</v>
      </c>
      <c r="B222" s="34" t="s">
        <v>406</v>
      </c>
      <c r="C222" s="6">
        <f>C87</f>
        <v>299</v>
      </c>
      <c r="D222" s="6">
        <v>0</v>
      </c>
      <c r="E222" s="38"/>
    </row>
    <row r="223" spans="1:5" x14ac:dyDescent="0.25">
      <c r="A223" s="7" t="s">
        <v>405</v>
      </c>
      <c r="B223" s="8"/>
      <c r="C223" s="9">
        <f>C222+D222</f>
        <v>299</v>
      </c>
      <c r="D223" s="8">
        <v>0</v>
      </c>
      <c r="E223" s="40"/>
    </row>
    <row r="224" spans="1:5" x14ac:dyDescent="0.25">
      <c r="A224" s="13" t="s">
        <v>407</v>
      </c>
      <c r="B224" s="3" t="s">
        <v>210</v>
      </c>
      <c r="C224" s="2">
        <f>C223+D223</f>
        <v>299</v>
      </c>
      <c r="D224" s="14">
        <v>5</v>
      </c>
      <c r="E224" s="37" t="s">
        <v>21</v>
      </c>
    </row>
    <row r="225" spans="1:5" x14ac:dyDescent="0.25">
      <c r="A225" s="13" t="s">
        <v>408</v>
      </c>
      <c r="B225" s="3" t="s">
        <v>416</v>
      </c>
      <c r="C225" s="2">
        <f>C224+D224</f>
        <v>304</v>
      </c>
      <c r="D225" s="14">
        <v>40</v>
      </c>
      <c r="E225" s="37" t="s">
        <v>21</v>
      </c>
    </row>
    <row r="226" spans="1:5" x14ac:dyDescent="0.25">
      <c r="A226" s="13" t="s">
        <v>409</v>
      </c>
      <c r="B226" s="3" t="s">
        <v>220</v>
      </c>
      <c r="C226" s="2">
        <f t="shared" ref="C226:C232" si="16">C225+D225</f>
        <v>344</v>
      </c>
      <c r="D226" s="14">
        <v>8</v>
      </c>
      <c r="E226" s="37" t="s">
        <v>21</v>
      </c>
    </row>
    <row r="227" spans="1:5" x14ac:dyDescent="0.25">
      <c r="A227" s="13" t="s">
        <v>410</v>
      </c>
      <c r="B227" s="3" t="s">
        <v>221</v>
      </c>
      <c r="C227" s="2">
        <f t="shared" si="16"/>
        <v>352</v>
      </c>
      <c r="D227" s="14">
        <v>8</v>
      </c>
      <c r="E227" s="37" t="s">
        <v>21</v>
      </c>
    </row>
    <row r="228" spans="1:5" x14ac:dyDescent="0.25">
      <c r="A228" s="13" t="s">
        <v>411</v>
      </c>
      <c r="B228" s="3" t="s">
        <v>223</v>
      </c>
      <c r="C228" s="2">
        <f t="shared" si="16"/>
        <v>360</v>
      </c>
      <c r="D228" s="14">
        <v>40</v>
      </c>
      <c r="E228" s="37" t="s">
        <v>21</v>
      </c>
    </row>
    <row r="229" spans="1:5" x14ac:dyDescent="0.25">
      <c r="A229" s="13" t="s">
        <v>412</v>
      </c>
      <c r="B229" s="3" t="s">
        <v>165</v>
      </c>
      <c r="C229" s="2">
        <f t="shared" si="16"/>
        <v>400</v>
      </c>
      <c r="D229" s="14">
        <v>40</v>
      </c>
      <c r="E229" s="37" t="s">
        <v>21</v>
      </c>
    </row>
    <row r="230" spans="1:5" x14ac:dyDescent="0.25">
      <c r="A230" s="13" t="s">
        <v>413</v>
      </c>
      <c r="B230" s="3" t="s">
        <v>226</v>
      </c>
      <c r="C230" s="2">
        <f t="shared" si="16"/>
        <v>440</v>
      </c>
      <c r="D230" s="14">
        <v>8</v>
      </c>
      <c r="E230" s="37" t="s">
        <v>21</v>
      </c>
    </row>
    <row r="231" spans="1:5" x14ac:dyDescent="0.25">
      <c r="A231" s="13" t="s">
        <v>414</v>
      </c>
      <c r="B231" s="3" t="s">
        <v>229</v>
      </c>
      <c r="C231" s="2">
        <f t="shared" si="16"/>
        <v>448</v>
      </c>
      <c r="D231" s="14">
        <v>40</v>
      </c>
      <c r="E231" s="37" t="s">
        <v>21</v>
      </c>
    </row>
    <row r="232" spans="1:5" x14ac:dyDescent="0.25">
      <c r="A232" s="13" t="s">
        <v>415</v>
      </c>
      <c r="B232" s="3" t="s">
        <v>230</v>
      </c>
      <c r="C232" s="2">
        <f t="shared" si="16"/>
        <v>488</v>
      </c>
      <c r="D232" s="14">
        <v>40</v>
      </c>
      <c r="E232" s="37" t="s">
        <v>21</v>
      </c>
    </row>
    <row r="233" spans="1:5" x14ac:dyDescent="0.25">
      <c r="A233" s="7" t="s">
        <v>404</v>
      </c>
      <c r="B233" s="8" t="s">
        <v>22</v>
      </c>
      <c r="C233" s="9">
        <f>C232+D232</f>
        <v>528</v>
      </c>
      <c r="D233" s="8">
        <f>4096-C233</f>
        <v>3568</v>
      </c>
      <c r="E233" s="40"/>
    </row>
    <row r="234" spans="1:5" x14ac:dyDescent="0.25">
      <c r="A234" s="4"/>
      <c r="B234" s="3"/>
      <c r="C234" s="14"/>
      <c r="D234" s="3"/>
      <c r="E234" s="44"/>
    </row>
    <row r="235" spans="1:5" x14ac:dyDescent="0.25">
      <c r="A235" s="5" t="s">
        <v>112</v>
      </c>
      <c r="B235" s="34" t="s">
        <v>271</v>
      </c>
      <c r="C235" s="6">
        <f>C87</f>
        <v>299</v>
      </c>
      <c r="D235" s="6">
        <v>0</v>
      </c>
      <c r="E235" s="38"/>
    </row>
    <row r="236" spans="1:5" x14ac:dyDescent="0.25">
      <c r="A236" s="7" t="s">
        <v>270</v>
      </c>
      <c r="B236" s="8"/>
      <c r="C236" s="9">
        <f>C235+D235</f>
        <v>299</v>
      </c>
      <c r="D236" s="8">
        <v>0</v>
      </c>
      <c r="E236" s="40"/>
    </row>
    <row r="237" spans="1:5" x14ac:dyDescent="0.25">
      <c r="A237" s="13" t="s">
        <v>328</v>
      </c>
      <c r="B237" s="3" t="s">
        <v>329</v>
      </c>
      <c r="C237" s="2">
        <f>C236+D236</f>
        <v>299</v>
      </c>
      <c r="D237" s="14">
        <v>14</v>
      </c>
      <c r="E237" s="37" t="s">
        <v>21</v>
      </c>
    </row>
    <row r="238" spans="1:5" x14ac:dyDescent="0.25">
      <c r="A238" s="13" t="s">
        <v>325</v>
      </c>
      <c r="B238" s="3" t="s">
        <v>330</v>
      </c>
      <c r="C238" s="2"/>
      <c r="D238" s="14"/>
      <c r="E238" s="37" t="s">
        <v>21</v>
      </c>
    </row>
    <row r="239" spans="1:5" x14ac:dyDescent="0.25">
      <c r="A239" s="13" t="s">
        <v>326</v>
      </c>
      <c r="B239" s="3" t="s">
        <v>331</v>
      </c>
      <c r="C239" s="2"/>
      <c r="D239" s="14"/>
      <c r="E239" s="37" t="s">
        <v>21</v>
      </c>
    </row>
    <row r="240" spans="1:5" x14ac:dyDescent="0.25">
      <c r="A240" s="13" t="s">
        <v>327</v>
      </c>
      <c r="B240" s="3" t="s">
        <v>314</v>
      </c>
      <c r="C240" s="2"/>
      <c r="D240" s="14"/>
      <c r="E240" s="37" t="s">
        <v>21</v>
      </c>
    </row>
    <row r="241" spans="1:5" x14ac:dyDescent="0.25">
      <c r="A241" s="13" t="s">
        <v>311</v>
      </c>
      <c r="B241" s="3" t="s">
        <v>205</v>
      </c>
      <c r="C241" s="2">
        <f>C237+D237</f>
        <v>313</v>
      </c>
      <c r="D241" s="14">
        <v>15</v>
      </c>
      <c r="E241" s="37" t="s">
        <v>21</v>
      </c>
    </row>
    <row r="242" spans="1:5" x14ac:dyDescent="0.25">
      <c r="A242" s="13" t="s">
        <v>272</v>
      </c>
      <c r="B242" s="3" t="s">
        <v>233</v>
      </c>
      <c r="C242" s="2">
        <f t="shared" ref="C242" si="17">C241+D241</f>
        <v>328</v>
      </c>
      <c r="D242" s="14">
        <v>6</v>
      </c>
      <c r="E242" s="37" t="s">
        <v>21</v>
      </c>
    </row>
    <row r="243" spans="1:5" x14ac:dyDescent="0.25">
      <c r="A243" s="13" t="s">
        <v>312</v>
      </c>
      <c r="B243" s="3" t="s">
        <v>263</v>
      </c>
      <c r="C243" s="2">
        <f>C242+D242</f>
        <v>334</v>
      </c>
      <c r="D243" s="14">
        <v>77</v>
      </c>
      <c r="E243" s="37" t="s">
        <v>21</v>
      </c>
    </row>
    <row r="244" spans="1:5" x14ac:dyDescent="0.25">
      <c r="A244" s="7" t="s">
        <v>313</v>
      </c>
      <c r="B244" s="8" t="s">
        <v>22</v>
      </c>
      <c r="C244" s="9">
        <f>C243+D243</f>
        <v>411</v>
      </c>
      <c r="D244" s="8">
        <f>4096-C244</f>
        <v>3685</v>
      </c>
      <c r="E244" s="40"/>
    </row>
    <row r="245" spans="1:5" x14ac:dyDescent="0.25">
      <c r="A245" s="4"/>
      <c r="B245" s="3"/>
      <c r="C245" s="2"/>
      <c r="D245" s="3"/>
      <c r="E245" s="44"/>
    </row>
    <row r="246" spans="1:5" x14ac:dyDescent="0.25">
      <c r="A246" s="5" t="s">
        <v>112</v>
      </c>
      <c r="B246" s="32" t="s">
        <v>318</v>
      </c>
      <c r="C246" s="6">
        <f>C87</f>
        <v>299</v>
      </c>
      <c r="D246" s="6">
        <v>0</v>
      </c>
      <c r="E246" s="38"/>
    </row>
    <row r="247" spans="1:5" x14ac:dyDescent="0.25">
      <c r="A247" s="7" t="s">
        <v>319</v>
      </c>
      <c r="B247" s="8"/>
      <c r="C247" s="9">
        <f>C246+D246</f>
        <v>299</v>
      </c>
      <c r="D247" s="8">
        <v>0</v>
      </c>
      <c r="E247" s="40"/>
    </row>
    <row r="248" spans="1:5" x14ac:dyDescent="0.25">
      <c r="A248" s="13" t="s">
        <v>320</v>
      </c>
      <c r="B248" s="14" t="s">
        <v>316</v>
      </c>
      <c r="C248" s="2">
        <f t="shared" ref="C248" si="18">C247+D247</f>
        <v>299</v>
      </c>
      <c r="D248" s="14">
        <v>400</v>
      </c>
      <c r="E248" s="37" t="s">
        <v>21</v>
      </c>
    </row>
    <row r="249" spans="1:5" x14ac:dyDescent="0.25">
      <c r="A249" s="13" t="s">
        <v>321</v>
      </c>
      <c r="B249" s="14" t="s">
        <v>317</v>
      </c>
      <c r="C249" s="2">
        <f>C248+D248</f>
        <v>699</v>
      </c>
      <c r="D249" s="14">
        <v>3000</v>
      </c>
      <c r="E249" s="37" t="s">
        <v>21</v>
      </c>
    </row>
    <row r="250" spans="1:5" x14ac:dyDescent="0.25">
      <c r="A250" s="7" t="s">
        <v>315</v>
      </c>
      <c r="B250" s="8" t="s">
        <v>22</v>
      </c>
      <c r="C250" s="9">
        <f>C249+D249</f>
        <v>3699</v>
      </c>
      <c r="D250" s="8">
        <f>4096-C250</f>
        <v>397</v>
      </c>
      <c r="E250" s="40"/>
    </row>
    <row r="251" spans="1:5" x14ac:dyDescent="0.25">
      <c r="A251" s="4"/>
      <c r="B251" s="3"/>
      <c r="C251" s="2"/>
      <c r="D251" s="3"/>
      <c r="E251" s="44"/>
    </row>
    <row r="252" spans="1:5" x14ac:dyDescent="0.25">
      <c r="A252" s="5" t="s">
        <v>112</v>
      </c>
      <c r="B252" s="32" t="s">
        <v>289</v>
      </c>
      <c r="C252" s="6">
        <f>C87</f>
        <v>299</v>
      </c>
      <c r="D252" s="6">
        <v>0</v>
      </c>
      <c r="E252" s="38"/>
    </row>
    <row r="253" spans="1:5" x14ac:dyDescent="0.25">
      <c r="A253" s="7" t="s">
        <v>290</v>
      </c>
      <c r="B253" s="8"/>
      <c r="C253" s="9">
        <f>C252+D252</f>
        <v>299</v>
      </c>
      <c r="D253" s="8">
        <v>0</v>
      </c>
      <c r="E253" s="40"/>
    </row>
    <row r="254" spans="1:5" x14ac:dyDescent="0.25">
      <c r="A254" s="13" t="s">
        <v>291</v>
      </c>
      <c r="B254" s="14" t="s">
        <v>287</v>
      </c>
      <c r="C254" s="2">
        <f t="shared" ref="C254" si="19">C253+D253</f>
        <v>299</v>
      </c>
      <c r="D254" s="14">
        <v>60</v>
      </c>
      <c r="E254" s="37" t="s">
        <v>21</v>
      </c>
    </row>
    <row r="255" spans="1:5" x14ac:dyDescent="0.25">
      <c r="A255" s="13" t="s">
        <v>261</v>
      </c>
      <c r="B255" s="14" t="s">
        <v>262</v>
      </c>
      <c r="C255" s="2">
        <f>C254+D254</f>
        <v>359</v>
      </c>
      <c r="D255" s="14">
        <v>15</v>
      </c>
      <c r="E255" s="37" t="s">
        <v>21</v>
      </c>
    </row>
    <row r="256" spans="1:5" x14ac:dyDescent="0.25">
      <c r="A256" s="7" t="s">
        <v>288</v>
      </c>
      <c r="B256" s="8" t="s">
        <v>22</v>
      </c>
      <c r="C256" s="9">
        <f>C255+D255</f>
        <v>374</v>
      </c>
      <c r="D256" s="8">
        <f>4096-C256</f>
        <v>3722</v>
      </c>
      <c r="E256" s="40"/>
    </row>
    <row r="257" spans="1:5" x14ac:dyDescent="0.25">
      <c r="A257" s="4"/>
      <c r="B257" s="3"/>
      <c r="C257" s="2"/>
      <c r="D257" s="3"/>
      <c r="E257" s="44"/>
    </row>
    <row r="258" spans="1:5" x14ac:dyDescent="0.25">
      <c r="A258" s="5" t="s">
        <v>112</v>
      </c>
      <c r="B258" s="32" t="s">
        <v>365</v>
      </c>
      <c r="C258" s="6">
        <f>C87</f>
        <v>299</v>
      </c>
      <c r="D258" s="6">
        <v>0</v>
      </c>
      <c r="E258" s="38"/>
    </row>
    <row r="259" spans="1:5" x14ac:dyDescent="0.25">
      <c r="A259" s="7" t="s">
        <v>366</v>
      </c>
      <c r="B259" s="8"/>
      <c r="C259" s="9">
        <f>C258+D258</f>
        <v>299</v>
      </c>
      <c r="D259" s="8">
        <v>0</v>
      </c>
      <c r="E259" s="40"/>
    </row>
    <row r="260" spans="1:5" x14ac:dyDescent="0.25">
      <c r="A260" s="13" t="s">
        <v>367</v>
      </c>
      <c r="B260" s="14" t="s">
        <v>369</v>
      </c>
      <c r="C260" s="2">
        <f t="shared" ref="C260" si="20">C259+D259</f>
        <v>299</v>
      </c>
      <c r="D260" s="14">
        <v>400</v>
      </c>
      <c r="E260" s="37" t="s">
        <v>21</v>
      </c>
    </row>
    <row r="261" spans="1:5" x14ac:dyDescent="0.25">
      <c r="A261" s="13" t="s">
        <v>368</v>
      </c>
      <c r="B261" s="14" t="s">
        <v>370</v>
      </c>
      <c r="C261" s="2">
        <f>C260+D260</f>
        <v>699</v>
      </c>
      <c r="D261" s="14">
        <v>3000</v>
      </c>
      <c r="E261" s="37" t="s">
        <v>21</v>
      </c>
    </row>
    <row r="262" spans="1:5" x14ac:dyDescent="0.25">
      <c r="A262" s="7" t="s">
        <v>315</v>
      </c>
      <c r="B262" s="8" t="s">
        <v>22</v>
      </c>
      <c r="C262" s="9">
        <f>C261+D261</f>
        <v>3699</v>
      </c>
      <c r="D262" s="8">
        <f>4096-C262</f>
        <v>397</v>
      </c>
      <c r="E262" s="40"/>
    </row>
    <row r="263" spans="1:5" x14ac:dyDescent="0.25">
      <c r="A263" s="4"/>
      <c r="B263" s="3"/>
      <c r="C263" s="2"/>
      <c r="D263" s="3"/>
      <c r="E263" s="44"/>
    </row>
    <row r="264" spans="1:5" x14ac:dyDescent="0.25">
      <c r="A264" s="5" t="s">
        <v>112</v>
      </c>
      <c r="B264" s="32" t="s">
        <v>160</v>
      </c>
      <c r="C264" s="6">
        <f>C87</f>
        <v>299</v>
      </c>
      <c r="D264" s="6">
        <v>0</v>
      </c>
      <c r="E264" s="38"/>
    </row>
    <row r="265" spans="1:5" x14ac:dyDescent="0.25">
      <c r="A265" s="7" t="s">
        <v>148</v>
      </c>
      <c r="B265" s="8" t="s">
        <v>22</v>
      </c>
      <c r="C265" s="9">
        <f>C264+D264</f>
        <v>299</v>
      </c>
      <c r="D265" s="8">
        <f>4096-C265</f>
        <v>3797</v>
      </c>
      <c r="E265" s="36" t="s">
        <v>20</v>
      </c>
    </row>
  </sheetData>
  <mergeCells count="11">
    <mergeCell ref="E187:E192"/>
    <mergeCell ref="E118:E121"/>
    <mergeCell ref="E112:E117"/>
    <mergeCell ref="E3:E7"/>
    <mergeCell ref="E8:E16"/>
    <mergeCell ref="E17:E26"/>
    <mergeCell ref="E102:E104"/>
    <mergeCell ref="E62:E66"/>
    <mergeCell ref="E38:E40"/>
    <mergeCell ref="E68:E82"/>
    <mergeCell ref="E43:E61"/>
  </mergeCells>
  <phoneticPr fontId="8" type="noConversion"/>
  <pageMargins left="0.23622047244094491" right="0.23622047244094491" top="0.74803149606299213" bottom="0.74803149606299213" header="0.31496062992125984" footer="0.31496062992125984"/>
  <pageSetup paperSize="9" scale="74" fitToHeight="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5960C-53CB-4CAB-A827-F77212F88D1F}">
  <dimension ref="A1:D12"/>
  <sheetViews>
    <sheetView workbookViewId="0"/>
  </sheetViews>
  <sheetFormatPr defaultRowHeight="15" x14ac:dyDescent="0.25"/>
  <cols>
    <col min="1" max="1" width="37.5703125" customWidth="1"/>
    <col min="2" max="2" width="93.85546875" bestFit="1" customWidth="1"/>
    <col min="3" max="3" width="55.28515625" bestFit="1" customWidth="1"/>
    <col min="4" max="4" width="100.85546875" customWidth="1"/>
  </cols>
  <sheetData>
    <row r="1" spans="1:4" x14ac:dyDescent="0.25">
      <c r="A1" s="48" t="s">
        <v>417</v>
      </c>
      <c r="B1" s="48" t="s">
        <v>401</v>
      </c>
      <c r="C1" s="48" t="s">
        <v>418</v>
      </c>
      <c r="D1" s="48" t="s">
        <v>419</v>
      </c>
    </row>
    <row r="2" spans="1:4" ht="150" x14ac:dyDescent="0.25">
      <c r="A2" s="50" t="s">
        <v>430</v>
      </c>
      <c r="B2" s="50" t="s">
        <v>439</v>
      </c>
      <c r="C2" s="50" t="s">
        <v>429</v>
      </c>
      <c r="D2" s="49"/>
    </row>
    <row r="3" spans="1:4" ht="375" x14ac:dyDescent="0.25">
      <c r="A3" s="50" t="s">
        <v>431</v>
      </c>
      <c r="B3" s="50" t="s">
        <v>440</v>
      </c>
      <c r="C3" s="50" t="s">
        <v>429</v>
      </c>
      <c r="D3" s="49"/>
    </row>
    <row r="4" spans="1:4" ht="345" x14ac:dyDescent="0.25">
      <c r="A4" s="50" t="s">
        <v>432</v>
      </c>
      <c r="B4" s="50" t="s">
        <v>445</v>
      </c>
      <c r="C4" s="50" t="s">
        <v>429</v>
      </c>
      <c r="D4" s="49"/>
    </row>
    <row r="5" spans="1:4" ht="345" x14ac:dyDescent="0.25">
      <c r="A5" s="50" t="s">
        <v>433</v>
      </c>
      <c r="B5" s="50" t="s">
        <v>441</v>
      </c>
      <c r="C5" s="50" t="s">
        <v>429</v>
      </c>
      <c r="D5" s="49"/>
    </row>
    <row r="6" spans="1:4" ht="105" x14ac:dyDescent="0.25">
      <c r="A6" s="50" t="s">
        <v>434</v>
      </c>
      <c r="B6" s="50" t="s">
        <v>438</v>
      </c>
      <c r="C6" s="50" t="s">
        <v>429</v>
      </c>
      <c r="D6" s="49"/>
    </row>
    <row r="7" spans="1:4" ht="375" x14ac:dyDescent="0.25">
      <c r="A7" s="50" t="s">
        <v>435</v>
      </c>
      <c r="B7" s="50" t="s">
        <v>442</v>
      </c>
      <c r="C7" s="50" t="s">
        <v>429</v>
      </c>
      <c r="D7" s="49"/>
    </row>
    <row r="8" spans="1:4" ht="135" x14ac:dyDescent="0.25">
      <c r="A8" s="50" t="s">
        <v>436</v>
      </c>
      <c r="B8" s="50" t="s">
        <v>444</v>
      </c>
      <c r="C8" s="50" t="s">
        <v>429</v>
      </c>
      <c r="D8" s="49"/>
    </row>
    <row r="9" spans="1:4" ht="150" x14ac:dyDescent="0.25">
      <c r="A9" s="50" t="s">
        <v>437</v>
      </c>
      <c r="B9" s="50" t="s">
        <v>443</v>
      </c>
      <c r="C9" s="50" t="s">
        <v>429</v>
      </c>
      <c r="D9" s="49"/>
    </row>
    <row r="10" spans="1:4" ht="90" x14ac:dyDescent="0.25">
      <c r="A10" s="49" t="s">
        <v>426</v>
      </c>
      <c r="B10" s="50" t="s">
        <v>425</v>
      </c>
      <c r="C10" s="50" t="s">
        <v>428</v>
      </c>
      <c r="D10" s="49"/>
    </row>
    <row r="11" spans="1:4" x14ac:dyDescent="0.25">
      <c r="A11" s="49" t="s">
        <v>422</v>
      </c>
      <c r="B11" s="51" t="s">
        <v>420</v>
      </c>
      <c r="C11" s="50" t="s">
        <v>424</v>
      </c>
      <c r="D11" s="49"/>
    </row>
    <row r="12" spans="1:4" ht="195" x14ac:dyDescent="0.25">
      <c r="A12" s="49" t="s">
        <v>421</v>
      </c>
      <c r="B12" s="51" t="s">
        <v>427</v>
      </c>
      <c r="C12" s="50" t="s">
        <v>423</v>
      </c>
      <c r="D12" s="4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BGOW9062</vt:lpstr>
      <vt:lpstr>Textos</vt:lpstr>
    </vt:vector>
  </TitlesOfParts>
  <Company>Fidelidade Mundial,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Jorge Santos Graça [EE] (DSI)</dc:creator>
  <cp:lastModifiedBy>José Augusto Duarte dos Santos (ITD)</cp:lastModifiedBy>
  <cp:lastPrinted>2023-08-14T13:20:04Z</cp:lastPrinted>
  <dcterms:created xsi:type="dcterms:W3CDTF">2015-07-28T09:44:45Z</dcterms:created>
  <dcterms:modified xsi:type="dcterms:W3CDTF">2026-01-29T11:47:49Z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391acc-8330-42a2-8f91-859034ac3aa4_Enabled">
    <vt:lpwstr>true</vt:lpwstr>
  </property>
  <property fmtid="{D5CDD505-2E9C-101B-9397-08002B2CF9AE}" pid="3" name="MSIP_Label_b0391acc-8330-42a2-8f91-859034ac3aa4_SetDate">
    <vt:lpwstr>2025-11-28T16:50:34Z</vt:lpwstr>
  </property>
  <property fmtid="{D5CDD505-2E9C-101B-9397-08002B2CF9AE}" pid="4" name="MSIP_Label_b0391acc-8330-42a2-8f91-859034ac3aa4_Method">
    <vt:lpwstr>Standard</vt:lpwstr>
  </property>
  <property fmtid="{D5CDD505-2E9C-101B-9397-08002B2CF9AE}" pid="5" name="MSIP_Label_b0391acc-8330-42a2-8f91-859034ac3aa4_Name">
    <vt:lpwstr>b0391acc-8330-42a2-8f91-859034ac3aa4</vt:lpwstr>
  </property>
  <property fmtid="{D5CDD505-2E9C-101B-9397-08002B2CF9AE}" pid="6" name="MSIP_Label_b0391acc-8330-42a2-8f91-859034ac3aa4_SiteId">
    <vt:lpwstr>b27f00d3-6ccb-4240-b5d0-56729544887e</vt:lpwstr>
  </property>
  <property fmtid="{D5CDD505-2E9C-101B-9397-08002B2CF9AE}" pid="7" name="MSIP_Label_b0391acc-8330-42a2-8f91-859034ac3aa4_ActionId">
    <vt:lpwstr>047db491-c514-4ba5-8091-1c6992ed7929</vt:lpwstr>
  </property>
  <property fmtid="{D5CDD505-2E9C-101B-9397-08002B2CF9AE}" pid="8" name="MSIP_Label_b0391acc-8330-42a2-8f91-859034ac3aa4_ContentBits">
    <vt:lpwstr>0</vt:lpwstr>
  </property>
  <property fmtid="{D5CDD505-2E9C-101B-9397-08002B2CF9AE}" pid="9" name="MSIP_Label_b0391acc-8330-42a2-8f91-859034ac3aa4_Tag">
    <vt:lpwstr>10, 3, 0, 1</vt:lpwstr>
  </property>
</Properties>
</file>