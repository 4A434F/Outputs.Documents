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OW0015" sheetId="1" state="visible" r:id="rId1"/>
    <sheet xmlns:r="http://schemas.openxmlformats.org/officeDocument/2006/relationships" name="BGOW0019" sheetId="2" state="visible" r:id="rId2"/>
    <sheet xmlns:r="http://schemas.openxmlformats.org/officeDocument/2006/relationships" name="BGOW0046" sheetId="3" state="visible" r:id="rId3"/>
    <sheet xmlns:r="http://schemas.openxmlformats.org/officeDocument/2006/relationships" name="BGOW0060" sheetId="4" state="visible" r:id="rId4"/>
    <sheet xmlns:r="http://schemas.openxmlformats.org/officeDocument/2006/relationships" name="BGOW0062" sheetId="5" state="visible" r:id="rId5"/>
    <sheet xmlns:r="http://schemas.openxmlformats.org/officeDocument/2006/relationships" name="BGOW0068" sheetId="6" state="visible" r:id="rId6"/>
    <sheet xmlns:r="http://schemas.openxmlformats.org/officeDocument/2006/relationships" name="BGOW9062" sheetId="7" state="visible" r:id="rId7"/>
    <sheet xmlns:r="http://schemas.openxmlformats.org/officeDocument/2006/relationships" name="BGOW9064" sheetId="8" state="visible" r:id="rId8"/>
    <sheet xmlns:r="http://schemas.openxmlformats.org/officeDocument/2006/relationships" name="BGOW9067" sheetId="9" state="visible" r:id="rId9"/>
    <sheet xmlns:r="http://schemas.openxmlformats.org/officeDocument/2006/relationships" name="BGOW9068" sheetId="10" state="visible" r:id="rId10"/>
    <sheet xmlns:r="http://schemas.openxmlformats.org/officeDocument/2006/relationships" name="BGOW0010" sheetId="11" state="visible" r:id="rId11"/>
    <sheet xmlns:r="http://schemas.openxmlformats.org/officeDocument/2006/relationships" name="BGOW0054" sheetId="12" state="visible" r:id="rId12"/>
    <sheet xmlns:r="http://schemas.openxmlformats.org/officeDocument/2006/relationships" name="BGOW0056" sheetId="13" state="visible" r:id="rId13"/>
    <sheet xmlns:r="http://schemas.openxmlformats.org/officeDocument/2006/relationships" name="BGOW0044" sheetId="14" state="visible" r:id="rId14"/>
    <sheet xmlns:r="http://schemas.openxmlformats.org/officeDocument/2006/relationships" name="BGOW0055" sheetId="15" state="visible" r:id="rId15"/>
    <sheet xmlns:r="http://schemas.openxmlformats.org/officeDocument/2006/relationships" name="BGOW0070" sheetId="16" state="visible" r:id="rId16"/>
    <sheet xmlns:r="http://schemas.openxmlformats.org/officeDocument/2006/relationships" name="BGOW0078" sheetId="17" state="visible" r:id="rId17"/>
    <sheet xmlns:r="http://schemas.openxmlformats.org/officeDocument/2006/relationships" name="BGOW0059" sheetId="18" state="visible" r:id="rId18"/>
    <sheet xmlns:r="http://schemas.openxmlformats.org/officeDocument/2006/relationships" name="BGOW004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ourier New"/>
      <family val="3"/>
      <b val="1"/>
      <color theme="0"/>
      <sz val="11"/>
    </font>
    <font>
      <name val="Calibri"/>
      <family val="2"/>
      <b val="1"/>
      <color theme="0"/>
      <sz val="11"/>
      <scheme val="minor"/>
    </font>
    <font>
      <name val="Courier New"/>
      <family val="3"/>
      <color theme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ourier New"/>
      <family val="3"/>
      <color rgb="FFFF0000"/>
      <sz val="11"/>
    </font>
    <font>
      <name val="Calibri"/>
      <family val="2"/>
      <b val="1"/>
      <color rgb="FFFF0000"/>
      <sz val="11"/>
      <scheme val="minor"/>
    </font>
    <font>
      <name val="Courier New"/>
      <family val="3"/>
      <sz val="11"/>
    </font>
    <font>
      <name val="Calibri"/>
      <family val="2"/>
      <color theme="0"/>
      <sz val="11"/>
      <scheme val="minor"/>
    </font>
    <font>
      <name val="Calibri"/>
      <family val="2"/>
      <color rgb="FFFFC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70C0"/>
      <sz val="11"/>
      <scheme val="minor"/>
    </font>
    <font>
      <name val="Arial Narrow"/>
      <family val="2"/>
      <color theme="1"/>
      <sz val="8"/>
    </font>
    <font>
      <name val="Arial Narrow"/>
      <family val="2"/>
      <color theme="1"/>
      <sz val="10"/>
    </font>
    <font>
      <name val="Calibri"/>
      <family val="2"/>
      <color rgb="FF00B050"/>
      <sz val="11"/>
      <scheme val="minor"/>
    </font>
    <font>
      <name val="Arial Narrow"/>
      <family val="2"/>
      <b val="1"/>
      <color rgb="FFFF99FF"/>
      <sz val="8"/>
    </font>
    <font>
      <name val="Arial Narrow"/>
      <family val="2"/>
      <color theme="1"/>
      <sz val="6"/>
    </font>
    <font>
      <name val="Arial Narrow"/>
      <family val="2"/>
      <color theme="1"/>
      <sz val="9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6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0" fontId="0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3" fillId="7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vertical="top"/>
    </xf>
    <xf numFmtId="0" fontId="5" fillId="6" borderId="1" applyAlignment="1" pivotButton="0" quotePrefix="0" xfId="0">
      <alignment horizontal="center" vertical="center"/>
    </xf>
    <xf numFmtId="0" fontId="3" fillId="0" borderId="2" pivotButton="0" quotePrefix="0" xfId="0"/>
    <xf numFmtId="0" fontId="0" fillId="0" borderId="2" pivotButton="0" quotePrefix="0" xfId="0"/>
    <xf numFmtId="0" fontId="7" fillId="3" borderId="1" applyAlignment="1" pivotButton="0" quotePrefix="0" xfId="0">
      <alignment horizontal="left"/>
    </xf>
    <xf numFmtId="0" fontId="0" fillId="7" borderId="1" applyAlignment="1" pivotButton="0" quotePrefix="0" xfId="0">
      <alignment horizontal="right"/>
    </xf>
    <xf numFmtId="0" fontId="5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0" fillId="8" borderId="1" applyAlignment="1" pivotButton="0" quotePrefix="0" xfId="0">
      <alignment horizontal="right"/>
    </xf>
    <xf numFmtId="0" fontId="0" fillId="9" borderId="1" applyAlignment="1" pivotButton="0" quotePrefix="0" xfId="0">
      <alignment horizontal="right"/>
    </xf>
    <xf numFmtId="0" fontId="0" fillId="3" borderId="1" applyAlignment="1" pivotButton="0" quotePrefix="0" xfId="0">
      <alignment horizontal="center" vertical="center"/>
    </xf>
    <xf numFmtId="0" fontId="3" fillId="10" borderId="1" pivotButton="0" quotePrefix="0" xfId="0"/>
    <xf numFmtId="0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right"/>
    </xf>
    <xf numFmtId="0" fontId="3" fillId="11" borderId="1" pivotButton="0" quotePrefix="0" xfId="0"/>
    <xf numFmtId="0" fontId="0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right"/>
    </xf>
    <xf numFmtId="0" fontId="0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0" borderId="1" pivotButton="0" quotePrefix="0" xfId="0"/>
    <xf numFmtId="0" fontId="0" fillId="10" borderId="1" applyAlignment="1" pivotButton="0" quotePrefix="0" xfId="0">
      <alignment vertical="top"/>
    </xf>
    <xf numFmtId="0" fontId="0" fillId="5" borderId="1" applyAlignment="1" pivotButton="0" quotePrefix="0" xfId="0">
      <alignment vertical="center"/>
    </xf>
    <xf numFmtId="0" fontId="8" fillId="10" borderId="1" pivotButton="0" quotePrefix="0" xfId="0"/>
    <xf numFmtId="0" fontId="5" fillId="10" borderId="1" applyAlignment="1" pivotButton="0" quotePrefix="0" xfId="0">
      <alignment horizontal="left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0" fontId="0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9" fillId="2" borderId="1" pivotButton="0" quotePrefix="0" xfId="0"/>
    <xf numFmtId="0" fontId="0" fillId="3" borderId="1" applyAlignment="1" pivotButton="0" quotePrefix="0" xfId="0">
      <alignment horizontal="center"/>
    </xf>
    <xf numFmtId="0" fontId="8" fillId="12" borderId="1" pivotButton="0" quotePrefix="0" xfId="0"/>
    <xf numFmtId="0" fontId="5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right"/>
    </xf>
    <xf numFmtId="0" fontId="0" fillId="4" borderId="1" applyAlignment="1" pivotButton="0" quotePrefix="0" xfId="0">
      <alignment vertical="center"/>
    </xf>
    <xf numFmtId="0" fontId="0" fillId="7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2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0" fontId="5" fillId="0" borderId="2" applyAlignment="1" pivotButton="0" quotePrefix="0" xfId="0">
      <alignment horizontal="right" vertical="center"/>
    </xf>
    <xf numFmtId="0" fontId="0" fillId="0" borderId="6" applyAlignment="1" pivotButton="0" quotePrefix="0" xfId="0">
      <alignment horizontal="left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8" fillId="0" borderId="1" pivotButton="0" quotePrefix="0" xfId="0"/>
    <xf numFmtId="0" fontId="5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vertical="center"/>
    </xf>
    <xf numFmtId="0" fontId="5" fillId="0" borderId="1" applyAlignment="1" pivotButton="0" quotePrefix="0" xfId="0">
      <alignment horizontal="left"/>
    </xf>
    <xf numFmtId="0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8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7" pivotButton="0" quotePrefix="0" xfId="0"/>
    <xf numFmtId="0" fontId="5" fillId="7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8" fillId="7" borderId="1" pivotButton="0" quotePrefix="0" xfId="0"/>
    <xf numFmtId="0" fontId="5" fillId="7" borderId="1" pivotButton="0" quotePrefix="0" xfId="0"/>
    <xf numFmtId="0" fontId="8" fillId="0" borderId="2" pivotButton="0" quotePrefix="0" xfId="0"/>
    <xf numFmtId="0" fontId="5" fillId="0" borderId="2" pivotButton="0" quotePrefix="0" xfId="0"/>
    <xf numFmtId="0" fontId="5" fillId="0" borderId="8" applyAlignment="1" pivotButton="0" quotePrefix="0" xfId="0">
      <alignment vertical="top"/>
    </xf>
    <xf numFmtId="0" fontId="5" fillId="0" borderId="9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0" fontId="5" fillId="0" borderId="12" applyAlignment="1" pivotButton="0" quotePrefix="0" xfId="0">
      <alignment vertical="top"/>
    </xf>
    <xf numFmtId="0" fontId="5" fillId="0" borderId="5" applyAlignment="1" pivotButton="0" quotePrefix="0" xfId="0">
      <alignment vertical="top"/>
    </xf>
    <xf numFmtId="0" fontId="5" fillId="0" borderId="10" applyAlignment="1" pivotButton="0" quotePrefix="0" xfId="0">
      <alignment vertical="top"/>
    </xf>
    <xf numFmtId="0" fontId="5" fillId="7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5" fillId="0" borderId="8" pivotButton="0" quotePrefix="0" xfId="0"/>
    <xf numFmtId="0" fontId="5" fillId="0" borderId="9" pivotButton="0" quotePrefix="0" xfId="0"/>
    <xf numFmtId="0" fontId="5" fillId="0" borderId="5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2" pivotButton="0" quotePrefix="0" xfId="0"/>
    <xf numFmtId="0" fontId="0" fillId="0" borderId="2" applyAlignment="1" pivotButton="0" quotePrefix="0" xfId="0">
      <alignment vertical="top"/>
    </xf>
    <xf numFmtId="0" fontId="1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/>
    </xf>
    <xf numFmtId="4" fontId="0" fillId="0" borderId="0" pivotButton="0" quotePrefix="0" xfId="0"/>
    <xf numFmtId="0" fontId="6" fillId="7" borderId="1" pivotButton="0" quotePrefix="0" xfId="0"/>
    <xf numFmtId="0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6" fillId="0" borderId="2" pivotButton="0" quotePrefix="0" xfId="0"/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7" applyAlignment="1" pivotButton="0" quotePrefix="0" xfId="0">
      <alignment vertical="top"/>
    </xf>
    <xf numFmtId="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0" fillId="5" borderId="0" pivotButton="0" quotePrefix="0" xfId="0"/>
    <xf numFmtId="49" fontId="0" fillId="5" borderId="0" pivotButton="0" quotePrefix="0" xfId="0"/>
    <xf numFmtId="0" fontId="11" fillId="0" borderId="0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6" fillId="12" borderId="1" pivotButton="0" quotePrefix="0" xfId="0"/>
    <xf numFmtId="0" fontId="0" fillId="0" borderId="3" applyAlignment="1" pivotButton="0" quotePrefix="0" xfId="0">
      <alignment horizontal="center" vertical="center"/>
    </xf>
    <xf numFmtId="0" fontId="0" fillId="12" borderId="0" pivotButton="0" quotePrefix="0" xfId="0"/>
    <xf numFmtId="0" fontId="0" fillId="7" borderId="2" applyAlignment="1" pivotButton="0" quotePrefix="0" xfId="0">
      <alignment vertical="top"/>
    </xf>
    <xf numFmtId="0" fontId="0" fillId="7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12" fillId="0" borderId="0" pivotButton="0" quotePrefix="0" xfId="0"/>
    <xf numFmtId="0" fontId="0" fillId="9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9" borderId="1" pivotButton="0" quotePrefix="0" xfId="0"/>
    <xf numFmtId="0" fontId="6" fillId="9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vertical="top" wrapText="1"/>
    </xf>
    <xf numFmtId="0" fontId="2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12" borderId="0" pivotButton="0" quotePrefix="0" xfId="0"/>
    <xf numFmtId="0" fontId="0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vertical="top" wrapText="1"/>
    </xf>
    <xf numFmtId="0" fontId="15" fillId="7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5" fillId="7" borderId="1" applyAlignment="1" pivotButton="0" quotePrefix="0" xfId="0">
      <alignment horizontal="center" vertical="center"/>
    </xf>
    <xf numFmtId="0" fontId="13" fillId="7" borderId="1" pivotButton="0" quotePrefix="0" xfId="0"/>
    <xf numFmtId="0" fontId="13" fillId="7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0" fillId="13" borderId="1" applyAlignment="1" pivotButton="0" quotePrefix="0" xfId="0">
      <alignment horizontal="left" vertical="top"/>
    </xf>
    <xf numFmtId="0" fontId="0" fillId="13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3" fillId="13" borderId="1" pivotButton="0" quotePrefix="0" xfId="0"/>
    <xf numFmtId="0" fontId="0" fillId="0" borderId="9" pivotButton="0" quotePrefix="0" xfId="0"/>
    <xf numFmtId="0" fontId="15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/>
    </xf>
    <xf numFmtId="0" fontId="0" fillId="1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12" borderId="1" pivotButton="0" quotePrefix="0" xfId="0"/>
    <xf numFmtId="0" fontId="5" fillId="0" borderId="0" applyAlignment="1" pivotButton="0" quotePrefix="0" xfId="0">
      <alignment horizontal="center"/>
    </xf>
    <xf numFmtId="0" fontId="3" fillId="12" borderId="2" pivotButton="0" quotePrefix="0" xfId="0"/>
    <xf numFmtId="0" fontId="6" fillId="12" borderId="2" pivotButton="0" quotePrefix="0" xfId="0"/>
    <xf numFmtId="0" fontId="0" fillId="12" borderId="2" pivotButton="0" quotePrefix="0" xfId="0"/>
    <xf numFmtId="0" fontId="0" fillId="0" borderId="0" applyAlignment="1" pivotButton="0" quotePrefix="0" xfId="0">
      <alignment horizontal="center" vertical="top"/>
    </xf>
    <xf numFmtId="0" fontId="3" fillId="9" borderId="1" applyAlignment="1" pivotButton="0" quotePrefix="0" xfId="0">
      <alignment vertical="top"/>
    </xf>
    <xf numFmtId="0" fontId="6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5" borderId="3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19" fillId="0" borderId="2" pivotButton="0" quotePrefix="0" xfId="0"/>
    <xf numFmtId="0" fontId="19" fillId="0" borderId="4" pivotButton="0" quotePrefix="0" xfId="0"/>
    <xf numFmtId="0" fontId="19" fillId="0" borderId="3" pivotButton="0" quotePrefix="0" xfId="0"/>
    <xf numFmtId="0" fontId="19" fillId="0" borderId="1" pivotButton="0" quotePrefix="0" xfId="0"/>
    <xf numFmtId="0" fontId="3" fillId="12" borderId="1" pivotButton="0" quotePrefix="0" xfId="0"/>
    <xf numFmtId="0" fontId="6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left"/>
    </xf>
    <xf numFmtId="0" fontId="19" fillId="0" borderId="1" applyAlignment="1" pivotButton="0" quotePrefix="0" xfId="0">
      <alignment wrapText="1"/>
    </xf>
    <xf numFmtId="0" fontId="19" fillId="3" borderId="2" pivotButton="0" quotePrefix="0" xfId="0"/>
    <xf numFmtId="0" fontId="19" fillId="3" borderId="4" pivotButton="0" quotePrefix="0" xfId="0"/>
    <xf numFmtId="0" fontId="19" fillId="7" borderId="1" pivotButton="0" quotePrefix="0" xfId="0"/>
    <xf numFmtId="0" fontId="19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right"/>
    </xf>
    <xf numFmtId="0" fontId="19" fillId="0" borderId="4" applyAlignment="1" pivotButton="0" quotePrefix="0" xfId="0">
      <alignment wrapText="1"/>
    </xf>
    <xf numFmtId="0" fontId="20" fillId="0" borderId="1" applyAlignment="1" pivotButton="0" quotePrefix="0" xfId="0">
      <alignment vertical="top" wrapText="1"/>
    </xf>
    <xf numFmtId="0" fontId="20" fillId="0" borderId="4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/>
    </xf>
    <xf numFmtId="0" fontId="19" fillId="0" borderId="4" applyAlignment="1" pivotButton="0" quotePrefix="0" xfId="0">
      <alignment vertical="top"/>
    </xf>
    <xf numFmtId="0" fontId="20" fillId="7" borderId="4" pivotButton="0" quotePrefix="0" xfId="0"/>
    <xf numFmtId="0" fontId="20" fillId="15" borderId="1" pivotButton="0" quotePrefix="0" xfId="0"/>
    <xf numFmtId="0" fontId="20" fillId="7" borderId="2" pivotButton="0" quotePrefix="0" xfId="0"/>
    <xf numFmtId="0" fontId="20" fillId="0" borderId="3" pivotButton="0" quotePrefix="0" xfId="0"/>
    <xf numFmtId="0" fontId="20" fillId="0" borderId="4" pivotButton="0" quotePrefix="0" xfId="0"/>
    <xf numFmtId="0" fontId="20" fillId="0" borderId="4" applyAlignment="1" pivotButton="0" quotePrefix="0" xfId="0">
      <alignment vertical="top"/>
    </xf>
    <xf numFmtId="0" fontId="20" fillId="7" borderId="1" pivotButton="0" quotePrefix="0" xfId="0"/>
    <xf numFmtId="0" fontId="20" fillId="0" borderId="1" applyAlignment="1" pivotButton="0" quotePrefix="0" xfId="0">
      <alignment vertical="top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Ângela Cristiane Puhl [EE] (DSI)</author>
    <author>José Augusto Duarte Santos (DSI)</author>
  </authors>
  <commentList>
    <comment ref="F12" authorId="0" shapeId="0">
      <text>
        <t xml:space="preserve">Obrigatório quando impressão on-line, TIPO-IMPRESSAO = I </t>
      </text>
    </comment>
    <comment ref="F26" authorId="0" shapeId="0">
      <text>
        <t xml:space="preserve">Preenchido quando Leve, apenas para marcas FM e IB.
</t>
      </text>
    </comment>
    <comment ref="F29" authorId="1" shapeId="0">
      <text>
        <t>Deve ser sempre a espaços</t>
      </text>
    </comment>
    <comment ref="F30" authorId="1" shapeId="0">
      <text>
        <t>Deve ser sempre a espaços</t>
      </text>
    </comment>
  </commentList>
</comments>
</file>

<file path=xl/comments/comment2.xml><?xml version="1.0" encoding="utf-8"?>
<comments xmlns="http://schemas.openxmlformats.org/spreadsheetml/2006/main">
  <authors>
    <author>Ângela Cristiane Puhl [EE] (DSI)</author>
    <author>José Augusto Duarte Santos (DSI)</author>
  </authors>
  <commentList>
    <comment ref="F12" authorId="0" shapeId="0">
      <text>
        <t xml:space="preserve">Obrigatório quando impressão on-line, TIPO-IMPRESSAO = I </t>
      </text>
    </comment>
    <comment ref="F26" authorId="0" shapeId="0">
      <text>
        <t xml:space="preserve">Preenchido quando Leve, apenas para marcas FM e IB.
</t>
      </text>
    </comment>
    <comment ref="F29" authorId="1" shapeId="0">
      <text>
        <t>Deve ser sempre a espaços</t>
      </text>
    </comment>
    <comment ref="F30" authorId="1" shapeId="0">
      <text>
        <t>Deve ser sempre a espaços</t>
      </text>
    </comment>
  </commentList>
</comments>
</file>

<file path=xl/comments/comment3.xml><?xml version="1.0" encoding="utf-8"?>
<comments xmlns="http://schemas.openxmlformats.org/spreadsheetml/2006/main">
  <authors>
    <author>José Augusto Duarte Santos (DSI)</author>
    <author>Nuno Jorge Sousa Fernandes [EE] (DSI)</author>
  </authors>
  <commentList>
    <comment ref="E27" authorId="0" shapeId="0">
      <text>
        <t>Quando dirigido ao Mediador (Espaços para os restantes casos)</t>
      </text>
    </comment>
    <comment ref="E28" authorId="0" shapeId="0">
      <text>
        <t>Quando dirigido ao Mediador (Espaços para os restantes casos)</t>
      </text>
    </comment>
    <comment ref="E31" authorId="0" shapeId="0">
      <text>
        <t>ATENÇÃO: O campo deverá ser espaços quando:
- O documento refere mais do que uma apólice
- Nos casos das propostas (quando ainda não existe numero de apólice)</t>
      </text>
    </comment>
    <comment ref="E47" authorId="0" shapeId="0">
      <text>
        <t>Quando impressão online (Espaços para os restantes casos)</t>
      </text>
    </comment>
    <comment ref="E90" authorId="0" shapeId="0">
      <text>
        <t>Quando impressão online (Espaços para os restantes casos)</t>
      </text>
    </comment>
    <comment ref="E134" authorId="1" shapeId="0">
      <text>
        <t>Obrigatório se recebermos Registo do Tipo PPPS</t>
      </text>
    </comment>
    <comment ref="E139" authorId="1" shapeId="0">
      <text>
        <t>Obrigatório se recebermos Registo do Tipo PPFL</t>
      </text>
    </comment>
    <comment ref="E144" authorId="1" shapeId="0">
      <text>
        <t>Obrigatório se recebermos Registo do Tipo PPPC</t>
      </text>
    </comment>
    <comment ref="E145" authorId="1" shapeId="0">
      <text>
        <t>Obrigatório se recebermos Registo do Tipo PPPC</t>
      </text>
    </comment>
    <comment ref="E150" authorId="1" shapeId="0">
      <text>
        <t>Obrigatório se recebermos Registo do Tipo PPPC</t>
      </text>
    </comment>
    <comment ref="E151" authorId="1" shapeId="0">
      <text>
        <t>Obrigatório se recebermos Registo do Tipo PPPC</t>
      </text>
    </comment>
    <comment ref="E156" authorId="1" shapeId="0">
      <text>
        <t>Obrigatório se recebermos Registo do Tipo PPPC</t>
      </text>
    </comment>
    <comment ref="E157" authorId="1" shapeId="0">
      <text>
        <t>Obrigatório se recebermos Registo do Tipo PPPC</t>
      </text>
    </comment>
  </commentList>
</comments>
</file>

<file path=xl/comments/comment4.xml><?xml version="1.0" encoding="utf-8"?>
<comments xmlns="http://schemas.openxmlformats.org/spreadsheetml/2006/main">
  <authors>
    <author>Paulo Jorge Santos Graça [EE] (DSI)</author>
    <author>Nuno Jorge de Sousa Fernandes (ITD)</author>
  </authors>
  <commentList>
    <comment ref="B5" authorId="0" shapeId="0">
      <text>
        <t xml:space="preserve">Registo único - Tipo de Registo que só pode aparecer 1 vez no ficheiro
Registo Bloco - Tipo de Registo de Bloco de Informação (pode repetir, mas não consecutivamente)
Registo Lista - Tipo de Registo de Lista (pode repetir consecutivamente)
</t>
      </text>
    </comment>
    <comment ref="E22" authorId="0" shapeId="0">
      <text>
        <t xml:space="preserve">Obrigatório, quando se trata de uma impressão Online
</t>
      </text>
    </comment>
    <comment ref="E31" authorId="0" shapeId="0">
      <text>
        <t>Obrigatório para cobranca por agente</t>
      </text>
    </comment>
    <comment ref="E84" authorId="0" shapeId="0">
      <text>
        <t>Obrigatório, se 
:PREFIX:-DG-TIPO-TRANSACAO = 'A'</t>
      </text>
    </comment>
    <comment ref="E85" authorId="0" shapeId="0">
      <text>
        <t>Obrigatório, se 
:PREFIX:-DG-TIPO-TRANSACAO = 'A'</t>
      </text>
    </comment>
    <comment ref="E86" authorId="0" shapeId="0">
      <text>
        <t>Obrigatório, se 
:PREFIX:-DG-TIPO-TRANSACAO = 'A'</t>
      </text>
    </comment>
    <comment ref="E87" authorId="0" shapeId="0">
      <text>
        <t>Obrigatório, se 
(:PREFIX:-DG-TIPO-TRANSACAO = 'N' ou 'R') e (:PREFIX:-DG-TIPO-FRACCIONA = 'M' ou 'T' ou 'S')</t>
      </text>
    </comment>
    <comment ref="E88" authorId="0" shapeId="0">
      <text>
        <t>Obrigatório, se 
(:PREFIX:-DG-TIPO-TRANSACAO = 'N' ou 'R') e (:PREFIX:-DG-TIPO-FRACCIONA = 'M' ou 'T' ou 'S')</t>
      </text>
    </comment>
    <comment ref="E89" authorId="0" shapeId="0">
      <text>
        <t>Obrigatório, se 
(:PREFIX:-DG-TIPO-TRANSACAO = 'N' ou 'R') e (:PREFIX:-DG-TIPO-FRACCIONA = 'M' ou 'T' ou 'S')</t>
      </text>
    </comment>
    <comment ref="E90" authorId="0" shapeId="0">
      <text>
        <t>Obrigatório, se 
:PREFIX:-DG-TIPO-FRACCIONA = 'M' ou 'T' ou 'S'</t>
      </text>
    </comment>
    <comment ref="E91" authorId="0" shapeId="0">
      <text>
        <t>Obrigatório, se 
:PREFIX:-DG-TIPO-FRACCIONA = 'M' ou 'T' ou 'S'</t>
      </text>
    </comment>
    <comment ref="E92" authorId="0" shapeId="0">
      <text>
        <t>Obrigatório, se 
:PREFIX:-DG-TIPO-FRACCIONA = 'M' ou 'T' ou 'S'</t>
      </text>
    </comment>
    <comment ref="A151" authorId="1" shapeId="0">
      <text>
        <t xml:space="preserve">PREENCHIMENTO DOS CAMPOS FRANQUIA                         
 SEM FRANQUIA                 
    CB-COD-FRANQUIA = 'SF' (CB-VALOR-FRANQUIA = ZEROS)             
                               ==&gt; 'SEM FRANQUIA'                 
 FRANQUIA FIXA                                            
    CB-COD-FRANQUIA = 'CE' (CB-VALOR-FRANQUIA = ZEROS)             
                               ==&gt; 'CONFORME CONDIÇÃO ESPECIAL'   
 FRANQUIA FIXA                                            
    CB-COD-FRANQUIA = 'CC' (CB-VALOR-FRANQUIA = ZEROS)             
                               ==&gt; 'CONFORME CONDIÇÃO PARTICULAR' 
 FRANQUIA FIXA                                            
    CB-COD-FRANQUIA = 'CA' (CB-VALOR-FRANQUIA = ZEROS)             
                               ==&gt; 'CONFORME COBERTURA AFECTADA'  
 FRANQUIA DIAS                                            
    CB-COD-FRANQUIA = 'N4' (CB-VALOR-FRANQUIA = ZEROS E CB-NUMERO-DIAS &lt;&gt; ZEROS)             
                               ==&gt; 'X DIAS'              
 PERCENTAGEM DO CAPITAL                                   
    CB-COD-FRANQUIA = 'CF' (CB-VALOR-FRANQUIA &lt;&gt; ZEROS)            
                               ==&gt; 'VALOR'
PARA AS SUB-COBERTURAS 
   CB-COD-FRANQUIA = ' ' (CB-VALOR-FRANQUIA = ZEROS)                    
PERCENTAGEM DO SINISTRO                                   
   CB-COD-FRANQUIA = 'N2' (CB-PERC-FRANQUIA &lt;&gt; ZEROS):
      CB-VALOR-FRANQUIA E CB-VALOR-MAX-FRANQ = ZEROS
                              ==&gt; 'X% DOS PREJ. IND.'             
      CB-VALOR-FRANQUIA E CB-VALOR-MAX-FRANQ &lt;&gt; ZEROS
                              ==&gt; 'X% DOS PREJ. IND., MIN Y E MAX Z'
      CB-VALOR-FRANQUIA &lt;&gt; ZEROS E CB-VALOR-MAX-FRANQ = ZEROS
                              ==&gt; 'X% DOS PREJ. IND., MIN Y'
      CB-VALOR-FRANQUIA = ZEROS E CB-VALOR-MAX-FRANQ &lt;&gt; ZEROS
                              ==&gt; 'X% DOS PREJ. IND., MAX Z'
FRANQUIA CONFORME CONDIÇÕES GERAIS                        
   CB-COD-FRANQUIA = 'CG' (CB-VALOR-FRANQUIA = ZEROS)             
                              ==&gt; 'CONFORME CONDIÇÕES GERAIS'     
 </t>
      </text>
    </comment>
    <comment ref="A156" authorId="1" shapeId="0">
      <text>
        <t xml:space="preserve">PREENCHIMENTO DO CAMPO LIMITE DE INDEMNIZAÇÃO       
CB-IND-LIM-INDMN = '01' (CB-VALOR-LIM-INDMN &lt;&gt; ZEROS)   
                           ==&gt; 'VALOR'                      
CB-IND-LIM-INDMN = '02' (CAMPO CB-PERC-LIM-INDMN E CB-VALOR-LIM-INDMN &lt;&gt; ZEROS)           
                           ==&gt; 'X% PREJ.IND - MÁX Y'        
CB-IND-LIM-INDMN = '03' (CB-VALOR-LIM-INDMN E CB-DIAS-LIM-INDMN &lt;&gt; ZEROS) 
                           ==&gt; 'Y E MÁX Z DIAS'
CB-IND-LIM-INDMN = '04' 
                           ==&gt; 'CONFORME CONDIÇÃO ESPECIAL'         
CB-IND-LIM-INDMN = '05' 
                          ==&gt; 'CONFORME CONDIÇÕES GERAIS'          
CB-IND-LIM-INDMN = '06' (CB-VALOR-LIM-INDMN E CB-VLR1-LIM-INDMN)         
                           ==&gt; 'Y SINISTRO / Z ANUIDADE'   
CB-IND-LIM-INDMN = '07' (CB-VALOR-LIM-INDMN E CB-DIAS-LIM-INDMN)           
                           ==&gt; 'SUBS. Y/MES - MAX Z DIAS MESES'   
CB-IND-LIM-INDMN = '08' (CB-VALOR-LIM-INDMN E CB-DIAS-LIM-INDMN)           
                           ==&gt; 'Y RENDAS - MAX Z DIAS MESES'
</t>
      </text>
    </comment>
  </commentList>
</comments>
</file>

<file path=xl/comments/comment5.xml><?xml version="1.0" encoding="utf-8"?>
<comments xmlns="http://schemas.openxmlformats.org/spreadsheetml/2006/main">
  <authors>
    <author>Paulo Jorge Santos Graça [EE] (DSI)</author>
    <author>Nuno Jorge Sousa Fernandes [EE] (FIT)</author>
  </authors>
  <commentList>
    <comment ref="D7" authorId="0" shapeId="0">
      <text>
        <t xml:space="preserve">Quando Aviso-Recibo sem extrato, só vem o tipo "1"
</t>
      </text>
    </comment>
    <comment ref="G17" authorId="0" shapeId="0">
      <text>
        <t xml:space="preserve">Obrigatório, quando se trata de uma impressão Online
</t>
      </text>
    </comment>
    <comment ref="G18" authorId="0" shapeId="0">
      <text>
        <t xml:space="preserve">Não é suposto receber ViaDirecta… deve ser enviado ficheiro para eles directamente
</t>
      </text>
    </comment>
    <comment ref="G23" authorId="0" shapeId="0">
      <text>
        <t xml:space="preserve">Não é suposto recebermos OK Teleseguro ou Continente. Deve ser enviado ficheiro para a ViaDirecta
</t>
      </text>
    </comment>
    <comment ref="G31" authorId="0" shapeId="0">
      <text>
        <t xml:space="preserve">Apenas para casos em que a marca é FM ou IB
</t>
      </text>
    </comment>
    <comment ref="G33" authorId="0" shapeId="0">
      <text>
        <t>Obrigatório para lote, ou cobranca por agente</t>
      </text>
    </comment>
    <comment ref="G34" authorId="0" shapeId="0">
      <text>
        <t xml:space="preserve">Obrigatorio, excepto para lote
</t>
      </text>
    </comment>
    <comment ref="G54" authorId="0" shapeId="0">
      <text>
        <t xml:space="preserve">Obrigatório, desde que tipo de documento diferente de lote
</t>
      </text>
    </comment>
    <comment ref="G57" authorId="0" shapeId="0">
      <text>
        <t>Obrigatório, desde que tipo de documento diferente de lote
Recibo apenas com cobrança por agente</t>
      </text>
    </comment>
    <comment ref="D63" authorId="0" shapeId="0">
      <text>
        <t xml:space="preserve">Seguro Novo
</t>
      </text>
    </comment>
    <comment ref="G123" authorId="0" shapeId="0">
      <text>
        <t xml:space="preserve">Numero de cliente
</t>
      </text>
    </comment>
    <comment ref="G124" authorId="0" shapeId="0">
      <text>
        <t>Numero de cliente</t>
      </text>
    </comment>
    <comment ref="G125" authorId="0" shapeId="0">
      <text>
        <t xml:space="preserve">Numero de cliente
</t>
      </text>
    </comment>
    <comment ref="G128" authorId="0" shapeId="0">
      <text>
        <t xml:space="preserve">Numero de cliente
</t>
      </text>
    </comment>
    <comment ref="G129" authorId="0" shapeId="0">
      <text>
        <t xml:space="preserve">Numero de cliente
</t>
      </text>
    </comment>
    <comment ref="G130" authorId="0" shapeId="0">
      <text>
        <t>Numero de cliente</t>
      </text>
    </comment>
    <comment ref="G131" authorId="0" shapeId="0">
      <text>
        <t>Numero de cliente</t>
      </text>
    </comment>
    <comment ref="G132" authorId="0" shapeId="0">
      <text>
        <t>Numero de cliente</t>
      </text>
    </comment>
    <comment ref="G133" authorId="0" shapeId="0">
      <text>
        <t>Numero de cliente</t>
      </text>
    </comment>
    <comment ref="G134" authorId="0" shapeId="0">
      <text>
        <t>Numero de cliente</t>
      </text>
    </comment>
    <comment ref="D141" authorId="0" shapeId="0">
      <text>
        <t xml:space="preserve">Resgate Programado até:
(Para casos Poupança Auto)
</t>
      </text>
    </comment>
    <comment ref="G142" authorId="0" shapeId="0">
      <text>
        <t xml:space="preserve">Obrigatório para premio
</t>
      </text>
    </comment>
    <comment ref="G143" authorId="0" shapeId="0">
      <text>
        <t>Obrigatório para premio</t>
      </text>
    </comment>
    <comment ref="D145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145" authorId="0" shapeId="0">
      <text>
        <t xml:space="preserve">O sinal deve estar sempre informado.
Os campos valor devem ser zeros, quando não tem significado
</t>
      </text>
    </comment>
    <comment ref="D146" authorId="1" shapeId="0">
      <text>
        <t xml:space="preserve">VIDA:
Valor do "Prémio Risco" nas Apólices com TIPO-APOLICE:
Vida Misto Puro (MI/MG) 
Vida Misto Capitalização (XI/XG)
</t>
      </text>
    </comment>
    <comment ref="G146" authorId="0" shapeId="0">
      <text>
        <t xml:space="preserve">O sinal deve estar sempre informado.
Os campos valor devem ser zeros, quando não tem significado
</t>
      </text>
    </comment>
    <comment ref="B147" authorId="0" shapeId="0">
      <text>
        <t xml:space="preserve">BONIF
</t>
      </text>
    </comment>
    <comment ref="G147" authorId="0" shapeId="0">
      <text>
        <t xml:space="preserve">O sinal deve estar sempre informado.
Os campos valor devem ser zeros, quando não tem significado
</t>
      </text>
    </comment>
    <comment ref="G148" authorId="0" shapeId="0">
      <text>
        <t xml:space="preserve">O sinal deve estar sempre informado.
Os campos valor devem ser zeros, quando não tem significado
</t>
      </text>
    </comment>
    <comment ref="B149" authorId="0" shapeId="0">
      <text>
        <t xml:space="preserve">VAFRC
</t>
      </text>
    </comment>
    <comment ref="D149" authorId="0" shapeId="0">
      <text>
        <t xml:space="preserve">Para casos FGS e RVI:
RU-O-VIDA-GRUPO OR RU-O-VIDA-IND
</t>
      </text>
    </comment>
    <comment ref="G149" authorId="0" shapeId="0">
      <text>
        <t xml:space="preserve">O sinal deve estar sempre informado.
Os campos valor devem ser zeros, quando não tem significado
</t>
      </text>
    </comment>
    <comment ref="B150" authorId="0" shapeId="0">
      <text>
        <t>VAFAT</t>
      </text>
    </comment>
    <comment ref="D150" authorId="0" shapeId="0">
      <text>
        <t xml:space="preserve">No Output, aparecem juntos:
RU-CARTA-VERDE + RU-SNB + RU-FUNDAP
</t>
      </text>
    </comment>
    <comment ref="G150" authorId="0" shapeId="0">
      <text>
        <t xml:space="preserve">O sinal deve estar sempre informado.
Os campos valor devem ser zeros, quando não tem significado
</t>
      </text>
    </comment>
    <comment ref="B151" authorId="0" shapeId="0">
      <text>
        <t>VAFGR</t>
      </text>
    </comment>
    <comment ref="D151" authorId="0" shapeId="0">
      <text>
        <t xml:space="preserve">No Output, aparecem juntos:
RU-FUND-CALAM + RU-FGA-ANTIGO
</t>
      </text>
    </comment>
    <comment ref="G151" authorId="0" shapeId="0">
      <text>
        <t xml:space="preserve">O sinal deve estar sempre informado.
Os campos valor devem ser zeros, quando não tem significado
</t>
      </text>
    </comment>
    <comment ref="B152" authorId="0" shapeId="0">
      <text>
        <t xml:space="preserve">VASNB
</t>
      </text>
    </comment>
    <comment ref="D152" authorId="0" shapeId="0">
      <text>
        <t xml:space="preserve">No Output, aparecem juntos:
RU-CARTA-VERDE + RU-SNB + RU-FUNDAP
excepto quando não há valor de CV e FAT
</t>
      </text>
    </comment>
    <comment ref="G152" authorId="0" shapeId="0">
      <text>
        <t xml:space="preserve">O sinal deve estar sempre informado.
Os campos valor devem ser zeros, quando não tem significado
</t>
      </text>
    </comment>
    <comment ref="B153" authorId="0" shapeId="0">
      <text>
        <t>VINEM</t>
      </text>
    </comment>
    <comment ref="G153" authorId="0" shapeId="0">
      <text>
        <t xml:space="preserve">O sinal deve estar sempre informado.
Os campos valor devem ser zeros, quando não tem significado
</t>
      </text>
    </comment>
    <comment ref="B154" authorId="0" shapeId="0">
      <text>
        <t>VACVD</t>
      </text>
    </comment>
    <comment ref="D154" authorId="0" shapeId="0">
      <text>
        <t xml:space="preserve">No Output, aparecem juntos:
RU-CARTA-VERDE + RU-SNB + RU-FUNDAP
</t>
      </text>
    </comment>
    <comment ref="G154" authorId="0" shapeId="0">
      <text>
        <t xml:space="preserve">O sinal deve estar sempre informado.
Os campos valor devem ser zeros, quando não tem significado
</t>
      </text>
    </comment>
    <comment ref="B155" authorId="0" shapeId="0">
      <text>
        <t xml:space="preserve">VASEL
</t>
      </text>
    </comment>
    <comment ref="G155" authorId="0" shapeId="0">
      <text>
        <t xml:space="preserve">O sinal deve estar sempre informado.
Os campos valor devem ser zeros, quando não tem significado
</t>
      </text>
    </comment>
    <comment ref="B156" authorId="0" shapeId="0">
      <text>
        <t xml:space="preserve">VACTA
</t>
      </text>
    </comment>
    <comment ref="D156" authorId="0" shapeId="0">
      <text>
        <t xml:space="preserve">Para casos FGS e RVI:
RU-O-VIDA-GRUPO OR RU-O-VIDA-IND
Descritivo: "CUSTO CERTIFICADO"
</t>
      </text>
    </comment>
    <comment ref="G156" authorId="0" shapeId="0">
      <text>
        <t xml:space="preserve">O sinal deve estar sempre informado.
Os campos valor devem ser zeros, quando não tem significado
</t>
      </text>
    </comment>
    <comment ref="B157" authorId="0" shapeId="0">
      <text>
        <t xml:space="preserve">VIMSL
</t>
      </text>
    </comment>
    <comment ref="G157" authorId="0" shapeId="0">
      <text>
        <t xml:space="preserve">O sinal deve estar sempre informado.
Os campos valor devem ser zeros, quando não tem significado
</t>
      </text>
    </comment>
    <comment ref="B158" authorId="0" shapeId="0">
      <text>
        <t xml:space="preserve">CALAM
</t>
      </text>
    </comment>
    <comment ref="D158" authorId="0" shapeId="0">
      <text>
        <t xml:space="preserve">No Output, aparecem juntos:
RU-FUND-CALAM + RU-FGA-ANTIGO
</t>
      </text>
    </comment>
    <comment ref="G158" authorId="0" shapeId="0">
      <text>
        <t xml:space="preserve">O sinal deve estar sempre informado.
Os campos valor devem ser zeros, quando não tem significado
</t>
      </text>
    </comment>
    <comment ref="B159" authorId="0" shapeId="0">
      <text>
        <t xml:space="preserve">VAFGA
</t>
      </text>
    </comment>
    <comment ref="G159" authorId="0" shapeId="0">
      <text>
        <t xml:space="preserve">O sinal deve estar sempre informado.
Os campos valor devem ser zeros, quando não tem significado
</t>
      </text>
    </comment>
    <comment ref="B160" authorId="0" shapeId="0">
      <text>
        <t xml:space="preserve">VAFGP
</t>
      </text>
    </comment>
    <comment ref="G160" authorId="0" shapeId="0">
      <text>
        <t xml:space="preserve">O sinal deve estar sempre informado.
Os campos valor devem ser zeros, quando não tem significado
</t>
      </text>
    </comment>
    <comment ref="B161" authorId="0" shapeId="0">
      <text>
        <t>BONUS</t>
      </text>
    </comment>
    <comment ref="D161" authorId="0" shapeId="0">
      <text>
        <t xml:space="preserve">Bonificação para casos de colheitas (RU-BONIFICACAO)
</t>
      </text>
    </comment>
    <comment ref="G161" authorId="0" shapeId="0">
      <text>
        <t xml:space="preserve">O sinal deve estar sempre informado.
Os campos valor devem ser zeros, quando não tem significado
</t>
      </text>
    </comment>
    <comment ref="B162" authorId="0" shapeId="0">
      <text>
        <t xml:space="preserve">VAPRS
</t>
      </text>
    </comment>
    <comment ref="D162" authorId="0" shapeId="0">
      <text>
        <t xml:space="preserve">Prémio comercial = Prémio Simples + Bonus + Custo Fracionamento (RU-PR-SIMPLES + RU-BONUS + RU-CUSTO-FRACC)
</t>
      </text>
    </comment>
    <comment ref="G162" authorId="0" shapeId="0">
      <text>
        <t xml:space="preserve">O sinal deve estar sempre informado.
Os campos valor devem ser zeros, quando não tem significado
</t>
      </text>
    </comment>
    <comment ref="G163" authorId="0" shapeId="0">
      <text>
        <t xml:space="preserve">O sinal deve estar sempre informado.
Os campos valor devem ser zeros, quando não tem significado
</t>
      </text>
    </comment>
    <comment ref="G166" authorId="0" shapeId="0">
      <text>
        <t xml:space="preserve">Pagamento bancário e IBAN Português
</t>
      </text>
    </comment>
    <comment ref="G167" authorId="0" shapeId="0">
      <text>
        <t xml:space="preserve">Cobrança bancária
</t>
      </text>
    </comment>
    <comment ref="G168" authorId="0" shapeId="0">
      <text>
        <t xml:space="preserve">Cobrança bancária
</t>
      </text>
    </comment>
    <comment ref="G169" authorId="0" shapeId="0">
      <text>
        <t xml:space="preserve">Cobrança bancária
</t>
      </text>
    </comment>
    <comment ref="D170" authorId="0" shapeId="0">
      <text>
        <t xml:space="preserve">O número da ADD na Autorização de Débito Sepa, tem um tamanho de 33?!
</t>
      </text>
    </comment>
    <comment ref="G170" authorId="0" shapeId="0">
      <text>
        <t xml:space="preserve">Cobrança bancária
</t>
      </text>
    </comment>
    <comment ref="G172" authorId="0" shapeId="0">
      <text>
        <t xml:space="preserve">Obrigatório para cobrança por agente ou cobranca directa
</t>
      </text>
    </comment>
    <comment ref="G173" authorId="0" shapeId="0">
      <text>
        <t xml:space="preserve">Obrigatório para cobrança por agente ou cobranca directa
</t>
      </text>
    </comment>
    <comment ref="G175" authorId="0" shapeId="0">
      <text>
        <t xml:space="preserve">Obrigatório para cobranca directa
</t>
      </text>
    </comment>
    <comment ref="G176" authorId="0" shapeId="0">
      <text>
        <t xml:space="preserve">Obrigatório para cobranca directa
</t>
      </text>
    </comment>
    <comment ref="G182" authorId="0" shapeId="0">
      <text>
        <t xml:space="preserve">Nr Agente
</t>
      </text>
    </comment>
    <comment ref="G183" authorId="0" shapeId="0">
      <text>
        <t xml:space="preserve">Nr Agente
</t>
      </text>
    </comment>
    <comment ref="G184" authorId="0" shapeId="0">
      <text>
        <t xml:space="preserve">Nr Agente
</t>
      </text>
    </comment>
    <comment ref="G187" authorId="0" shapeId="0">
      <text>
        <t xml:space="preserve">Nr Agente
</t>
      </text>
    </comment>
    <comment ref="G188" authorId="0" shapeId="0">
      <text>
        <t xml:space="preserve">Nr Agente
</t>
      </text>
    </comment>
    <comment ref="G189" authorId="0" shapeId="0">
      <text>
        <t xml:space="preserve">Nr Agente
</t>
      </text>
    </comment>
    <comment ref="G190" authorId="0" shapeId="0">
      <text>
        <t xml:space="preserve">Nr Agente
</t>
      </text>
    </comment>
    <comment ref="G191" authorId="0" shapeId="0">
      <text>
        <t xml:space="preserve">Nr Agente
</t>
      </text>
    </comment>
    <comment ref="B196" authorId="0" shapeId="0">
      <text>
        <t>VCCOA</t>
      </text>
    </comment>
    <comment ref="G196" authorId="0" shapeId="0">
      <text>
        <t xml:space="preserve">O sinal deve estar sempre informado.
Os campos valor devem ser zeros, quando não tem significado
</t>
      </text>
    </comment>
    <comment ref="B198" authorId="0" shapeId="0">
      <text>
        <t xml:space="preserve">VCCOC
</t>
      </text>
    </comment>
    <comment ref="G198" authorId="0" shapeId="0">
      <text>
        <t xml:space="preserve">O sinal deve estar sempre informado.
Os campos valor devem ser zeros, quando não tem significado
</t>
      </text>
    </comment>
    <comment ref="B200" authorId="0" shapeId="0">
      <text>
        <t>VCCOO</t>
      </text>
    </comment>
    <comment ref="G200" authorId="0" shapeId="0">
      <text>
        <t xml:space="preserve">O sinal deve estar sempre informado.
Os campos valor devem ser zeros, quando não tem significado
</t>
      </text>
    </comment>
    <comment ref="B202" authorId="0" shapeId="0">
      <text>
        <t xml:space="preserve">VRCOM
</t>
      </text>
    </comment>
    <comment ref="G202" authorId="0" shapeId="0">
      <text>
        <t xml:space="preserve">O sinal deve estar sempre informado.
Os campos valor devem ser zeros, quando não tem significado
</t>
      </text>
    </comment>
    <comment ref="G205" authorId="0" shapeId="0">
      <text>
        <t xml:space="preserve">Quantidade de credores igual a 1
</t>
      </text>
    </comment>
    <comment ref="G206" authorId="0" shapeId="0">
      <text>
        <t xml:space="preserve">Quantidade de credores igual a 1
</t>
      </text>
    </comment>
    <comment ref="G207" authorId="0" shapeId="0">
      <text>
        <t xml:space="preserve">Quantidade de credores igual a 1
</t>
      </text>
    </comment>
    <comment ref="G208" authorId="0" shapeId="0">
      <text>
        <t xml:space="preserve">Quantidade de credores igual a 1
</t>
      </text>
    </comment>
    <comment ref="G211" authorId="0" shapeId="0">
      <text>
        <t xml:space="preserve">Quantidade de credores igual a 1
</t>
      </text>
    </comment>
    <comment ref="G212" authorId="0" shapeId="0">
      <text>
        <t xml:space="preserve">Quantidade de credores igual a 1
</t>
      </text>
    </comment>
    <comment ref="G213" authorId="0" shapeId="0">
      <text>
        <t xml:space="preserve">Quantidade de credores igual a 1
</t>
      </text>
    </comment>
    <comment ref="G214" authorId="0" shapeId="0">
      <text>
        <t xml:space="preserve">Quantidade de credores igual a 1
</t>
      </text>
    </comment>
    <comment ref="G215" authorId="0" shapeId="0">
      <text>
        <t xml:space="preserve">Quantidade de credores igual a 1
</t>
      </text>
    </comment>
    <comment ref="G218" authorId="0" shapeId="0">
      <text>
        <t xml:space="preserve">Deve ser sempre informado o tipo de detalhe que está nos 400bytes seguintes
</t>
      </text>
    </comment>
    <comment ref="D231" authorId="0" shapeId="0">
      <text>
        <t xml:space="preserve">A utilizar em casos que não tem detalhe especifico por ramo
</t>
      </text>
    </comment>
    <comment ref="G231" authorId="0" shapeId="0">
      <text>
        <t xml:space="preserve">UR-TIPO = GR
</t>
      </text>
    </comment>
    <comment ref="G234" authorId="0" shapeId="0">
      <text>
        <t xml:space="preserve">UR-TIPO = VI
</t>
      </text>
    </comment>
    <comment ref="G240" authorId="0" shapeId="0">
      <text>
        <t xml:space="preserve">Obrigatório para A/R e FATURAS VIDA com VI-TIPO-APOLICE:
Vida Capitalização 
Vida Misto Puro 
Vida Misto Capitalização 
</t>
      </text>
    </comment>
    <comment ref="G241" authorId="1" shapeId="0">
      <text>
        <t xml:space="preserve">Obrigatório para Faturas de Indemnizações
</t>
      </text>
    </comment>
    <comment ref="G252" authorId="0" shapeId="0">
      <text>
        <t xml:space="preserve">UR-TIPO = VH
</t>
      </text>
    </comment>
    <comment ref="G254" authorId="0" shapeId="0">
      <text>
        <t xml:space="preserve">UR-TIPO = VH
</t>
      </text>
    </comment>
    <comment ref="G255" authorId="0" shapeId="0">
      <text>
        <t xml:space="preserve">UR-TIPO = VH
</t>
      </text>
    </comment>
    <comment ref="D258" authorId="0" shapeId="0">
      <text>
        <t xml:space="preserve">Especifico para Garagista
</t>
      </text>
    </comment>
    <comment ref="G258" authorId="0" shapeId="0">
      <text>
        <t xml:space="preserve">UR-TIPO = VG
</t>
      </text>
    </comment>
    <comment ref="D259" authorId="0" shapeId="0">
      <text>
        <t xml:space="preserve">Especifico para Garagista
</t>
      </text>
    </comment>
    <comment ref="G262" authorId="0" shapeId="0">
      <text>
        <t xml:space="preserve">UR-TIPO = VO
</t>
      </text>
    </comment>
    <comment ref="G265" authorId="0" shapeId="0">
      <text>
        <t xml:space="preserve">UR-TIPO = MR
</t>
      </text>
    </comment>
    <comment ref="G273" authorId="0" shapeId="0">
      <text>
        <t xml:space="preserve">UR-TIPO = AT
</t>
      </text>
    </comment>
    <comment ref="G284" authorId="0" shapeId="0">
      <text>
        <t xml:space="preserve">UR-TIPO = "LT"
</t>
      </text>
    </comment>
    <comment ref="G289" authorId="0" shapeId="0">
      <text>
        <t xml:space="preserve">O sinal deve estar sempre informado.
Os campos valor devem ser zeros, quando não tem significado
</t>
      </text>
    </comment>
    <comment ref="G298" authorId="0" shapeId="0">
      <text>
        <t xml:space="preserve">Obrigatório sempre que código de documento 'EXTR' (Extrato)
</t>
      </text>
    </comment>
    <comment ref="G299" authorId="0" shapeId="0">
      <text>
        <t xml:space="preserve">Obrigatório sempre que código de documento 'EXTR' (Extrato)
</t>
      </text>
    </comment>
    <comment ref="G300" authorId="0" shapeId="0">
      <text>
        <t xml:space="preserve">Obrigatório sempre que código de documento 'EXTR' (Extrato)
</t>
      </text>
    </comment>
    <comment ref="G301" authorId="0" shapeId="0">
      <text>
        <t xml:space="preserve">Obrigatório sempre que código de documento 'EXTR' (Extrato)
</t>
      </text>
    </comment>
    <comment ref="G303" authorId="0" shapeId="0">
      <text>
        <t xml:space="preserve">Obrigatório sempre que 
o Nº Certificado do Aviso estiver preenchido
</t>
      </text>
    </comment>
    <comment ref="G305" authorId="0" shapeId="0">
      <text>
        <t xml:space="preserve">Obrigatório sempre que 
o Nº Certificado do Aviso estiver preenchido
</t>
      </text>
    </comment>
    <comment ref="G306" authorId="0" shapeId="0">
      <text>
        <t xml:space="preserve">Obrigatório sempre que 
o Nº Certificado do Aviso estiver preenchido
</t>
      </text>
    </comment>
    <comment ref="G307" authorId="0" shapeId="0">
      <text>
        <t xml:space="preserve">Obrigatório sempre que 
o Nº Certificado do Aviso estiver preenchido
</t>
      </text>
    </comment>
    <comment ref="G309" authorId="0" shapeId="0">
      <text>
        <t xml:space="preserve">Obrigatório sempre que 
o Nº Certificado do Aviso estiver preenchido
</t>
      </text>
    </comment>
    <comment ref="G310" authorId="0" shapeId="0">
      <text>
        <t xml:space="preserve">Obrigatório sempre que 
o Nº Certificado do Aviso estiver preenchido
</t>
      </text>
    </comment>
    <comment ref="G311" authorId="0" shapeId="0">
      <text>
        <t xml:space="preserve">Obrigatório sempre que 
o Nº Certificado do Aviso estiver preenchido
</t>
      </text>
    </comment>
    <comment ref="G334" authorId="0" shapeId="0">
      <text>
        <t>Quando preenchido, o campo :PREFIX:-PI-VLR-IMPOSTO também tem de estar preenchido</t>
      </text>
    </comment>
    <comment ref="G335" authorId="0" shapeId="0">
      <text>
        <t>Obrigatório se o campo :PREFIX:-PI-POLICY-BUS-COUNTRY estiver preenchido</t>
      </text>
    </comment>
    <comment ref="G349" authorId="0" shapeId="0">
      <text>
        <t xml:space="preserve">O sinal deve estar sempre informado.
Os campos valor devem ser zeros, quando não tem significado
</t>
      </text>
    </comment>
    <comment ref="G355" authorId="0" shapeId="0">
      <text>
        <t>Se o COD-PRODUTO não vier preenchido</t>
      </text>
    </comment>
    <comment ref="D359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359" authorId="0" shapeId="0">
      <text>
        <t xml:space="preserve">O sinal deve estar sempre informado.
Os campos valor devem ser zeros, quando não tem significado
</t>
      </text>
    </comment>
    <comment ref="D360" authorId="1" shapeId="0">
      <text>
        <t xml:space="preserve">VIDA:
Valor do "Prémio Risco" nas Apólices com TIPO-APOLICE:
Vida Misto Puro (MI/MG) 
Vida Misto Capitalização (XI/XG)
</t>
      </text>
    </comment>
    <comment ref="G360" authorId="0" shapeId="0">
      <text>
        <t xml:space="preserve">O sinal deve estar sempre informado.
Os campos valor devem ser zeros, quando não tem significado
</t>
      </text>
    </comment>
    <comment ref="B361" authorId="0" shapeId="0">
      <text>
        <t xml:space="preserve">BONIF
</t>
      </text>
    </comment>
    <comment ref="G361" authorId="0" shapeId="0">
      <text>
        <t xml:space="preserve">O sinal deve estar sempre informado.
Os campos valor devem ser zeros, quando não tem significado
</t>
      </text>
    </comment>
    <comment ref="G362" authorId="0" shapeId="0">
      <text>
        <t xml:space="preserve">O sinal deve estar sempre informado.
Os campos valor devem ser zeros, quando não tem significado
</t>
      </text>
    </comment>
    <comment ref="B363" authorId="0" shapeId="0">
      <text>
        <t xml:space="preserve">VAFRC
</t>
      </text>
    </comment>
    <comment ref="D363" authorId="0" shapeId="0">
      <text>
        <t xml:space="preserve">Para casos FGS e RVI:
RU-O-VIDA-GRUPO OR RU-O-VIDA-IND
</t>
      </text>
    </comment>
    <comment ref="G363" authorId="0" shapeId="0">
      <text>
        <t xml:space="preserve">O sinal deve estar sempre informado.
Os campos valor devem ser zeros, quando não tem significado
</t>
      </text>
    </comment>
    <comment ref="B364" authorId="0" shapeId="0">
      <text>
        <t>VAFAT</t>
      </text>
    </comment>
    <comment ref="D364" authorId="0" shapeId="0">
      <text>
        <t xml:space="preserve">No Output, aparecem juntos:
RU-CARTA-VERDE + RU-SNB + RU-FUNDAP
</t>
      </text>
    </comment>
    <comment ref="G364" authorId="0" shapeId="0">
      <text>
        <t xml:space="preserve">O sinal deve estar sempre informado.
Os campos valor devem ser zeros, quando não tem significado
</t>
      </text>
    </comment>
    <comment ref="B365" authorId="0" shapeId="0">
      <text>
        <t>VAFGR</t>
      </text>
    </comment>
    <comment ref="D365" authorId="0" shapeId="0">
      <text>
        <t xml:space="preserve">No Output, aparecem juntos:
RU-FUND-CALAM + RU-FGA-ANTIGO
</t>
      </text>
    </comment>
    <comment ref="G365" authorId="0" shapeId="0">
      <text>
        <t xml:space="preserve">O sinal deve estar sempre informado.
Os campos valor devem ser zeros, quando não tem significado
</t>
      </text>
    </comment>
    <comment ref="B366" authorId="0" shapeId="0">
      <text>
        <t xml:space="preserve">VASNB
</t>
      </text>
    </comment>
    <comment ref="D366" authorId="0" shapeId="0">
      <text>
        <t xml:space="preserve">No Output, aparecem juntos:
RU-CARTA-VERDE + RU-SNB + RU-FUNDAP
excepto quando não há valor de CV e FAT
</t>
      </text>
    </comment>
    <comment ref="G366" authorId="0" shapeId="0">
      <text>
        <t xml:space="preserve">O sinal deve estar sempre informado.
Os campos valor devem ser zeros, quando não tem significado
</t>
      </text>
    </comment>
    <comment ref="B367" authorId="0" shapeId="0">
      <text>
        <t>VINEM</t>
      </text>
    </comment>
    <comment ref="G367" authorId="0" shapeId="0">
      <text>
        <t xml:space="preserve">O sinal deve estar sempre informado.
Os campos valor devem ser zeros, quando não tem significado
</t>
      </text>
    </comment>
    <comment ref="B368" authorId="0" shapeId="0">
      <text>
        <t>VACVD</t>
      </text>
    </comment>
    <comment ref="D368" authorId="0" shapeId="0">
      <text>
        <t xml:space="preserve">No Output, aparecem juntos:
RU-CARTA-VERDE + RU-SNB + RU-FUNDAP
</t>
      </text>
    </comment>
    <comment ref="G368" authorId="0" shapeId="0">
      <text>
        <t xml:space="preserve">O sinal deve estar sempre informado.
Os campos valor devem ser zeros, quando não tem significado
</t>
      </text>
    </comment>
    <comment ref="B369" authorId="0" shapeId="0">
      <text>
        <t xml:space="preserve">VASEL
</t>
      </text>
    </comment>
    <comment ref="G369" authorId="0" shapeId="0">
      <text>
        <t xml:space="preserve">O sinal deve estar sempre informado.
Os campos valor devem ser zeros, quando não tem significado
</t>
      </text>
    </comment>
    <comment ref="B370" authorId="0" shapeId="0">
      <text>
        <t xml:space="preserve">VACTA
</t>
      </text>
    </comment>
    <comment ref="D370" authorId="0" shapeId="0">
      <text>
        <t xml:space="preserve">Para casos FGS e RVI:
RU-O-VIDA-GRUPO OR RU-O-VIDA-IND
Descritivo: "CUSTO CERTIFICADO"
</t>
      </text>
    </comment>
    <comment ref="G370" authorId="0" shapeId="0">
      <text>
        <t xml:space="preserve">O sinal deve estar sempre informado.
Os campos valor devem ser zeros, quando não tem significado
</t>
      </text>
    </comment>
    <comment ref="B371" authorId="0" shapeId="0">
      <text>
        <t xml:space="preserve">VIMSL
</t>
      </text>
    </comment>
    <comment ref="G371" authorId="0" shapeId="0">
      <text>
        <t xml:space="preserve">O sinal deve estar sempre informado.
Os campos valor devem ser zeros, quando não tem significado
</t>
      </text>
    </comment>
    <comment ref="B372" authorId="0" shapeId="0">
      <text>
        <t xml:space="preserve">CALAM
</t>
      </text>
    </comment>
    <comment ref="D372" authorId="0" shapeId="0">
      <text>
        <t xml:space="preserve">No Output, aparecem juntos:
RU-FUND-CALAM + RU-FGA-ANTIGO
</t>
      </text>
    </comment>
    <comment ref="G372" authorId="0" shapeId="0">
      <text>
        <t xml:space="preserve">O sinal deve estar sempre informado.
Os campos valor devem ser zeros, quando não tem significado
</t>
      </text>
    </comment>
    <comment ref="B373" authorId="0" shapeId="0">
      <text>
        <t xml:space="preserve">VAFGA
</t>
      </text>
    </comment>
    <comment ref="G373" authorId="0" shapeId="0">
      <text>
        <t xml:space="preserve">O sinal deve estar sempre informado.
Os campos valor devem ser zeros, quando não tem significado
</t>
      </text>
    </comment>
    <comment ref="B374" authorId="0" shapeId="0">
      <text>
        <t xml:space="preserve">VAFGP
</t>
      </text>
    </comment>
    <comment ref="G374" authorId="0" shapeId="0">
      <text>
        <t xml:space="preserve">O sinal deve estar sempre informado.
Os campos valor devem ser zeros, quando não tem significado
</t>
      </text>
    </comment>
    <comment ref="B375" authorId="0" shapeId="0">
      <text>
        <t>BONUS</t>
      </text>
    </comment>
    <comment ref="D375" authorId="0" shapeId="0">
      <text>
        <t xml:space="preserve">Bonificação para casos de colheitas (RU-BONIFICACAO)
</t>
      </text>
    </comment>
    <comment ref="G375" authorId="0" shapeId="0">
      <text>
        <t xml:space="preserve">O sinal deve estar sempre informado.
Os campos valor devem ser zeros, quando não tem significado
</t>
      </text>
    </comment>
    <comment ref="B376" authorId="0" shapeId="0">
      <text>
        <t xml:space="preserve">VAPRS
</t>
      </text>
    </comment>
    <comment ref="D376" authorId="0" shapeId="0">
      <text>
        <t xml:space="preserve">Prémio comercial = Prémio Simples + Bonus + Custo Fracionamento (RU-PR-SIMPLES + RU-BONUS + RU-CUSTO-FRACC)
</t>
      </text>
    </comment>
    <comment ref="G376" authorId="0" shapeId="0">
      <text>
        <t xml:space="preserve">O sinal deve estar sempre informado.
Os campos valor devem ser zeros, quando não tem significado
</t>
      </text>
    </comment>
    <comment ref="G377" authorId="0" shapeId="0">
      <text>
        <t xml:space="preserve">O sinal deve estar sempre informado.
Os campos valor devem ser zeros, quando não tem significado
</t>
      </text>
    </comment>
    <comment ref="G378" authorId="0" shapeId="0">
      <text>
        <t xml:space="preserve">O sinal deve estar sempre informado.
Os campos valor devem ser zeros, quando não tem significado
</t>
      </text>
    </comment>
    <comment ref="G379" authorId="0" shapeId="0">
      <text>
        <t xml:space="preserve">O sinal deve estar sempre informado.
Os campos valor devem ser zeros, quando não tem significado
</t>
      </text>
    </comment>
    <comment ref="D386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386" authorId="0" shapeId="0">
      <text>
        <t xml:space="preserve">O sinal deve estar sempre informado.
Os campos valor devem ser zeros, quando não tem significado
</t>
      </text>
    </comment>
    <comment ref="D387" authorId="1" shapeId="0">
      <text>
        <t xml:space="preserve">VIDA:
Valor do "Prémio Risco" nas Apólices com TIPO-APOLICE:
Vida Misto Puro (MI/MG) 
Vida Misto Capitalização (XI/XG)
</t>
      </text>
    </comment>
    <comment ref="G387" authorId="0" shapeId="0">
      <text>
        <t xml:space="preserve">O sinal deve estar sempre informado.
Os campos valor devem ser zeros, quando não tem significado
</t>
      </text>
    </comment>
    <comment ref="B388" authorId="0" shapeId="0">
      <text>
        <t xml:space="preserve">BONIF
</t>
      </text>
    </comment>
    <comment ref="G388" authorId="0" shapeId="0">
      <text>
        <t xml:space="preserve">O sinal deve estar sempre informado.
Os campos valor devem ser zeros, quando não tem significado
</t>
      </text>
    </comment>
    <comment ref="G389" authorId="0" shapeId="0">
      <text>
        <t xml:space="preserve">O sinal deve estar sempre informado.
Os campos valor devem ser zeros, quando não tem significado
</t>
      </text>
    </comment>
    <comment ref="B390" authorId="0" shapeId="0">
      <text>
        <t xml:space="preserve">VAFRC
</t>
      </text>
    </comment>
    <comment ref="D390" authorId="0" shapeId="0">
      <text>
        <t xml:space="preserve">Para casos FGS e RVI:
RU-O-VIDA-GRUPO OR RU-O-VIDA-IND
</t>
      </text>
    </comment>
    <comment ref="G390" authorId="0" shapeId="0">
      <text>
        <t xml:space="preserve">O sinal deve estar sempre informado.
Os campos valor devem ser zeros, quando não tem significado
</t>
      </text>
    </comment>
    <comment ref="B391" authorId="0" shapeId="0">
      <text>
        <t>VAFAT</t>
      </text>
    </comment>
    <comment ref="D391" authorId="0" shapeId="0">
      <text>
        <t xml:space="preserve">No Output, aparecem juntos:
RU-CARTA-VERDE + RU-SNB + RU-FUNDAP
</t>
      </text>
    </comment>
    <comment ref="G391" authorId="0" shapeId="0">
      <text>
        <t xml:space="preserve">O sinal deve estar sempre informado.
Os campos valor devem ser zeros, quando não tem significado
</t>
      </text>
    </comment>
    <comment ref="B392" authorId="0" shapeId="0">
      <text>
        <t>VAFGR</t>
      </text>
    </comment>
    <comment ref="D392" authorId="0" shapeId="0">
      <text>
        <t xml:space="preserve">No Output, aparecem juntos:
RU-FUND-CALAM + RU-FGA-ANTIGO
</t>
      </text>
    </comment>
    <comment ref="G392" authorId="0" shapeId="0">
      <text>
        <t xml:space="preserve">O sinal deve estar sempre informado.
Os campos valor devem ser zeros, quando não tem significado
</t>
      </text>
    </comment>
    <comment ref="B393" authorId="0" shapeId="0">
      <text>
        <t xml:space="preserve">VASNB
</t>
      </text>
    </comment>
    <comment ref="D393" authorId="0" shapeId="0">
      <text>
        <t xml:space="preserve">No Output, aparecem juntos:
RU-CARTA-VERDE + RU-SNB + RU-FUNDAP
excepto quando não há valor de CV e FAT
</t>
      </text>
    </comment>
    <comment ref="G393" authorId="0" shapeId="0">
      <text>
        <t xml:space="preserve">O sinal deve estar sempre informado.
Os campos valor devem ser zeros, quando não tem significado
</t>
      </text>
    </comment>
    <comment ref="B394" authorId="0" shapeId="0">
      <text>
        <t>VINEM</t>
      </text>
    </comment>
    <comment ref="G394" authorId="0" shapeId="0">
      <text>
        <t xml:space="preserve">O sinal deve estar sempre informado.
Os campos valor devem ser zeros, quando não tem significado
</t>
      </text>
    </comment>
    <comment ref="B395" authorId="0" shapeId="0">
      <text>
        <t>VACVD</t>
      </text>
    </comment>
    <comment ref="D395" authorId="0" shapeId="0">
      <text>
        <t xml:space="preserve">No Output, aparecem juntos:
RU-CARTA-VERDE + RU-SNB + RU-FUNDAP
</t>
      </text>
    </comment>
    <comment ref="G395" authorId="0" shapeId="0">
      <text>
        <t xml:space="preserve">O sinal deve estar sempre informado.
Os campos valor devem ser zeros, quando não tem significado
</t>
      </text>
    </comment>
    <comment ref="B396" authorId="0" shapeId="0">
      <text>
        <t xml:space="preserve">VASEL
</t>
      </text>
    </comment>
    <comment ref="G396" authorId="0" shapeId="0">
      <text>
        <t xml:space="preserve">O sinal deve estar sempre informado.
Os campos valor devem ser zeros, quando não tem significado
</t>
      </text>
    </comment>
    <comment ref="B397" authorId="0" shapeId="0">
      <text>
        <t xml:space="preserve">VACTA
</t>
      </text>
    </comment>
    <comment ref="D397" authorId="0" shapeId="0">
      <text>
        <t xml:space="preserve">Para casos FGS e RVI:
RU-O-VIDA-GRUPO OR RU-O-VIDA-IND
Descritivo: "CUSTO CERTIFICADO"
</t>
      </text>
    </comment>
    <comment ref="G397" authorId="0" shapeId="0">
      <text>
        <t xml:space="preserve">O sinal deve estar sempre informado.
Os campos valor devem ser zeros, quando não tem significado
</t>
      </text>
    </comment>
    <comment ref="B398" authorId="0" shapeId="0">
      <text>
        <t xml:space="preserve">VIMSL
</t>
      </text>
    </comment>
    <comment ref="G398" authorId="0" shapeId="0">
      <text>
        <t xml:space="preserve">O sinal deve estar sempre informado.
Os campos valor devem ser zeros, quando não tem significado
</t>
      </text>
    </comment>
    <comment ref="B399" authorId="0" shapeId="0">
      <text>
        <t xml:space="preserve">CALAM
</t>
      </text>
    </comment>
    <comment ref="D399" authorId="0" shapeId="0">
      <text>
        <t xml:space="preserve">No Output, aparecem juntos:
RU-FUND-CALAM + RU-FGA-ANTIGO
</t>
      </text>
    </comment>
    <comment ref="G399" authorId="0" shapeId="0">
      <text>
        <t xml:space="preserve">O sinal deve estar sempre informado.
Os campos valor devem ser zeros, quando não tem significado
</t>
      </text>
    </comment>
    <comment ref="B400" authorId="0" shapeId="0">
      <text>
        <t xml:space="preserve">VAFGA
</t>
      </text>
    </comment>
    <comment ref="G400" authorId="0" shapeId="0">
      <text>
        <t xml:space="preserve">O sinal deve estar sempre informado.
Os campos valor devem ser zeros, quando não tem significado
</t>
      </text>
    </comment>
    <comment ref="B401" authorId="0" shapeId="0">
      <text>
        <t xml:space="preserve">VAFGP
</t>
      </text>
    </comment>
    <comment ref="G401" authorId="0" shapeId="0">
      <text>
        <t xml:space="preserve">O sinal deve estar sempre informado.
Os campos valor devem ser zeros, quando não tem significado
</t>
      </text>
    </comment>
    <comment ref="B402" authorId="0" shapeId="0">
      <text>
        <t>BONUS</t>
      </text>
    </comment>
    <comment ref="D402" authorId="0" shapeId="0">
      <text>
        <t xml:space="preserve">Bonificação para casos de colheitas (RU-BONIFICACAO)
</t>
      </text>
    </comment>
    <comment ref="G402" authorId="0" shapeId="0">
      <text>
        <t xml:space="preserve">O sinal deve estar sempre informado.
Os campos valor devem ser zeros, quando não tem significado
</t>
      </text>
    </comment>
    <comment ref="B403" authorId="0" shapeId="0">
      <text>
        <t xml:space="preserve">VAPRS
</t>
      </text>
    </comment>
    <comment ref="D403" authorId="0" shapeId="0">
      <text>
        <t xml:space="preserve">Prémio comercial = Prémio Simples + Bonus + Custo Fracionamento (RU-PR-SIMPLES + RU-BONUS + RU-CUSTO-FRACC)
</t>
      </text>
    </comment>
    <comment ref="G403" authorId="0" shapeId="0">
      <text>
        <t xml:space="preserve">O sinal deve estar sempre informado.
Os campos valor devem ser zeros, quando não tem significado
</t>
      </text>
    </comment>
    <comment ref="G404" authorId="0" shapeId="0">
      <text>
        <t xml:space="preserve">O sinal deve estar sempre informado.
Os campos valor devem ser zeros, quando não tem significado
</t>
      </text>
    </comment>
    <comment ref="G405" authorId="0" shapeId="0">
      <text>
        <t xml:space="preserve">O sinal deve estar sempre informado.
Os campos valor devem ser zeros, quando não tem significado
</t>
      </text>
    </comment>
    <comment ref="G406" authorId="0" shapeId="0">
      <text>
        <t xml:space="preserve">O sinal deve estar sempre informado.
Os campos valor devem ser zeros, quando não tem significado
</t>
      </text>
    </comment>
  </commentList>
</comments>
</file>

<file path=xl/comments/comment6.xml><?xml version="1.0" encoding="utf-8"?>
<comments xmlns="http://schemas.openxmlformats.org/spreadsheetml/2006/main">
  <authors>
    <author>Ângela Cristiane Puhl [EE] (DSI)</author>
    <author>Paulo Jorge Santos Graça [EE] (DSI)</author>
  </authors>
  <commentList>
    <comment ref="F14" authorId="0" shapeId="0">
      <text>
        <t xml:space="preserve">Obrigatório quando impressão on-line, TIPO-IMPRESSAO = I </t>
      </text>
    </comment>
    <comment ref="F20" authorId="0" shapeId="0">
      <text>
        <t>Podem existir movimentos da marca FM, IB e IC para o mesmo destinatario.</t>
      </text>
    </comment>
    <comment ref="F28" authorId="0" shapeId="0">
      <text>
        <t xml:space="preserve">Preenchido quando Leve, apenas para marcas FM e IB.
</t>
      </text>
    </comment>
    <comment ref="F30" authorId="1" shapeId="0">
      <text>
        <t>Obrigatório para cobranca por agente</t>
      </text>
    </comment>
    <comment ref="F62" authorId="0" shapeId="0">
      <text>
        <t xml:space="preserve">Quando endereçado ao advogado
</t>
      </text>
    </comment>
    <comment ref="F63" authorId="0" shapeId="0">
      <text>
        <t xml:space="preserve">Quando endereçado ao advogado
</t>
      </text>
    </comment>
    <comment ref="F64" authorId="0" shapeId="0">
      <text>
        <t xml:space="preserve">Quando endereçado ao advogado
</t>
      </text>
    </comment>
    <comment ref="F65" authorId="0" shapeId="0">
      <text>
        <t xml:space="preserve">Quando endereçado ao advogado
</t>
      </text>
    </comment>
    <comment ref="F68" authorId="0" shapeId="0">
      <text>
        <t xml:space="preserve">Quando endereçado ao advogado
</t>
      </text>
    </comment>
    <comment ref="F69" authorId="0" shapeId="0">
      <text>
        <t xml:space="preserve">Quando endereçado ao advogado
</t>
      </text>
    </comment>
    <comment ref="F70" authorId="0" shapeId="0">
      <text>
        <t xml:space="preserve">Quando endereçado ao advogado
</t>
      </text>
    </comment>
    <comment ref="F71" authorId="0" shapeId="0">
      <text>
        <t xml:space="preserve">Quando endereçado ao advogado
</t>
      </text>
    </comment>
    <comment ref="F72" authorId="0" shapeId="0">
      <text>
        <t xml:space="preserve">Quando endereçado ao advogado
</t>
      </text>
    </comment>
    <comment ref="F78" authorId="1" shapeId="0">
      <text>
        <t>Prenchido quando tipo de carta TRSF</t>
      </text>
    </comment>
    <comment ref="F79" authorId="1" shapeId="0">
      <text>
        <t>Prenchido quando tipo de carta TRSF</t>
      </text>
    </comment>
    <comment ref="F81" authorId="1" shapeId="0">
      <text>
        <t xml:space="preserve">Prenchido quando tipo de carta CHEQ
</t>
      </text>
    </comment>
    <comment ref="F82" authorId="1" shapeId="0">
      <text>
        <t xml:space="preserve">Prenchido quando tipo de carta CHEQ
</t>
      </text>
    </comment>
    <comment ref="F83" authorId="1" shapeId="0">
      <text>
        <t xml:space="preserve">Prenchido quando tipo de carta CHEQ
</t>
      </text>
    </comment>
    <comment ref="F84" authorId="1" shapeId="0">
      <text>
        <t xml:space="preserve">Prenchido quando tipo de carta CHEQ
</t>
      </text>
    </comment>
    <comment ref="F85" authorId="1" shapeId="0">
      <text>
        <t xml:space="preserve">Prenchido quando tipo de carta CHEQ
</t>
      </text>
    </comment>
  </commentList>
</comments>
</file>

<file path=xl/comments/comment7.xml><?xml version="1.0" encoding="utf-8"?>
<comments xmlns="http://schemas.openxmlformats.org/spreadsheetml/2006/main">
  <authors>
    <author>Ângela Cristiane Puhl [EE] (DSI)</author>
  </authors>
  <commentList>
    <comment ref="G13" authorId="0" shapeId="0">
      <text>
        <t xml:space="preserve">Obrigatório quando impressão on-line, TIPO-IMPRESSAO = I </t>
      </text>
    </comment>
    <comment ref="G26" authorId="0" shapeId="0">
      <text>
        <t xml:space="preserve">Preenchido quando Leve, apenas para marcas FM e IB.
</t>
      </text>
    </comment>
  </commentList>
</comments>
</file>

<file path=xl/comments/comment8.xml><?xml version="1.0" encoding="utf-8"?>
<comments xmlns="http://schemas.openxmlformats.org/spreadsheetml/2006/main">
  <authors>
    <author>Ana Cristina Barata Lopes (DSI)</author>
    <author>Ângela Cristiane Puhl [EE] (DSI)</author>
  </authors>
  <commentList>
    <comment ref="G11" authorId="0" shapeId="0">
      <text>
        <t>Estes documentos não têm registos de detalhe, nem footer</t>
      </text>
    </comment>
    <comment ref="G12" authorId="0" shapeId="0">
      <text>
        <t xml:space="preserve">Estes documentos não têm registos de detalhe, nem footer
</t>
      </text>
    </comment>
    <comment ref="G16" authorId="1" shapeId="0">
      <text>
        <t xml:space="preserve">Obrigatório quando impressão on-line, TIPO-IMPRESSAO = I </t>
      </text>
    </comment>
    <comment ref="G30" authorId="1" shapeId="0">
      <text>
        <t xml:space="preserve">Preenchido quando Leve, apenas para marcas FM e IB.
</t>
      </text>
    </comment>
    <comment ref="G32" authorId="0" shapeId="0">
      <text>
        <t xml:space="preserve">Estes documentos não têm identificação de mediador (São dirigidos sempre ao cliente)
</t>
      </text>
    </comment>
    <comment ref="G48" authorId="1" shapeId="0">
      <text>
        <t xml:space="preserve">Obrigatório para a carta de rejeição de débito RDEB
</t>
      </text>
    </comment>
    <comment ref="J49" authorId="1" shapeId="0">
      <text>
        <t xml:space="preserve">Parágrafo "O prémio não foi cobrado"
Não foi possível efetuar o débito na sua conta bancária com o IBAN 9999 pelo motivo de XXX
Parágrafo "Ativação da Autorizaçãode Débito Direto"
Caso pretenda a alteração do IBAN associado à cobrança dos prémios desta apólice, anexamos a Autorização de Débito Direto (ADD), a qual, depois de preenchida e assinada, deverá ser enviada por remessa livre (não necessita de selo), para a morada:  
XXXXXXXX
XXXXXXXX
XXXXXXXX
Poderá ainda entregar em qualquer uma das nossas Agências, ou se preferir, enviá-la por e-mal utilizando o endereço indicado abaixo. (para FM, IB e Eurobic)
Poderá ainda entregar em qualquer Agência da Caixa, ou se preferir, enviá-la por e-mail utilizando o endereço indicado abaixo.  (Caixa Poupança)
Poderá ainda enviá-la por e-mail, utilizando o endereço indicado abaixo  (para as restantes companhias)                                  
             </t>
      </text>
    </comment>
    <comment ref="J50" authorId="1" shapeId="0">
      <text>
        <t xml:space="preserve">Parágrafo "O prémio não foi cobrado"
Não foi possível efetuar o débito na sua conta banária com o IBAN 999 porque as instruções de autorização de Débito Direto (ADD), relatoivas à periodicidade de cobrança do prémio desta apólice, não o permitiram.
Parágrafo "Ativação da Autorizaçãode Débito Direto"
Para poder continuar a pagar os prémios do seu seguro por Débito Direto. Contacte o seu Banco para efetuar esta alteração.                           </t>
      </text>
    </comment>
    <comment ref="G51" authorId="1" shapeId="0">
      <text>
        <t xml:space="preserve">Obrigatório para a carta de rejeição de débito (RDEB)
</t>
      </text>
    </comment>
    <comment ref="G52" authorId="1" shapeId="0">
      <text>
        <t xml:space="preserve">Obrigatório para a carta de rejeição de débito (RDEB)
</t>
      </text>
    </comment>
    <comment ref="G53" authorId="1" shapeId="0">
      <text>
        <t xml:space="preserve">Obrigatório para as cartas Poupança Auto (RESG e IMPR)
</t>
      </text>
    </comment>
    <comment ref="G54" authorId="0" shapeId="0">
      <text>
        <t xml:space="preserve">Obrigatório para a carta de rejeição de débito (RDEB), para a carta de impossiblidade de cobrança (IMPC), e, impossibilidade de resgate (IMPR)
</t>
      </text>
    </comment>
    <comment ref="G76" authorId="0" shapeId="0">
      <text>
        <t xml:space="preserve">Obrigatório para a carta de impossibilidade de resgate (IMPR)
</t>
      </text>
    </comment>
    <comment ref="G77" authorId="1" shapeId="0">
      <text>
        <t>Obrigatório para a carta comprovativo de resgate Poupança Auto (RESG)</t>
      </text>
    </comment>
    <comment ref="G78" authorId="0" shapeId="0">
      <text>
        <t xml:space="preserve">Obrigatório para a carta de rejeição de débito (RDEB), para a carta de impossiblidade de cobrança (IMPC), e, impossibilidade de resgate (IMPR)
</t>
      </text>
    </comment>
    <comment ref="G83" authorId="1" shapeId="0">
      <text>
        <t>Obrigatório para a carta de rejeição de débito (RDEB) e para a carta de impossibilidade de cobrança (IMPC)</t>
      </text>
    </comment>
    <comment ref="G84" authorId="1" shapeId="0">
      <text>
        <t>Obrigatório para a carta de rejeição de débito (RDEB) e para a carta de impossibilidade de cobrança (IMPC)</t>
      </text>
    </comment>
    <comment ref="G85" authorId="1" shapeId="0">
      <text>
        <t>Obrigatório para a carta de rejeição de débito (RDEB) e para a carta de impossibilidade de cobrança (IMPC)</t>
      </text>
    </comment>
    <comment ref="G86" authorId="1" shapeId="0">
      <text>
        <t>Obrigatório para a carta de rejeição de débito (RDEB) e para a carta de impossibilidade de cobrança (IMPC)</t>
      </text>
    </comment>
    <comment ref="G87" authorId="1" shapeId="0">
      <text>
        <t>Obrigatório para a carta de rejeição de débito (RDEB) e para a carta de impossibilidade de cobrança (IMPC)</t>
      </text>
    </comment>
    <comment ref="G89" authorId="1" shapeId="0">
      <text>
        <t xml:space="preserve">Obrigatório para a carta de rejeição de débito (RDEB), para a carta de impossiblidade de cobrança (IMPC), e, impossibilidade de resgate (IMPR)
</t>
      </text>
    </comment>
    <comment ref="G90" authorId="1" shapeId="0">
      <text>
        <t xml:space="preserve">Obrigatório para a carta de rejeição de débito (RDEB), para a carta de impossiblidade de cobrança (IMPC), e, impossibilidade de resgate (IMPR)
</t>
      </text>
    </comment>
  </commentList>
</comments>
</file>

<file path=xl/comments/comment9.xml><?xml version="1.0" encoding="utf-8"?>
<comments xmlns="http://schemas.openxmlformats.org/spreadsheetml/2006/main">
  <authors>
    <author>Paulo Jorge Santos Graça [EE] (DSI)</author>
    <author>Nuno Jorge Sousa Fernandes [EE] (FIT)</author>
  </authors>
  <commentList>
    <comment ref="D7" authorId="0" shapeId="0">
      <text>
        <t xml:space="preserve">Quando Aviso-Recibo sem extrato, só vem o tipo "1"
</t>
      </text>
    </comment>
    <comment ref="G17" authorId="0" shapeId="0">
      <text>
        <t xml:space="preserve">Obrigatório, quando se trata de uma impressão Online
</t>
      </text>
    </comment>
    <comment ref="G18" authorId="0" shapeId="0">
      <text>
        <t xml:space="preserve">Não é suposto receber ViaDirecta… deve ser enviado ficheiro para eles directamente
</t>
      </text>
    </comment>
    <comment ref="G23" authorId="0" shapeId="0">
      <text>
        <t xml:space="preserve">Não é suposto recebermos OK Teleseguro ou Continente. Deve ser enviado ficheiro para a ViaDirecta
</t>
      </text>
    </comment>
    <comment ref="G31" authorId="0" shapeId="0">
      <text>
        <t xml:space="preserve">Apenas para casos em que a marca é FM ou IB
</t>
      </text>
    </comment>
    <comment ref="G33" authorId="0" shapeId="0">
      <text>
        <t>Obrigatório para lote, ou cobranca por agente</t>
      </text>
    </comment>
    <comment ref="G34" authorId="0" shapeId="0">
      <text>
        <t xml:space="preserve">Obrigatorio, excepto para lote
</t>
      </text>
    </comment>
    <comment ref="G53" authorId="0" shapeId="0">
      <text>
        <t xml:space="preserve">Obrigatório, desde que tipo de documento diferente de lote
</t>
      </text>
    </comment>
    <comment ref="G58" authorId="0" shapeId="0">
      <text>
        <t>Obrigatório, desde que tipo de documento diferente de lote
Recibo apenas com cobrança por agente</t>
      </text>
    </comment>
    <comment ref="G89" authorId="0" shapeId="0">
      <text>
        <t xml:space="preserve">Numero de cliente
</t>
      </text>
    </comment>
    <comment ref="G90" authorId="0" shapeId="0">
      <text>
        <t>Numero de cliente</t>
      </text>
    </comment>
    <comment ref="G91" authorId="0" shapeId="0">
      <text>
        <t xml:space="preserve">Numero de cliente
</t>
      </text>
    </comment>
    <comment ref="G94" authorId="0" shapeId="0">
      <text>
        <t xml:space="preserve">Numero de cliente
</t>
      </text>
    </comment>
    <comment ref="G95" authorId="0" shapeId="0">
      <text>
        <t xml:space="preserve">Numero de cliente
</t>
      </text>
    </comment>
    <comment ref="G96" authorId="0" shapeId="0">
      <text>
        <t>Numero de cliente</t>
      </text>
    </comment>
    <comment ref="G97" authorId="0" shapeId="0">
      <text>
        <t>Numero de cliente</t>
      </text>
    </comment>
    <comment ref="G98" authorId="0" shapeId="0">
      <text>
        <t>Numero de cliente</t>
      </text>
    </comment>
    <comment ref="G99" authorId="0" shapeId="0">
      <text>
        <t>Numero de cliente</t>
      </text>
    </comment>
    <comment ref="G100" authorId="0" shapeId="0">
      <text>
        <t>Numero de cliente</t>
      </text>
    </comment>
    <comment ref="G104" authorId="0" shapeId="0">
      <text>
        <t xml:space="preserve">Obrigatório para FATURAS que não sejam de Indemnização ou Reembolso
</t>
      </text>
    </comment>
    <comment ref="G105" authorId="0" shapeId="0">
      <text>
        <t xml:space="preserve">Obrigatório para FATURAS que não sejam de Indemnização ou Reembolso
</t>
      </text>
    </comment>
    <comment ref="D107" authorId="0" shapeId="0">
      <text>
        <t xml:space="preserve">Resgate Programado até:
(Para casos Poupança Auto)
</t>
      </text>
    </comment>
    <comment ref="G107" authorId="0" shapeId="0">
      <text>
        <t xml:space="preserve">Obrigatório para FATURAS que não sejam de Indemnização ou Reembolso
</t>
      </text>
    </comment>
    <comment ref="G108" authorId="0" shapeId="0">
      <text>
        <t xml:space="preserve">Obrigatório para premio
</t>
      </text>
    </comment>
    <comment ref="G109" authorId="0" shapeId="0">
      <text>
        <t>Obrigatório para premio</t>
      </text>
    </comment>
    <comment ref="D111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111" authorId="0" shapeId="0">
      <text>
        <t xml:space="preserve">O sinal deve estar sempre informado.
Os campos valor devem ser zeros, quando não tem significado
</t>
      </text>
    </comment>
    <comment ref="D112" authorId="1" shapeId="0">
      <text>
        <t xml:space="preserve">VIDA:
Valor do "Prémio Risco" nas Apólices com TIPO-APOLICE:
Vida Misto Puro (MI/MG) 
Vida Misto Capitalização (XI/XG)
</t>
      </text>
    </comment>
    <comment ref="G112" authorId="0" shapeId="0">
      <text>
        <t xml:space="preserve">O sinal deve estar sempre informado.
Os campos valor devem ser zeros, quando não tem significado
</t>
      </text>
    </comment>
    <comment ref="B113" authorId="0" shapeId="0">
      <text>
        <t xml:space="preserve">BONIF
</t>
      </text>
    </comment>
    <comment ref="G113" authorId="0" shapeId="0">
      <text>
        <t xml:space="preserve">O sinal deve estar sempre informado.
Os campos valor devem ser zeros, quando não tem significado
</t>
      </text>
    </comment>
    <comment ref="G114" authorId="0" shapeId="0">
      <text>
        <t xml:space="preserve">O sinal deve estar sempre informado.
Os campos valor devem ser zeros, quando não tem significado
</t>
      </text>
    </comment>
    <comment ref="B115" authorId="0" shapeId="0">
      <text>
        <t xml:space="preserve">VAFRC
</t>
      </text>
    </comment>
    <comment ref="D115" authorId="0" shapeId="0">
      <text>
        <t xml:space="preserve">Para casos FGS e RVI:
RU-O-VIDA-GRUPO OR RU-O-VIDA-IND
</t>
      </text>
    </comment>
    <comment ref="G115" authorId="0" shapeId="0">
      <text>
        <t xml:space="preserve">O sinal deve estar sempre informado.
Os campos valor devem ser zeros, quando não tem significado
</t>
      </text>
    </comment>
    <comment ref="B116" authorId="0" shapeId="0">
      <text>
        <t>VAFAT</t>
      </text>
    </comment>
    <comment ref="D116" authorId="0" shapeId="0">
      <text>
        <t xml:space="preserve">No Output, aparecem juntos:
RU-CARTA-VERDE + RU-SNB + RU-FUNDAP
</t>
      </text>
    </comment>
    <comment ref="G116" authorId="0" shapeId="0">
      <text>
        <t xml:space="preserve">O sinal deve estar sempre informado.
Os campos valor devem ser zeros, quando não tem significado
</t>
      </text>
    </comment>
    <comment ref="B117" authorId="0" shapeId="0">
      <text>
        <t>VAFGR</t>
      </text>
    </comment>
    <comment ref="D117" authorId="0" shapeId="0">
      <text>
        <t xml:space="preserve">No Output, aparecem juntos:
RU-FUND-CALAM + RU-FGA-ANTIGO
</t>
      </text>
    </comment>
    <comment ref="G117" authorId="0" shapeId="0">
      <text>
        <t xml:space="preserve">O sinal deve estar sempre informado.
Os campos valor devem ser zeros, quando não tem significado
</t>
      </text>
    </comment>
    <comment ref="B118" authorId="0" shapeId="0">
      <text>
        <t xml:space="preserve">VASNB
</t>
      </text>
    </comment>
    <comment ref="D118" authorId="0" shapeId="0">
      <text>
        <t xml:space="preserve">No Output, aparecem juntos:
RU-CARTA-VERDE + RU-SNB + RU-FUNDAP
excepto quando não há valor de CV e FAT
</t>
      </text>
    </comment>
    <comment ref="G118" authorId="0" shapeId="0">
      <text>
        <t xml:space="preserve">O sinal deve estar sempre informado.
Os campos valor devem ser zeros, quando não tem significado
</t>
      </text>
    </comment>
    <comment ref="B119" authorId="0" shapeId="0">
      <text>
        <t>VINEM</t>
      </text>
    </comment>
    <comment ref="G119" authorId="0" shapeId="0">
      <text>
        <t xml:space="preserve">O sinal deve estar sempre informado.
Os campos valor devem ser zeros, quando não tem significado
</t>
      </text>
    </comment>
    <comment ref="B120" authorId="0" shapeId="0">
      <text>
        <t>VACVD</t>
      </text>
    </comment>
    <comment ref="D120" authorId="0" shapeId="0">
      <text>
        <t xml:space="preserve">No Output, aparecem juntos:
RU-CARTA-VERDE + RU-SNB + RU-FUNDAP
</t>
      </text>
    </comment>
    <comment ref="G120" authorId="0" shapeId="0">
      <text>
        <t xml:space="preserve">O sinal deve estar sempre informado.
Os campos valor devem ser zeros, quando não tem significado
</t>
      </text>
    </comment>
    <comment ref="B121" authorId="0" shapeId="0">
      <text>
        <t xml:space="preserve">VASEL
</t>
      </text>
    </comment>
    <comment ref="G121" authorId="0" shapeId="0">
      <text>
        <t xml:space="preserve">O sinal deve estar sempre informado.
Os campos valor devem ser zeros, quando não tem significado
</t>
      </text>
    </comment>
    <comment ref="B122" authorId="0" shapeId="0">
      <text>
        <t xml:space="preserve">VACTA
</t>
      </text>
    </comment>
    <comment ref="D122" authorId="0" shapeId="0">
      <text>
        <t xml:space="preserve">Para casos FGS e RVI:
RU-O-VIDA-GRUPO OR RU-O-VIDA-IND
Descritivo: "CUSTO CERTIFICADO"
</t>
      </text>
    </comment>
    <comment ref="G122" authorId="0" shapeId="0">
      <text>
        <t xml:space="preserve">O sinal deve estar sempre informado.
Os campos valor devem ser zeros, quando não tem significado
</t>
      </text>
    </comment>
    <comment ref="B123" authorId="0" shapeId="0">
      <text>
        <t xml:space="preserve">VIMSL
</t>
      </text>
    </comment>
    <comment ref="G123" authorId="0" shapeId="0">
      <text>
        <t xml:space="preserve">O sinal deve estar sempre informado.
Os campos valor devem ser zeros, quando não tem significado
</t>
      </text>
    </comment>
    <comment ref="B124" authorId="0" shapeId="0">
      <text>
        <t xml:space="preserve">CALAM
</t>
      </text>
    </comment>
    <comment ref="D124" authorId="0" shapeId="0">
      <text>
        <t xml:space="preserve">No Output, aparecem juntos:
RU-FUND-CALAM + RU-FGA-ANTIGO
</t>
      </text>
    </comment>
    <comment ref="G124" authorId="0" shapeId="0">
      <text>
        <t xml:space="preserve">O sinal deve estar sempre informado.
Os campos valor devem ser zeros, quando não tem significado
</t>
      </text>
    </comment>
    <comment ref="B125" authorId="0" shapeId="0">
      <text>
        <t xml:space="preserve">VAFGA
</t>
      </text>
    </comment>
    <comment ref="G125" authorId="0" shapeId="0">
      <text>
        <t xml:space="preserve">O sinal deve estar sempre informado.
Os campos valor devem ser zeros, quando não tem significado
</t>
      </text>
    </comment>
    <comment ref="B126" authorId="0" shapeId="0">
      <text>
        <t xml:space="preserve">VAFGP
</t>
      </text>
    </comment>
    <comment ref="G126" authorId="0" shapeId="0">
      <text>
        <t xml:space="preserve">O sinal deve estar sempre informado.
Os campos valor devem ser zeros, quando não tem significado
</t>
      </text>
    </comment>
    <comment ref="B127" authorId="0" shapeId="0">
      <text>
        <t>BONUS</t>
      </text>
    </comment>
    <comment ref="D127" authorId="0" shapeId="0">
      <text>
        <t xml:space="preserve">Bonificação para casos de colheitas (RU-BONIFICACAO)
</t>
      </text>
    </comment>
    <comment ref="G127" authorId="0" shapeId="0">
      <text>
        <t xml:space="preserve">O sinal deve estar sempre informado.
Os campos valor devem ser zeros, quando não tem significado
</t>
      </text>
    </comment>
    <comment ref="B128" authorId="0" shapeId="0">
      <text>
        <t xml:space="preserve">VAPRS
</t>
      </text>
    </comment>
    <comment ref="D128" authorId="0" shapeId="0">
      <text>
        <t xml:space="preserve">Prémio comercial = Prémio Simples + Bonus + Custo Fracionamento (RU-PR-SIMPLES + RU-BONUS + RU-CUSTO-FRACC)
</t>
      </text>
    </comment>
    <comment ref="G128" authorId="0" shapeId="0">
      <text>
        <t xml:space="preserve">O sinal deve estar sempre informado.
Os campos valor devem ser zeros, quando não tem significado
</t>
      </text>
    </comment>
    <comment ref="G129" authorId="0" shapeId="0">
      <text>
        <t xml:space="preserve">O sinal deve estar sempre informado.
Os campos valor devem ser zeros, quando não tem significado
</t>
      </text>
    </comment>
    <comment ref="G135" authorId="0" shapeId="0">
      <text>
        <t xml:space="preserve">Deve ser sempre informado o tipo de detalhe que está nos 400bytes seguintes
</t>
      </text>
    </comment>
    <comment ref="D147" authorId="0" shapeId="0">
      <text>
        <t xml:space="preserve">A utilizar em casos que não tem detalhe especifico por ramo
</t>
      </text>
    </comment>
    <comment ref="G147" authorId="0" shapeId="0">
      <text>
        <t xml:space="preserve">UR-TIPO = GR
</t>
      </text>
    </comment>
    <comment ref="G150" authorId="0" shapeId="0">
      <text>
        <t xml:space="preserve">UR-TIPO = VI
</t>
      </text>
    </comment>
    <comment ref="G156" authorId="0" shapeId="0">
      <text>
        <t xml:space="preserve">Obrigatório para A/R e FATURAS VIDA com VI-TIPO-APOLICE:
Vida Capitalização 
Vida Misto Puro 
Vida Misto Capitalização 
</t>
      </text>
    </comment>
    <comment ref="G157" authorId="1" shapeId="0">
      <text>
        <t xml:space="preserve">Obrigatório para Faturas de Indemnizações
</t>
      </text>
    </comment>
    <comment ref="G168" authorId="0" shapeId="0">
      <text>
        <t xml:space="preserve">UR-TIPO = VH
</t>
      </text>
    </comment>
    <comment ref="G170" authorId="0" shapeId="0">
      <text>
        <t xml:space="preserve">UR-TIPO = VH
</t>
      </text>
    </comment>
    <comment ref="G171" authorId="0" shapeId="0">
      <text>
        <t xml:space="preserve">UR-TIPO = VH
</t>
      </text>
    </comment>
    <comment ref="D174" authorId="0" shapeId="0">
      <text>
        <t xml:space="preserve">Especifico para Garagista
</t>
      </text>
    </comment>
    <comment ref="G174" authorId="0" shapeId="0">
      <text>
        <t xml:space="preserve">UR-TIPO = VG
</t>
      </text>
    </comment>
    <comment ref="D175" authorId="0" shapeId="0">
      <text>
        <t xml:space="preserve">Especifico para Garagista
</t>
      </text>
    </comment>
    <comment ref="G178" authorId="0" shapeId="0">
      <text>
        <t xml:space="preserve">UR-TIPO = VO
</t>
      </text>
    </comment>
    <comment ref="G181" authorId="0" shapeId="0">
      <text>
        <t xml:space="preserve">UR-TIPO = MR
</t>
      </text>
    </comment>
    <comment ref="G189" authorId="0" shapeId="0">
      <text>
        <t xml:space="preserve">UR-TIPO = AT
</t>
      </text>
    </comment>
    <comment ref="G193" authorId="0" shapeId="0">
      <text>
        <t xml:space="preserve">UR-TIPO = VI
</t>
      </text>
    </comment>
    <comment ref="G202" authorId="0" shapeId="0">
      <text>
        <t xml:space="preserve">O sinal deve estar sempre informado.
Os campos valor devem ser zeros, quando não tem significado
</t>
      </text>
    </comment>
    <comment ref="G235" authorId="0" shapeId="0">
      <text>
        <t>Se o COD-PRODUTO não vier preenchido</t>
      </text>
    </comment>
    <comment ref="D239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239" authorId="0" shapeId="0">
      <text>
        <t xml:space="preserve">O sinal deve estar sempre informado.
Os campos valor devem ser zeros, quando não tem significado
</t>
      </text>
    </comment>
    <comment ref="D240" authorId="1" shapeId="0">
      <text>
        <t xml:space="preserve">VIDA:
Valor do "Prémio Risco" nas Apólices com TIPO-APOLICE:
Vida Misto Puro (MI/MG) 
Vida Misto Capitalização (XI/XG)
</t>
      </text>
    </comment>
    <comment ref="G240" authorId="0" shapeId="0">
      <text>
        <t xml:space="preserve">O sinal deve estar sempre informado.
Os campos valor devem ser zeros, quando não tem significado
</t>
      </text>
    </comment>
    <comment ref="B241" authorId="0" shapeId="0">
      <text>
        <t xml:space="preserve">BONIF
</t>
      </text>
    </comment>
    <comment ref="G241" authorId="0" shapeId="0">
      <text>
        <t xml:space="preserve">O sinal deve estar sempre informado.
Os campos valor devem ser zeros, quando não tem significado
</t>
      </text>
    </comment>
    <comment ref="G242" authorId="0" shapeId="0">
      <text>
        <t xml:space="preserve">O sinal deve estar sempre informado.
Os campos valor devem ser zeros, quando não tem significado
</t>
      </text>
    </comment>
    <comment ref="B243" authorId="0" shapeId="0">
      <text>
        <t xml:space="preserve">VAFRC
</t>
      </text>
    </comment>
    <comment ref="D243" authorId="0" shapeId="0">
      <text>
        <t xml:space="preserve">Para casos FGS e RVI:
RU-O-VIDA-GRUPO OR RU-O-VIDA-IND
</t>
      </text>
    </comment>
    <comment ref="G243" authorId="0" shapeId="0">
      <text>
        <t xml:space="preserve">O sinal deve estar sempre informado.
Os campos valor devem ser zeros, quando não tem significado
</t>
      </text>
    </comment>
    <comment ref="B244" authorId="0" shapeId="0">
      <text>
        <t>VAFAT</t>
      </text>
    </comment>
    <comment ref="D244" authorId="0" shapeId="0">
      <text>
        <t xml:space="preserve">No Output, aparecem juntos:
RU-CARTA-VERDE + RU-SNB + RU-FUNDAP
</t>
      </text>
    </comment>
    <comment ref="G244" authorId="0" shapeId="0">
      <text>
        <t xml:space="preserve">O sinal deve estar sempre informado.
Os campos valor devem ser zeros, quando não tem significado
</t>
      </text>
    </comment>
    <comment ref="B245" authorId="0" shapeId="0">
      <text>
        <t>VAFGR</t>
      </text>
    </comment>
    <comment ref="D245" authorId="0" shapeId="0">
      <text>
        <t xml:space="preserve">No Output, aparecem juntos:
RU-FUND-CALAM + RU-FGA-ANTIGO
</t>
      </text>
    </comment>
    <comment ref="G245" authorId="0" shapeId="0">
      <text>
        <t xml:space="preserve">O sinal deve estar sempre informado.
Os campos valor devem ser zeros, quando não tem significado
</t>
      </text>
    </comment>
    <comment ref="B246" authorId="0" shapeId="0">
      <text>
        <t xml:space="preserve">VASNB
</t>
      </text>
    </comment>
    <comment ref="D246" authorId="0" shapeId="0">
      <text>
        <t xml:space="preserve">No Output, aparecem juntos:
RU-CARTA-VERDE + RU-SNB + RU-FUNDAP
excepto quando não há valor de CV e FAT
</t>
      </text>
    </comment>
    <comment ref="G246" authorId="0" shapeId="0">
      <text>
        <t xml:space="preserve">O sinal deve estar sempre informado.
Os campos valor devem ser zeros, quando não tem significado
</t>
      </text>
    </comment>
    <comment ref="B247" authorId="0" shapeId="0">
      <text>
        <t>VINEM</t>
      </text>
    </comment>
    <comment ref="G247" authorId="0" shapeId="0">
      <text>
        <t xml:space="preserve">O sinal deve estar sempre informado.
Os campos valor devem ser zeros, quando não tem significado
</t>
      </text>
    </comment>
    <comment ref="B248" authorId="0" shapeId="0">
      <text>
        <t>VACVD</t>
      </text>
    </comment>
    <comment ref="D248" authorId="0" shapeId="0">
      <text>
        <t xml:space="preserve">No Output, aparecem juntos:
RU-CARTA-VERDE + RU-SNB + RU-FUNDAP
</t>
      </text>
    </comment>
    <comment ref="G248" authorId="0" shapeId="0">
      <text>
        <t xml:space="preserve">O sinal deve estar sempre informado.
Os campos valor devem ser zeros, quando não tem significado
</t>
      </text>
    </comment>
    <comment ref="B249" authorId="0" shapeId="0">
      <text>
        <t xml:space="preserve">VASEL
</t>
      </text>
    </comment>
    <comment ref="G249" authorId="0" shapeId="0">
      <text>
        <t xml:space="preserve">O sinal deve estar sempre informado.
Os campos valor devem ser zeros, quando não tem significado
</t>
      </text>
    </comment>
    <comment ref="B250" authorId="0" shapeId="0">
      <text>
        <t xml:space="preserve">VACTA
</t>
      </text>
    </comment>
    <comment ref="D250" authorId="0" shapeId="0">
      <text>
        <t xml:space="preserve">Para casos FGS e RVI:
RU-O-VIDA-GRUPO OR RU-O-VIDA-IND
Descritivo: "CUSTO CERTIFICADO"
</t>
      </text>
    </comment>
    <comment ref="G250" authorId="0" shapeId="0">
      <text>
        <t xml:space="preserve">O sinal deve estar sempre informado.
Os campos valor devem ser zeros, quando não tem significado
</t>
      </text>
    </comment>
    <comment ref="B251" authorId="0" shapeId="0">
      <text>
        <t xml:space="preserve">VIMSL
</t>
      </text>
    </comment>
    <comment ref="G251" authorId="0" shapeId="0">
      <text>
        <t xml:space="preserve">O sinal deve estar sempre informado.
Os campos valor devem ser zeros, quando não tem significado
</t>
      </text>
    </comment>
    <comment ref="B252" authorId="0" shapeId="0">
      <text>
        <t xml:space="preserve">CALAM
</t>
      </text>
    </comment>
    <comment ref="D252" authorId="0" shapeId="0">
      <text>
        <t xml:space="preserve">No Output, aparecem juntos:
RU-FUND-CALAM + RU-FGA-ANTIGO
</t>
      </text>
    </comment>
    <comment ref="G252" authorId="0" shapeId="0">
      <text>
        <t xml:space="preserve">O sinal deve estar sempre informado.
Os campos valor devem ser zeros, quando não tem significado
</t>
      </text>
    </comment>
    <comment ref="B253" authorId="0" shapeId="0">
      <text>
        <t xml:space="preserve">VAFGA
</t>
      </text>
    </comment>
    <comment ref="G253" authorId="0" shapeId="0">
      <text>
        <t xml:space="preserve">O sinal deve estar sempre informado.
Os campos valor devem ser zeros, quando não tem significado
</t>
      </text>
    </comment>
    <comment ref="B254" authorId="0" shapeId="0">
      <text>
        <t xml:space="preserve">VAFGP
</t>
      </text>
    </comment>
    <comment ref="G254" authorId="0" shapeId="0">
      <text>
        <t xml:space="preserve">O sinal deve estar sempre informado.
Os campos valor devem ser zeros, quando não tem significado
</t>
      </text>
    </comment>
    <comment ref="B255" authorId="0" shapeId="0">
      <text>
        <t>BONUS</t>
      </text>
    </comment>
    <comment ref="D255" authorId="0" shapeId="0">
      <text>
        <t xml:space="preserve">Bonificação para casos de colheitas (RU-BONIFICACAO)
</t>
      </text>
    </comment>
    <comment ref="G255" authorId="0" shapeId="0">
      <text>
        <t xml:space="preserve">O sinal deve estar sempre informado.
Os campos valor devem ser zeros, quando não tem significado
</t>
      </text>
    </comment>
    <comment ref="B256" authorId="0" shapeId="0">
      <text>
        <t xml:space="preserve">VAPRS
</t>
      </text>
    </comment>
    <comment ref="D256" authorId="0" shapeId="0">
      <text>
        <t xml:space="preserve">Prémio comercial = Prémio Simples + Bonus + Custo Fracionamento (RU-PR-SIMPLES + RU-BONUS + RU-CUSTO-FRACC)
</t>
      </text>
    </comment>
    <comment ref="G256" authorId="0" shapeId="0">
      <text>
        <t xml:space="preserve">O sinal deve estar sempre informado.
Os campos valor devem ser zeros, quando não tem significado
</t>
      </text>
    </comment>
    <comment ref="G257" authorId="0" shapeId="0">
      <text>
        <t xml:space="preserve">O sinal deve estar sempre informado.
Os campos valor devem ser zeros, quando não tem significado
</t>
      </text>
    </comment>
    <comment ref="G258" authorId="0" shapeId="0">
      <text>
        <t xml:space="preserve">O sinal deve estar sempre informado.
Os campos valor devem ser zeros, quando não tem significado
</t>
      </text>
    </comment>
    <comment ref="G259" authorId="0" shapeId="0">
      <text>
        <t xml:space="preserve">O sinal deve estar sempre informado.
Os campos valor devem ser zeros, quando não tem significado
</t>
      </text>
    </comment>
    <comment ref="D266" authorId="0" shapeId="0">
      <text>
        <t xml:space="preserve">C33:
Apenas para uma unidade em risco ("vários" não tem capital)
VIDA:
Valor do "Capital entregue" nas Apólices com TIPO-APOLICE:
Vida Capitalização (CI/CG) 
Vida Misto Capitalização (XI/XG)
</t>
      </text>
    </comment>
    <comment ref="G266" authorId="0" shapeId="0">
      <text>
        <t xml:space="preserve">O sinal deve estar sempre informado.
Os campos valor devem ser zeros, quando não tem significado
</t>
      </text>
    </comment>
    <comment ref="D267" authorId="1" shapeId="0">
      <text>
        <t xml:space="preserve">VIDA:
Valor do "Prémio Risco" nas Apólices com TIPO-APOLICE:
Vida Misto Puro (MI/MG) 
Vida Misto Capitalização (XI/XG)
</t>
      </text>
    </comment>
    <comment ref="G267" authorId="0" shapeId="0">
      <text>
        <t xml:space="preserve">O sinal deve estar sempre informado.
Os campos valor devem ser zeros, quando não tem significado
</t>
      </text>
    </comment>
    <comment ref="B268" authorId="0" shapeId="0">
      <text>
        <t xml:space="preserve">BONIF
</t>
      </text>
    </comment>
    <comment ref="G268" authorId="0" shapeId="0">
      <text>
        <t xml:space="preserve">O sinal deve estar sempre informado.
Os campos valor devem ser zeros, quando não tem significado
</t>
      </text>
    </comment>
    <comment ref="G269" authorId="0" shapeId="0">
      <text>
        <t xml:space="preserve">O sinal deve estar sempre informado.
Os campos valor devem ser zeros, quando não tem significado
</t>
      </text>
    </comment>
    <comment ref="B270" authorId="0" shapeId="0">
      <text>
        <t xml:space="preserve">VAFRC
</t>
      </text>
    </comment>
    <comment ref="D270" authorId="0" shapeId="0">
      <text>
        <t xml:space="preserve">Para casos FGS e RVI:
RU-O-VIDA-GRUPO OR RU-O-VIDA-IND
</t>
      </text>
    </comment>
    <comment ref="G270" authorId="0" shapeId="0">
      <text>
        <t xml:space="preserve">O sinal deve estar sempre informado.
Os campos valor devem ser zeros, quando não tem significado
</t>
      </text>
    </comment>
    <comment ref="B271" authorId="0" shapeId="0">
      <text>
        <t>VAFAT</t>
      </text>
    </comment>
    <comment ref="D271" authorId="0" shapeId="0">
      <text>
        <t xml:space="preserve">No Output, aparecem juntos:
RU-CARTA-VERDE + RU-SNB + RU-FUNDAP
</t>
      </text>
    </comment>
    <comment ref="G271" authorId="0" shapeId="0">
      <text>
        <t xml:space="preserve">O sinal deve estar sempre informado.
Os campos valor devem ser zeros, quando não tem significado
</t>
      </text>
    </comment>
    <comment ref="B272" authorId="0" shapeId="0">
      <text>
        <t>VAFGR</t>
      </text>
    </comment>
    <comment ref="D272" authorId="0" shapeId="0">
      <text>
        <t xml:space="preserve">No Output, aparecem juntos:
RU-FUND-CALAM + RU-FGA-ANTIGO
</t>
      </text>
    </comment>
    <comment ref="G272" authorId="0" shapeId="0">
      <text>
        <t xml:space="preserve">O sinal deve estar sempre informado.
Os campos valor devem ser zeros, quando não tem significado
</t>
      </text>
    </comment>
    <comment ref="B273" authorId="0" shapeId="0">
      <text>
        <t xml:space="preserve">VASNB
</t>
      </text>
    </comment>
    <comment ref="D273" authorId="0" shapeId="0">
      <text>
        <t xml:space="preserve">No Output, aparecem juntos:
RU-CARTA-VERDE + RU-SNB + RU-FUNDAP
excepto quando não há valor de CV e FAT
</t>
      </text>
    </comment>
    <comment ref="G273" authorId="0" shapeId="0">
      <text>
        <t xml:space="preserve">O sinal deve estar sempre informado.
Os campos valor devem ser zeros, quando não tem significado
</t>
      </text>
    </comment>
    <comment ref="B274" authorId="0" shapeId="0">
      <text>
        <t>VINEM</t>
      </text>
    </comment>
    <comment ref="G274" authorId="0" shapeId="0">
      <text>
        <t xml:space="preserve">O sinal deve estar sempre informado.
Os campos valor devem ser zeros, quando não tem significado
</t>
      </text>
    </comment>
    <comment ref="B275" authorId="0" shapeId="0">
      <text>
        <t>VACVD</t>
      </text>
    </comment>
    <comment ref="D275" authorId="0" shapeId="0">
      <text>
        <t xml:space="preserve">No Output, aparecem juntos:
RU-CARTA-VERDE + RU-SNB + RU-FUNDAP
</t>
      </text>
    </comment>
    <comment ref="G275" authorId="0" shapeId="0">
      <text>
        <t xml:space="preserve">O sinal deve estar sempre informado.
Os campos valor devem ser zeros, quando não tem significado
</t>
      </text>
    </comment>
    <comment ref="B276" authorId="0" shapeId="0">
      <text>
        <t xml:space="preserve">VASEL
</t>
      </text>
    </comment>
    <comment ref="G276" authorId="0" shapeId="0">
      <text>
        <t xml:space="preserve">O sinal deve estar sempre informado.
Os campos valor devem ser zeros, quando não tem significado
</t>
      </text>
    </comment>
    <comment ref="B277" authorId="0" shapeId="0">
      <text>
        <t xml:space="preserve">VACTA
</t>
      </text>
    </comment>
    <comment ref="D277" authorId="0" shapeId="0">
      <text>
        <t xml:space="preserve">Para casos FGS e RVI:
RU-O-VIDA-GRUPO OR RU-O-VIDA-IND
Descritivo: "CUSTO CERTIFICADO"
</t>
      </text>
    </comment>
    <comment ref="G277" authorId="0" shapeId="0">
      <text>
        <t xml:space="preserve">O sinal deve estar sempre informado.
Os campos valor devem ser zeros, quando não tem significado
</t>
      </text>
    </comment>
    <comment ref="B278" authorId="0" shapeId="0">
      <text>
        <t xml:space="preserve">VIMSL
</t>
      </text>
    </comment>
    <comment ref="G278" authorId="0" shapeId="0">
      <text>
        <t xml:space="preserve">O sinal deve estar sempre informado.
Os campos valor devem ser zeros, quando não tem significado
</t>
      </text>
    </comment>
    <comment ref="B279" authorId="0" shapeId="0">
      <text>
        <t xml:space="preserve">CALAM
</t>
      </text>
    </comment>
    <comment ref="D279" authorId="0" shapeId="0">
      <text>
        <t xml:space="preserve">No Output, aparecem juntos:
RU-FUND-CALAM + RU-FGA-ANTIGO
</t>
      </text>
    </comment>
    <comment ref="G279" authorId="0" shapeId="0">
      <text>
        <t xml:space="preserve">O sinal deve estar sempre informado.
Os campos valor devem ser zeros, quando não tem significado
</t>
      </text>
    </comment>
    <comment ref="B280" authorId="0" shapeId="0">
      <text>
        <t xml:space="preserve">VAFGA
</t>
      </text>
    </comment>
    <comment ref="G280" authorId="0" shapeId="0">
      <text>
        <t xml:space="preserve">O sinal deve estar sempre informado.
Os campos valor devem ser zeros, quando não tem significado
</t>
      </text>
    </comment>
    <comment ref="B281" authorId="0" shapeId="0">
      <text>
        <t xml:space="preserve">VAFGP
</t>
      </text>
    </comment>
    <comment ref="G281" authorId="0" shapeId="0">
      <text>
        <t xml:space="preserve">O sinal deve estar sempre informado.
Os campos valor devem ser zeros, quando não tem significado
</t>
      </text>
    </comment>
    <comment ref="B282" authorId="0" shapeId="0">
      <text>
        <t>BONUS</t>
      </text>
    </comment>
    <comment ref="D282" authorId="0" shapeId="0">
      <text>
        <t xml:space="preserve">Bonificação para casos de colheitas (RU-BONIFICACAO)
</t>
      </text>
    </comment>
    <comment ref="G282" authorId="0" shapeId="0">
      <text>
        <t xml:space="preserve">O sinal deve estar sempre informado.
Os campos valor devem ser zeros, quando não tem significado
</t>
      </text>
    </comment>
    <comment ref="B283" authorId="0" shapeId="0">
      <text>
        <t xml:space="preserve">VAPRS
</t>
      </text>
    </comment>
    <comment ref="D283" authorId="0" shapeId="0">
      <text>
        <t xml:space="preserve">Prémio comercial = Prémio Simples + Bonus + Custo Fracionamento (RU-PR-SIMPLES + RU-BONUS + RU-CUSTO-FRACC)
</t>
      </text>
    </comment>
    <comment ref="G283" authorId="0" shapeId="0">
      <text>
        <t xml:space="preserve">O sinal deve estar sempre informado.
Os campos valor devem ser zeros, quando não tem significado
</t>
      </text>
    </comment>
    <comment ref="G284" authorId="0" shapeId="0">
      <text>
        <t xml:space="preserve">O sinal deve estar sempre informado.
Os campos valor devem ser zeros, quando não tem significado
</t>
      </text>
    </comment>
    <comment ref="G285" authorId="0" shapeId="0">
      <text>
        <t xml:space="preserve">O sinal deve estar sempre informado.
Os campos valor devem ser zeros, quando não tem significado
</t>
      </text>
    </comment>
    <comment ref="G286" authorId="0" shapeId="0">
      <text>
        <t xml:space="preserve">O sinal deve estar sempre informado.
Os campos valor devem ser zeros, quando não tem significado
</t>
      </text>
    </comment>
  </commentList>
</comments>
</file>

<file path=xl/comments/comment10.xml><?xml version="1.0" encoding="utf-8"?>
<comments xmlns="http://schemas.openxmlformats.org/spreadsheetml/2006/main">
  <authors>
    <author>Paulo Jorge Santos Graça [EE] (DSI)</author>
    <author>Nuno Jorge Sousa Fernandes [EE] (FIT)</author>
    <author>Nuno Jorge de Sousa Fernandes (ITD)</author>
  </authors>
  <commentList>
    <comment ref="G13" authorId="0" shapeId="0">
      <text>
        <t xml:space="preserve">Obrigatório, quando se trata de uma impressão Online
</t>
      </text>
    </comment>
    <comment ref="G14" authorId="0" shapeId="0">
      <text>
        <t xml:space="preserve">Não é suposto receber ViaDirecta… deve ser enviado ficheiro para eles directamente
</t>
      </text>
    </comment>
    <comment ref="G19" authorId="0" shapeId="0">
      <text>
        <t xml:space="preserve">Não é suposto recebermos OK Teleseguro ou Continente. Deve ser enviado ficheiro para a ViaDirecta
</t>
      </text>
    </comment>
    <comment ref="G27" authorId="0" shapeId="0">
      <text>
        <t xml:space="preserve">Apenas para casos em que a marca é FM ou IB
</t>
      </text>
    </comment>
    <comment ref="G46" authorId="1" shapeId="0">
      <text>
        <t>Obrigatório para o Aviso Crédito e Recibo por Tesouraria</t>
      </text>
    </comment>
    <comment ref="G48" authorId="1" shapeId="0">
      <text>
        <t>Obrigatório para o Aviso Crédito e Recibo por Tesouraria</t>
      </text>
    </comment>
    <comment ref="G49" authorId="1" shapeId="0">
      <text>
        <t>Obrigatório para o Aviso Crédito e Recibo por Tesouraria</t>
      </text>
    </comment>
    <comment ref="G50" authorId="2" shapeId="0">
      <text>
        <t>Nuno Jorge de Sousa Fernandes (ITD):
não é preenchido pelo FSCD</t>
      </text>
    </comment>
    <comment ref="G51" authorId="1" shapeId="0">
      <text>
        <t>Obrigatório para o Aviso Crédito e Recibo por Tesouraria</t>
      </text>
    </comment>
    <comment ref="G76" authorId="1" shapeId="0">
      <text>
        <t>Obrigatório para o Aviso Crédito e Recibo por Tesouraria</t>
      </text>
    </comment>
    <comment ref="G95" authorId="1" shapeId="0">
      <text>
        <t>Obrigatório para o Recibo por Tesouraria</t>
      </text>
    </comment>
    <comment ref="G96" authorId="1" shapeId="0">
      <text>
        <t>Obrigatório para o Recibo por Tesouraria</t>
      </text>
    </comment>
    <comment ref="G97" authorId="1" shapeId="0">
      <text>
        <t>Obrigatório para a Carta Controlo Qualidade e Aviso Crédito</t>
      </text>
    </comment>
    <comment ref="G99" authorId="1" shapeId="0">
      <text>
        <t>Obrigatório para o Aviso Crédito e Recibo por Tesouraria</t>
      </text>
    </comment>
    <comment ref="G100" authorId="1" shapeId="0">
      <text>
        <t>Obrigatório para o Aviso Crédito e Recibo por Tesouraria</t>
      </text>
    </comment>
    <comment ref="G101" authorId="1" shapeId="0">
      <text>
        <t>Obrigatório para o Aviso Crédito e Recibo por Tesouraria</t>
      </text>
    </comment>
    <comment ref="G104" authorId="1" shapeId="0">
      <text>
        <t>Obrigatório para o Aviso Crédito</t>
      </text>
    </comment>
    <comment ref="G105" authorId="1" shapeId="0">
      <text>
        <t>Obrigatório para o Aviso Crédito</t>
      </text>
    </comment>
    <comment ref="G106" authorId="1" shapeId="0">
      <text>
        <t>Obrigatório para o Recibo por Tesouraria</t>
      </text>
    </comment>
    <comment ref="G112" authorId="1" shapeId="0">
      <text>
        <t>Obrigatório para o Aviso Crédito e Recibo por Tesouraria</t>
      </text>
    </comment>
    <comment ref="G113" authorId="1" shapeId="0">
      <text>
        <t>Obrigatório para o Aviso Crédito e Recibo por Tesouraria</t>
      </text>
    </comment>
  </commentList>
</comments>
</file>

<file path=xl/comments/comment11.xml><?xml version="1.0" encoding="utf-8"?>
<comments xmlns="http://schemas.openxmlformats.org/spreadsheetml/2006/main">
  <authors>
    <author>Ângela Cristiane Puhl [EE] (DSI)</author>
    <author>Paulo Jorge Santos Graça [EE] (DSI)</author>
  </authors>
  <commentList>
    <comment ref="F12" authorId="0" shapeId="0">
      <text>
        <t xml:space="preserve">Obrigatório quando impressão on-line, TIPO-IMPRESSAO = I </t>
      </text>
    </comment>
    <comment ref="F18" authorId="0" shapeId="0">
      <text>
        <t>Podem existir movimentos da marca FM, IB e IC para o mesmo destinatario.</t>
      </text>
    </comment>
    <comment ref="F25" authorId="0" shapeId="0">
      <text>
        <t xml:space="preserve">Preenchido quando Leve, apenas para marcas FM e IB.
</t>
      </text>
    </comment>
    <comment ref="F27" authorId="1" shapeId="0">
      <text>
        <t>Obrigatório quando destinatário mediador</t>
      </text>
    </comment>
    <comment ref="F28" authorId="1" shapeId="0">
      <text>
        <t>Obrigatório quando destinatário cliente</t>
      </text>
    </comment>
    <comment ref="F29" authorId="1" shapeId="0">
      <text>
        <t>a preencher quando existir informação de apólice (apenas uma apólice). Caso contrário, deverá ser preenchida a espaços</t>
      </text>
    </comment>
    <comment ref="F44" authorId="0" shapeId="0">
      <text>
        <t xml:space="preserve">Quando endereçado ao cliente
</t>
      </text>
    </comment>
    <comment ref="F45" authorId="0" shapeId="0">
      <text>
        <t xml:space="preserve">Quando endereçado ao cliente
</t>
      </text>
    </comment>
    <comment ref="F46" authorId="0" shapeId="0">
      <text>
        <t xml:space="preserve">Quando endereçado ao cliente
</t>
      </text>
    </comment>
    <comment ref="F49" authorId="0" shapeId="0">
      <text>
        <t xml:space="preserve">Quando endereçado ao cliente
</t>
      </text>
    </comment>
    <comment ref="F50" authorId="0" shapeId="0">
      <text>
        <t xml:space="preserve">Quando endereçado ao cliente
</t>
      </text>
    </comment>
    <comment ref="F51" authorId="0" shapeId="0">
      <text>
        <t xml:space="preserve">Quando endereçado ao cliente
</t>
      </text>
    </comment>
    <comment ref="F52" authorId="0" shapeId="0">
      <text>
        <t xml:space="preserve">Quando endereçado ao cliente
</t>
      </text>
    </comment>
    <comment ref="F53" authorId="0" shapeId="0">
      <text>
        <t xml:space="preserve">Quando endereçado ao cliente
</t>
      </text>
    </comment>
    <comment ref="F54" authorId="0" shapeId="0">
      <text>
        <t xml:space="preserve">Quando endereçado ao cliente
</t>
      </text>
    </comment>
    <comment ref="F55" authorId="0" shapeId="0">
      <text>
        <t xml:space="preserve">Quando endereçado ao cliente
</t>
      </text>
    </comment>
    <comment ref="F59" authorId="0" shapeId="0">
      <text>
        <t xml:space="preserve">Quando endereçado ao mediador
</t>
      </text>
    </comment>
    <comment ref="F60" authorId="0" shapeId="0">
      <text>
        <t xml:space="preserve">Quando endereçado ao mediador
</t>
      </text>
    </comment>
    <comment ref="F61" authorId="0" shapeId="0">
      <text>
        <t xml:space="preserve">Quando endereçado ao mediador
</t>
      </text>
    </comment>
    <comment ref="F64" authorId="0" shapeId="0">
      <text>
        <t xml:space="preserve">Quando endereçado ao mediador
</t>
      </text>
    </comment>
    <comment ref="F65" authorId="0" shapeId="0">
      <text>
        <t xml:space="preserve">Quando endereçado ao mediador
</t>
      </text>
    </comment>
    <comment ref="F66" authorId="0" shapeId="0">
      <text>
        <t xml:space="preserve">Quando endereçado ao mediador
</t>
      </text>
    </comment>
    <comment ref="F67" authorId="0" shapeId="0">
      <text>
        <t xml:space="preserve">Quando endereçado ao mediador
</t>
      </text>
    </comment>
    <comment ref="F68" authorId="0" shapeId="0">
      <text>
        <t xml:space="preserve">Quando endereçado ao mediador
</t>
      </text>
    </comment>
    <comment ref="F71" authorId="0" shapeId="0">
      <text>
        <t xml:space="preserve">obrigatório para documento "ordem de pagamento: transferência bancária"
</t>
      </text>
    </comment>
    <comment ref="F74" authorId="1" shapeId="0">
      <text>
        <t>Prenchido quando TRANSFERENCIA BANCARIA</t>
      </text>
    </comment>
    <comment ref="F75" authorId="1" shapeId="0">
      <text>
        <t>Prenchido quando TRANSFERENCIA BANCARIA</t>
      </text>
    </comment>
    <comment ref="F76" authorId="1" shapeId="0">
      <text>
        <t>Prenchido quando TRANSFERENCIA BANCARIA</t>
      </text>
    </comment>
    <comment ref="F78" authorId="1" shapeId="0">
      <text>
        <t xml:space="preserve">Prenchido quando ENVIO CHEQUE
</t>
      </text>
    </comment>
    <comment ref="F79" authorId="1" shapeId="0">
      <text>
        <t xml:space="preserve">Prenchido quando ENVIO CHEQUE
</t>
      </text>
    </comment>
    <comment ref="F80" authorId="1" shapeId="0">
      <text>
        <t xml:space="preserve">Prenchido quando ENVIO CHEQUE
</t>
      </text>
    </comment>
    <comment ref="F81" authorId="1" shapeId="0">
      <text>
        <t xml:space="preserve">Prenchido quando ENVIO CHEQUE
</t>
      </text>
    </comment>
    <comment ref="F82" authorId="1" shapeId="0">
      <text>
        <t xml:space="preserve">Prenchido quando ENVIO CHEQUE
</t>
      </text>
    </comment>
    <comment ref="F88" authorId="0" shapeId="0">
      <text>
        <t xml:space="preserve">texto livre do utilizador - opcional. Quando não preenchido deverá estar preenchido a espaços.
</t>
      </text>
    </comment>
  </commentList>
</comments>
</file>

<file path=xl/comments/comment12.xml><?xml version="1.0" encoding="utf-8"?>
<comments xmlns="http://schemas.openxmlformats.org/spreadsheetml/2006/main">
  <authors>
    <author>Paulo Jorge Santos Graça [EE] (DSI)</author>
  </authors>
  <commentList>
    <comment ref="I56" authorId="0" shapeId="0">
      <text>
        <t xml:space="preserve">'AUTOF'
'AUTMF'
'AUTPF'
</t>
      </text>
    </comment>
    <comment ref="B118" authorId="0" shapeId="0">
      <text>
        <t>VCCOA</t>
      </text>
    </comment>
    <comment ref="B120" authorId="0" shapeId="0">
      <text>
        <t xml:space="preserve">VCCOC
</t>
      </text>
    </comment>
    <comment ref="B122" authorId="0" shapeId="0">
      <text>
        <t>VCCOO</t>
      </text>
    </comment>
    <comment ref="B124" authorId="0" shapeId="0">
      <text>
        <t xml:space="preserve">VRCOM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34.5" customWidth="1" min="1" max="1"/>
    <col width="10.6640625" customWidth="1" min="2" max="2"/>
    <col width="9.33203125" customWidth="1" min="3" max="3"/>
    <col width="60" customWidth="1" min="4" max="4"/>
    <col width="25.1640625" customWidth="1" min="5" max="5"/>
    <col width="12.5" customWidth="1" min="6" max="6"/>
    <col width="9.1640625" customWidth="1" min="7" max="7"/>
  </cols>
  <sheetData>
    <row r="1" ht="14" customHeight="1">
      <c r="A1" t="inlineStr">
        <is>
          <t>Nome do Campo</t>
        </is>
      </c>
      <c r="B1" t="inlineStr">
        <is>
          <t>Posição</t>
        </is>
      </c>
      <c r="C1" t="inlineStr">
        <is>
          <t>Tamanho</t>
        </is>
      </c>
      <c r="D1" t="inlineStr">
        <is>
          <t>Valores Possíveis</t>
        </is>
      </c>
      <c r="E1" t="inlineStr">
        <is>
          <t>Descrição do conteúdo</t>
        </is>
      </c>
      <c r="F1" t="inlineStr">
        <is>
          <t>Obrig/Facult</t>
        </is>
      </c>
    </row>
    <row r="2" ht="13" customHeight="1">
      <c r="A2" t="inlineStr">
        <is>
          <t>DADOS-REGISTO</t>
        </is>
      </c>
      <c r="B2" t="n">
        <v>1</v>
      </c>
      <c r="C2" t="n">
        <v>0</v>
      </c>
    </row>
    <row r="3" ht="75" customHeight="1">
      <c r="A3" t="inlineStr">
        <is>
          <t>BGOW0015-COD-COMPANHIA</t>
        </is>
      </c>
      <c r="B3" t="n">
        <v>1</v>
      </c>
      <c r="C3" t="n">
        <v>3</v>
      </c>
      <c r="D3" t="inlineStr">
        <is>
          <t>111 - Via Directa
128 - Fidelidade Mundial
138 - Império Bonança
148 - Multicare
158 - Caixa Poupança</t>
        </is>
      </c>
      <c r="E3" t="inlineStr">
        <is>
          <t>Código de identificação da Companhia</t>
        </is>
      </c>
      <c r="F3" t="inlineStr">
        <is>
          <t>O</t>
        </is>
      </c>
    </row>
    <row r="4" ht="135" customHeight="1">
      <c r="A4" t="inlineStr">
        <is>
          <t>BGOW0015-COD-MARCA</t>
        </is>
      </c>
      <c r="B4" t="n">
        <v>4</v>
      </c>
      <c r="C4" t="n">
        <v>3</v>
      </c>
      <c r="D4" t="inlineStr">
        <is>
          <t>001 - OK Teleseguro
002 - Fidelidade Mundial
L02 - FM Leve
003 - Império Bonança
L03 - IB Leve
004 - ICI
005 - Continente
006 - Multicare
L09 - CP Leve</t>
        </is>
      </c>
      <c r="E4" t="inlineStr">
        <is>
          <t>Código de identificação da Marca</t>
        </is>
      </c>
      <c r="F4" t="inlineStr">
        <is>
          <t>O</t>
        </is>
      </c>
    </row>
    <row r="5" ht="150" customHeight="1">
      <c r="A5" t="inlineStr">
        <is>
          <t>BGOW0015-COD-ORIGEM</t>
        </is>
      </c>
      <c r="B5" t="n">
        <v>7</v>
      </c>
      <c r="C5" t="n">
        <v>3</v>
      </c>
      <c r="D5" t="inlineStr">
        <is>
          <t>C22 - Cogen 22
C33 - Cogen 33
C41 - Cogen 41
P41 - PRIC 41
CLA - Clássico
GIS - GIS
TAG - TAG
CLH - Colheitas
FGS - Vida Grupo
RVI - Vida Individual</t>
        </is>
      </c>
      <c r="E5" t="inlineStr">
        <is>
          <t>Código de identificação do Sistema Origem</t>
        </is>
      </c>
      <c r="F5" t="inlineStr">
        <is>
          <t>O</t>
        </is>
      </c>
    </row>
    <row r="6" ht="70" customHeight="1">
      <c r="A6" t="inlineStr">
        <is>
          <t>BGOW0015-COD-POSTALM</t>
        </is>
      </c>
      <c r="B6" t="n">
        <v>10</v>
      </c>
      <c r="C6" t="n">
        <v>9</v>
      </c>
      <c r="D6" t="inlineStr">
        <is>
          <t>caso o documento seja endereçado ao Mediador</t>
        </is>
      </c>
      <c r="E6" t="inlineStr">
        <is>
          <t>Código Postal do Mediador
-este campo só deve vir preenchido se o documento for passivel de ser entregue ao mediador.</t>
        </is>
      </c>
      <c r="F6" t="inlineStr">
        <is>
          <t>F</t>
        </is>
      </c>
    </row>
    <row r="7" ht="84" customHeight="1">
      <c r="A7" t="inlineStr">
        <is>
          <t>BGOW0015-NR-MEDIADOR</t>
        </is>
      </c>
      <c r="B7" t="n">
        <v>19</v>
      </c>
      <c r="C7" t="n">
        <v>10</v>
      </c>
      <c r="D7" t="inlineStr">
        <is>
          <t>caso o documento seja endereçado ao Mediador</t>
        </is>
      </c>
      <c r="E7" t="inlineStr">
        <is>
          <t xml:space="preserve">Número do Mediador
-este campo só deve vir preenchido se o documento for passivel de ser entregue ao mediador.
 </t>
        </is>
      </c>
      <c r="F7" t="inlineStr">
        <is>
          <t>F</t>
        </is>
      </c>
    </row>
    <row r="8" ht="98" customHeight="1">
      <c r="A8" t="inlineStr">
        <is>
          <t>BGOW0015-COD-POSTALC</t>
        </is>
      </c>
      <c r="B8" t="n">
        <v>29</v>
      </c>
      <c r="C8" t="n">
        <v>9</v>
      </c>
      <c r="E8" t="inlineStr">
        <is>
          <t xml:space="preserve">Código Postal do Cliente
-este campo deve ser preenchido com o valor do codigo postal da entidade a quem o documento vai endereçado.
</t>
        </is>
      </c>
      <c r="F8" t="inlineStr">
        <is>
          <t>O</t>
        </is>
      </c>
    </row>
    <row r="9" ht="70" customHeight="1">
      <c r="A9" t="inlineStr">
        <is>
          <t>BGOW0015-NR-CLIENTE</t>
        </is>
      </c>
      <c r="B9" t="n">
        <v>38</v>
      </c>
      <c r="C9" t="n">
        <v>10</v>
      </c>
      <c r="E9" t="inlineStr">
        <is>
          <t>Número do Cliente
-este campo deve ser preenchido com o valor do numero da entidade a quem o documento vai endereçado.</t>
        </is>
      </c>
      <c r="F9" t="inlineStr">
        <is>
          <t>O</t>
        </is>
      </c>
    </row>
    <row r="10" ht="98" customHeight="1">
      <c r="A10" t="inlineStr">
        <is>
          <t>BGOW0015-NR-APOLICE</t>
        </is>
      </c>
      <c r="B10" t="n">
        <v>48</v>
      </c>
      <c r="C10" t="n">
        <v>16</v>
      </c>
      <c r="E10" t="inlineStr">
        <is>
          <t xml:space="preserve">Número da Apólice
ATENÇÃO: Quando o documento refere mais do que uma apólice o campo 
NR-APOLICE deve vir do SO preenchido a espaços.
</t>
        </is>
      </c>
      <c r="F10" t="inlineStr">
        <is>
          <t>F</t>
        </is>
      </c>
    </row>
    <row r="11" ht="14" customHeight="1">
      <c r="A11" t="inlineStr">
        <is>
          <t>BGOW0015-COD-PRODUTO</t>
        </is>
      </c>
      <c r="B11" t="n">
        <v>64</v>
      </c>
      <c r="C11" t="n">
        <v>6</v>
      </c>
      <c r="E11" t="inlineStr">
        <is>
          <t>Código de Produto</t>
        </is>
      </c>
      <c r="F11" t="inlineStr">
        <is>
          <t>F</t>
        </is>
      </c>
    </row>
    <row r="12" ht="28" customHeight="1">
      <c r="A12" t="inlineStr">
        <is>
          <t>BGOW0015-DATA-HORA</t>
        </is>
      </c>
      <c r="B12" t="n">
        <v>70</v>
      </c>
      <c r="C12" t="n">
        <v>14</v>
      </c>
      <c r="E12" t="inlineStr">
        <is>
          <t>Data e Hora de emissão do documento</t>
        </is>
      </c>
      <c r="F12" t="inlineStr">
        <is>
          <t>O</t>
        </is>
      </c>
    </row>
    <row r="13" ht="28" customHeight="1">
      <c r="A13" t="inlineStr">
        <is>
          <t>BGOW0015-NUM-DOC</t>
        </is>
      </c>
      <c r="B13" t="n">
        <v>84</v>
      </c>
      <c r="C13" t="n">
        <v>7</v>
      </c>
      <c r="D13" t="inlineStr">
        <is>
          <t>Espaços para o DOC-ID = '006', '010'</t>
        </is>
      </c>
      <c r="E13" t="inlineStr">
        <is>
          <t>Número de ordem do Documento</t>
        </is>
      </c>
      <c r="F13" t="inlineStr">
        <is>
          <t>O</t>
        </is>
      </c>
    </row>
    <row r="14" ht="28" customHeight="1">
      <c r="A14" t="inlineStr">
        <is>
          <t>BGOW0015-NUM-REGISTO</t>
        </is>
      </c>
      <c r="B14" t="n">
        <v>91</v>
      </c>
      <c r="C14" t="n">
        <v>7</v>
      </c>
      <c r="D14" t="inlineStr">
        <is>
          <t>Espaços para o DOC-ID = '006' , '010'</t>
        </is>
      </c>
      <c r="E14" t="inlineStr">
        <is>
          <t>Número de ordem do registo no documento</t>
        </is>
      </c>
      <c r="F14" t="inlineStr">
        <is>
          <t>O</t>
        </is>
      </c>
    </row>
    <row r="15" ht="328" customHeight="1">
      <c r="A15" t="inlineStr">
        <is>
          <t>BGOW0015-COD-ASSINATURA</t>
        </is>
      </c>
      <c r="B15" t="n">
        <v>98</v>
      </c>
      <c r="C15" t="n">
        <v>4</v>
      </c>
      <c r="D15" t="inlineStr">
        <is>
          <t>NF00 - Nuno Fernandes
HM00 - Helena Moura
HM01 - Helena Moura com nome e morada Medicil
HM02 - Helena Moura com nome e morada Comp.
RS01 - Rita Sambado
CA6R - Magalhães Correia (CP's)
AM00 - Artur Martins
AM01 - Artur Martins com nome e morada
EC00 - Eugénia Coimbra
BC00 - Brissos Costa
CA61 - Magalhães Correia (cartas)
BCAM - Brissos e Artur (2 assinaturas)
PC00 - Pedro Athaide Cordeiro
PC01 - Pedro Athaide Cordeiro com nome e morada
BCPC - Brissos e Cordeiro (2 assinaturas)
FS00 - Fernando Ferreira Santos
FS01 - Fernando Ferreira Santos com nome e morada
BCFS - Brissos e Ferreira Santos (2 assinaturas)
VM00 - Vitor Machado
VMFS - Vitor Machado e Ferreira Santos (2 assinaturas)
SC00 - Sérgio Carvalho
Espaços para o DOC-ID = '006', '010'</t>
        </is>
      </c>
      <c r="E15" t="inlineStr">
        <is>
          <t>Código da assinatura do documento
NOTA: no recibo de indemnização com visto, a assinatura (Ferreira Santos) é colocada fixa Layout ****BNVIS2 .
Assinaturas desativadas</t>
        </is>
      </c>
      <c r="F15" t="inlineStr">
        <is>
          <t>F</t>
        </is>
      </c>
    </row>
    <row r="16" ht="180" customHeight="1">
      <c r="A16" t="inlineStr">
        <is>
          <t>BGOW0015-TIPO-DOCUMENTO</t>
        </is>
      </c>
      <c r="B16" t="n">
        <v>102</v>
      </c>
      <c r="C16" t="n">
        <v>4</v>
      </c>
      <c r="D16" t="inlineStr">
        <is>
          <t>OUT1 - Carta transf. Mediador (DOC-ID = '006')
OUT2 - Carta transf. Cliente  (DOC-ID = '006')
OUT3 - Carta transf. Cliente  (DOC-ID = '006')  
OUT4 - Carta transf. Cliente  (DOC-ID = '006') 
OUT5 - Carta transf. Cliente  (DOC-ID = '006') 
REC1 - Recibo de Renda (sinistros)
REC2 - Recibo de Reembolso (sinistros)
REC3 - Recibo de Indemnização (sinistros)
CRT1 - transferência de apolice FGS(DOC-ID = '010')
CRT2 - transferência de apolice FGS(DOC-ID = '010')
CRT3 - transferência de apolice FGS(DOC-ID = '010')
CRT4 - transferência de apolice FGS(DOC-ID = '010')</t>
        </is>
      </c>
      <c r="E16" t="inlineStr">
        <is>
          <t>Código de identificação do Tipo de Documento</t>
        </is>
      </c>
      <c r="F16" t="inlineStr">
        <is>
          <t>F</t>
        </is>
      </c>
    </row>
    <row r="17" ht="105" customHeight="1">
      <c r="A17" t="inlineStr">
        <is>
          <t>BGOW0015-TIPO-IMPRESSAO</t>
        </is>
      </c>
      <c r="B17" t="n">
        <v>106</v>
      </c>
      <c r="C17" t="n">
        <v>3</v>
      </c>
      <c r="D17" t="inlineStr">
        <is>
          <t>CAE - Centralizado/Agrupado/Expedir
CAN - Centralizado/Agrupado/Não Expedir
CNE - Centralizado/Não Agrupado/Expedir
CNN - Centralizado/Não Agrupado/Não Expedir
DAN - Descentralizado/Agrupado/Não Expedir
DNN - Descentralizado/Não Agrupado/Não Expedir
Espaços para o DOC-ID = '006', '010'</t>
        </is>
      </c>
      <c r="E17" t="inlineStr">
        <is>
          <t>Código de identificação do tipo de impressão</t>
        </is>
      </c>
      <c r="F17" t="inlineStr">
        <is>
          <t>O</t>
        </is>
      </c>
    </row>
    <row r="18" ht="15" customHeight="1">
      <c r="A18" t="inlineStr">
        <is>
          <t>BGOW0015-CODIGO-IMPRESSORA</t>
        </is>
      </c>
      <c r="B18" t="n">
        <v>109</v>
      </c>
      <c r="C18" t="n">
        <v>8</v>
      </c>
      <c r="D18" t="inlineStr">
        <is>
          <t>Espaços para o DOC-ID = '006', 010'</t>
        </is>
      </c>
      <c r="E18" t="inlineStr">
        <is>
          <t>Código da impressora</t>
        </is>
      </c>
      <c r="F18" t="inlineStr">
        <is>
          <t>F</t>
        </is>
      </c>
    </row>
    <row r="19" ht="28" customHeight="1">
      <c r="A19" t="inlineStr">
        <is>
          <t>BGOW0015-COD-DOCUMENTO-ORIGEM</t>
        </is>
      </c>
      <c r="B19" t="n">
        <v>117</v>
      </c>
      <c r="C19" t="n">
        <v>10</v>
      </c>
      <c r="D19" t="inlineStr">
        <is>
          <t>Espaços para o DOC-ID = '006'</t>
        </is>
      </c>
      <c r="E19" t="inlineStr">
        <is>
          <t>Código do documento de origem</t>
        </is>
      </c>
      <c r="F19" t="inlineStr">
        <is>
          <t>O</t>
        </is>
      </c>
    </row>
    <row r="20" ht="189" customHeight="1">
      <c r="A20" t="inlineStr">
        <is>
          <t>BGOW0015-TIPO-REG</t>
        </is>
      </c>
      <c r="B20" t="n">
        <v>127</v>
      </c>
      <c r="C20" t="n">
        <v>4</v>
      </c>
      <c r="D20" t="inlineStr">
        <is>
          <t>HDMM - Registo tipo header (Endereçamento)GIS
HD01 - Registo tipo header (cartas) FGS
HD02 - Registo tipo header (CP, Cert.) FGS
HD03 - Registo tipo header (dt, assuntos) GIS
HD04 - Registo tipo header (CP's e Cert) GIS
HD05 - Registo tipo header (Extractos) GIS
HD06 - Registo tipo header (Recibos de Sinistros)
DT01 - Registo tipo detalhe
ENDD - Fim de Documento
0001 - Transf de Carteira dados Endereçamento (DOC-ID = '006')
0002 - Transf de Carteira dados Mediador (DOC-ID = '006')
0003 - Transf de Carteira restantes dados (DOC-ID = '006')
0004 - Transferência de apolice (DOC-ID = '010')</t>
        </is>
      </c>
      <c r="E20" t="inlineStr">
        <is>
          <t>Tipo de Registo</t>
        </is>
      </c>
      <c r="F20" t="inlineStr">
        <is>
          <t>O</t>
        </is>
      </c>
    </row>
    <row r="21" ht="60" customHeight="1">
      <c r="A21" t="inlineStr">
        <is>
          <t>BGOW0015-MARCA-REIMPRESSAO</t>
        </is>
      </c>
      <c r="B21" t="n">
        <v>131</v>
      </c>
      <c r="C21" t="n">
        <v>1</v>
      </c>
      <c r="D21" t="inlineStr">
        <is>
          <t xml:space="preserve"> ' '  - Espaço
 '1'  - Impressão ONLINE 
 '2'  - 2ª Via
 '3'  - Registada </t>
        </is>
      </c>
      <c r="E21" t="inlineStr">
        <is>
          <t>2' -Código de identificação para colocar no documento '2ª via';
'3' - Registada apenas para 
TIPO-IMPRESSAO = CNN</t>
        </is>
      </c>
      <c r="F21" t="inlineStr">
        <is>
          <t>F</t>
        </is>
      </c>
    </row>
    <row r="22" ht="15" customHeight="1">
      <c r="A22" t="inlineStr">
        <is>
          <t>BGOW0015-COD-CAPA</t>
        </is>
      </c>
      <c r="B22" t="n">
        <v>132</v>
      </c>
      <c r="C22" t="n">
        <v>6</v>
      </c>
      <c r="D22" t="inlineStr">
        <is>
          <t>Espaços para o DOC-ID = '006','010'</t>
        </is>
      </c>
    </row>
    <row r="23" ht="180" customHeight="1">
      <c r="A23" t="inlineStr">
        <is>
          <t>BGOW0015-DOC-ID</t>
        </is>
      </c>
      <c r="B23" t="n">
        <v>138</v>
      </c>
      <c r="C23" t="n">
        <v>3</v>
      </c>
      <c r="D23" t="inlineStr">
        <is>
          <t xml:space="preserve">Espaços ou 001 - Cartas 1ª fase
002 - Condições Particulares
003 - Cartas de Reinvestimento
004 - certificados
005 - Extractos
006 - Cartas Transferencia de Carteira
007 - Recibos de Sinistros
008 - Recibos de premio/estorno
009 - Listas Paxus Horizontais
010 - Transferência de apolice  + Boletim + IPC (DOC-ID = '010')
011 - Extrado integrado
</t>
        </is>
      </c>
      <c r="E23" t="inlineStr">
        <is>
          <t>Código para separar os movimentos conforme tipo de documento</t>
        </is>
      </c>
      <c r="F23" t="inlineStr">
        <is>
          <t>O</t>
        </is>
      </c>
    </row>
    <row r="24" ht="15" customHeight="1">
      <c r="A24" t="inlineStr">
        <is>
          <t>BGOW0015-USER-ID</t>
        </is>
      </c>
      <c r="B24" t="n">
        <v>141</v>
      </c>
      <c r="C24" t="n">
        <v>8</v>
      </c>
      <c r="D24" t="inlineStr">
        <is>
          <t>Espaços para o DOC-ID = '006'</t>
        </is>
      </c>
      <c r="E24" t="inlineStr">
        <is>
          <t>User Id</t>
        </is>
      </c>
      <c r="F24" t="inlineStr">
        <is>
          <t>F</t>
        </is>
      </c>
    </row>
    <row r="25" ht="84" customHeight="1">
      <c r="A25" t="inlineStr">
        <is>
          <t>BGOW0015-ADERENTE</t>
        </is>
      </c>
      <c r="B25" t="n">
        <v>149</v>
      </c>
      <c r="C25" t="n">
        <v>8</v>
      </c>
      <c r="E25" t="inlineStr">
        <is>
          <t xml:space="preserve">Numero de Aderente
ATENÇÃOQuando o documento refere mais do que um aderente o campo NR-APOLICE deve vir do SO preenchido a espaços.
</t>
        </is>
      </c>
      <c r="F25" t="inlineStr">
        <is>
          <t>F</t>
        </is>
      </c>
    </row>
    <row r="26" ht="15" customHeight="1">
      <c r="A26" t="inlineStr">
        <is>
          <t>BGOW0015-APOLICE-NCR</t>
        </is>
      </c>
      <c r="B26" t="n">
        <v>157</v>
      </c>
      <c r="C26" t="n">
        <v>8</v>
      </c>
      <c r="D26" t="inlineStr">
        <is>
          <t>Espaços para o DOC-ID = '006'</t>
        </is>
      </c>
    </row>
    <row r="27" ht="30" customHeight="1">
      <c r="A27" t="inlineStr">
        <is>
          <t>BGOW0015-CARTA-ANEXO</t>
        </is>
      </c>
      <c r="B27" t="n">
        <v>165</v>
      </c>
      <c r="C27" t="n">
        <v>1</v>
      </c>
      <c r="D27" t="inlineStr">
        <is>
          <t>Espaços ou preencher indicador quando for para fazer carta anexo
1 - Carta Anexo para Certificados</t>
        </is>
      </c>
      <c r="E27" t="inlineStr">
        <is>
          <t>Carta Anexo</t>
        </is>
      </c>
      <c r="F27" t="inlineStr">
        <is>
          <t>F</t>
        </is>
      </c>
      <c r="G27" t="inlineStr">
        <is>
          <t>NOVO</t>
        </is>
      </c>
    </row>
    <row r="28" ht="12" customHeight="1">
      <c r="A28" t="inlineStr">
        <is>
          <t>FILLER</t>
        </is>
      </c>
      <c r="B28" t="n">
        <v>166</v>
      </c>
      <c r="C28" t="n">
        <v>133</v>
      </c>
      <c r="D28" t="inlineStr">
        <is>
          <t>Espaços para o DOC-ID = '006'</t>
        </is>
      </c>
      <c r="F28" t="inlineStr">
        <is>
          <t>F</t>
        </is>
      </c>
    </row>
    <row r="29" ht="14" customHeight="1">
      <c r="A29" t="inlineStr">
        <is>
          <t>DADOS-VARIAVEL</t>
        </is>
      </c>
      <c r="B29" t="n">
        <v>299</v>
      </c>
      <c r="C29" t="n">
        <v>0</v>
      </c>
    </row>
    <row r="30" ht="28" customHeight="1">
      <c r="A30" t="inlineStr">
        <is>
          <t>BGOW0015-TITULO-DOC1</t>
        </is>
      </c>
      <c r="B30" t="n">
        <v>299</v>
      </c>
      <c r="C30" t="n">
        <v>40</v>
      </c>
      <c r="E30" t="inlineStr">
        <is>
          <t>Dados para 1ª linha de Título do Documento</t>
        </is>
      </c>
      <c r="F30" t="inlineStr">
        <is>
          <t>F</t>
        </is>
      </c>
    </row>
    <row r="31" ht="28" customHeight="1">
      <c r="A31" t="inlineStr">
        <is>
          <t>BGOW0015-TITULO-DOC2</t>
        </is>
      </c>
      <c r="B31" t="n">
        <v>339</v>
      </c>
      <c r="C31" t="n">
        <v>40</v>
      </c>
      <c r="E31" t="inlineStr">
        <is>
          <t>Dados para 2ª linha de Título do Documento</t>
        </is>
      </c>
      <c r="F31" t="inlineStr">
        <is>
          <t>F</t>
        </is>
      </c>
    </row>
    <row r="32" ht="14" customHeight="1">
      <c r="A32" t="inlineStr">
        <is>
          <t>BGOW0015-NOME</t>
        </is>
      </c>
      <c r="B32" t="n">
        <v>379</v>
      </c>
      <c r="C32" t="n">
        <v>40</v>
      </c>
      <c r="E32" t="inlineStr">
        <is>
          <t>Nome do Destinatário</t>
        </is>
      </c>
      <c r="F32" t="inlineStr">
        <is>
          <t>O</t>
        </is>
      </c>
    </row>
    <row r="33" ht="28" customHeight="1">
      <c r="A33" t="inlineStr">
        <is>
          <t>BGOW0015-MORADA1</t>
        </is>
      </c>
      <c r="B33" t="n">
        <v>419</v>
      </c>
      <c r="C33" t="n">
        <v>40</v>
      </c>
      <c r="E33" t="inlineStr">
        <is>
          <t>Dados para 1ª linha de Endereço</t>
        </is>
      </c>
      <c r="F33" t="inlineStr">
        <is>
          <t>O</t>
        </is>
      </c>
    </row>
    <row r="34" ht="28" customHeight="1">
      <c r="A34" t="inlineStr">
        <is>
          <t>BGOW0015-MORADA2</t>
        </is>
      </c>
      <c r="B34" t="n">
        <v>459</v>
      </c>
      <c r="C34" t="n">
        <v>40</v>
      </c>
      <c r="E34" t="inlineStr">
        <is>
          <t>Dados para 2ª linha de Endereço</t>
        </is>
      </c>
      <c r="F34" t="inlineStr">
        <is>
          <t>F</t>
        </is>
      </c>
    </row>
    <row r="35" ht="28" customHeight="1">
      <c r="A35" t="inlineStr">
        <is>
          <t>BGOW0015-MORADA3</t>
        </is>
      </c>
      <c r="B35" t="n">
        <v>499</v>
      </c>
      <c r="C35" t="n">
        <v>40</v>
      </c>
      <c r="E35" t="inlineStr">
        <is>
          <t>Dados para 3ª linha de Endereço</t>
        </is>
      </c>
      <c r="F35" t="inlineStr">
        <is>
          <t>F</t>
        </is>
      </c>
    </row>
    <row r="36" ht="28" customHeight="1">
      <c r="A36" t="inlineStr">
        <is>
          <t>BGOW0015-MORADA4</t>
        </is>
      </c>
      <c r="B36" t="n">
        <v>539</v>
      </c>
      <c r="C36" t="n">
        <v>40</v>
      </c>
      <c r="E36" t="inlineStr">
        <is>
          <t>Dados para 4ª linha de Endereço</t>
        </is>
      </c>
      <c r="F36" t="inlineStr">
        <is>
          <t>O</t>
        </is>
      </c>
    </row>
    <row r="37" ht="28" customHeight="1">
      <c r="A37" t="inlineStr">
        <is>
          <t>BGOW0015-TNUM-PORTA</t>
        </is>
      </c>
      <c r="B37" t="n">
        <v>579</v>
      </c>
      <c r="C37" t="n">
        <v>1</v>
      </c>
      <c r="E37" t="inlineStr">
        <is>
          <t>Código de identificação do Tipo de Porta</t>
        </is>
      </c>
      <c r="F37" t="inlineStr">
        <is>
          <t>F</t>
        </is>
      </c>
    </row>
    <row r="38" ht="14" customHeight="1">
      <c r="A38" t="inlineStr">
        <is>
          <t>BGOW0015-NUM-PORTA</t>
        </is>
      </c>
      <c r="B38" t="n">
        <v>580</v>
      </c>
      <c r="C38" t="n">
        <v>4</v>
      </c>
      <c r="E38" t="inlineStr">
        <is>
          <t>Número de Porta</t>
        </is>
      </c>
      <c r="F38" t="inlineStr">
        <is>
          <t>F</t>
        </is>
      </c>
    </row>
    <row r="39" ht="28" customHeight="1">
      <c r="A39" t="inlineStr">
        <is>
          <t>BGOW0015-DT-CARTA-EMISSAO</t>
        </is>
      </c>
      <c r="B39" t="n">
        <v>584</v>
      </c>
      <c r="C39" t="n">
        <v>32</v>
      </c>
      <c r="E39" t="inlineStr">
        <is>
          <t>Data de emissão do documento (extenso)</t>
        </is>
      </c>
      <c r="F39" t="inlineStr">
        <is>
          <t>F</t>
        </is>
      </c>
    </row>
    <row r="40" ht="14" customHeight="1">
      <c r="A40" t="inlineStr">
        <is>
          <t>BGOW0015-ASSUNTO1</t>
        </is>
      </c>
      <c r="B40" t="n">
        <v>616</v>
      </c>
      <c r="C40" t="n">
        <v>90</v>
      </c>
      <c r="E40" t="inlineStr">
        <is>
          <t>Dados para 1ª linha de Assunto</t>
        </is>
      </c>
      <c r="F40" t="inlineStr">
        <is>
          <t>F</t>
        </is>
      </c>
    </row>
    <row r="41" ht="14" customHeight="1">
      <c r="A41" t="inlineStr">
        <is>
          <t>BGOW0015-ASSUNTO2</t>
        </is>
      </c>
      <c r="B41" t="n">
        <v>706</v>
      </c>
      <c r="C41" t="n">
        <v>90</v>
      </c>
      <c r="E41" t="inlineStr">
        <is>
          <t>Dados para 2ª linha de Assunto</t>
        </is>
      </c>
      <c r="F41" t="inlineStr">
        <is>
          <t>F</t>
        </is>
      </c>
    </row>
    <row r="42" ht="14" customHeight="1">
      <c r="A42" t="inlineStr">
        <is>
          <t>BGOW0015-ASSUNTO3</t>
        </is>
      </c>
      <c r="B42" t="n">
        <v>796</v>
      </c>
      <c r="C42" t="n">
        <v>90</v>
      </c>
      <c r="E42" t="inlineStr">
        <is>
          <t>Dados para 3ª linha de Assunto</t>
        </is>
      </c>
      <c r="F42" t="inlineStr">
        <is>
          <t>F</t>
        </is>
      </c>
    </row>
    <row r="43" ht="14" customHeight="1">
      <c r="A43" t="inlineStr">
        <is>
          <t>BGOW0015-REGISTO-CTT</t>
        </is>
      </c>
      <c r="B43" t="n">
        <v>886</v>
      </c>
      <c r="C43" t="n">
        <v>17</v>
      </c>
      <c r="E43" t="inlineStr">
        <is>
          <t>Dados para 3ª linha de Assunto</t>
        </is>
      </c>
      <c r="F43" t="inlineStr">
        <is>
          <t>F</t>
        </is>
      </c>
    </row>
    <row r="44" ht="28" customHeight="1">
      <c r="A44" t="inlineStr">
        <is>
          <t>DADOS-VARIAVEL(CP, CERT., EXTR., TRSFCA, RECSIN)</t>
        </is>
      </c>
      <c r="B44" t="n">
        <v>299</v>
      </c>
      <c r="C44" t="n">
        <v>0</v>
      </c>
    </row>
    <row r="45" ht="30" customHeight="1">
      <c r="A45" t="inlineStr">
        <is>
          <t>BGOW0015-DESCR-PROD1</t>
        </is>
      </c>
      <c r="B45" t="n">
        <v>299</v>
      </c>
      <c r="C45" t="n">
        <v>40</v>
      </c>
      <c r="D45" t="inlineStr">
        <is>
          <t>Espaços para o DOC-ID = '006'
Título para DOC-ID = '007'</t>
        </is>
      </c>
      <c r="E45" t="inlineStr">
        <is>
          <t>Dados para 1ª linha de Título do Documento</t>
        </is>
      </c>
      <c r="F45" t="inlineStr">
        <is>
          <t>F</t>
        </is>
      </c>
    </row>
    <row r="46" ht="28" customHeight="1">
      <c r="A46" t="inlineStr">
        <is>
          <t>BGOW0015-DESCR-PROD2</t>
        </is>
      </c>
      <c r="B46" t="n">
        <v>339</v>
      </c>
      <c r="C46" t="n">
        <v>40</v>
      </c>
      <c r="D46" t="inlineStr">
        <is>
          <t>Espaços para o DOC-ID = '006'</t>
        </is>
      </c>
      <c r="E46" t="inlineStr">
        <is>
          <t>Dados para 2ª linha de Título do Documento</t>
        </is>
      </c>
      <c r="F46" t="inlineStr">
        <is>
          <t>F</t>
        </is>
      </c>
    </row>
    <row r="47" ht="14" customHeight="1">
      <c r="A47" t="inlineStr">
        <is>
          <t>BGOW0015-NOME-A</t>
        </is>
      </c>
      <c r="B47" t="n">
        <v>379</v>
      </c>
      <c r="C47" t="n">
        <v>40</v>
      </c>
      <c r="E47" t="inlineStr">
        <is>
          <t>Nome do Destinatário</t>
        </is>
      </c>
      <c r="F47" t="inlineStr">
        <is>
          <t>O</t>
        </is>
      </c>
    </row>
    <row r="48" ht="28" customHeight="1">
      <c r="A48" t="inlineStr">
        <is>
          <t>BGOW0015-MORADA1-A</t>
        </is>
      </c>
      <c r="B48" t="n">
        <v>419</v>
      </c>
      <c r="C48" t="n">
        <v>40</v>
      </c>
      <c r="E48" t="inlineStr">
        <is>
          <t>Dados para 1ª linha de Endereço</t>
        </is>
      </c>
      <c r="F48" t="inlineStr">
        <is>
          <t>O</t>
        </is>
      </c>
    </row>
    <row r="49" ht="28" customHeight="1">
      <c r="A49" t="inlineStr">
        <is>
          <t>BGOW0015-MORADA2-A</t>
        </is>
      </c>
      <c r="B49" t="n">
        <v>459</v>
      </c>
      <c r="C49" t="n">
        <v>40</v>
      </c>
      <c r="E49" t="inlineStr">
        <is>
          <t>Dados para 2ª linha de Endereço</t>
        </is>
      </c>
      <c r="F49" t="inlineStr">
        <is>
          <t>F</t>
        </is>
      </c>
    </row>
    <row r="50" ht="28" customHeight="1">
      <c r="A50" t="inlineStr">
        <is>
          <t>BGOW0015-MORADA3-A</t>
        </is>
      </c>
      <c r="B50" t="n">
        <v>499</v>
      </c>
      <c r="C50" t="n">
        <v>40</v>
      </c>
      <c r="E50" t="inlineStr">
        <is>
          <t>Dados para 3ª linha de Endereço</t>
        </is>
      </c>
      <c r="F50" t="inlineStr">
        <is>
          <t>F</t>
        </is>
      </c>
    </row>
    <row r="51" ht="28" customHeight="1">
      <c r="A51" t="inlineStr">
        <is>
          <t>BGOW0015-MORADA4-A</t>
        </is>
      </c>
      <c r="B51" t="n">
        <v>539</v>
      </c>
      <c r="C51" t="n">
        <v>40</v>
      </c>
      <c r="E51" t="inlineStr">
        <is>
          <t>Dados para 4ª linha de Endereço</t>
        </is>
      </c>
      <c r="F51" t="inlineStr">
        <is>
          <t>O</t>
        </is>
      </c>
    </row>
    <row r="52" ht="28" customHeight="1">
      <c r="A52" t="inlineStr">
        <is>
          <t>BGOW0015-TNUM-PORTA-A</t>
        </is>
      </c>
      <c r="B52" t="n">
        <v>579</v>
      </c>
      <c r="C52" t="n">
        <v>1</v>
      </c>
      <c r="E52" t="inlineStr">
        <is>
          <t>Código de identificação do Tipo de Porta</t>
        </is>
      </c>
      <c r="F52" t="inlineStr">
        <is>
          <t>F</t>
        </is>
      </c>
    </row>
    <row r="53" ht="14" customHeight="1">
      <c r="A53" t="inlineStr">
        <is>
          <t>BGOW0015-NUM-PORTA-A</t>
        </is>
      </c>
      <c r="B53" t="n">
        <v>580</v>
      </c>
      <c r="C53" t="n">
        <v>4</v>
      </c>
      <c r="E53" t="inlineStr">
        <is>
          <t>Número de Porta</t>
        </is>
      </c>
      <c r="F53" t="inlineStr">
        <is>
          <t>F</t>
        </is>
      </c>
    </row>
    <row r="54" ht="15" customHeight="1">
      <c r="A54" t="inlineStr">
        <is>
          <t>BGOW0015-NIF</t>
        </is>
      </c>
      <c r="B54" t="n">
        <v>584</v>
      </c>
      <c r="C54" t="n">
        <v>9</v>
      </c>
      <c r="D54" t="inlineStr">
        <is>
          <t>Espaços para o DOC-ID = '006'</t>
        </is>
      </c>
      <c r="E54" t="inlineStr">
        <is>
          <t>NIF</t>
        </is>
      </c>
      <c r="F54" t="inlineStr">
        <is>
          <t>F</t>
        </is>
      </c>
    </row>
    <row r="55" ht="15" customHeight="1">
      <c r="A55" t="inlineStr">
        <is>
          <t>BGOW0015-NCERTIFICADO</t>
        </is>
      </c>
      <c r="B55" t="n">
        <v>593</v>
      </c>
      <c r="C55" t="n">
        <v>10</v>
      </c>
      <c r="D55" t="inlineStr">
        <is>
          <t>Espaços para o DOC-ID = '006'</t>
        </is>
      </c>
      <c r="E55" t="inlineStr">
        <is>
          <t>Numero de Certificado</t>
        </is>
      </c>
      <c r="F55" t="inlineStr">
        <is>
          <t>F</t>
        </is>
      </c>
    </row>
    <row r="56" ht="15" customHeight="1">
      <c r="A56" t="inlineStr">
        <is>
          <t>BGOW0015-NEMPREGADO</t>
        </is>
      </c>
      <c r="B56" t="n">
        <v>603</v>
      </c>
      <c r="C56" t="n">
        <v>10</v>
      </c>
      <c r="D56" t="inlineStr">
        <is>
          <t>Espaços para o DOC-ID = '006'</t>
        </is>
      </c>
      <c r="E56" t="inlineStr">
        <is>
          <t>Numero de empregado</t>
        </is>
      </c>
      <c r="F56" t="inlineStr">
        <is>
          <t>F</t>
        </is>
      </c>
    </row>
    <row r="57" ht="15" customHeight="1">
      <c r="A57" t="inlineStr">
        <is>
          <t>BGOW0015-NATUREZA</t>
        </is>
      </c>
      <c r="B57" t="n">
        <v>613</v>
      </c>
      <c r="C57" t="n">
        <v>20</v>
      </c>
      <c r="D57" t="inlineStr">
        <is>
          <t>Espaços para o DOC-ID = '006'</t>
        </is>
      </c>
      <c r="E57" t="inlineStr">
        <is>
          <t>Natureza (acta numero xxx)</t>
        </is>
      </c>
      <c r="F57" t="inlineStr">
        <is>
          <t>F</t>
        </is>
      </c>
    </row>
    <row r="58" ht="14" customHeight="1">
      <c r="A58" t="inlineStr">
        <is>
          <t>BGOW0015-DT-EMISSAO</t>
        </is>
      </c>
      <c r="B58" t="n">
        <v>633</v>
      </c>
      <c r="C58" t="n">
        <v>10</v>
      </c>
      <c r="E58" t="inlineStr">
        <is>
          <t>Data de emissão</t>
        </is>
      </c>
      <c r="F58" t="inlineStr">
        <is>
          <t>F</t>
        </is>
      </c>
    </row>
    <row r="59" ht="15" customHeight="1">
      <c r="A59" t="inlineStr">
        <is>
          <t>BGOW0015-DT-ANIVERSARIA</t>
        </is>
      </c>
      <c r="B59" t="n">
        <v>643</v>
      </c>
      <c r="C59" t="n">
        <v>16</v>
      </c>
      <c r="D59" t="inlineStr">
        <is>
          <t>Espaços para o DOC-ID = '006'</t>
        </is>
      </c>
      <c r="E59" t="inlineStr">
        <is>
          <t>Data aniversária</t>
        </is>
      </c>
      <c r="F59" t="inlineStr">
        <is>
          <t>F</t>
        </is>
      </c>
    </row>
    <row r="60" ht="15" customHeight="1">
      <c r="A60" t="inlineStr">
        <is>
          <t>BGOW0015-RAMO-DSC</t>
        </is>
      </c>
      <c r="B60" t="n">
        <v>659</v>
      </c>
      <c r="C60" t="n">
        <v>35</v>
      </c>
      <c r="D60" t="inlineStr">
        <is>
          <t>Campo obrigatório para DOC-ID = '007'</t>
        </is>
      </c>
      <c r="E60" t="inlineStr">
        <is>
          <t>descrição do ramo</t>
        </is>
      </c>
      <c r="F60" t="inlineStr">
        <is>
          <t>F</t>
        </is>
      </c>
    </row>
    <row r="61" ht="15" customHeight="1">
      <c r="A61" t="inlineStr">
        <is>
          <t>BGOW0015-MODALIDADE</t>
        </is>
      </c>
      <c r="B61" t="n">
        <v>694</v>
      </c>
      <c r="C61" t="n">
        <v>30</v>
      </c>
      <c r="D61" t="inlineStr">
        <is>
          <t>Campo obrigatório para DOC-ID = '007'</t>
        </is>
      </c>
      <c r="E61" t="inlineStr">
        <is>
          <t>Modalidade</t>
        </is>
      </c>
      <c r="F61" t="inlineStr">
        <is>
          <t>F</t>
        </is>
      </c>
    </row>
    <row r="62" ht="15" customHeight="1">
      <c r="A62" t="inlineStr">
        <is>
          <t>BGOW0015-PROCESSO</t>
        </is>
      </c>
      <c r="B62" t="n">
        <v>724</v>
      </c>
      <c r="C62" t="n">
        <v>8</v>
      </c>
      <c r="D62" t="inlineStr">
        <is>
          <t>Campo obrigatório para DOC-ID = '007'</t>
        </is>
      </c>
      <c r="E62" t="inlineStr">
        <is>
          <t>Processo</t>
        </is>
      </c>
      <c r="F62" t="inlineStr">
        <is>
          <t>F</t>
        </is>
      </c>
    </row>
    <row r="63" ht="15" customHeight="1">
      <c r="A63" t="inlineStr">
        <is>
          <t>BGOW0015-NR-RECIBO</t>
        </is>
      </c>
      <c r="B63" t="n">
        <v>732</v>
      </c>
      <c r="C63" t="n">
        <v>10</v>
      </c>
      <c r="D63" t="inlineStr">
        <is>
          <t>Campo obrigatório para DOC-ID = '007'</t>
        </is>
      </c>
      <c r="E63" t="inlineStr">
        <is>
          <t>Nr Recibo</t>
        </is>
      </c>
      <c r="F63" t="inlineStr">
        <is>
          <t>F</t>
        </is>
      </c>
    </row>
    <row r="64" ht="15" customHeight="1">
      <c r="A64" t="inlineStr">
        <is>
          <t>BGOW0015-DT-SINISTRO</t>
        </is>
      </c>
      <c r="B64" t="n">
        <v>742</v>
      </c>
      <c r="C64" t="n">
        <v>8</v>
      </c>
      <c r="D64" t="inlineStr">
        <is>
          <t>Campo obrigatório para DOC-ID = '007'</t>
        </is>
      </c>
      <c r="E64" t="inlineStr">
        <is>
          <t>Data do Sinistro ou espaços</t>
        </is>
      </c>
      <c r="F64" t="inlineStr">
        <is>
          <t>F</t>
        </is>
      </c>
    </row>
    <row r="65" ht="14" customHeight="1"/>
    <row r="66" ht="14" customHeight="1">
      <c r="A66" t="inlineStr">
        <is>
          <t>DADOS-VARIAVEL(DETALHE)</t>
        </is>
      </c>
      <c r="B66" t="n">
        <v>299</v>
      </c>
      <c r="C66" t="n">
        <v>0</v>
      </c>
    </row>
    <row r="67" ht="255.75" customHeight="1">
      <c r="A67" t="inlineStr">
        <is>
          <t>BGOW0015-TIPO-LINHA</t>
        </is>
      </c>
      <c r="B67" t="n">
        <v>299</v>
      </c>
      <c r="C67" t="n">
        <v>4</v>
      </c>
      <c r="D67" t="inlineStr">
        <is>
          <t xml:space="preserve">0001 - TL-SAUDACAO
0002 - TL-ESPACOS
0003 - TL-CORRENTE
F003 - TL-FINAL_CORRENTE
0004 - TL-RISCO
0005 - TL-TESOURA
0006 - TL-TRACEJADO
0007 - TL-TESOURA-COM-TR
0008 - TL-CUMPRIMENTOS
0009 - TL-LINHA-FIXA
0010 - TL-VERSO
0011 - TL-TITULO
0012 - TL-BLOCO-CG
0013 - TL-TES-TRAC-COMP
0014 - TL-TES-TRAC-MEDICIL
0015 - TL-RECSIN-CAIXA
0016 - TL-RECSIN-CBARRAS
0017 - TL-FIXA-BIN
0018 - TL-FRASE-REIMPR
</t>
        </is>
      </c>
      <c r="E67" t="inlineStr">
        <is>
          <t>Código de identificação do Tipo de Linha</t>
        </is>
      </c>
      <c r="F67" t="inlineStr">
        <is>
          <t>O</t>
        </is>
      </c>
    </row>
    <row r="68" ht="54" customHeight="1">
      <c r="A68" t="inlineStr">
        <is>
          <t>BGOW0015-TIPO-PARAGRAFO</t>
        </is>
      </c>
      <c r="B68" t="n">
        <v>303</v>
      </c>
      <c r="C68" t="n">
        <v>4</v>
      </c>
      <c r="D68" t="inlineStr">
        <is>
          <t xml:space="preserve">0001 - TP-NORMAL
0002 - TP-INDENT-NORMAL
0003 - TP-BOLD
0004 - TP-INDENT-BOLD
0005 - TP-NORM-PEQ
0006 - TP-BOLD-PEQ
0007 - TP-FIXA-PEQUENA
</t>
        </is>
      </c>
      <c r="E68" t="inlineStr">
        <is>
          <t>Código de identificação do Tipo de Parágrafo</t>
        </is>
      </c>
      <c r="F68" t="inlineStr">
        <is>
          <t>O</t>
        </is>
      </c>
    </row>
    <row r="69" ht="28" customHeight="1">
      <c r="A69" t="inlineStr">
        <is>
          <t>BGOW0015-LINHA-GIS</t>
        </is>
      </c>
      <c r="B69" t="n">
        <v>307</v>
      </c>
      <c r="C69" t="n">
        <v>1000</v>
      </c>
      <c r="E69" t="inlineStr">
        <is>
          <t xml:space="preserve">Dados de detalhe para Linha, de acordo com o Tipo de Linha </t>
        </is>
      </c>
      <c r="F69" t="inlineStr">
        <is>
          <t>F</t>
        </is>
      </c>
    </row>
    <row r="70" ht="28" customHeight="1">
      <c r="A70" t="inlineStr">
        <is>
          <t>DADOS-VARIAVEL(DETALHE TRANSF. CARTEIRA)</t>
        </is>
      </c>
      <c r="B70" t="n">
        <v>299</v>
      </c>
      <c r="C70" t="n">
        <v>0</v>
      </c>
    </row>
    <row r="71" ht="28" customHeight="1">
      <c r="A71" t="inlineStr">
        <is>
          <t>BGOW0015-NR-TRANSFERENCIA</t>
        </is>
      </c>
      <c r="B71" t="n">
        <v>299</v>
      </c>
      <c r="C71" t="n">
        <v>10</v>
      </c>
      <c r="E71" t="inlineStr">
        <is>
          <t>Número da transferencia (se não houver espaços)</t>
        </is>
      </c>
      <c r="F71" t="inlineStr">
        <is>
          <t>F</t>
        </is>
      </c>
    </row>
    <row r="72" ht="14" customHeight="1">
      <c r="A72" t="inlineStr">
        <is>
          <t>BGOW0015-TIPO-TRANSFERENCIA</t>
        </is>
      </c>
      <c r="B72" t="n">
        <v>309</v>
      </c>
      <c r="C72" t="n">
        <v>2</v>
      </c>
      <c r="E72" t="inlineStr">
        <is>
          <t>Tipo de transferencia</t>
        </is>
      </c>
      <c r="F72" t="inlineStr">
        <is>
          <t>F</t>
        </is>
      </c>
    </row>
    <row r="73" ht="14" customHeight="1">
      <c r="A73" t="inlineStr">
        <is>
          <t>BGOW0015-PRODUTO</t>
        </is>
      </c>
      <c r="B73" t="n">
        <v>311</v>
      </c>
      <c r="C73" t="n">
        <v>30</v>
      </c>
      <c r="E73" t="inlineStr">
        <is>
          <t>Nome do produto</t>
        </is>
      </c>
      <c r="F73" t="inlineStr">
        <is>
          <t>F</t>
        </is>
      </c>
    </row>
    <row r="74" ht="14" customHeight="1">
      <c r="A74" t="inlineStr">
        <is>
          <t>BGOW0015-MEDIADOR-NOME</t>
        </is>
      </c>
      <c r="B74" t="n">
        <v>341</v>
      </c>
      <c r="C74" t="n">
        <v>40</v>
      </c>
      <c r="E74" t="inlineStr">
        <is>
          <t>Nome Novo Mediador</t>
        </is>
      </c>
      <c r="F74" t="inlineStr">
        <is>
          <t>O</t>
        </is>
      </c>
    </row>
    <row r="75" ht="28" customHeight="1">
      <c r="A75" t="inlineStr">
        <is>
          <t>BGOW0015-MEDIADOR-MORADA1</t>
        </is>
      </c>
      <c r="B75" t="n">
        <v>381</v>
      </c>
      <c r="C75" t="n">
        <v>40</v>
      </c>
      <c r="E75" t="inlineStr">
        <is>
          <t>Dados para 1ª linha de Endereço</t>
        </is>
      </c>
      <c r="F75" t="inlineStr">
        <is>
          <t>O</t>
        </is>
      </c>
    </row>
    <row r="76" ht="28" customHeight="1">
      <c r="A76" t="inlineStr">
        <is>
          <t>BGOW0015-MEDIADOR-MORADA2</t>
        </is>
      </c>
      <c r="B76" t="n">
        <v>421</v>
      </c>
      <c r="C76" t="n">
        <v>40</v>
      </c>
      <c r="E76" t="inlineStr">
        <is>
          <t>Dados para 2ª linha de Endereço</t>
        </is>
      </c>
      <c r="F76" t="inlineStr">
        <is>
          <t>F</t>
        </is>
      </c>
    </row>
    <row r="77" ht="28" customHeight="1">
      <c r="A77" t="inlineStr">
        <is>
          <t>BGOW0015-MEDIADOR-MORADA3</t>
        </is>
      </c>
      <c r="B77" t="n">
        <v>461</v>
      </c>
      <c r="C77" t="n">
        <v>40</v>
      </c>
      <c r="E77" t="inlineStr">
        <is>
          <t>Dados para 3ª linha de Endereço</t>
        </is>
      </c>
      <c r="F77" t="inlineStr">
        <is>
          <t>F</t>
        </is>
      </c>
    </row>
    <row r="78" ht="28" customHeight="1">
      <c r="A78" t="inlineStr">
        <is>
          <t>BGOW0015-MEDIADOR-MORADA4</t>
        </is>
      </c>
      <c r="B78" t="n">
        <v>501</v>
      </c>
      <c r="C78" t="n">
        <v>40</v>
      </c>
      <c r="E78" t="inlineStr">
        <is>
          <t>Dados para 4ª linha de Endereço</t>
        </is>
      </c>
      <c r="F78" t="inlineStr">
        <is>
          <t>O</t>
        </is>
      </c>
    </row>
    <row r="79" ht="28" customHeight="1">
      <c r="A79" t="inlineStr">
        <is>
          <t>BGOW0015-TNUM-PORTA</t>
        </is>
      </c>
      <c r="B79" t="n">
        <v>541</v>
      </c>
      <c r="C79" t="n">
        <v>1</v>
      </c>
      <c r="E79" t="inlineStr">
        <is>
          <t>Código de identificação do Tipo de Porta</t>
        </is>
      </c>
      <c r="F79" t="inlineStr">
        <is>
          <t>F</t>
        </is>
      </c>
    </row>
    <row r="80" ht="14" customHeight="1">
      <c r="A80" t="inlineStr">
        <is>
          <t>BGOW0015-NUM-PORTA</t>
        </is>
      </c>
      <c r="B80" t="n">
        <v>542</v>
      </c>
      <c r="C80" t="n">
        <v>4</v>
      </c>
      <c r="E80" t="inlineStr">
        <is>
          <t>Número de Porta</t>
        </is>
      </c>
      <c r="F80" t="inlineStr">
        <is>
          <t>F</t>
        </is>
      </c>
    </row>
    <row r="81" ht="14" customHeight="1">
      <c r="A81" t="inlineStr">
        <is>
          <t>BGOW0015-TELEFONE</t>
        </is>
      </c>
      <c r="B81" t="n">
        <v>546</v>
      </c>
      <c r="C81" t="n">
        <v>9</v>
      </c>
      <c r="E81" t="inlineStr">
        <is>
          <t>Telefone Novo Mediador</t>
        </is>
      </c>
      <c r="F81" t="inlineStr">
        <is>
          <t>F</t>
        </is>
      </c>
    </row>
    <row r="82" ht="14" customHeight="1">
      <c r="A82" t="inlineStr">
        <is>
          <t>BGOW0015-TELEMOVEL</t>
        </is>
      </c>
      <c r="B82" t="n">
        <v>555</v>
      </c>
      <c r="C82" t="n">
        <v>9</v>
      </c>
      <c r="E82" t="inlineStr">
        <is>
          <t>Telemovel Novo Mediador</t>
        </is>
      </c>
      <c r="F82" t="inlineStr">
        <is>
          <t>F</t>
        </is>
      </c>
    </row>
    <row r="83" ht="14" customHeight="1">
      <c r="A83" t="inlineStr">
        <is>
          <t>BGOW0015-EMAIL</t>
        </is>
      </c>
      <c r="B83" t="n">
        <v>564</v>
      </c>
      <c r="C83" t="n">
        <v>45</v>
      </c>
      <c r="E83" t="inlineStr">
        <is>
          <t>E-mail Novo Mediador</t>
        </is>
      </c>
      <c r="F83" t="inlineStr">
        <is>
          <t>F</t>
        </is>
      </c>
    </row>
    <row r="84" ht="14" customHeight="1">
      <c r="A84" t="inlineStr">
        <is>
          <t>BGOW0015-NOME-MEDIADOR-ANTIGO</t>
        </is>
      </c>
      <c r="B84" t="n">
        <v>609</v>
      </c>
      <c r="C84" t="n">
        <v>40</v>
      </c>
      <c r="E84" t="inlineStr">
        <is>
          <t>Nome Antigo Mediador</t>
        </is>
      </c>
      <c r="F84" t="inlineStr">
        <is>
          <t>F</t>
        </is>
      </c>
    </row>
    <row r="85" ht="14" customHeight="1">
      <c r="A85" t="inlineStr">
        <is>
          <t>BGOW0015-COMP-MEDIADOR-ANTIGA</t>
        </is>
      </c>
      <c r="B85" t="n">
        <v>649</v>
      </c>
      <c r="C85" t="n">
        <v>3</v>
      </c>
      <c r="E85" t="inlineStr">
        <is>
          <t>Companhia do Antigo Mediador</t>
        </is>
      </c>
      <c r="F85" t="inlineStr">
        <is>
          <t>F</t>
        </is>
      </c>
    </row>
    <row r="86" ht="28" customHeight="1">
      <c r="A86" t="inlineStr">
        <is>
          <t>DADOS-VARIAVEL(transferência de apolice)</t>
        </is>
      </c>
      <c r="B86" t="n">
        <v>299</v>
      </c>
      <c r="C86" t="n">
        <v>0</v>
      </c>
    </row>
    <row r="87" ht="13" customHeight="1">
      <c r="A87" t="inlineStr">
        <is>
          <t>BGOW0015-DADOS-CLIENTE 1</t>
        </is>
      </c>
      <c r="B87" t="n">
        <v>299</v>
      </c>
      <c r="C87" t="n">
        <v>0</v>
      </c>
      <c r="E87" t="inlineStr">
        <is>
          <t>Pessoa Segura 1</t>
        </is>
      </c>
    </row>
    <row r="88" ht="13" customHeight="1">
      <c r="A88" t="inlineStr">
        <is>
          <t>BGOW0015-CL1-NOME</t>
        </is>
      </c>
      <c r="B88" t="n">
        <v>299</v>
      </c>
      <c r="C88" t="n">
        <v>40</v>
      </c>
      <c r="E88" t="inlineStr">
        <is>
          <t>Nome</t>
        </is>
      </c>
      <c r="F88" t="inlineStr">
        <is>
          <t>O</t>
        </is>
      </c>
    </row>
    <row r="89" ht="13" customHeight="1">
      <c r="A89" t="inlineStr">
        <is>
          <t>BGOW0015-CL1-MORADA1</t>
        </is>
      </c>
      <c r="B89" t="n">
        <v>339</v>
      </c>
      <c r="C89" t="n">
        <v>40</v>
      </c>
      <c r="E89" t="inlineStr">
        <is>
          <t>Dados de morada 1</t>
        </is>
      </c>
      <c r="F89" t="inlineStr">
        <is>
          <t>O</t>
        </is>
      </c>
    </row>
    <row r="90" ht="13" customHeight="1">
      <c r="A90" t="inlineStr">
        <is>
          <t>BGOW0015-CL1-MORADA2</t>
        </is>
      </c>
      <c r="B90" t="n">
        <v>379</v>
      </c>
      <c r="C90" t="n">
        <v>40</v>
      </c>
      <c r="E90" t="inlineStr">
        <is>
          <t>Dados de morada 2</t>
        </is>
      </c>
      <c r="F90" t="inlineStr">
        <is>
          <t>F</t>
        </is>
      </c>
    </row>
    <row r="91" ht="13" customHeight="1">
      <c r="A91" t="inlineStr">
        <is>
          <t>BGOW0015-CL1-LOCALIDADE</t>
        </is>
      </c>
      <c r="B91" t="n">
        <v>419</v>
      </c>
      <c r="C91" t="n">
        <v>40</v>
      </c>
      <c r="E91" t="inlineStr">
        <is>
          <t>Localidade</t>
        </is>
      </c>
      <c r="F91" t="inlineStr">
        <is>
          <t>F</t>
        </is>
      </c>
    </row>
    <row r="92" ht="13" customHeight="1">
      <c r="A92" t="inlineStr">
        <is>
          <t>BGOW0015-CL1-CPOSTAL-DESC</t>
        </is>
      </c>
      <c r="B92" t="n">
        <v>459</v>
      </c>
      <c r="C92" t="n">
        <v>40</v>
      </c>
      <c r="E92" t="inlineStr">
        <is>
          <t>Descritivo do código postal</t>
        </is>
      </c>
      <c r="F92" t="inlineStr">
        <is>
          <t>O</t>
        </is>
      </c>
    </row>
    <row r="93" ht="26" customHeight="1">
      <c r="A93" t="inlineStr">
        <is>
          <t>BGOW0015-CL1-TNUM-PORTA</t>
        </is>
      </c>
      <c r="B93" t="n">
        <v>499</v>
      </c>
      <c r="C93" t="n">
        <v>1</v>
      </c>
      <c r="E93" t="inlineStr">
        <is>
          <t>Código identificação do tipo de porta</t>
        </is>
      </c>
      <c r="F93" t="inlineStr">
        <is>
          <t>F</t>
        </is>
      </c>
    </row>
    <row r="94" ht="13" customHeight="1">
      <c r="A94" t="inlineStr">
        <is>
          <t>BGOW0015-CL1-NUM-PORTA</t>
        </is>
      </c>
      <c r="B94" t="n">
        <v>500</v>
      </c>
      <c r="C94" t="n">
        <v>4</v>
      </c>
      <c r="E94" t="inlineStr">
        <is>
          <t>Número de porta</t>
        </is>
      </c>
      <c r="F94" t="inlineStr">
        <is>
          <t>F</t>
        </is>
      </c>
    </row>
    <row r="95" ht="26" customHeight="1">
      <c r="A95" t="inlineStr">
        <is>
          <t>BGOW0015-DT-CARTA-EMISSAO</t>
        </is>
      </c>
      <c r="B95" t="n">
        <v>504</v>
      </c>
      <c r="C95" t="n">
        <v>32</v>
      </c>
      <c r="E95" t="inlineStr">
        <is>
          <t>Data de emissão do documento 
(extenso)</t>
        </is>
      </c>
      <c r="F95" t="inlineStr">
        <is>
          <t>F</t>
        </is>
      </c>
    </row>
    <row r="96" ht="13" customHeight="1">
      <c r="A96" t="inlineStr">
        <is>
          <t>BGOW0015-CL1-NIF</t>
        </is>
      </c>
      <c r="B96" t="n">
        <v>536</v>
      </c>
      <c r="C96" t="n">
        <v>9</v>
      </c>
      <c r="E96" t="inlineStr">
        <is>
          <t>Número de identificação fiscal</t>
        </is>
      </c>
      <c r="F96" t="inlineStr">
        <is>
          <t>F</t>
        </is>
      </c>
    </row>
    <row r="97" ht="13" customHeight="1">
      <c r="A97" t="inlineStr">
        <is>
          <t>BGOW0015-CL-BI</t>
        </is>
      </c>
      <c r="B97" t="n">
        <v>545</v>
      </c>
      <c r="C97" t="n">
        <v>10</v>
      </c>
      <c r="E97" t="inlineStr">
        <is>
          <t>Número de Bilhete Identidade</t>
        </is>
      </c>
      <c r="F97" t="inlineStr">
        <is>
          <t>F</t>
        </is>
      </c>
    </row>
    <row r="98" ht="13" customHeight="1">
      <c r="A98" t="inlineStr">
        <is>
          <t>BGOW0015-CL-TELEF</t>
        </is>
      </c>
      <c r="B98" t="n">
        <v>555</v>
      </c>
      <c r="C98" t="n">
        <v>16</v>
      </c>
      <c r="E98" t="inlineStr">
        <is>
          <t>Número de telefone</t>
        </is>
      </c>
      <c r="F98" t="inlineStr">
        <is>
          <t>F</t>
        </is>
      </c>
    </row>
    <row r="99" ht="13" customHeight="1">
      <c r="A99" t="inlineStr">
        <is>
          <t>BGOW0015-CL-EMAIL</t>
        </is>
      </c>
      <c r="B99" t="n">
        <v>571</v>
      </c>
      <c r="C99" t="n">
        <v>50</v>
      </c>
      <c r="E99" t="inlineStr">
        <is>
          <t>Email</t>
        </is>
      </c>
      <c r="F99" t="inlineStr">
        <is>
          <t>F</t>
        </is>
      </c>
    </row>
    <row r="100" ht="13" customHeight="1">
      <c r="A100" t="inlineStr">
        <is>
          <t>BGOW0015-CL-SEXO</t>
        </is>
      </c>
      <c r="B100" t="n">
        <v>621</v>
      </c>
      <c r="C100" t="n">
        <v>1</v>
      </c>
      <c r="E100" t="inlineStr">
        <is>
          <t>Sexo</t>
        </is>
      </c>
      <c r="F100" t="inlineStr">
        <is>
          <t>F</t>
        </is>
      </c>
    </row>
    <row r="101" ht="13" customHeight="1">
      <c r="A101" t="inlineStr">
        <is>
          <t>BGOW0015-CL-DT-NASC</t>
        </is>
      </c>
      <c r="B101" t="n">
        <v>622</v>
      </c>
      <c r="C101" t="n">
        <v>10</v>
      </c>
      <c r="E101" t="inlineStr">
        <is>
          <t>Data de nascimento</t>
        </is>
      </c>
      <c r="F101" t="inlineStr">
        <is>
          <t>F</t>
        </is>
      </c>
    </row>
    <row r="102" ht="13" customHeight="1">
      <c r="A102" t="inlineStr">
        <is>
          <t>BGOW0015-DADOS-CLIENTE 2</t>
        </is>
      </c>
      <c r="B102" t="n">
        <v>632</v>
      </c>
      <c r="C102" t="n">
        <v>0</v>
      </c>
      <c r="E102" t="inlineStr">
        <is>
          <t>Pessoa Segura 2</t>
        </is>
      </c>
    </row>
    <row r="103" ht="13" customHeight="1">
      <c r="A103" t="inlineStr">
        <is>
          <t>BGOW0015-CL2-NOME</t>
        </is>
      </c>
      <c r="B103" t="n">
        <v>632</v>
      </c>
      <c r="C103" t="n">
        <v>40</v>
      </c>
      <c r="E103" t="inlineStr">
        <is>
          <t>Nome</t>
        </is>
      </c>
      <c r="F103" t="inlineStr">
        <is>
          <t>O</t>
        </is>
      </c>
    </row>
    <row r="104" ht="13" customHeight="1">
      <c r="A104" t="inlineStr">
        <is>
          <t>BGOW0015-CL2-MORADA1</t>
        </is>
      </c>
      <c r="B104" t="n">
        <v>672</v>
      </c>
      <c r="C104" t="n">
        <v>40</v>
      </c>
      <c r="E104" t="inlineStr">
        <is>
          <t>Dados de morada 1</t>
        </is>
      </c>
      <c r="F104" t="inlineStr">
        <is>
          <t>O</t>
        </is>
      </c>
    </row>
    <row r="105" ht="13" customHeight="1">
      <c r="A105" t="inlineStr">
        <is>
          <t>BGOW0015-CL2-MORADA2</t>
        </is>
      </c>
      <c r="B105" t="n">
        <v>712</v>
      </c>
      <c r="C105" t="n">
        <v>40</v>
      </c>
      <c r="E105" t="inlineStr">
        <is>
          <t>Dados de morada 2</t>
        </is>
      </c>
      <c r="F105" t="inlineStr">
        <is>
          <t>F</t>
        </is>
      </c>
    </row>
    <row r="106" ht="13" customHeight="1">
      <c r="A106" t="inlineStr">
        <is>
          <t>BGOW0015-CL2-LOCALIDADE</t>
        </is>
      </c>
      <c r="B106" t="n">
        <v>752</v>
      </c>
      <c r="C106" t="n">
        <v>40</v>
      </c>
      <c r="E106" t="inlineStr">
        <is>
          <t>Localidade</t>
        </is>
      </c>
      <c r="F106" t="inlineStr">
        <is>
          <t>F</t>
        </is>
      </c>
    </row>
    <row r="107" ht="13" customHeight="1">
      <c r="A107" t="inlineStr">
        <is>
          <t>BGOW0015-CL2-CPOSTAL-DESC</t>
        </is>
      </c>
      <c r="B107" t="n">
        <v>792</v>
      </c>
      <c r="C107" t="n">
        <v>40</v>
      </c>
      <c r="E107" t="inlineStr">
        <is>
          <t>Descritivo do código postal</t>
        </is>
      </c>
      <c r="F107" t="inlineStr">
        <is>
          <t>O</t>
        </is>
      </c>
    </row>
    <row r="108" ht="26" customHeight="1">
      <c r="A108" t="inlineStr">
        <is>
          <t>BGOW0015-CL2-TNUM-PORTA</t>
        </is>
      </c>
      <c r="B108" t="n">
        <v>832</v>
      </c>
      <c r="C108" t="n">
        <v>1</v>
      </c>
      <c r="E108" t="inlineStr">
        <is>
          <t>Código identificação do tipo de porta</t>
        </is>
      </c>
      <c r="F108" t="inlineStr">
        <is>
          <t>F</t>
        </is>
      </c>
    </row>
    <row r="109" ht="13" customHeight="1">
      <c r="A109" t="inlineStr">
        <is>
          <t>BGOW0015-CL2-NUM-PORTA</t>
        </is>
      </c>
      <c r="B109" t="n">
        <v>833</v>
      </c>
      <c r="C109" t="n">
        <v>4</v>
      </c>
      <c r="E109" t="inlineStr">
        <is>
          <t>Número de porta</t>
        </is>
      </c>
      <c r="F109" t="inlineStr">
        <is>
          <t>F</t>
        </is>
      </c>
    </row>
    <row r="110" ht="13" customHeight="1">
      <c r="A110" t="inlineStr">
        <is>
          <t>BGOW0015-CL2-NIF</t>
        </is>
      </c>
      <c r="B110" t="n">
        <v>837</v>
      </c>
      <c r="C110" t="n">
        <v>9</v>
      </c>
      <c r="E110" t="inlineStr">
        <is>
          <t>Número de identificação fiscal</t>
        </is>
      </c>
      <c r="F110" t="inlineStr">
        <is>
          <t>F</t>
        </is>
      </c>
    </row>
    <row r="111" ht="13" customHeight="1">
      <c r="A111" t="inlineStr">
        <is>
          <t>BGOW0015-CL2-BI</t>
        </is>
      </c>
      <c r="B111" t="n">
        <v>846</v>
      </c>
      <c r="C111" t="n">
        <v>10</v>
      </c>
      <c r="E111" t="inlineStr">
        <is>
          <t>Número de Bilhete Identidade</t>
        </is>
      </c>
      <c r="F111" t="inlineStr">
        <is>
          <t>F</t>
        </is>
      </c>
    </row>
    <row r="112" ht="13" customHeight="1">
      <c r="A112" t="inlineStr">
        <is>
          <t>BGOW0015-CL2-TELEF</t>
        </is>
      </c>
      <c r="B112" t="n">
        <v>856</v>
      </c>
      <c r="C112" t="n">
        <v>16</v>
      </c>
      <c r="E112" t="inlineStr">
        <is>
          <t>Número de telefone</t>
        </is>
      </c>
      <c r="F112" t="inlineStr">
        <is>
          <t>F</t>
        </is>
      </c>
    </row>
    <row r="113" ht="13" customHeight="1">
      <c r="A113" t="inlineStr">
        <is>
          <t>BGOW0015-CL2-EMAIL</t>
        </is>
      </c>
      <c r="B113" t="n">
        <v>872</v>
      </c>
      <c r="C113" t="n">
        <v>50</v>
      </c>
      <c r="E113" t="inlineStr">
        <is>
          <t>Email</t>
        </is>
      </c>
      <c r="F113" t="inlineStr">
        <is>
          <t>F</t>
        </is>
      </c>
    </row>
    <row r="114" ht="13" customHeight="1">
      <c r="A114" t="inlineStr">
        <is>
          <t>BGOW0015-CL2-SEXO</t>
        </is>
      </c>
      <c r="B114" t="n">
        <v>922</v>
      </c>
      <c r="C114" t="n">
        <v>1</v>
      </c>
      <c r="E114" t="inlineStr">
        <is>
          <t>Sexo</t>
        </is>
      </c>
      <c r="F114" t="inlineStr">
        <is>
          <t>F</t>
        </is>
      </c>
    </row>
    <row r="115" ht="13" customHeight="1">
      <c r="A115" t="inlineStr">
        <is>
          <t>BGOW0015-CL2-DT-NASC</t>
        </is>
      </c>
      <c r="B115" t="n">
        <v>923</v>
      </c>
      <c r="C115" t="n">
        <v>10</v>
      </c>
      <c r="E115" t="inlineStr">
        <is>
          <t>Data de nascimento</t>
        </is>
      </c>
      <c r="F115" t="inlineStr">
        <is>
          <t>F</t>
        </is>
      </c>
    </row>
    <row r="116" ht="13" customHeight="1">
      <c r="A116" t="inlineStr">
        <is>
          <t>BGOW0015-DADOS-APOLICE</t>
        </is>
      </c>
      <c r="B116" t="n">
        <v>933</v>
      </c>
      <c r="C116" t="n">
        <v>0</v>
      </c>
    </row>
    <row r="117" ht="13" customHeight="1">
      <c r="A117" t="inlineStr">
        <is>
          <t>BGOW0015-DT-ANUL</t>
        </is>
      </c>
      <c r="B117" t="n">
        <v>933</v>
      </c>
      <c r="C117" t="n">
        <v>10</v>
      </c>
      <c r="D117" t="inlineStr">
        <is>
          <t>aaaa-mm-dd</t>
        </is>
      </c>
      <c r="E117" t="inlineStr">
        <is>
          <t>Data anulação da apólice origem</t>
        </is>
      </c>
      <c r="F117" t="inlineStr">
        <is>
          <t>F</t>
        </is>
      </c>
    </row>
    <row r="118" ht="13" customHeight="1">
      <c r="A118" t="inlineStr">
        <is>
          <t>BGOW0015-DT-EFEITO-ANUL</t>
        </is>
      </c>
      <c r="B118" t="n">
        <v>943</v>
      </c>
      <c r="C118" t="n">
        <v>10</v>
      </c>
      <c r="D118" t="inlineStr">
        <is>
          <t>aaaa-mm-dd</t>
        </is>
      </c>
      <c r="F118" t="inlineStr">
        <is>
          <t>F</t>
        </is>
      </c>
    </row>
    <row r="119" ht="13" customHeight="1">
      <c r="A119" t="inlineStr">
        <is>
          <t>BGOW0015-IDADE-TERM</t>
        </is>
      </c>
      <c r="B119" t="n">
        <v>953</v>
      </c>
      <c r="C119" t="n">
        <v>2</v>
      </c>
      <c r="F119" t="inlineStr">
        <is>
          <t>F</t>
        </is>
      </c>
    </row>
    <row r="120" ht="13" customHeight="1">
      <c r="A120" t="inlineStr">
        <is>
          <t>BGOW0015-DESC-COB-M</t>
        </is>
      </c>
      <c r="B120" t="n">
        <v>955</v>
      </c>
      <c r="C120" t="n">
        <v>60</v>
      </c>
      <c r="D120" t="inlineStr">
        <is>
          <t>Se vier espaços não escrever a linha</t>
        </is>
      </c>
      <c r="E120" t="inlineStr">
        <is>
          <t>descrição da cobertura de Morte</t>
        </is>
      </c>
      <c r="F120" t="inlineStr">
        <is>
          <t>F</t>
        </is>
      </c>
    </row>
    <row r="121" ht="13" customHeight="1">
      <c r="A121" t="inlineStr">
        <is>
          <t>BGOW0015-DESC-COB-IAD</t>
        </is>
      </c>
      <c r="B121" t="n">
        <v>1015</v>
      </c>
      <c r="C121" t="n">
        <v>60</v>
      </c>
      <c r="D121" t="inlineStr">
        <is>
          <t>Se vier espaços não escrever a linha</t>
        </is>
      </c>
      <c r="E121" t="inlineStr">
        <is>
          <t>descrição da cobertura de IAD</t>
        </is>
      </c>
      <c r="F121" t="inlineStr">
        <is>
          <t>F</t>
        </is>
      </c>
    </row>
    <row r="122" ht="13" customHeight="1">
      <c r="A122" t="inlineStr">
        <is>
          <t>BGOW0015-DESC-COB-ITP</t>
        </is>
      </c>
      <c r="B122" t="n">
        <v>1075</v>
      </c>
      <c r="C122" t="n">
        <v>60</v>
      </c>
      <c r="D122" t="inlineStr">
        <is>
          <t>Se vier espaços não escrever a linha</t>
        </is>
      </c>
      <c r="E122" t="inlineStr">
        <is>
          <t>descrição da cobertura de ITP</t>
        </is>
      </c>
      <c r="F122" t="inlineStr">
        <is>
          <t>F</t>
        </is>
      </c>
    </row>
    <row r="123" ht="26" customHeight="1">
      <c r="A123" t="inlineStr">
        <is>
          <t>BGOW0015-IDADE-TERM-M</t>
        </is>
      </c>
      <c r="B123" t="n">
        <v>1135</v>
      </c>
      <c r="C123" t="n">
        <v>2</v>
      </c>
      <c r="E123" t="inlineStr">
        <is>
          <t>Idade termo do contrato para cobertura de Morte</t>
        </is>
      </c>
      <c r="F123" t="inlineStr">
        <is>
          <t>F</t>
        </is>
      </c>
    </row>
    <row r="124" ht="26" customHeight="1">
      <c r="A124" t="inlineStr">
        <is>
          <t>BGOW0015-IDADE-TERM-IAD</t>
        </is>
      </c>
      <c r="B124" t="n">
        <v>1137</v>
      </c>
      <c r="C124" t="n">
        <v>2</v>
      </c>
      <c r="E124" t="inlineStr">
        <is>
          <t>Idade termo do contrato para cobertura IAD</t>
        </is>
      </c>
      <c r="F124" t="inlineStr">
        <is>
          <t>F</t>
        </is>
      </c>
    </row>
    <row r="125" ht="26" customHeight="1">
      <c r="A125" t="inlineStr">
        <is>
          <t>BGOW0015-IDADE-TERM-ITP</t>
        </is>
      </c>
      <c r="B125" t="n">
        <v>1139</v>
      </c>
      <c r="C125" t="n">
        <v>2</v>
      </c>
      <c r="E125" t="inlineStr">
        <is>
          <t>Idade termo do contrato para cobertura ITP</t>
        </is>
      </c>
      <c r="F125" t="inlineStr">
        <is>
          <t>F</t>
        </is>
      </c>
    </row>
    <row r="126" ht="13" customHeight="1">
      <c r="A126" t="inlineStr">
        <is>
          <t>BGOW0015-NR-PROC</t>
        </is>
      </c>
      <c r="B126" t="n">
        <v>1141</v>
      </c>
      <c r="C126" t="n">
        <v>22</v>
      </c>
      <c r="E126" t="inlineStr">
        <is>
          <t>Nr Processo bancário</t>
        </is>
      </c>
      <c r="F126" t="inlineStr">
        <is>
          <t>F</t>
        </is>
      </c>
    </row>
    <row r="127" ht="13" customHeight="1">
      <c r="A127" t="inlineStr">
        <is>
          <t>BGOW0015-NIB</t>
        </is>
      </c>
      <c r="B127" t="n">
        <v>1163</v>
      </c>
      <c r="C127" t="n">
        <v>21</v>
      </c>
      <c r="E127" t="inlineStr">
        <is>
          <t>NIB</t>
        </is>
      </c>
      <c r="F127" t="inlineStr">
        <is>
          <t>F</t>
        </is>
      </c>
    </row>
    <row r="128" ht="13" customHeight="1">
      <c r="A128" t="inlineStr">
        <is>
          <t>BGOW0015-IBAN</t>
        </is>
      </c>
      <c r="B128" t="n">
        <v>1184</v>
      </c>
      <c r="C128" t="n">
        <v>34</v>
      </c>
      <c r="D128" t="inlineStr">
        <is>
          <t>Obrigatório para clientes estrangeiros</t>
        </is>
      </c>
      <c r="E128" t="inlineStr">
        <is>
          <t>IBAN</t>
        </is>
      </c>
      <c r="F128" t="inlineStr">
        <is>
          <t>F</t>
        </is>
      </c>
    </row>
    <row r="129" ht="13" customHeight="1">
      <c r="A129" t="inlineStr">
        <is>
          <t>BGOW0015-BIC</t>
        </is>
      </c>
      <c r="B129" t="n">
        <v>1218</v>
      </c>
      <c r="C129" t="n">
        <v>11</v>
      </c>
      <c r="D129" t="inlineStr">
        <is>
          <t>Obrigatório para clientes estrangeiros</t>
        </is>
      </c>
      <c r="E129" t="inlineStr">
        <is>
          <t>BIC</t>
        </is>
      </c>
      <c r="F129" t="inlineStr">
        <is>
          <t>F</t>
        </is>
      </c>
    </row>
    <row r="130" ht="13" customHeight="1">
      <c r="A130" t="inlineStr">
        <is>
          <t>BGOW0015-ID-CREDOR</t>
        </is>
      </c>
      <c r="B130" t="n">
        <v>1229</v>
      </c>
      <c r="C130" t="n">
        <v>15</v>
      </c>
      <c r="D130" t="inlineStr">
        <is>
          <t>Obrigatório para clientes estrangeiros</t>
        </is>
      </c>
      <c r="E130" t="inlineStr">
        <is>
          <t>BIC</t>
        </is>
      </c>
      <c r="F130" t="inlineStr">
        <is>
          <t>F</t>
        </is>
      </c>
    </row>
    <row r="131" ht="13" customHeight="1">
      <c r="A131" t="inlineStr">
        <is>
          <t>BGOW0015-COD-IPC</t>
        </is>
      </c>
      <c r="B131" t="n">
        <v>1244</v>
      </c>
      <c r="C131" t="n">
        <v>3</v>
      </c>
      <c r="D131" t="inlineStr">
        <is>
          <t>001; 002; 003; 004 etc</t>
        </is>
      </c>
      <c r="E131" t="inlineStr">
        <is>
          <t>Cod. de IPC a imprimir</t>
        </is>
      </c>
      <c r="F131" t="inlineStr">
        <is>
          <t>F</t>
        </is>
      </c>
    </row>
    <row r="132" ht="13" customHeight="1">
      <c r="A132" t="inlineStr">
        <is>
          <t>BGOW0015-MEDIACAO</t>
        </is>
      </c>
      <c r="B132" t="n">
        <v>1247</v>
      </c>
      <c r="C132" t="n">
        <v>1</v>
      </c>
      <c r="D132" t="inlineStr">
        <is>
          <t>S' OU 'N' informa se a apólice tem mediação</t>
        </is>
      </c>
      <c r="F132" t="inlineStr">
        <is>
          <t>F</t>
        </is>
      </c>
    </row>
    <row r="133" ht="13" customHeight="1">
      <c r="A133" t="inlineStr">
        <is>
          <t>BGOW0015-DADOS-VALOR</t>
        </is>
      </c>
      <c r="B133" t="n">
        <v>1248</v>
      </c>
      <c r="C133" t="n">
        <v>0</v>
      </c>
    </row>
    <row r="134" ht="13" customHeight="1">
      <c r="A134" t="inlineStr">
        <is>
          <t>BGOW0015-VL-CAPITAL</t>
        </is>
      </c>
      <c r="B134" t="n">
        <v>1248</v>
      </c>
      <c r="C134" t="n">
        <v>13</v>
      </c>
      <c r="E134" t="inlineStr">
        <is>
          <t>Capital Seguro</t>
        </is>
      </c>
      <c r="F134" t="inlineStr">
        <is>
          <t>F</t>
        </is>
      </c>
    </row>
    <row r="135" ht="13" customHeight="1">
      <c r="A135" t="inlineStr">
        <is>
          <t>BGOW0015-VL-PREMIO</t>
        </is>
      </c>
      <c r="B135" t="n">
        <v>1261</v>
      </c>
      <c r="C135" t="n">
        <v>13</v>
      </c>
      <c r="E135" t="inlineStr">
        <is>
          <t>Prémio fraccionado</t>
        </is>
      </c>
      <c r="F13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35.5" customWidth="1" min="1" max="1"/>
    <col width="8" customWidth="1" min="2" max="2"/>
    <col width="9.33203125" customWidth="1" min="3" max="3"/>
    <col width="60" customWidth="1" min="4" max="4"/>
    <col width="25.1640625" customWidth="1" min="5" max="5"/>
    <col width="12.5" customWidth="1" min="6" max="6"/>
  </cols>
  <sheetData>
    <row r="1" ht="14" customHeight="1">
      <c r="A1" t="inlineStr">
        <is>
          <t>Nome do Campo</t>
        </is>
      </c>
      <c r="B1" t="inlineStr">
        <is>
          <t>Posição</t>
        </is>
      </c>
      <c r="C1" t="inlineStr">
        <is>
          <t>Tamanho</t>
        </is>
      </c>
      <c r="D1" t="inlineStr">
        <is>
          <t>Valores Possíveis</t>
        </is>
      </c>
      <c r="E1" t="inlineStr">
        <is>
          <t>Descrição do conteúdo</t>
        </is>
      </c>
      <c r="F1" t="inlineStr">
        <is>
          <t>Obrig/Facult</t>
        </is>
      </c>
    </row>
    <row r="2" ht="13" customHeight="1">
      <c r="A2" t="inlineStr">
        <is>
          <t>DADOS-REGISTO</t>
        </is>
      </c>
      <c r="B2" t="n">
        <v>1</v>
      </c>
      <c r="C2" t="n">
        <v>0</v>
      </c>
    </row>
    <row r="3" ht="75" customHeight="1">
      <c r="A3" t="inlineStr">
        <is>
          <t>BGOW0019-COD-COMPANHIA</t>
        </is>
      </c>
      <c r="B3" t="n">
        <v>1</v>
      </c>
      <c r="C3" t="n">
        <v>3</v>
      </c>
      <c r="D3" t="inlineStr">
        <is>
          <t>111 - Via Directa
128 - Fidelidade Mundial
138 - Império Bonança
148 - Multicare
158 - Caixa Poupança</t>
        </is>
      </c>
      <c r="E3" t="inlineStr">
        <is>
          <t>Código de identificação da Companhia (deve ser repetido em todas as linhas do documento)</t>
        </is>
      </c>
      <c r="F3" t="inlineStr">
        <is>
          <t>O</t>
        </is>
      </c>
    </row>
    <row r="4" ht="135" customHeight="1">
      <c r="A4" t="inlineStr">
        <is>
          <t>BGOW0019-COD-MARCA</t>
        </is>
      </c>
      <c r="B4" t="n">
        <v>4</v>
      </c>
      <c r="C4" t="n">
        <v>3</v>
      </c>
      <c r="D4" t="inlineStr">
        <is>
          <t>001 - OK Teleseguro
002 - Fidelidade Mundial
L02 - FM Leve
003 - Império Bonança
L03 - IB Leve
004 - ICI
005 - Continente
006 - Multicare
L09 - CP Leve</t>
        </is>
      </c>
      <c r="E4" t="inlineStr">
        <is>
          <t>Código de identificação da Marca(deve ser repetido em todas as linhas do documento)</t>
        </is>
      </c>
      <c r="F4" t="inlineStr">
        <is>
          <t>O</t>
        </is>
      </c>
    </row>
    <row r="5" ht="150" customHeight="1">
      <c r="A5" t="inlineStr">
        <is>
          <t>BGOW0019-COD-ORIGEM</t>
        </is>
      </c>
      <c r="B5" t="n">
        <v>7</v>
      </c>
      <c r="C5" t="n">
        <v>3</v>
      </c>
      <c r="D5" t="inlineStr">
        <is>
          <t>C22 - Cogen 22
C33 - Cogen 33
C41 - Cogen 41
P41 - PRIC 41
CLA - Clássico
GIS - GIS
TAG - TAG
CLH - Colheitas
FGS - Vida Grupo
RVI - Vida individual</t>
        </is>
      </c>
      <c r="E5" t="inlineStr">
        <is>
          <t>Código de identificação do Sistema Origem(deve ser repetido em todas as linhas do documento)</t>
        </is>
      </c>
      <c r="F5" t="inlineStr">
        <is>
          <t>O</t>
        </is>
      </c>
    </row>
    <row r="6" ht="84" customHeight="1">
      <c r="A6" t="inlineStr">
        <is>
          <t>BGOW0019-COD-POSTALM</t>
        </is>
      </c>
      <c r="B6" t="n">
        <v>10</v>
      </c>
      <c r="C6" t="n">
        <v>9</v>
      </c>
      <c r="D6" t="inlineStr">
        <is>
          <t>caso o documento seja endereçado ao Mediador</t>
        </is>
      </c>
      <c r="E6" t="inlineStr">
        <is>
          <t>Código Postal do Mediador
-este campo só deve vir preenchido se o documento for passivel de ser entregue ao mediador.(deve ser repetido em todas as linhas do documento)</t>
        </is>
      </c>
      <c r="F6" t="inlineStr">
        <is>
          <t>F</t>
        </is>
      </c>
    </row>
    <row r="7" ht="98" customHeight="1">
      <c r="A7" t="inlineStr">
        <is>
          <t>BGOW0019-NR-MEDIADOR</t>
        </is>
      </c>
      <c r="B7" t="n">
        <v>19</v>
      </c>
      <c r="C7" t="n">
        <v>10</v>
      </c>
      <c r="D7" t="inlineStr">
        <is>
          <t>caso o documento seja endereçado ao Mediador</t>
        </is>
      </c>
      <c r="E7" t="inlineStr">
        <is>
          <t xml:space="preserve">Número do Mediador
-este campo só deve vir preenchido se o documento for passivel de ser entregue ao mediador.(deve ser repetido em todas as linhas do documento)
 </t>
        </is>
      </c>
      <c r="F7" t="inlineStr">
        <is>
          <t>F</t>
        </is>
      </c>
    </row>
    <row r="8" ht="126" customHeight="1">
      <c r="A8" t="inlineStr">
        <is>
          <t>BGOW0019-COD-POSTALC</t>
        </is>
      </c>
      <c r="B8" t="n">
        <v>29</v>
      </c>
      <c r="C8" t="n">
        <v>9</v>
      </c>
      <c r="E8" t="inlineStr">
        <is>
          <t xml:space="preserve">Código Postal do Cliente
-este campo deve ser preenchido com o valor do codigo postal da entidade a quem o documento vai endereçado.(deve ser repetido em todas as linhas do documento)
</t>
        </is>
      </c>
      <c r="F8" t="inlineStr">
        <is>
          <t>O</t>
        </is>
      </c>
    </row>
    <row r="9" ht="112" customHeight="1">
      <c r="A9" t="inlineStr">
        <is>
          <t>BGOW0019-NR-CLIENTE</t>
        </is>
      </c>
      <c r="B9" t="n">
        <v>38</v>
      </c>
      <c r="C9" t="n">
        <v>10</v>
      </c>
      <c r="E9" t="inlineStr">
        <is>
          <t>Número do Cliente
-este campo deve ser preenchido com o valor do numero da entidade a quem o documento vai endereçado.(deve ser repetido em todas as linhas do documento)</t>
        </is>
      </c>
      <c r="F9" t="inlineStr">
        <is>
          <t>O</t>
        </is>
      </c>
    </row>
    <row r="10" ht="182" customHeight="1">
      <c r="A10" t="inlineStr">
        <is>
          <t>BGOW0019-NR-APOLICE</t>
        </is>
      </c>
      <c r="B10" t="n">
        <v>48</v>
      </c>
      <c r="C10" t="n">
        <v>16</v>
      </c>
      <c r="E10" t="inlineStr">
        <is>
          <t xml:space="preserve">Número da Apólice
ATENÇÃO: Quando o documento refere mais do que uma apólice o campo 
NR-APOLICE deve vir do SO preenchido a espaços. Nos casos das propostas (quando ainda não existe numero de apólice) o campo deve vir a todo a espaços - o ramo e a apólice  (deve ser repetido em todas as linhas do documento)
</t>
        </is>
      </c>
      <c r="F10" t="inlineStr">
        <is>
          <t>F</t>
        </is>
      </c>
    </row>
    <row r="11" ht="42" customHeight="1">
      <c r="A11" t="inlineStr">
        <is>
          <t>BGOW0019-COD-PRODUTO</t>
        </is>
      </c>
      <c r="B11" t="n">
        <v>64</v>
      </c>
      <c r="C11" t="n">
        <v>6</v>
      </c>
      <c r="E11" t="inlineStr">
        <is>
          <t>Código de Produto(deve ser repetido em todas as linhas do documento)</t>
        </is>
      </c>
      <c r="F11" t="inlineStr">
        <is>
          <t>F</t>
        </is>
      </c>
    </row>
    <row r="12" ht="56" customHeight="1">
      <c r="A12" t="inlineStr">
        <is>
          <t>BGOW0019-DATA-HORA</t>
        </is>
      </c>
      <c r="B12" t="n">
        <v>70</v>
      </c>
      <c r="C12" t="n">
        <v>14</v>
      </c>
      <c r="E12" t="inlineStr">
        <is>
          <t>Data e Hora de emissão do documento(deve ser repetido em todas as linhas do documento)</t>
        </is>
      </c>
      <c r="F12" t="inlineStr">
        <is>
          <t>O</t>
        </is>
      </c>
    </row>
    <row r="13" ht="56" customHeight="1">
      <c r="A13" t="inlineStr">
        <is>
          <t>BGOW0019-NUM-DOC</t>
        </is>
      </c>
      <c r="B13" t="n">
        <v>84</v>
      </c>
      <c r="C13" t="n">
        <v>7</v>
      </c>
      <c r="D13" t="inlineStr">
        <is>
          <t>Espaços para o DOC-ID = '006'</t>
        </is>
      </c>
      <c r="E13" t="inlineStr">
        <is>
          <t>Número de ordem do Documento(deve ser repetido em todas as linhas do documento)</t>
        </is>
      </c>
      <c r="F13" t="inlineStr">
        <is>
          <t>O</t>
        </is>
      </c>
    </row>
    <row r="14" ht="28" customHeight="1">
      <c r="A14" t="inlineStr">
        <is>
          <t>BGOW0019-NUM-REGISTO</t>
        </is>
      </c>
      <c r="B14" t="n">
        <v>91</v>
      </c>
      <c r="C14" t="n">
        <v>7</v>
      </c>
      <c r="D14" t="inlineStr">
        <is>
          <t>Espaços para o DOC-ID = '006'</t>
        </is>
      </c>
      <c r="E14" t="inlineStr">
        <is>
          <t>Número de ordem do registo no documento</t>
        </is>
      </c>
      <c r="F14" t="inlineStr">
        <is>
          <t>O</t>
        </is>
      </c>
    </row>
    <row r="15" ht="356" customHeight="1">
      <c r="A15" t="inlineStr">
        <is>
          <t>BGOW0019-COD-ASSINATURA</t>
        </is>
      </c>
      <c r="B15" t="n">
        <v>98</v>
      </c>
      <c r="C15" t="n">
        <v>4</v>
      </c>
      <c r="D15" t="inlineStr">
        <is>
          <t>NF00 - Nuno Fernandes
HM00 - Helena Moura
HM01 - Helena Moura com nome e morada Medicil
HM02 - Helena Moura com nome e morada Comp.
RS01 - Rita Sambado
CA6R - Magalhães Correia (CP's)
AM00 - Artur Martins
AM01 - Artur Martins com nome e morada
EC00 - Eugénia Coimbra
BC00 - Brissos Costa
CA61 - Magalhães Correia (cartas)
BCAM - Brissos e Artur (2 assinaturas)
PC00 - Pedro Athaide Cordeiro
PC01 - Pedro Athaide Cordeiro com nome e morada
BCPC - Brissos e Cordeiro (2 assinaturas)
FS00 - Fernando Ferreira Santos
FS01 - Fernando Ferreira Santos com nome e morada
BCFS - Brissos e Ferreira Santos (2 assinaturas)
VM00 - Vitor Machado
VMFS - Vitor Machado e Ferreira Santos (2 assinaturas)
SC00 - Sérgio Carvalho
TSFS - traço para tomador do seguro assinar e ao lado            assinatura ferreira santos 
Espaços para o DOC-ID = '006'</t>
        </is>
      </c>
      <c r="E15" t="inlineStr">
        <is>
          <t xml:space="preserve">Código da assinatura do documento(deve ser repetido em todas as linhas do documento)
NOTA: no recibo de indemnização com visto, a assinatura (Ferreira Santos) é colocada fixa Layout ****BNVIS2 .
Assinaturas desativadas
</t>
        </is>
      </c>
      <c r="F15" t="inlineStr">
        <is>
          <t>F</t>
        </is>
      </c>
    </row>
    <row r="16" ht="120" customHeight="1">
      <c r="A16" t="inlineStr">
        <is>
          <t>BGOW0019-TIPO-DOCUMENTO</t>
        </is>
      </c>
      <c r="B16" t="n">
        <v>102</v>
      </c>
      <c r="C16" t="n">
        <v>4</v>
      </c>
      <c r="D16" t="inlineStr">
        <is>
          <t>OUT1 - Carta transf. Mediador (DOC-ID = '006')
OUT2 - Carta transf. Cliente  (DOC-ID = '006')
OUT3 - Carta transf. Cliente  (DOC-ID = '006')  
OUT4 - Carta transf. Cliente  (DOC-ID = '006') 
OUT5 - Carta transf. Cliente  (DOC-ID = '006') 
REC1 - Recibo de Renda (sinistros)
REC2 - Recibo de Reembolso (sinistros)
REC3 - Recibo de Indemnização (sinistros)</t>
        </is>
      </c>
      <c r="E16" t="inlineStr">
        <is>
          <t>Código de identificação do Tipo de Documento(deve ser repetido em todas as linhas do documento)</t>
        </is>
      </c>
      <c r="F16" t="inlineStr">
        <is>
          <t>F</t>
        </is>
      </c>
    </row>
    <row r="17" ht="105" customHeight="1">
      <c r="A17" t="inlineStr">
        <is>
          <t>BGOW0019-TIPO-IMPRESSAO</t>
        </is>
      </c>
      <c r="B17" t="n">
        <v>106</v>
      </c>
      <c r="C17" t="n">
        <v>3</v>
      </c>
      <c r="D17" t="inlineStr">
        <is>
          <t>CAE - Centralizado/Agrupado/Expedir
CAN - Centralizado/Agrupado/Não Expedir
CNE - Centralizado/Não Agrupado/Expedir
CNN - Centralizado/Não Agrupado/Não Expedir
DAN - Descentralizado/Agrupado/Não Expedir
DNN - Descentralizado/Não Agrupado/Não Expedir
Espaços para o DOC-ID = '006'</t>
        </is>
      </c>
      <c r="E17" t="inlineStr">
        <is>
          <t>Código de identificação do tipo de impressão(deve ser repetido em todas as linhas do documento)</t>
        </is>
      </c>
      <c r="F17" t="inlineStr">
        <is>
          <t>O</t>
        </is>
      </c>
    </row>
    <row r="18" ht="42" customHeight="1">
      <c r="A18" t="inlineStr">
        <is>
          <t>BGOW0019-CODIGO-IMPRESSORA</t>
        </is>
      </c>
      <c r="B18" t="n">
        <v>109</v>
      </c>
      <c r="C18" t="n">
        <v>8</v>
      </c>
      <c r="E18" t="inlineStr">
        <is>
          <t>Código da impressora(deve ser repetido em todas as linhas do documento)</t>
        </is>
      </c>
      <c r="F18" t="inlineStr">
        <is>
          <t>F</t>
        </is>
      </c>
    </row>
    <row r="19" ht="42" customHeight="1">
      <c r="A19" t="inlineStr">
        <is>
          <t>BGOW0019-COD-DOCUMENTO-ORIGEM</t>
        </is>
      </c>
      <c r="B19" t="n">
        <v>117</v>
      </c>
      <c r="C19" t="n">
        <v>10</v>
      </c>
      <c r="E19" t="inlineStr">
        <is>
          <t>Código do documento de origem(deve ser repetido em todas as linhas do documento)</t>
        </is>
      </c>
      <c r="F19" t="inlineStr">
        <is>
          <t>O</t>
        </is>
      </c>
    </row>
    <row r="20" ht="180" customHeight="1">
      <c r="A20" t="inlineStr">
        <is>
          <t>BGOW0019-TIPO-REG</t>
        </is>
      </c>
      <c r="B20" t="n">
        <v>127</v>
      </c>
      <c r="C20" t="n">
        <v>4</v>
      </c>
      <c r="D20" t="inlineStr">
        <is>
          <t>HDMM - Registo tipo header (Endereçamento)GIS
HD01 - Registo tipo header (cartas) FGS
HD02 - Registo tipo header (CP, Cert.) FGS
HD03 - Registo tipo header (dt, assuntos) GIS
HD04 - Registo tipo header (CP's e Cert) GIS
HD05 - Registo tipo header (Extractos) GIS
HD06 - Registo tipo header (Recibos de Sinistros)
DT01 - Registo tipo detalhe
ENDD - Fim de Documento
0001 - Transf de Carteira dados Endereçamento (DOC-ID = '006')
0002 - Transf de Carteira dados Mediador (DOC-ID = '006')
0003 - Transf de Carteira restantes dados (DOC-ID = '006')</t>
        </is>
      </c>
      <c r="E20" t="inlineStr">
        <is>
          <t>Tipo de Registo</t>
        </is>
      </c>
      <c r="F20" t="inlineStr">
        <is>
          <t>O</t>
        </is>
      </c>
    </row>
    <row r="21" ht="84" customHeight="1">
      <c r="A21" t="inlineStr">
        <is>
          <t>BGOW0019-MARCA-REIMPRESSAO</t>
        </is>
      </c>
      <c r="B21" t="n">
        <v>131</v>
      </c>
      <c r="C21" t="n">
        <v>1</v>
      </c>
      <c r="D21" t="inlineStr">
        <is>
          <t xml:space="preserve"> ' '  - Espaço
 '1'  - Impressão ONLINE 
 '2'  - 2ª Via
 '3'  - Registada </t>
        </is>
      </c>
      <c r="E21" t="inlineStr">
        <is>
          <t>2' - Código de identificação para colocar no documento '2ª via';
'3' - Registada apenas para 
TIPO-IMPRESSAO = CNN
(deve ser repetido em todas as linhas do documento)</t>
        </is>
      </c>
      <c r="F21" t="inlineStr">
        <is>
          <t>F</t>
        </is>
      </c>
    </row>
    <row r="22" ht="14" customHeight="1">
      <c r="A22" t="inlineStr">
        <is>
          <t>BGOW0019-COD-CAPA</t>
        </is>
      </c>
      <c r="B22" t="n">
        <v>132</v>
      </c>
      <c r="C22" t="n">
        <v>6</v>
      </c>
    </row>
    <row r="23" ht="165" customHeight="1">
      <c r="A23" t="inlineStr">
        <is>
          <t>BGOW0019-DOC-ID</t>
        </is>
      </c>
      <c r="B23" t="n">
        <v>138</v>
      </c>
      <c r="C23" t="n">
        <v>3</v>
      </c>
      <c r="D23" t="inlineStr">
        <is>
          <t>Espaços ou 001 - Cartas 1ª fase
002 - Condições Particulares
003 - Cartas de Reinvestimento
004 - certificados
005 - Extractos
006 - Cartas Transferencia de Carteira
007 - Recibos de Sinistros
008 - Recibos de prémio/estorno
009 - Listas Paxus Horizontais
010 - Cessação de contrato extrato final
011 - Extrato integrado</t>
        </is>
      </c>
      <c r="E23" t="inlineStr">
        <is>
          <t>Código para separar os movimentos conforme tipo de documento(deve ser repetido em todas as linhas do documento)</t>
        </is>
      </c>
      <c r="F23" t="inlineStr">
        <is>
          <t>O</t>
        </is>
      </c>
    </row>
    <row r="24" ht="28" customHeight="1">
      <c r="A24" t="inlineStr">
        <is>
          <t>BGOW0019-USER-ID</t>
        </is>
      </c>
      <c r="B24" t="n">
        <v>141</v>
      </c>
      <c r="C24" t="n">
        <v>8</v>
      </c>
      <c r="D24" t="inlineStr">
        <is>
          <t>Espaços para o DOC-ID = '006'</t>
        </is>
      </c>
      <c r="E24" t="inlineStr">
        <is>
          <t>User Id(deve ser repetido em todas as linhas do documento)</t>
        </is>
      </c>
      <c r="F24" t="inlineStr">
        <is>
          <t>F</t>
        </is>
      </c>
    </row>
    <row r="25" ht="112" customHeight="1">
      <c r="A25" t="inlineStr">
        <is>
          <t>BGOW0019-ADERENTE</t>
        </is>
      </c>
      <c r="B25" t="n">
        <v>149</v>
      </c>
      <c r="C25" t="n">
        <v>8</v>
      </c>
      <c r="E25" t="inlineStr">
        <is>
          <t xml:space="preserve">Numero de Aderente(deve ser repetido em todas as linhas do documento)
ATENÇÃOQuando o documento refere mais do que um aderente o campo NR-APOLICE deve vir do SO preenchido a espaços.
</t>
        </is>
      </c>
      <c r="F25" t="inlineStr">
        <is>
          <t>F</t>
        </is>
      </c>
    </row>
    <row r="26" ht="28" customHeight="1">
      <c r="A26" t="inlineStr">
        <is>
          <t>BGOW0019-APOLICE-NCR</t>
        </is>
      </c>
      <c r="B26" t="n">
        <v>157</v>
      </c>
      <c r="C26" t="n">
        <v>8</v>
      </c>
      <c r="D26" t="inlineStr">
        <is>
          <t>Espaços para o DOC-ID = '006'</t>
        </is>
      </c>
      <c r="E26" t="inlineStr">
        <is>
          <t>(deve ser repetido em todas as linhas do documento)</t>
        </is>
      </c>
    </row>
    <row r="27" ht="42" customHeight="1">
      <c r="A27" t="inlineStr">
        <is>
          <t>BGOW0019-TIPO-LAYOUT</t>
        </is>
      </c>
      <c r="B27" t="n">
        <v>165</v>
      </c>
      <c r="C27" t="n">
        <v>2</v>
      </c>
      <c r="D27" t="inlineStr">
        <is>
          <t>Espaços para o DOC-ID = '006'</t>
        </is>
      </c>
      <c r="E27" t="inlineStr">
        <is>
          <t>Tipo layout CP's(deve ser repetido em todas as linhas do documento)</t>
        </is>
      </c>
      <c r="F27" t="inlineStr">
        <is>
          <t>F</t>
        </is>
      </c>
    </row>
    <row r="28" ht="14" customHeight="1">
      <c r="A28" t="inlineStr">
        <is>
          <t>FILLER</t>
        </is>
      </c>
      <c r="B28" t="n">
        <v>167</v>
      </c>
      <c r="C28" t="n">
        <v>132</v>
      </c>
    </row>
    <row r="29" ht="14" customHeight="1"/>
    <row r="30" ht="14" customHeight="1">
      <c r="A30" t="inlineStr">
        <is>
          <t>DADOS-VARIAVEL(ENDEREÇAMENTO)</t>
        </is>
      </c>
      <c r="B30" t="n">
        <v>299</v>
      </c>
      <c r="C30" t="n">
        <v>0</v>
      </c>
    </row>
    <row r="31" ht="56" customHeight="1">
      <c r="A31" t="inlineStr">
        <is>
          <t>BGOW0019-TITULO-DOC1</t>
        </is>
      </c>
      <c r="B31" t="n">
        <v>299</v>
      </c>
      <c r="C31" t="n">
        <v>40</v>
      </c>
      <c r="D31" t="inlineStr">
        <is>
          <t>Espaços para o DOC-ID = '006'</t>
        </is>
      </c>
      <c r="E31" t="inlineStr">
        <is>
          <t>Dados para 1ª linha de Título do Documento
Descritivos que não estão na parte fixa</t>
        </is>
      </c>
      <c r="F31" t="inlineStr">
        <is>
          <t>F</t>
        </is>
      </c>
    </row>
    <row r="32" ht="56" customHeight="1">
      <c r="A32" t="inlineStr">
        <is>
          <t>BGOW0019-TITULO-DOC2</t>
        </is>
      </c>
      <c r="B32" t="n">
        <v>339</v>
      </c>
      <c r="C32" t="n">
        <v>40</v>
      </c>
      <c r="D32" t="inlineStr">
        <is>
          <t>Espaços para o DOC-ID = '006'</t>
        </is>
      </c>
      <c r="E32" t="inlineStr">
        <is>
          <t>Dados para 2ª linha de Título do Documento
Descritivos que não estão na parte fixa</t>
        </is>
      </c>
      <c r="F32" t="inlineStr">
        <is>
          <t>F</t>
        </is>
      </c>
    </row>
    <row r="33" ht="14" customHeight="1">
      <c r="A33" t="inlineStr">
        <is>
          <t>BGOW0019-NOME</t>
        </is>
      </c>
      <c r="B33" t="n">
        <v>379</v>
      </c>
      <c r="C33" t="n">
        <v>40</v>
      </c>
      <c r="E33" t="inlineStr">
        <is>
          <t>Nome do Destinatário</t>
        </is>
      </c>
      <c r="F33" t="inlineStr">
        <is>
          <t>O</t>
        </is>
      </c>
    </row>
    <row r="34" ht="28" customHeight="1">
      <c r="A34" t="inlineStr">
        <is>
          <t>BGOW0019-MORADA1</t>
        </is>
      </c>
      <c r="B34" t="n">
        <v>419</v>
      </c>
      <c r="C34" t="n">
        <v>40</v>
      </c>
      <c r="E34" t="inlineStr">
        <is>
          <t>Dados para 1ª linha de Endereço</t>
        </is>
      </c>
      <c r="F34" t="inlineStr">
        <is>
          <t>O</t>
        </is>
      </c>
    </row>
    <row r="35" ht="28" customHeight="1">
      <c r="A35" t="inlineStr">
        <is>
          <t>BGOW0019-MORADA2</t>
        </is>
      </c>
      <c r="B35" t="n">
        <v>459</v>
      </c>
      <c r="C35" t="n">
        <v>40</v>
      </c>
      <c r="E35" t="inlineStr">
        <is>
          <t>Dados para 2ª linha de Endereço</t>
        </is>
      </c>
      <c r="F35" t="inlineStr">
        <is>
          <t>F</t>
        </is>
      </c>
    </row>
    <row r="36" ht="28" customHeight="1">
      <c r="A36" t="inlineStr">
        <is>
          <t>BGOW0019-MORADA3</t>
        </is>
      </c>
      <c r="B36" t="n">
        <v>499</v>
      </c>
      <c r="C36" t="n">
        <v>40</v>
      </c>
      <c r="E36" t="inlineStr">
        <is>
          <t>Dados para 3ª linha de Endereço</t>
        </is>
      </c>
      <c r="F36" t="inlineStr">
        <is>
          <t>F</t>
        </is>
      </c>
    </row>
    <row r="37" ht="28" customHeight="1">
      <c r="A37" t="inlineStr">
        <is>
          <t>BGOW0019-MORADA4</t>
        </is>
      </c>
      <c r="B37" t="n">
        <v>539</v>
      </c>
      <c r="C37" t="n">
        <v>40</v>
      </c>
      <c r="E37" t="inlineStr">
        <is>
          <t>Dados para 4ª linha de Endereço</t>
        </is>
      </c>
      <c r="F37" t="inlineStr">
        <is>
          <t>O</t>
        </is>
      </c>
    </row>
    <row r="38" ht="28" customHeight="1">
      <c r="A38" t="inlineStr">
        <is>
          <t>BGOW0019-TNUM-PORTA</t>
        </is>
      </c>
      <c r="B38" t="n">
        <v>579</v>
      </c>
      <c r="C38" t="n">
        <v>1</v>
      </c>
      <c r="E38" t="inlineStr">
        <is>
          <t>Código de identificação do Tipo de Porta</t>
        </is>
      </c>
      <c r="F38" t="inlineStr">
        <is>
          <t>F</t>
        </is>
      </c>
    </row>
    <row r="39" ht="14" customHeight="1">
      <c r="A39" t="inlineStr">
        <is>
          <t>BGOW0019-NUM-PORTA</t>
        </is>
      </c>
      <c r="B39" t="n">
        <v>580</v>
      </c>
      <c r="C39" t="n">
        <v>4</v>
      </c>
      <c r="E39" t="inlineStr">
        <is>
          <t>Número de Porta</t>
        </is>
      </c>
      <c r="F39" t="inlineStr">
        <is>
          <t>F</t>
        </is>
      </c>
    </row>
    <row r="40" ht="14" customHeight="1"/>
    <row r="41" ht="14" customHeight="1">
      <c r="A41" t="inlineStr">
        <is>
          <t>DADOS-VARIAVEL(CARTAS)</t>
        </is>
      </c>
      <c r="B41" t="n">
        <v>299</v>
      </c>
      <c r="C41" t="n">
        <v>0</v>
      </c>
    </row>
    <row r="42" ht="28" customHeight="1">
      <c r="A42" t="inlineStr">
        <is>
          <t>BGOW0019-DT-CARTA-EMISSAO</t>
        </is>
      </c>
      <c r="B42" t="n">
        <v>299</v>
      </c>
      <c r="C42" t="n">
        <v>32</v>
      </c>
      <c r="E42" t="inlineStr">
        <is>
          <t>Data de emissão do documento (extenso)</t>
        </is>
      </c>
      <c r="F42" t="inlineStr">
        <is>
          <t>F</t>
        </is>
      </c>
    </row>
    <row r="43" ht="14" customHeight="1">
      <c r="A43" t="inlineStr">
        <is>
          <t>BGOW0019-ASSUNTO1</t>
        </is>
      </c>
      <c r="B43" t="n">
        <v>331</v>
      </c>
      <c r="C43" t="n">
        <v>90</v>
      </c>
      <c r="E43" t="inlineStr">
        <is>
          <t>Dados para 1ª linha de Assunto</t>
        </is>
      </c>
      <c r="F43" t="inlineStr">
        <is>
          <t>F</t>
        </is>
      </c>
    </row>
    <row r="44" ht="14" customHeight="1">
      <c r="A44" t="inlineStr">
        <is>
          <t>BGOW0019-ASSUNTO2</t>
        </is>
      </c>
      <c r="B44" t="n">
        <v>421</v>
      </c>
      <c r="C44" t="n">
        <v>90</v>
      </c>
      <c r="E44" t="inlineStr">
        <is>
          <t>Dados para 2ª linha de Assunto</t>
        </is>
      </c>
      <c r="F44" t="inlineStr">
        <is>
          <t>F</t>
        </is>
      </c>
    </row>
    <row r="45" ht="14" customHeight="1">
      <c r="A45" t="inlineStr">
        <is>
          <t>BGOW0019-ASSUNTO3</t>
        </is>
      </c>
      <c r="B45" t="n">
        <v>511</v>
      </c>
      <c r="C45" t="n">
        <v>90</v>
      </c>
      <c r="E45" t="inlineStr">
        <is>
          <t>Dados para 3ª linha de Assunto</t>
        </is>
      </c>
      <c r="F45" t="inlineStr">
        <is>
          <t>F</t>
        </is>
      </c>
    </row>
    <row r="46" ht="14" customHeight="1"/>
    <row r="47" ht="28" customHeight="1">
      <c r="A47" t="inlineStr">
        <is>
          <t>DADOS-VARIAVEL(CP, CERT., EXTR., RECSIN)</t>
        </is>
      </c>
      <c r="B47" t="n">
        <v>299</v>
      </c>
      <c r="C47" t="n">
        <v>0</v>
      </c>
    </row>
    <row r="48" ht="14" customHeight="1">
      <c r="A48" t="inlineStr">
        <is>
          <t>BGOW0019-NIF</t>
        </is>
      </c>
      <c r="B48" t="n">
        <v>299</v>
      </c>
      <c r="C48" t="n">
        <v>9</v>
      </c>
      <c r="E48" t="inlineStr">
        <is>
          <t>NIF</t>
        </is>
      </c>
      <c r="F48" t="inlineStr">
        <is>
          <t>F</t>
        </is>
      </c>
    </row>
    <row r="49" ht="14" customHeight="1">
      <c r="A49" t="inlineStr">
        <is>
          <t>BGOW0019-NCERTIFICADO</t>
        </is>
      </c>
      <c r="B49" t="n">
        <v>308</v>
      </c>
      <c r="C49" t="n">
        <v>10</v>
      </c>
      <c r="E49" t="inlineStr">
        <is>
          <t>Numero de Certificado</t>
        </is>
      </c>
      <c r="F49" t="inlineStr">
        <is>
          <t>F</t>
        </is>
      </c>
    </row>
    <row r="50" ht="14" customHeight="1">
      <c r="A50" t="inlineStr">
        <is>
          <t>BGOW0019-NEMPREGADO</t>
        </is>
      </c>
      <c r="B50" t="n">
        <v>318</v>
      </c>
      <c r="C50" t="n">
        <v>10</v>
      </c>
      <c r="E50" t="inlineStr">
        <is>
          <t>Numero de empregado</t>
        </is>
      </c>
      <c r="F50" t="inlineStr">
        <is>
          <t>F</t>
        </is>
      </c>
    </row>
    <row r="51" ht="14" customHeight="1">
      <c r="A51" t="inlineStr">
        <is>
          <t>BGOW0019-NATUREZA</t>
        </is>
      </c>
      <c r="B51" t="n">
        <v>328</v>
      </c>
      <c r="C51" t="n">
        <v>20</v>
      </c>
      <c r="E51" t="inlineStr">
        <is>
          <t>Natureza (acta numero xxx)</t>
        </is>
      </c>
      <c r="F51" t="inlineStr">
        <is>
          <t>F</t>
        </is>
      </c>
    </row>
    <row r="52" ht="14" customHeight="1">
      <c r="A52" t="inlineStr">
        <is>
          <t>BGOW0019-DT-EMISSAO</t>
        </is>
      </c>
      <c r="B52" t="n">
        <v>348</v>
      </c>
      <c r="C52" t="n">
        <v>10</v>
      </c>
      <c r="E52" t="inlineStr">
        <is>
          <t>Data de emissão</t>
        </is>
      </c>
      <c r="F52" t="inlineStr">
        <is>
          <t>F</t>
        </is>
      </c>
    </row>
    <row r="53" ht="15" customHeight="1">
      <c r="A53" t="inlineStr">
        <is>
          <t>BGOW0019-DT-ANIVERSARIA</t>
        </is>
      </c>
      <c r="B53" t="n">
        <v>358</v>
      </c>
      <c r="C53" t="n">
        <v>16</v>
      </c>
      <c r="D53" t="inlineStr">
        <is>
          <t>Para os documentos do classico este campo é o nº processo(12)</t>
        </is>
      </c>
      <c r="E53" t="inlineStr">
        <is>
          <t>Data aniversária</t>
        </is>
      </c>
      <c r="F53" t="inlineStr">
        <is>
          <t>F</t>
        </is>
      </c>
    </row>
    <row r="54" ht="14" customHeight="1">
      <c r="A54" t="inlineStr">
        <is>
          <t>BGOW0019-RAMO-DSC</t>
        </is>
      </c>
      <c r="B54" t="n">
        <v>374</v>
      </c>
      <c r="C54" t="n">
        <v>35</v>
      </c>
      <c r="F54" t="inlineStr">
        <is>
          <t>F</t>
        </is>
      </c>
    </row>
    <row r="55" ht="15" customHeight="1">
      <c r="A55" t="inlineStr">
        <is>
          <t>BGOW0019-MODALIDADE</t>
        </is>
      </c>
      <c r="B55" t="n">
        <v>409</v>
      </c>
      <c r="C55" t="n">
        <v>30</v>
      </c>
      <c r="D55" t="inlineStr">
        <is>
          <t>Campo obrigatório para DOC-ID = '007'</t>
        </is>
      </c>
      <c r="E55" t="inlineStr">
        <is>
          <t>Modalidade</t>
        </is>
      </c>
      <c r="F55" t="inlineStr">
        <is>
          <t>F</t>
        </is>
      </c>
    </row>
    <row r="56" ht="15" customHeight="1">
      <c r="A56" t="inlineStr">
        <is>
          <t>BGOW0019-PROCESSO</t>
        </is>
      </c>
      <c r="B56" t="n">
        <v>439</v>
      </c>
      <c r="C56" t="n">
        <v>8</v>
      </c>
      <c r="D56" t="inlineStr">
        <is>
          <t>Campo obrigatório para DOC-ID = '007'</t>
        </is>
      </c>
      <c r="E56" t="inlineStr">
        <is>
          <t>Processo</t>
        </is>
      </c>
      <c r="F56" t="inlineStr">
        <is>
          <t>F</t>
        </is>
      </c>
    </row>
    <row r="57" ht="15" customHeight="1">
      <c r="A57" t="inlineStr">
        <is>
          <t>BGOW0019-NR-RECIBO</t>
        </is>
      </c>
      <c r="B57" t="n">
        <v>447</v>
      </c>
      <c r="C57" t="n">
        <v>10</v>
      </c>
      <c r="D57" t="inlineStr">
        <is>
          <t>Campo obrigatório para DOC-ID = '007'</t>
        </is>
      </c>
      <c r="E57" t="inlineStr">
        <is>
          <t>Nr Recibo</t>
        </is>
      </c>
      <c r="F57" t="inlineStr">
        <is>
          <t>F</t>
        </is>
      </c>
    </row>
    <row r="58" ht="14" customHeight="1">
      <c r="A58" t="inlineStr">
        <is>
          <t>BGOW0019-DT-SINISTRO</t>
        </is>
      </c>
      <c r="B58" t="n">
        <v>457</v>
      </c>
      <c r="C58" t="n">
        <v>8</v>
      </c>
      <c r="E58" t="inlineStr">
        <is>
          <t>Data do Sinistro ou espaços</t>
        </is>
      </c>
      <c r="F58" t="inlineStr">
        <is>
          <t>F</t>
        </is>
      </c>
    </row>
    <row r="59" ht="14" customHeight="1">
      <c r="A59" t="inlineStr">
        <is>
          <t>DADOS-VARIAVEL(DETALHE)</t>
        </is>
      </c>
      <c r="B59" t="n">
        <v>299</v>
      </c>
      <c r="C59" t="n">
        <v>0</v>
      </c>
    </row>
    <row r="60" ht="272.25" customHeight="1">
      <c r="A60" t="inlineStr">
        <is>
          <t>BGOW0019-TIPO-LINHA</t>
        </is>
      </c>
      <c r="B60" t="n">
        <v>299</v>
      </c>
      <c r="C60" t="n">
        <v>4</v>
      </c>
      <c r="D60" t="inlineStr">
        <is>
          <t xml:space="preserve">0001 - TL-SAUDACAO
0002 - TL-ESPACOS
0003 - TL-CORRENTE
F003 - TL-FINAL_CORRENTE
0004 - TL-RISCO
0005 - TL-TESOURA
0006 - TL-TRACEJADO
0007 - TL-TESOURA-COM-TR
0008 - TL-CUMPRIMENTOS
0009 - TL-LINHA-FIXA
0010 - TL-VERSO
0011 - TL-TITULO
0012 - TL-BLOCO-CG
0013 - TL-TES-TRAC-COMP
0014 - TL-TES-TRAC-MEDICIL
0015 - TL-RECSIN-CAIXA
0016 - TL-RECSIN-CBARRAS
0017 - TL-FIXA-BIN
0018 - TL-FRASE-REIMPR
0019 - TL-VERSO2
</t>
        </is>
      </c>
      <c r="E60" t="inlineStr">
        <is>
          <t>Código de identificação do Tipo de Linha
-o código 0010 é utilizado em "cartas especiais" quando utilizada em documentos novos devem sempre informar os outputs.
-o código 0019 é utilizado em "cartas especiais" nomeadamente  ICRS074F;XCRS074F; ICRS075F;XCRS075F  que contêm 2 tipos de anexos. Quando utilizada em documentos novos devem sempre informar os outputs.</t>
        </is>
      </c>
      <c r="F60" t="inlineStr">
        <is>
          <t>O</t>
        </is>
      </c>
    </row>
    <row r="61" ht="105.75" customHeight="1">
      <c r="A61" t="inlineStr">
        <is>
          <t>BGOW0019-TIPO-PARAGRAFO</t>
        </is>
      </c>
      <c r="B61" t="n">
        <v>303</v>
      </c>
      <c r="C61" t="n">
        <v>4</v>
      </c>
      <c r="D61" t="inlineStr">
        <is>
          <t xml:space="preserve">0001 - TP-NORMAL
0002 - TP-INDENT-NORMAL
0003 - TP-BOLD
0004 - TP-INDENT-BOLD
0005 - TP-NORM-PEQ
0006 - TP-BOLD-PEQ
0007 - TP-FIXA-PEQ
</t>
        </is>
      </c>
      <c r="F61" t="inlineStr">
        <is>
          <t>O</t>
        </is>
      </c>
    </row>
    <row r="62" ht="54" customHeight="1">
      <c r="A62" t="inlineStr">
        <is>
          <t>BGOW0019-LINHA-GIS</t>
        </is>
      </c>
      <c r="B62" t="n">
        <v>307</v>
      </c>
      <c r="C62" t="n">
        <v>0</v>
      </c>
      <c r="E62" t="inlineStr">
        <is>
          <t>Dados de detalhe para Linha, de acordo com o Tipo de Linha - COMP.TOTAL=1000</t>
        </is>
      </c>
    </row>
    <row r="63" ht="14" customHeight="1">
      <c r="A63" t="inlineStr">
        <is>
          <t>BGOW0019-LINHA1-GIS</t>
        </is>
      </c>
      <c r="B63" t="n">
        <v>307</v>
      </c>
      <c r="C63" t="n">
        <v>294</v>
      </c>
      <c r="E63" t="inlineStr">
        <is>
          <t>Linha 1</t>
        </is>
      </c>
      <c r="F63" t="inlineStr">
        <is>
          <t>F</t>
        </is>
      </c>
    </row>
    <row r="64" ht="14" customHeight="1">
      <c r="A64" t="inlineStr">
        <is>
          <t>BGOW0019-LINHA2-GIS</t>
        </is>
      </c>
      <c r="B64" t="n">
        <v>307</v>
      </c>
      <c r="C64" t="n">
        <v>294</v>
      </c>
      <c r="E64" t="inlineStr">
        <is>
          <t>Linha 2</t>
        </is>
      </c>
      <c r="F64" t="inlineStr">
        <is>
          <t>F</t>
        </is>
      </c>
    </row>
    <row r="65" ht="14" customHeight="1">
      <c r="A65" t="inlineStr">
        <is>
          <t>BGOW0019-LINHA3-GIS</t>
        </is>
      </c>
      <c r="B65" t="n">
        <v>307</v>
      </c>
      <c r="C65" t="n">
        <v>294</v>
      </c>
      <c r="E65" t="inlineStr">
        <is>
          <t>Linha 3</t>
        </is>
      </c>
      <c r="F65" t="inlineStr">
        <is>
          <t>F</t>
        </is>
      </c>
    </row>
    <row r="66" ht="14" customHeight="1">
      <c r="A66" t="inlineStr">
        <is>
          <t>BGOW0019-LINHA4-GIS</t>
        </is>
      </c>
      <c r="B66" t="n">
        <v>307</v>
      </c>
      <c r="C66" t="n">
        <v>118</v>
      </c>
      <c r="E66" t="inlineStr">
        <is>
          <t>Linha 4</t>
        </is>
      </c>
      <c r="F66" t="inlineStr">
        <is>
          <t>F</t>
        </is>
      </c>
    </row>
    <row r="67" ht="14" customHeight="1"/>
    <row r="68" ht="14" customHeight="1">
      <c r="A68" t="inlineStr">
        <is>
          <t>DADOS-VARIAVEL(TRSFCA 0002)</t>
        </is>
      </c>
      <c r="B68" t="n">
        <v>299</v>
      </c>
      <c r="C68" t="n">
        <v>0</v>
      </c>
    </row>
    <row r="69" ht="14" customHeight="1">
      <c r="A69" t="inlineStr">
        <is>
          <t>BGOW0019-NOME-MEDIADOR</t>
        </is>
      </c>
      <c r="B69" t="n">
        <v>299</v>
      </c>
      <c r="C69" t="n">
        <v>40</v>
      </c>
      <c r="E69" t="inlineStr">
        <is>
          <t>Nome do Novo Mediador</t>
        </is>
      </c>
      <c r="F69" t="inlineStr">
        <is>
          <t>O</t>
        </is>
      </c>
    </row>
    <row r="70" ht="28" customHeight="1">
      <c r="A70" t="inlineStr">
        <is>
          <t>BGOW0019-MORADA1</t>
        </is>
      </c>
      <c r="B70" t="n">
        <v>339</v>
      </c>
      <c r="C70" t="n">
        <v>40</v>
      </c>
      <c r="E70" t="inlineStr">
        <is>
          <t>Dados para 1ª linha de Endereço</t>
        </is>
      </c>
      <c r="F70" t="inlineStr">
        <is>
          <t>O</t>
        </is>
      </c>
    </row>
    <row r="71" ht="28" customHeight="1">
      <c r="A71" t="inlineStr">
        <is>
          <t>BGOW0019-MORADA2</t>
        </is>
      </c>
      <c r="B71" t="n">
        <v>379</v>
      </c>
      <c r="C71" t="n">
        <v>40</v>
      </c>
      <c r="E71" t="inlineStr">
        <is>
          <t>Dados para 2ª linha de Endereço</t>
        </is>
      </c>
      <c r="F71" t="inlineStr">
        <is>
          <t>F</t>
        </is>
      </c>
    </row>
    <row r="72" ht="28" customHeight="1">
      <c r="A72" t="inlineStr">
        <is>
          <t>BGOW0019-MORADA3</t>
        </is>
      </c>
      <c r="B72" t="n">
        <v>419</v>
      </c>
      <c r="C72" t="n">
        <v>40</v>
      </c>
      <c r="E72" t="inlineStr">
        <is>
          <t>Dados para 3ª linha de Endereço</t>
        </is>
      </c>
      <c r="F72" t="inlineStr">
        <is>
          <t>F</t>
        </is>
      </c>
    </row>
    <row r="73" ht="28" customHeight="1">
      <c r="A73" t="inlineStr">
        <is>
          <t>BGOW0019-MORADA4</t>
        </is>
      </c>
      <c r="B73" t="n">
        <v>339</v>
      </c>
      <c r="C73" t="n">
        <v>40</v>
      </c>
      <c r="E73" t="inlineStr">
        <is>
          <t>Dados para 4ª linha de Endereço</t>
        </is>
      </c>
      <c r="F73" t="inlineStr">
        <is>
          <t>O</t>
        </is>
      </c>
    </row>
    <row r="74" ht="28" customHeight="1">
      <c r="A74" t="inlineStr">
        <is>
          <t>BGOW0019-TNUM-PORTA</t>
        </is>
      </c>
      <c r="B74" t="n">
        <v>339</v>
      </c>
      <c r="C74" t="n">
        <v>1</v>
      </c>
      <c r="E74" t="inlineStr">
        <is>
          <t>Código de identificação do Tipo de Porta</t>
        </is>
      </c>
      <c r="F74" t="inlineStr">
        <is>
          <t>F</t>
        </is>
      </c>
    </row>
    <row r="75" ht="14" customHeight="1">
      <c r="A75" t="inlineStr">
        <is>
          <t>BGOW0019-NUM-PORTA</t>
        </is>
      </c>
      <c r="B75" t="n">
        <v>379</v>
      </c>
      <c r="C75" t="n">
        <v>4</v>
      </c>
      <c r="E75" t="inlineStr">
        <is>
          <t>Número de Porta</t>
        </is>
      </c>
      <c r="F75" t="inlineStr">
        <is>
          <t>F</t>
        </is>
      </c>
    </row>
    <row r="76" ht="14" customHeight="1">
      <c r="A76" t="inlineStr">
        <is>
          <t>BGOW0019-TELEFONE</t>
        </is>
      </c>
      <c r="B76" t="n">
        <v>459</v>
      </c>
      <c r="C76" t="n">
        <v>9</v>
      </c>
      <c r="E76" t="inlineStr">
        <is>
          <t>Número telefone Mediador</t>
        </is>
      </c>
      <c r="F76" t="inlineStr">
        <is>
          <t>F</t>
        </is>
      </c>
    </row>
    <row r="77" ht="14" customHeight="1">
      <c r="A77" t="inlineStr">
        <is>
          <t>BGOW0019-TELEMOVEL</t>
        </is>
      </c>
      <c r="B77" t="n">
        <v>459</v>
      </c>
      <c r="C77" t="n">
        <v>9</v>
      </c>
      <c r="E77" t="inlineStr">
        <is>
          <t>Número Telemóvel Mediador</t>
        </is>
      </c>
      <c r="F77" t="inlineStr">
        <is>
          <t>F</t>
        </is>
      </c>
    </row>
    <row r="78" ht="14" customHeight="1">
      <c r="A78" t="inlineStr">
        <is>
          <t>BGOW0019-EMAIL</t>
        </is>
      </c>
      <c r="B78" t="n">
        <v>383</v>
      </c>
      <c r="C78" t="n">
        <v>45</v>
      </c>
      <c r="E78" t="inlineStr">
        <is>
          <t>E-mail do Mediador</t>
        </is>
      </c>
      <c r="F78" t="inlineStr">
        <is>
          <t>F</t>
        </is>
      </c>
    </row>
    <row r="79" ht="14" customHeight="1">
      <c r="A79" t="inlineStr">
        <is>
          <t>BGOW0019-PRODUTO</t>
        </is>
      </c>
      <c r="B79" t="n">
        <v>468</v>
      </c>
      <c r="C79" t="n">
        <v>30</v>
      </c>
      <c r="E79" t="inlineStr">
        <is>
          <t>Nome do Produto</t>
        </is>
      </c>
      <c r="F79" t="inlineStr">
        <is>
          <t>F</t>
        </is>
      </c>
    </row>
    <row r="80" ht="14" customHeight="1"/>
    <row r="81" ht="14" customHeight="1">
      <c r="A81" t="inlineStr">
        <is>
          <t>DADOS-VARIAVEL(TRSFCA 0003)</t>
        </is>
      </c>
      <c r="B81" t="n">
        <v>299</v>
      </c>
      <c r="C81" t="n">
        <v>0</v>
      </c>
    </row>
    <row r="82" ht="14" customHeight="1">
      <c r="A82" t="inlineStr">
        <is>
          <t>BGOW0019-NR-TRANSFERENCIA</t>
        </is>
      </c>
      <c r="B82" t="n">
        <v>299</v>
      </c>
      <c r="C82" t="n">
        <v>10</v>
      </c>
      <c r="E82" t="inlineStr">
        <is>
          <t>Nº da transferencia</t>
        </is>
      </c>
      <c r="F82" t="inlineStr">
        <is>
          <t>F</t>
        </is>
      </c>
    </row>
    <row r="83" ht="14" customHeight="1">
      <c r="A83" t="inlineStr">
        <is>
          <t>BGOW0019-TIPO-TRANSFERENCIA</t>
        </is>
      </c>
      <c r="B83" t="n">
        <v>309</v>
      </c>
      <c r="C83" t="n">
        <v>2</v>
      </c>
      <c r="E83" t="inlineStr">
        <is>
          <t>Tipo Transferencia</t>
        </is>
      </c>
      <c r="F83" t="inlineStr">
        <is>
          <t>F</t>
        </is>
      </c>
    </row>
    <row r="84" ht="14" customHeight="1">
      <c r="A84" t="inlineStr">
        <is>
          <t>BGOW0019-NOME-MEDIADOR-ANTIGO</t>
        </is>
      </c>
      <c r="B84" t="n">
        <v>311</v>
      </c>
      <c r="C84" t="n">
        <v>40</v>
      </c>
      <c r="E84" t="inlineStr">
        <is>
          <t>Nome Mediador Antigo</t>
        </is>
      </c>
      <c r="F84" t="inlineStr">
        <is>
          <t>F</t>
        </is>
      </c>
    </row>
    <row r="85" ht="14" customHeight="1">
      <c r="A85" t="inlineStr">
        <is>
          <t>BGOW0019-COMP-MEDIADOR-ANTIGA</t>
        </is>
      </c>
      <c r="B85" t="n">
        <v>351</v>
      </c>
      <c r="C85" t="n">
        <v>3</v>
      </c>
      <c r="E85" t="inlineStr">
        <is>
          <t>Comp. Mediador Antiga</t>
        </is>
      </c>
      <c r="F85" t="inlineStr">
        <is>
          <t>F</t>
        </is>
      </c>
    </row>
    <row r="86" ht="1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35.5" customWidth="1" min="1" max="1"/>
    <col width="8" customWidth="1" min="2" max="2"/>
    <col width="9.33203125" customWidth="1" min="3" max="3"/>
    <col width="60" customWidth="1" min="4" max="4"/>
    <col width="25.1640625" customWidth="1" min="5" max="5"/>
    <col width="12.5" customWidth="1" min="6" max="6"/>
    <col width="22.6640625" customWidth="1" min="7" max="7"/>
  </cols>
  <sheetData>
    <row r="1" ht="14" customHeight="1">
      <c r="A1" t="inlineStr">
        <is>
          <t>FILLER</t>
        </is>
      </c>
      <c r="B1" t="inlineStr">
        <is>
          <t>Posição</t>
        </is>
      </c>
      <c r="C1" t="inlineStr">
        <is>
          <t>Tamanho</t>
        </is>
      </c>
      <c r="D1" t="inlineStr">
        <is>
          <t>Valores Possíveis</t>
        </is>
      </c>
      <c r="E1" t="inlineStr">
        <is>
          <t>Descrição do conteúdo</t>
        </is>
      </c>
      <c r="F1" t="inlineStr">
        <is>
          <t>Obrig/Facult</t>
        </is>
      </c>
      <c r="G1" t="inlineStr">
        <is>
          <t>Validação no programa</t>
        </is>
      </c>
    </row>
    <row r="2" ht="13" customHeight="1">
      <c r="A2" t="inlineStr">
        <is>
          <t>DADOS-REGISTO</t>
        </is>
      </c>
      <c r="B2" t="n">
        <v>1</v>
      </c>
      <c r="C2" t="n">
        <v>0</v>
      </c>
    </row>
    <row r="3" ht="75" customHeight="1">
      <c r="A3" t="inlineStr">
        <is>
          <t>BGOW0046-COD-COMPANHIA</t>
        </is>
      </c>
      <c r="B3" t="n">
        <v>1</v>
      </c>
      <c r="C3" t="n">
        <v>3</v>
      </c>
      <c r="D3" t="inlineStr">
        <is>
          <t>111 - Via Directa
128 - Fidelidade Mundial
138 - Império Bonança
148 - Multicare
158 - Caixa Poupança</t>
        </is>
      </c>
      <c r="E3" t="inlineStr">
        <is>
          <t>Código de identificação da Companhia</t>
        </is>
      </c>
      <c r="F3" t="inlineStr">
        <is>
          <t>O</t>
        </is>
      </c>
      <c r="G3" t="inlineStr">
        <is>
          <t>Programa de outputs cancela no caso do SO enviar um valor diferente dos valores possiveis</t>
        </is>
      </c>
    </row>
    <row r="4" ht="135" customHeight="1">
      <c r="A4" t="inlineStr">
        <is>
          <t>BGOW0046-COD-MARCA</t>
        </is>
      </c>
      <c r="B4" t="n">
        <v>4</v>
      </c>
      <c r="C4" t="n">
        <v>3</v>
      </c>
      <c r="D4" t="inlineStr">
        <is>
          <t>001 - OK Teleseguro
002 - Fidelidade Mundial
L02 - FM Leve
003 - Império Bonança
L03 - IB Leve
004 - ICI
005 - Continente
006 - Multicare
L09 - CP Leve</t>
        </is>
      </c>
      <c r="E4" t="inlineStr">
        <is>
          <t>Código de identificação da Marca</t>
        </is>
      </c>
      <c r="F4" t="inlineStr">
        <is>
          <t>O</t>
        </is>
      </c>
      <c r="G4" t="inlineStr">
        <is>
          <t>Programa de outputs cancela no caso do SO enviar um valor diferente dos valores possiveis</t>
        </is>
      </c>
    </row>
    <row r="5" ht="150" customHeight="1">
      <c r="A5" t="inlineStr">
        <is>
          <t>BGOW0046-COD-ORIGEM</t>
        </is>
      </c>
      <c r="B5" t="n">
        <v>7</v>
      </c>
      <c r="C5" t="n">
        <v>3</v>
      </c>
      <c r="D5" t="inlineStr">
        <is>
          <t>C22 - Cogen 22
C33 - Cogen 33
C41 - Cogen 41
P41 - PRIC 41
CLA - Clássico
GIS - GIS
TAG - TAG
CLH - Colheitas
FGS - Vida Grupo
RVI - Vida individual</t>
        </is>
      </c>
      <c r="E5" t="inlineStr">
        <is>
          <t>Código de identificação do Sistema Origem</t>
        </is>
      </c>
      <c r="F5" t="inlineStr">
        <is>
          <t>O</t>
        </is>
      </c>
      <c r="G5" t="inlineStr">
        <is>
          <t>Programa de outputs cancela no caso do SO enviar um valor diferente dos valores possiveis</t>
        </is>
      </c>
    </row>
    <row r="6" ht="15" customHeight="1">
      <c r="A6" t="inlineStr">
        <is>
          <t>BGOW0046-COD-POSTALM</t>
        </is>
      </c>
      <c r="B6" t="n">
        <v>10</v>
      </c>
      <c r="C6" t="n">
        <v>9</v>
      </c>
      <c r="D6" t="inlineStr">
        <is>
          <t>Espaços</t>
        </is>
      </c>
      <c r="E6" t="inlineStr">
        <is>
          <t>Código Postal do Mediador</t>
        </is>
      </c>
      <c r="F6" t="inlineStr">
        <is>
          <t>F</t>
        </is>
      </c>
    </row>
    <row r="7" ht="15" customHeight="1">
      <c r="A7" t="inlineStr">
        <is>
          <t>BGOW0046-NR-MEDIADOR</t>
        </is>
      </c>
      <c r="B7" t="n">
        <v>19</v>
      </c>
      <c r="C7" t="n">
        <v>10</v>
      </c>
      <c r="D7" t="inlineStr">
        <is>
          <t>Espaços</t>
        </is>
      </c>
      <c r="E7" t="inlineStr">
        <is>
          <t>Número do Mediador</t>
        </is>
      </c>
      <c r="F7" t="inlineStr">
        <is>
          <t>F</t>
        </is>
      </c>
    </row>
    <row r="8" ht="42" customHeight="1">
      <c r="A8" t="inlineStr">
        <is>
          <t>BGOW0046-COD-POSTALC</t>
        </is>
      </c>
      <c r="B8" t="n">
        <v>29</v>
      </c>
      <c r="C8" t="n">
        <v>9</v>
      </c>
      <c r="E8" t="inlineStr">
        <is>
          <t>Código Postal do Cliente</t>
        </is>
      </c>
      <c r="F8" t="inlineStr">
        <is>
          <t>O</t>
        </is>
      </c>
      <c r="G8" t="inlineStr">
        <is>
          <t>Programa de outputs cancela no caso do SO não enviar o campo preenchido</t>
        </is>
      </c>
    </row>
    <row r="9" ht="42" customHeight="1">
      <c r="A9" t="inlineStr">
        <is>
          <t>BGOW0046-NR-CLIENTE</t>
        </is>
      </c>
      <c r="B9" t="n">
        <v>38</v>
      </c>
      <c r="C9" t="n">
        <v>10</v>
      </c>
      <c r="E9" t="inlineStr">
        <is>
          <t>Número do Cliente</t>
        </is>
      </c>
      <c r="F9" t="inlineStr">
        <is>
          <t>O</t>
        </is>
      </c>
      <c r="G9" t="inlineStr">
        <is>
          <t>Programa de outputs cancela no caso do SO não enviar o campo preenchido</t>
        </is>
      </c>
    </row>
    <row r="10" ht="15" customHeight="1">
      <c r="A10" t="inlineStr">
        <is>
          <t>BGOW0046-NR-APOLICE</t>
        </is>
      </c>
      <c r="B10" t="n">
        <v>48</v>
      </c>
      <c r="C10" t="n">
        <v>16</v>
      </c>
      <c r="D10" t="inlineStr">
        <is>
          <t>Espaços</t>
        </is>
      </c>
      <c r="E10" t="inlineStr">
        <is>
          <t>Número da Apólice</t>
        </is>
      </c>
      <c r="F10" t="inlineStr">
        <is>
          <t>F</t>
        </is>
      </c>
    </row>
    <row r="11" ht="15" customHeight="1">
      <c r="A11" t="inlineStr">
        <is>
          <t>BGOW0046-COD-PRODUTO</t>
        </is>
      </c>
      <c r="B11" t="n">
        <v>64</v>
      </c>
      <c r="C11" t="n">
        <v>6</v>
      </c>
      <c r="D11" t="inlineStr">
        <is>
          <t>Espaços</t>
        </is>
      </c>
      <c r="E11" t="inlineStr">
        <is>
          <t>Código de Produto</t>
        </is>
      </c>
      <c r="F11" t="inlineStr">
        <is>
          <t>F</t>
        </is>
      </c>
    </row>
    <row r="12" ht="28" customHeight="1">
      <c r="A12" t="inlineStr">
        <is>
          <t>BGOW0046-DATA-HORA</t>
        </is>
      </c>
      <c r="B12" t="n">
        <v>70</v>
      </c>
      <c r="C12" t="n">
        <v>14</v>
      </c>
      <c r="E12" t="inlineStr">
        <is>
          <t>Data e Hora de emissão do documento</t>
        </is>
      </c>
      <c r="F12" t="inlineStr">
        <is>
          <t>O</t>
        </is>
      </c>
    </row>
    <row r="13" ht="28" customHeight="1">
      <c r="A13" t="inlineStr">
        <is>
          <t>BGOW0046-NUM-DOC</t>
        </is>
      </c>
      <c r="B13" t="n">
        <v>84</v>
      </c>
      <c r="C13" t="n">
        <v>7</v>
      </c>
      <c r="D13" t="inlineStr">
        <is>
          <t>Espaços para o DOC-ID = '006'</t>
        </is>
      </c>
      <c r="E13" t="inlineStr">
        <is>
          <t>Número de ordem do Documento</t>
        </is>
      </c>
      <c r="F13" t="inlineStr">
        <is>
          <t>O</t>
        </is>
      </c>
    </row>
    <row r="14" ht="28" customHeight="1">
      <c r="A14" t="inlineStr">
        <is>
          <t>BGOW0046-NUM-REGISTO</t>
        </is>
      </c>
      <c r="B14" t="n">
        <v>91</v>
      </c>
      <c r="C14" t="n">
        <v>7</v>
      </c>
      <c r="D14" t="inlineStr">
        <is>
          <t>Espaços para o DOC-ID = '006'</t>
        </is>
      </c>
      <c r="E14" t="inlineStr">
        <is>
          <t>Número de ordem do registo no documento</t>
        </is>
      </c>
      <c r="F14" t="inlineStr">
        <is>
          <t>O</t>
        </is>
      </c>
    </row>
    <row r="15" ht="150" customHeight="1">
      <c r="A15" t="inlineStr">
        <is>
          <t>BGOW0046-COD-ASSINATURA</t>
        </is>
      </c>
      <c r="B15" t="n">
        <v>98</v>
      </c>
      <c r="C15" t="n">
        <v>4</v>
      </c>
      <c r="D15" t="inlineStr">
        <is>
          <t>NF00 - Nuno Fernandes
HM00 - Helena Moura
HM01 - Helena Moura com nome e morada Medicil
HM02 - Helena Moura com nome e morada Comp.
CA6R - Magalhães Correia (CP's)
EC00 - Eugénia Coimbra
CA61 - Magalhães Correia (cartas)
FS00 - Fernando Ferreira Santos
FS01 - Fernando Ferreira Santos com nome e morada
Espaços para o DOC-ID = '006'</t>
        </is>
      </c>
      <c r="E15" t="inlineStr">
        <is>
          <t>Código da assinatura do documento</t>
        </is>
      </c>
      <c r="F15" t="inlineStr">
        <is>
          <t>O</t>
        </is>
      </c>
    </row>
    <row r="16" ht="135" customHeight="1">
      <c r="A16" t="inlineStr">
        <is>
          <t>BGOW0046-TIPO-DOCUMENTO</t>
        </is>
      </c>
      <c r="B16" t="n">
        <v>102</v>
      </c>
      <c r="C16" t="n">
        <v>4</v>
      </c>
      <c r="D16" t="inlineStr">
        <is>
          <t>OUT1 - Carta transf. Mediador (DOC-ID = '006')
OUT2 - Carta transf. Cliente  (DOC-ID = '006')
OUT3 - Carta transf. Cliente  (DOC-ID = '006')  
OUT4 - Carta transf. Cliente  (DOC-ID = '006') 
OUT5 - Carta transf. Cliente  (DOC-ID = '006') 
REC1 - Recibo de Renda (sinistros)
REC2 - Recibo de Reembolso (sinistros)
REC3 - Recibo de Indemnização (sinistros)
Espaços para o DOC-Id = '011'</t>
        </is>
      </c>
      <c r="E16" t="inlineStr">
        <is>
          <t>Código de identificação do Tipo de Documento</t>
        </is>
      </c>
      <c r="F16" t="inlineStr">
        <is>
          <t>F</t>
        </is>
      </c>
    </row>
    <row r="17" ht="105" customHeight="1">
      <c r="A17" t="inlineStr">
        <is>
          <t>BGOW0046-TIPO-IMPRESSAO</t>
        </is>
      </c>
      <c r="B17" t="n">
        <v>106</v>
      </c>
      <c r="C17" t="n">
        <v>3</v>
      </c>
      <c r="D17" t="inlineStr">
        <is>
          <t>CAE - Centralizado/Agrupado/Expedir
CAN - Centralizado/Agrupado/Não Expedir
CNE - Centralizado/Não Agrupado/Expedir
CNN - Centralizado/Não Agrupado/Não Expedir
DAN - Descentralizado/Agrupado/Não Expedir
DNN - Descentralizado/Não Agrupado/Não Expedir
Espaços para o DOC-ID = '006'</t>
        </is>
      </c>
      <c r="E17" t="inlineStr">
        <is>
          <t>Código de identificação do tipo de impressão</t>
        </is>
      </c>
      <c r="F17" t="inlineStr">
        <is>
          <t>O</t>
        </is>
      </c>
      <c r="G17" t="inlineStr">
        <is>
          <t>Programa de outputs cancela no caso do SO enviar um valor diferente dos valores possiveis</t>
        </is>
      </c>
    </row>
    <row r="18" ht="14" customHeight="1">
      <c r="A18" t="inlineStr">
        <is>
          <t>BGOW0046-CODIGO-IMPRESSORA</t>
        </is>
      </c>
      <c r="B18" t="n">
        <v>109</v>
      </c>
      <c r="C18" t="n">
        <v>8</v>
      </c>
      <c r="E18" t="inlineStr">
        <is>
          <t>Código da impressora</t>
        </is>
      </c>
      <c r="F18" t="inlineStr">
        <is>
          <t>F</t>
        </is>
      </c>
    </row>
    <row r="19" ht="28" customHeight="1">
      <c r="A19" t="inlineStr">
        <is>
          <t>BGOW0046-COD-DOCUMENTO-ORIGEM</t>
        </is>
      </c>
      <c r="B19" t="n">
        <v>117</v>
      </c>
      <c r="C19" t="n">
        <v>10</v>
      </c>
      <c r="E19" t="inlineStr">
        <is>
          <t>Código do documento de origem</t>
        </is>
      </c>
      <c r="F19" t="inlineStr">
        <is>
          <t>O</t>
        </is>
      </c>
    </row>
    <row r="20" ht="196.25" customHeight="1">
      <c r="A20" t="inlineStr">
        <is>
          <t>BGOW0046-TIPO-REG</t>
        </is>
      </c>
      <c r="B20" t="n">
        <v>127</v>
      </c>
      <c r="C20" t="n">
        <v>4</v>
      </c>
      <c r="D20" t="inlineStr">
        <is>
          <t>HDMM - Registo tipo header (Endereçamento)GIS
HD01 - Registo tipo header (cartas) FGS
HD02 - Registo tipo header (CP, Cert.) FGS
HD03 - Registo tipo header (dt, assuntos) GIS
HD04 - Registo tipo header (CP's e Cert) GIS
HD05 - Registo tipo header (Extractos) GIS
HD06 - Registo tipo header (Recibos de Sinistros)
HD07 - Registo tipo header (Extracto Integrados) GIS
DT01 - Registo tipo detalhe
IL01 - Registo Informações Legais
ENDD - Fim de Documento
0001 - Transf de Carteira dados Endereçamento (DOC-ID = '006')
0002 - Transf de Carteira dados Mediador (DOC-ID = '006')
0003 - Transf de Carteira restantes dados (DOC-ID = '006')</t>
        </is>
      </c>
      <c r="E20" t="inlineStr">
        <is>
          <t>Tipo de Registo</t>
        </is>
      </c>
      <c r="F20" t="inlineStr">
        <is>
          <t>O</t>
        </is>
      </c>
      <c r="G20" t="inlineStr">
        <is>
          <t>Programa de outputs cancela no caso do SO enviar um valor diferente dos valores possiveis</t>
        </is>
      </c>
    </row>
    <row r="21" ht="60" customHeight="1">
      <c r="A21" t="inlineStr">
        <is>
          <t>BGOW0046-MARCA-REIMPRESSAO</t>
        </is>
      </c>
      <c r="B21" t="n">
        <v>131</v>
      </c>
      <c r="C21" t="n">
        <v>1</v>
      </c>
      <c r="D21" t="inlineStr">
        <is>
          <t xml:space="preserve"> ' '  - Espaço
 '1'  - Impressão ONLINE 
 '2'  - 2ª Via
 '3'  - Registada </t>
        </is>
      </c>
      <c r="E21" t="inlineStr">
        <is>
          <t>Código de identificação para colocar no documento '2ª via'</t>
        </is>
      </c>
      <c r="F21" t="inlineStr">
        <is>
          <t>O</t>
        </is>
      </c>
    </row>
    <row r="22" ht="14" customHeight="1">
      <c r="A22" t="inlineStr">
        <is>
          <t>BGOW0046-COD-CAPA</t>
        </is>
      </c>
      <c r="B22" t="n">
        <v>132</v>
      </c>
      <c r="C22" t="n">
        <v>6</v>
      </c>
      <c r="F22" t="inlineStr">
        <is>
          <t>F</t>
        </is>
      </c>
    </row>
    <row r="23" ht="165" customHeight="1">
      <c r="A23" t="inlineStr">
        <is>
          <t>BGOW0046-DOC-ID</t>
        </is>
      </c>
      <c r="B23" t="n">
        <v>138</v>
      </c>
      <c r="C23" t="n">
        <v>3</v>
      </c>
      <c r="D23" t="inlineStr">
        <is>
          <t>Espaços ou 001 - Cartas 1ª fase
002 - Condições Particulares
003 - Cartas de Reinvestimento
004 - certificados
005 - Extractos
006 - Cartas Transferencia de Carteira
007 - Recibos de Sinistros
008 - Listas de Pessoas
009 - Listas Paxus Horizontais
010 - Cessação de contrato extrato final
011 - Extrato Integrado</t>
        </is>
      </c>
      <c r="E23" t="inlineStr">
        <is>
          <t>Código para separar os movimentos conforme tipo de documento</t>
        </is>
      </c>
      <c r="F23" t="inlineStr">
        <is>
          <t>O</t>
        </is>
      </c>
      <c r="G23" t="inlineStr">
        <is>
          <t>Programa de outputs cancela no caso do SO enviar um valor diferente de '011'</t>
        </is>
      </c>
    </row>
    <row r="24" ht="15" customHeight="1">
      <c r="A24" t="inlineStr">
        <is>
          <t>BGOW0046-USER-ID</t>
        </is>
      </c>
      <c r="B24" t="n">
        <v>141</v>
      </c>
      <c r="C24" t="n">
        <v>8</v>
      </c>
      <c r="D24" t="inlineStr">
        <is>
          <t>Espaços para o DOC-ID = '006'</t>
        </is>
      </c>
      <c r="E24" t="inlineStr">
        <is>
          <t>User Id</t>
        </is>
      </c>
      <c r="F24" t="inlineStr">
        <is>
          <t>F</t>
        </is>
      </c>
    </row>
    <row r="25" ht="15" customHeight="1">
      <c r="A25" t="inlineStr">
        <is>
          <t>BGOW0046-ADERENTE</t>
        </is>
      </c>
      <c r="B25" t="n">
        <v>149</v>
      </c>
      <c r="C25" t="n">
        <v>8</v>
      </c>
      <c r="E25" t="inlineStr">
        <is>
          <t>Numero de Aderente</t>
        </is>
      </c>
      <c r="F25" t="inlineStr">
        <is>
          <t>F</t>
        </is>
      </c>
    </row>
    <row r="26" ht="15" customHeight="1">
      <c r="A26" t="inlineStr">
        <is>
          <t>BGOW0046-APOLICE-NCR</t>
        </is>
      </c>
      <c r="B26" t="n">
        <v>157</v>
      </c>
      <c r="C26" t="n">
        <v>8</v>
      </c>
      <c r="D26" t="inlineStr">
        <is>
          <t>Espaços para o DOC-ID = '006' ; '011'</t>
        </is>
      </c>
      <c r="F26" t="inlineStr">
        <is>
          <t>F</t>
        </is>
      </c>
    </row>
    <row r="27" ht="15" customHeight="1">
      <c r="A27" t="inlineStr">
        <is>
          <t>BGOW0046-TIPO-LAYOUT</t>
        </is>
      </c>
      <c r="B27" t="n">
        <v>165</v>
      </c>
      <c r="C27" t="n">
        <v>2</v>
      </c>
      <c r="D27" t="inlineStr">
        <is>
          <t>Espaços para o DOC-ID = '006' ; '011'</t>
        </is>
      </c>
      <c r="E27" t="inlineStr">
        <is>
          <t>Tipo layout CP's</t>
        </is>
      </c>
      <c r="F27" t="inlineStr">
        <is>
          <t>F</t>
        </is>
      </c>
    </row>
    <row r="28" ht="14" customHeight="1">
      <c r="A28" t="inlineStr">
        <is>
          <t>FILLER</t>
        </is>
      </c>
      <c r="B28" t="n">
        <v>167</v>
      </c>
      <c r="C28" t="n">
        <v>132</v>
      </c>
    </row>
    <row r="29" ht="14" customHeight="1"/>
    <row r="30" ht="14" customHeight="1">
      <c r="A30" t="inlineStr">
        <is>
          <t>DADOS-VARIAVEL(ENDEREÇAMENTO)</t>
        </is>
      </c>
      <c r="B30" t="n">
        <v>299</v>
      </c>
      <c r="C30" t="n">
        <v>0</v>
      </c>
    </row>
    <row r="31" ht="56" customHeight="1">
      <c r="A31" t="inlineStr">
        <is>
          <t>BGOW0046-TITULO-DOC1</t>
        </is>
      </c>
      <c r="B31" t="n">
        <v>299</v>
      </c>
      <c r="C31" t="n">
        <v>40</v>
      </c>
      <c r="D31" t="inlineStr">
        <is>
          <t>Espaços para o DOC-ID = '006' ; '011'</t>
        </is>
      </c>
      <c r="E31" t="inlineStr">
        <is>
          <t>Dados para 1ª linha de Título do Documento
Descritivos que não estão na parte fixa</t>
        </is>
      </c>
      <c r="F31" t="inlineStr">
        <is>
          <t>F</t>
        </is>
      </c>
    </row>
    <row r="32" ht="56" customHeight="1">
      <c r="A32" t="inlineStr">
        <is>
          <t>BGOW0046-TITULO-DOC2</t>
        </is>
      </c>
      <c r="B32" t="n">
        <v>339</v>
      </c>
      <c r="C32" t="n">
        <v>40</v>
      </c>
      <c r="D32" t="inlineStr">
        <is>
          <t xml:space="preserve">Espaços para o DOC-ID = '006' ; '011' </t>
        </is>
      </c>
      <c r="E32" t="inlineStr">
        <is>
          <t>Dados para 2ª linha de Título do Documento
Descritivos que não estão na parte fixa</t>
        </is>
      </c>
      <c r="F32" t="inlineStr">
        <is>
          <t>F</t>
        </is>
      </c>
    </row>
    <row r="33" ht="42" customHeight="1">
      <c r="A33" t="inlineStr">
        <is>
          <t>BGOW0046-NOME</t>
        </is>
      </c>
      <c r="B33" t="n">
        <v>379</v>
      </c>
      <c r="C33" t="n">
        <v>40</v>
      </c>
      <c r="E33" t="inlineStr">
        <is>
          <t>Nome do Destinatário</t>
        </is>
      </c>
      <c r="F33" t="inlineStr">
        <is>
          <t>O</t>
        </is>
      </c>
      <c r="G33" t="inlineStr">
        <is>
          <t>Programa de outputs cancela no caso do SO não enviar o campo preenchido</t>
        </is>
      </c>
    </row>
    <row r="34" ht="42" customHeight="1">
      <c r="A34" t="inlineStr">
        <is>
          <t>BGOW0046-MORADA1</t>
        </is>
      </c>
      <c r="B34" t="n">
        <v>419</v>
      </c>
      <c r="C34" t="n">
        <v>40</v>
      </c>
      <c r="E34" t="inlineStr">
        <is>
          <t>Dados para 1ª linha de Endereço</t>
        </is>
      </c>
      <c r="F34" t="inlineStr">
        <is>
          <t>O</t>
        </is>
      </c>
      <c r="G34" t="inlineStr">
        <is>
          <t>Programa de outputs cancela no caso do SO não enviar o campo preenchido</t>
        </is>
      </c>
    </row>
    <row r="35" ht="42" customHeight="1">
      <c r="A35" t="inlineStr">
        <is>
          <t>BGOW0046-MORADA2</t>
        </is>
      </c>
      <c r="B35" t="n">
        <v>459</v>
      </c>
      <c r="C35" t="n">
        <v>40</v>
      </c>
      <c r="E35" t="inlineStr">
        <is>
          <t>Dados para 2ª linha de Endereço</t>
        </is>
      </c>
      <c r="F35" t="inlineStr">
        <is>
          <t>O</t>
        </is>
      </c>
      <c r="G35" t="inlineStr">
        <is>
          <t>Programa de outputs cancela no caso do SO não enviar o campo preenchido</t>
        </is>
      </c>
    </row>
    <row r="36" ht="28" customHeight="1">
      <c r="A36" t="inlineStr">
        <is>
          <t>BGOW0046-MORADA3</t>
        </is>
      </c>
      <c r="B36" t="n">
        <v>499</v>
      </c>
      <c r="C36" t="n">
        <v>40</v>
      </c>
      <c r="E36" t="inlineStr">
        <is>
          <t>Dados para 3ª linha de Endereço</t>
        </is>
      </c>
      <c r="F36" t="inlineStr">
        <is>
          <t>O</t>
        </is>
      </c>
    </row>
    <row r="37" ht="28" customHeight="1">
      <c r="A37" t="inlineStr">
        <is>
          <t>BGOW0046-MORADA4</t>
        </is>
      </c>
      <c r="B37" t="n">
        <v>539</v>
      </c>
      <c r="C37" t="n">
        <v>40</v>
      </c>
      <c r="E37" t="inlineStr">
        <is>
          <t>Dados para 4ª linha de Endereço</t>
        </is>
      </c>
      <c r="F37" t="inlineStr">
        <is>
          <t>O</t>
        </is>
      </c>
    </row>
    <row r="38" ht="28" customHeight="1">
      <c r="A38" t="inlineStr">
        <is>
          <t>BGOW0046-IDP</t>
        </is>
      </c>
      <c r="B38" t="n">
        <v>579</v>
      </c>
      <c r="C38" t="n">
        <v>4</v>
      </c>
      <c r="E38" t="inlineStr">
        <is>
          <t>IDP - no caso de ausencia de valores formatar a zeros</t>
        </is>
      </c>
      <c r="F38" t="inlineStr">
        <is>
          <t>O</t>
        </is>
      </c>
    </row>
    <row r="39" ht="42" customHeight="1">
      <c r="A39" t="inlineStr">
        <is>
          <t>BGOW0046-REF-MORADA</t>
        </is>
      </c>
      <c r="B39" t="n">
        <v>583</v>
      </c>
      <c r="C39" t="n">
        <v>4</v>
      </c>
      <c r="E39" t="inlineStr">
        <is>
          <t>Referencia de morada</t>
        </is>
      </c>
      <c r="F39" t="inlineStr">
        <is>
          <t>O</t>
        </is>
      </c>
      <c r="G39" t="inlineStr">
        <is>
          <t>Programa de outputs cancela no caso do SO não enviar o campo preenchido</t>
        </is>
      </c>
    </row>
    <row r="40" ht="14" customHeight="1"/>
    <row r="41" ht="14" customHeight="1">
      <c r="A41" t="inlineStr">
        <is>
          <t>DADOS-VARIAVEL(Extrato integrado)</t>
        </is>
      </c>
      <c r="B41" t="n">
        <v>299</v>
      </c>
      <c r="C41" t="n">
        <v>0</v>
      </c>
    </row>
    <row r="42" ht="42" customHeight="1">
      <c r="A42" t="inlineStr">
        <is>
          <t>BGOW0046-PESSEG</t>
        </is>
      </c>
      <c r="B42" t="n">
        <v>299</v>
      </c>
      <c r="C42" t="n">
        <v>40</v>
      </c>
      <c r="D42" t="inlineStr">
        <is>
          <t>Campo obrigatório: Pessoa Segura ou tomador do seguro</t>
        </is>
      </c>
      <c r="F42" t="inlineStr">
        <is>
          <t>O</t>
        </is>
      </c>
      <c r="G42" t="inlineStr">
        <is>
          <t>Programa de outputs cancela no caso do SO não enviar o campo preenchido</t>
        </is>
      </c>
    </row>
    <row r="43" ht="42" customHeight="1">
      <c r="A43" t="inlineStr">
        <is>
          <t>BGOW0046-DT-EMISSAO</t>
        </is>
      </c>
      <c r="B43" t="n">
        <v>339</v>
      </c>
      <c r="C43" t="n">
        <v>10</v>
      </c>
      <c r="D43" t="inlineStr">
        <is>
          <t>Campo obrigatório</t>
        </is>
      </c>
      <c r="E43" t="inlineStr">
        <is>
          <t>Data de emissão</t>
        </is>
      </c>
      <c r="F43" t="inlineStr">
        <is>
          <t>O</t>
        </is>
      </c>
      <c r="G43" t="inlineStr">
        <is>
          <t>Programa de outputs cancela no caso do SO não enviar o campo preenchido</t>
        </is>
      </c>
    </row>
    <row r="44" ht="42" customHeight="1">
      <c r="A44" t="inlineStr">
        <is>
          <t>BGOW0046-NIF</t>
        </is>
      </c>
      <c r="B44" t="n">
        <v>349</v>
      </c>
      <c r="C44" t="n">
        <v>9</v>
      </c>
      <c r="D44" t="inlineStr">
        <is>
          <t>Campo obrigatório</t>
        </is>
      </c>
      <c r="E44" t="inlineStr">
        <is>
          <t>NIF</t>
        </is>
      </c>
      <c r="F44" t="inlineStr">
        <is>
          <t>O</t>
        </is>
      </c>
      <c r="G44" t="inlineStr">
        <is>
          <t>Programa de outputs cancela no caso do SO não enviar o campo preenchido</t>
        </is>
      </c>
    </row>
    <row r="45" ht="42" customHeight="1">
      <c r="A45" t="inlineStr">
        <is>
          <t>BGOW0046-DT-INF</t>
        </is>
      </c>
      <c r="B45" t="n">
        <v>358</v>
      </c>
      <c r="C45" t="n">
        <v>10</v>
      </c>
      <c r="D45" t="inlineStr">
        <is>
          <t>Campo obrigatório</t>
        </is>
      </c>
      <c r="E45" t="inlineStr">
        <is>
          <t>Data informacao</t>
        </is>
      </c>
      <c r="F45" t="inlineStr">
        <is>
          <t>O</t>
        </is>
      </c>
      <c r="G45" t="inlineStr">
        <is>
          <t>Programa de outputs cancela no caso do SO não enviar o campo preenchido</t>
        </is>
      </c>
    </row>
    <row r="46" ht="42" customHeight="1">
      <c r="A46" t="inlineStr">
        <is>
          <t>BGOW0046-PERIODO-INI</t>
        </is>
      </c>
      <c r="B46" t="n">
        <v>368</v>
      </c>
      <c r="C46" t="n">
        <v>10</v>
      </c>
      <c r="D46" t="inlineStr">
        <is>
          <t xml:space="preserve">Campo obrigatório </t>
        </is>
      </c>
      <c r="E46" t="inlineStr">
        <is>
          <t>data de inicio do periodo do extrato</t>
        </is>
      </c>
      <c r="F46" t="inlineStr">
        <is>
          <t>O</t>
        </is>
      </c>
      <c r="G46" t="inlineStr">
        <is>
          <t>Programa de outputs cancela no caso do SO não enviar o campo preenchido</t>
        </is>
      </c>
    </row>
    <row r="47" ht="42" customHeight="1">
      <c r="A47" t="inlineStr">
        <is>
          <t>BGOW0046-PERIODO-FIM</t>
        </is>
      </c>
      <c r="B47" t="n">
        <v>378</v>
      </c>
      <c r="C47" t="n">
        <v>10</v>
      </c>
      <c r="D47" t="inlineStr">
        <is>
          <t>campo obrigatório</t>
        </is>
      </c>
      <c r="E47" t="inlineStr">
        <is>
          <t>data de fim do periodo do extrato</t>
        </is>
      </c>
      <c r="F47" t="inlineStr">
        <is>
          <t>O</t>
        </is>
      </c>
      <c r="G47" t="inlineStr">
        <is>
          <t>Programa de outputs cancela no caso do SO não enviar o campo preenchido</t>
        </is>
      </c>
    </row>
    <row r="48" ht="42" customHeight="1">
      <c r="A48" t="inlineStr">
        <is>
          <t>BGOW0046-FREQUENC</t>
        </is>
      </c>
      <c r="B48" t="n">
        <v>388</v>
      </c>
      <c r="C48" t="n">
        <v>1</v>
      </c>
      <c r="D48" t="inlineStr">
        <is>
          <t>Campo Obrigatório - valores possiveis : M/T/S/A</t>
        </is>
      </c>
      <c r="E48" t="inlineStr">
        <is>
          <t xml:space="preserve">frequência: mensal/trimestral/semestral/anual - </t>
        </is>
      </c>
      <c r="F48" t="inlineStr">
        <is>
          <t>O</t>
        </is>
      </c>
    </row>
    <row r="49" ht="14" customHeight="1">
      <c r="A49" t="inlineStr">
        <is>
          <t>DADOS-VARIAVEL(DETALHE)</t>
        </is>
      </c>
      <c r="B49" t="n">
        <v>299</v>
      </c>
      <c r="C49" t="n">
        <v>0</v>
      </c>
    </row>
    <row r="50" ht="366.5" customHeight="1">
      <c r="A50" t="inlineStr">
        <is>
          <t>BGOW0046-TIPO-LINHA</t>
        </is>
      </c>
      <c r="B50" t="n">
        <v>299</v>
      </c>
      <c r="C50" t="n">
        <v>4</v>
      </c>
      <c r="D50" t="inlineStr">
        <is>
          <t>0001 - TL-SAUDACAO
0002 - TL-ESPACOS
0003 - TL-CORRENTE
F003 - TL-FINAL_CORRENTE
0004 - TL-RISCO
0005 - TL-TESOURA
0006 - TL-TRACEJADO
0007 - TL-TESOURA-COM-TR
0008 - TL-CUMPRIMENTOS
0009 - TL-LINHA-FIXA
0010 - TL-VERSO
0011 - TL-TITULO
0012 - TL-BLOCO-CG
0013 - TL-TES-TRAC-COMP
0014 - TL-TES-TRAC-MEDICIL
0015  - TL-RECSIN-CAIXA
0016 - TL-RECSIN-CBARRAS
0017 - TL-FIXA-BIN
0018 - TL-FRASE-REIMPR
0029 - TL-SALDO-INTEGRADO
0032 - TL-QUADRO1-LINH01
0034 - TL-QUADRO1-LINH02
0037 - TL-QUADRO2-LINH01
0039 - TL-QUADRO2-LINH01
0042 - TL-QUADRO3-LINH01
0045 - TL-QUADRO4-LINH01</t>
        </is>
      </c>
      <c r="E50" t="inlineStr">
        <is>
          <t xml:space="preserve">Código de identificação do Tipo de Linha
</t>
        </is>
      </c>
      <c r="F50" t="inlineStr">
        <is>
          <t>O</t>
        </is>
      </c>
      <c r="G50" t="inlineStr">
        <is>
          <t>Programa de outputs cancela no caso do SO enviar um valor diferente dos valores possiveis</t>
        </is>
      </c>
    </row>
    <row r="51" ht="105.75" customHeight="1">
      <c r="A51" t="inlineStr">
        <is>
          <t>BGOW0046-TIPO-PARAGRAFO</t>
        </is>
      </c>
      <c r="B51" t="n">
        <v>303</v>
      </c>
      <c r="C51" t="n">
        <v>4</v>
      </c>
      <c r="D51" t="inlineStr">
        <is>
          <t xml:space="preserve">0001 - TP-NORMAL
0002 - TP-INDENT-NORMAL
0003 - TP-BOLD
0004 - TP-INDENT-BOLD
0005 - TP-NORM-PEQ
0006 - TP-BOLD-PEQ
0007 - TP-FIXA-PEQ
</t>
        </is>
      </c>
      <c r="E51" t="inlineStr">
        <is>
          <t xml:space="preserve">Código de identificação do Tipo de Parágrafo 
</t>
        </is>
      </c>
      <c r="F51" t="inlineStr">
        <is>
          <t>O</t>
        </is>
      </c>
      <c r="G51" t="inlineStr">
        <is>
          <t>Programa de outputs cancela no caso do SO enviar um valor diferente dos valores possiveis</t>
        </is>
      </c>
    </row>
    <row r="52" ht="54" customHeight="1">
      <c r="A52" t="inlineStr">
        <is>
          <t>BGOW0046-LINHA-GIS</t>
        </is>
      </c>
      <c r="B52" t="n">
        <v>307</v>
      </c>
      <c r="C52" t="n">
        <v>0</v>
      </c>
      <c r="E52" t="inlineStr">
        <is>
          <t>Dados de detalhe para Linha, de acordo com o Tipo de Linha - COMP.TOTAL=1000</t>
        </is>
      </c>
    </row>
    <row r="53" ht="28" customHeight="1">
      <c r="A53" t="inlineStr">
        <is>
          <t>BGOW0046-LINHA1-GIS</t>
        </is>
      </c>
      <c r="B53" t="n">
        <v>307</v>
      </c>
      <c r="C53" t="n">
        <v>294</v>
      </c>
      <c r="E53" t="inlineStr">
        <is>
          <t>Para os tipos de linha 0003;F003;0009</t>
        </is>
      </c>
      <c r="F53" t="inlineStr">
        <is>
          <t>F</t>
        </is>
      </c>
    </row>
    <row r="54" ht="28" customHeight="1">
      <c r="A54" t="inlineStr">
        <is>
          <t>BGOW0046-LINHA2-GIS</t>
        </is>
      </c>
      <c r="B54" t="n">
        <v>307</v>
      </c>
      <c r="C54" t="n">
        <v>294</v>
      </c>
      <c r="E54" t="inlineStr">
        <is>
          <t>Para os tipos de linha 0003;F003;0009</t>
        </is>
      </c>
      <c r="F54" t="inlineStr">
        <is>
          <t>F</t>
        </is>
      </c>
    </row>
    <row r="55" ht="28" customHeight="1">
      <c r="A55" t="inlineStr">
        <is>
          <t>BGOW0046-LINHA3-GIS</t>
        </is>
      </c>
      <c r="B55" t="n">
        <v>307</v>
      </c>
      <c r="C55" t="n">
        <v>294</v>
      </c>
      <c r="E55" t="inlineStr">
        <is>
          <t>Para os tipos de linha 0003;F003;0009</t>
        </is>
      </c>
      <c r="F55" t="inlineStr">
        <is>
          <t>F</t>
        </is>
      </c>
    </row>
    <row r="56" ht="28" customHeight="1">
      <c r="A56" t="inlineStr">
        <is>
          <t>BGOW0046-LINHA4-GIS</t>
        </is>
      </c>
      <c r="B56" t="n">
        <v>307</v>
      </c>
      <c r="C56" t="n">
        <v>118</v>
      </c>
      <c r="E56" t="inlineStr">
        <is>
          <t>Para os tipos de linha 0003;F003;0009</t>
        </is>
      </c>
      <c r="F56" t="inlineStr">
        <is>
          <t>F</t>
        </is>
      </c>
    </row>
    <row r="57" ht="15" customHeight="1">
      <c r="A57" t="inlineStr">
        <is>
          <t>BGOW0046-0029</t>
        </is>
      </c>
      <c r="B57" t="n">
        <v>307</v>
      </c>
      <c r="C57" t="n">
        <v>0</v>
      </c>
      <c r="D57" t="inlineStr">
        <is>
          <t>Quadro inicial - Saldo integrado</t>
        </is>
      </c>
      <c r="E57" t="inlineStr">
        <is>
          <t>Para o tipo de linha 0029</t>
        </is>
      </c>
    </row>
    <row r="58" ht="42" customHeight="1">
      <c r="A58" t="inlineStr">
        <is>
          <t>BGOW0046-SI-DT-POSICAO</t>
        </is>
      </c>
      <c r="B58" t="n">
        <v>307</v>
      </c>
      <c r="C58" t="n">
        <v>10</v>
      </c>
      <c r="D58" t="inlineStr">
        <is>
          <t>Data Posição preenchida com dd/mm/aaaa</t>
        </is>
      </c>
      <c r="E58" t="inlineStr">
        <is>
          <t>Para o tipo de linha 0029</t>
        </is>
      </c>
      <c r="F58" t="inlineStr">
        <is>
          <t>O</t>
        </is>
      </c>
      <c r="G58" t="inlineStr">
        <is>
          <t>Programa de outputs cancela no caso do SO não enviar o campo preenchido</t>
        </is>
      </c>
    </row>
    <row r="59" ht="15" customHeight="1">
      <c r="A59" t="inlineStr">
        <is>
          <t>BGOW0046-SI-SALDO</t>
        </is>
      </c>
      <c r="B59" t="n">
        <v>317</v>
      </c>
      <c r="C59" t="n">
        <v>16</v>
      </c>
      <c r="D59" t="inlineStr">
        <is>
          <t>Valor preenchido da direita p/esquerda 9.999,99</t>
        </is>
      </c>
      <c r="E59" t="inlineStr">
        <is>
          <t>Para o tipo de linha 0029</t>
        </is>
      </c>
      <c r="F59" t="inlineStr">
        <is>
          <t>O</t>
        </is>
      </c>
    </row>
    <row r="60" ht="14" customHeight="1">
      <c r="A60" t="inlineStr">
        <is>
          <t>FILLER</t>
        </is>
      </c>
      <c r="B60" t="n">
        <v>333</v>
      </c>
      <c r="C60" t="n">
        <v>268</v>
      </c>
      <c r="E60" t="inlineStr">
        <is>
          <t xml:space="preserve"> </t>
        </is>
      </c>
      <c r="F60" t="inlineStr">
        <is>
          <t xml:space="preserve"> </t>
        </is>
      </c>
    </row>
    <row r="61" ht="15" customHeight="1">
      <c r="A61" t="inlineStr">
        <is>
          <t>BGOW0046-0032</t>
        </is>
      </c>
      <c r="B61" t="n">
        <v>307</v>
      </c>
      <c r="C61" t="n">
        <v>0</v>
      </c>
      <c r="D61" t="inlineStr">
        <is>
          <t xml:space="preserve">QUADRO1-LINH01 - Carteira seguros capitalização e PPR </t>
        </is>
      </c>
      <c r="E61" t="inlineStr">
        <is>
          <t>Para o tipo de linha 0032</t>
        </is>
      </c>
      <c r="F61" t="inlineStr">
        <is>
          <t xml:space="preserve"> </t>
        </is>
      </c>
    </row>
    <row r="62" ht="14" customHeight="1">
      <c r="A62" t="inlineStr">
        <is>
          <t>BGOW0046-Q1-PRODUTO</t>
        </is>
      </c>
      <c r="B62" t="n">
        <v>307</v>
      </c>
      <c r="C62" t="n">
        <v>30</v>
      </c>
      <c r="E62" t="inlineStr">
        <is>
          <t>Para o tipo de linha 0032</t>
        </is>
      </c>
      <c r="F62" t="inlineStr">
        <is>
          <t>O</t>
        </is>
      </c>
    </row>
    <row r="63" ht="15" customHeight="1">
      <c r="A63" t="inlineStr">
        <is>
          <t>BGOW0046-Q1-APOL-ADESAO</t>
        </is>
      </c>
      <c r="B63" t="n">
        <v>337</v>
      </c>
      <c r="C63" t="n">
        <v>20</v>
      </c>
      <c r="D63" t="inlineStr">
        <is>
          <t>Ramo(2)/Apolice(8)/Aderente(8)</t>
        </is>
      </c>
      <c r="E63" t="inlineStr">
        <is>
          <t>Para o tipo de linha 0032</t>
        </is>
      </c>
      <c r="F63" t="inlineStr">
        <is>
          <t>O</t>
        </is>
      </c>
    </row>
    <row r="64" ht="15" customHeight="1">
      <c r="A64" t="inlineStr">
        <is>
          <t>BGOW0046-Q1-DT-INICIO</t>
        </is>
      </c>
      <c r="B64" t="n">
        <v>357</v>
      </c>
      <c r="C64" t="n">
        <v>10</v>
      </c>
      <c r="D64" t="inlineStr">
        <is>
          <t>dd/mm/aaaa</t>
        </is>
      </c>
      <c r="E64" t="inlineStr">
        <is>
          <t>Para o tipo de linha 0032</t>
        </is>
      </c>
      <c r="F64" t="inlineStr">
        <is>
          <t>O</t>
        </is>
      </c>
    </row>
    <row r="65" ht="15" customHeight="1">
      <c r="A65" t="inlineStr">
        <is>
          <t>BGOW0046-Q1-DT-TERMO</t>
        </is>
      </c>
      <c r="B65" t="n">
        <v>367</v>
      </c>
      <c r="C65" t="n">
        <v>10</v>
      </c>
      <c r="D65" t="inlineStr">
        <is>
          <t>dd/mm/aaaa</t>
        </is>
      </c>
      <c r="E65" t="inlineStr">
        <is>
          <t>Para o tipo de linha 0032</t>
        </is>
      </c>
    </row>
    <row r="66" ht="15" customHeight="1">
      <c r="A66" t="inlineStr">
        <is>
          <t>BGOW0046-Q1-SALDO-AP</t>
        </is>
      </c>
      <c r="B66" t="n">
        <v>377</v>
      </c>
      <c r="C66" t="n">
        <v>16</v>
      </c>
      <c r="D66" t="inlineStr">
        <is>
          <t>valor apresentado da direita p/esquerda 9.999,99</t>
        </is>
      </c>
      <c r="E66" t="inlineStr">
        <is>
          <t>Para o tipo de linha 0032</t>
        </is>
      </c>
      <c r="F66" t="inlineStr">
        <is>
          <t>O</t>
        </is>
      </c>
    </row>
    <row r="67" ht="14" customHeight="1">
      <c r="A67" t="inlineStr">
        <is>
          <t>FILLER</t>
        </is>
      </c>
      <c r="B67" t="n">
        <v>393</v>
      </c>
      <c r="C67" t="n">
        <v>208</v>
      </c>
      <c r="E67" t="inlineStr">
        <is>
          <t xml:space="preserve"> </t>
        </is>
      </c>
      <c r="F67" t="inlineStr">
        <is>
          <t xml:space="preserve"> </t>
        </is>
      </c>
    </row>
    <row r="68" ht="15" customHeight="1">
      <c r="A68" t="inlineStr">
        <is>
          <t>BGOW0046-0034</t>
        </is>
      </c>
      <c r="B68" t="n">
        <v>307</v>
      </c>
      <c r="C68" t="n">
        <v>0</v>
      </c>
      <c r="D68" t="inlineStr">
        <is>
          <t xml:space="preserve">QUADRO1-LINH02 - Carteira seguros capitalização e PPR </t>
        </is>
      </c>
      <c r="E68" t="inlineStr">
        <is>
          <t>Para o tipo de linha 0034</t>
        </is>
      </c>
      <c r="F68" t="inlineStr">
        <is>
          <t xml:space="preserve"> </t>
        </is>
      </c>
    </row>
    <row r="69" ht="14" customHeight="1">
      <c r="A69" t="inlineStr">
        <is>
          <t>BGOW0046-Q1-OPCAO-INVEST</t>
        </is>
      </c>
      <c r="B69" t="n">
        <v>307</v>
      </c>
      <c r="C69" t="n">
        <v>30</v>
      </c>
      <c r="E69" t="inlineStr">
        <is>
          <t>Para o tipo de linha 0034</t>
        </is>
      </c>
      <c r="F69" t="inlineStr">
        <is>
          <t>O</t>
        </is>
      </c>
    </row>
    <row r="70" ht="15" customHeight="1">
      <c r="A70" t="inlineStr">
        <is>
          <t>BGOW0046-Q1-NUNI-UC-UR</t>
        </is>
      </c>
      <c r="B70" t="n">
        <v>337</v>
      </c>
      <c r="C70" t="n">
        <v>22</v>
      </c>
      <c r="D70" t="inlineStr">
        <is>
          <t>valor apresentado da direita p/esquerda 9.999,99999</t>
        </is>
      </c>
      <c r="E70" t="inlineStr">
        <is>
          <t>Para o tipo de linha 0034</t>
        </is>
      </c>
      <c r="F70" t="inlineStr">
        <is>
          <t>O</t>
        </is>
      </c>
    </row>
    <row r="71" ht="15" customHeight="1">
      <c r="A71" t="inlineStr">
        <is>
          <t>BGOW0046-Q1-COTACAO-UC-UR</t>
        </is>
      </c>
      <c r="B71" t="n">
        <v>359</v>
      </c>
      <c r="C71" t="n">
        <v>22</v>
      </c>
      <c r="D71" t="inlineStr">
        <is>
          <t>valor apresentado da direita p/esquerda 9.999,99999</t>
        </is>
      </c>
      <c r="E71" t="inlineStr">
        <is>
          <t>Para o tipo de linha 0034</t>
        </is>
      </c>
      <c r="F71" t="inlineStr">
        <is>
          <t>O</t>
        </is>
      </c>
    </row>
    <row r="72" ht="15" customHeight="1">
      <c r="A72" t="inlineStr">
        <is>
          <t>BGOW0046-Q1-SALDO-OI</t>
        </is>
      </c>
      <c r="B72" t="n">
        <v>381</v>
      </c>
      <c r="C72" t="n">
        <v>16</v>
      </c>
      <c r="D72" t="inlineStr">
        <is>
          <t>valor apresentado da direita p/esquerda 9.999,99</t>
        </is>
      </c>
      <c r="E72" t="inlineStr">
        <is>
          <t>Para o tipo de linha 0034</t>
        </is>
      </c>
      <c r="F72" t="inlineStr">
        <is>
          <t>O</t>
        </is>
      </c>
    </row>
    <row r="73" ht="14" customHeight="1">
      <c r="A73" t="inlineStr">
        <is>
          <t>FILLER</t>
        </is>
      </c>
      <c r="B73" t="n">
        <v>397</v>
      </c>
      <c r="C73" t="n">
        <v>204</v>
      </c>
      <c r="E73" t="inlineStr">
        <is>
          <t xml:space="preserve"> </t>
        </is>
      </c>
      <c r="F73" t="inlineStr">
        <is>
          <t xml:space="preserve"> </t>
        </is>
      </c>
    </row>
    <row r="74" ht="30" customHeight="1">
      <c r="A74" t="inlineStr">
        <is>
          <t>BGOW0046-0037</t>
        </is>
      </c>
      <c r="B74" t="n">
        <v>307</v>
      </c>
      <c r="C74" t="n">
        <v>0</v>
      </c>
      <c r="D74" t="inlineStr">
        <is>
          <t>Quadro2-LINH01 - Movimentos efetuados no período de dd/mm/aaaa à dd/mm/aaaa</t>
        </is>
      </c>
      <c r="E74" t="inlineStr">
        <is>
          <t>Para o tipo de linha 0037</t>
        </is>
      </c>
      <c r="F74" t="inlineStr">
        <is>
          <t>F</t>
        </is>
      </c>
    </row>
    <row r="75" ht="14" customHeight="1">
      <c r="A75" t="inlineStr">
        <is>
          <t>BGOW0046-Q2- PRODUTO</t>
        </is>
      </c>
      <c r="B75" t="n">
        <v>307</v>
      </c>
      <c r="C75" t="n">
        <v>30</v>
      </c>
      <c r="E75" t="inlineStr">
        <is>
          <t>Para o tipo de linha 0037</t>
        </is>
      </c>
      <c r="F75" t="inlineStr">
        <is>
          <t>F</t>
        </is>
      </c>
    </row>
    <row r="76" ht="15" customHeight="1">
      <c r="A76" t="inlineStr">
        <is>
          <t>BGOW0046-Q2-APOL-ADESAO</t>
        </is>
      </c>
      <c r="B76" t="n">
        <v>337</v>
      </c>
      <c r="C76" t="n">
        <v>20</v>
      </c>
      <c r="D76" t="inlineStr">
        <is>
          <t>Ramo(2)/Apolice(8)/Aderente(8)</t>
        </is>
      </c>
      <c r="E76" t="inlineStr">
        <is>
          <t>Para o tipo de linha 0037</t>
        </is>
      </c>
      <c r="F76" t="inlineStr">
        <is>
          <t>F</t>
        </is>
      </c>
    </row>
    <row r="77" ht="14" customHeight="1">
      <c r="A77" t="inlineStr">
        <is>
          <t>FILLER</t>
        </is>
      </c>
      <c r="B77" t="n">
        <v>357</v>
      </c>
      <c r="C77" t="n">
        <v>244</v>
      </c>
      <c r="E77" t="inlineStr">
        <is>
          <t xml:space="preserve"> </t>
        </is>
      </c>
    </row>
    <row r="78" ht="30" customHeight="1">
      <c r="A78" t="inlineStr">
        <is>
          <t>BGOW0046-0039</t>
        </is>
      </c>
      <c r="B78" t="n">
        <v>307</v>
      </c>
      <c r="C78" t="n">
        <v>0</v>
      </c>
      <c r="D78" t="inlineStr">
        <is>
          <t>Quadro2-LINH02 - Movimentos efetuados no período de dd/mm/aaaa à dd/mm/aaaa</t>
        </is>
      </c>
      <c r="E78" t="inlineStr">
        <is>
          <t>Para o tipo de linha 0037</t>
        </is>
      </c>
      <c r="F78" t="inlineStr">
        <is>
          <t>F</t>
        </is>
      </c>
    </row>
    <row r="79" ht="15" customHeight="1">
      <c r="A79" t="inlineStr">
        <is>
          <t>BGOW0046-Q2-DT</t>
        </is>
      </c>
      <c r="B79" t="n">
        <v>307</v>
      </c>
      <c r="C79" t="n">
        <v>10</v>
      </c>
      <c r="D79" t="inlineStr">
        <is>
          <t>dd/mm/aaaa</t>
        </is>
      </c>
      <c r="E79" t="inlineStr">
        <is>
          <t>Para o tipo de linha 0037</t>
        </is>
      </c>
      <c r="F79" t="inlineStr">
        <is>
          <t>F</t>
        </is>
      </c>
    </row>
    <row r="80" ht="14" customHeight="1">
      <c r="A80" t="inlineStr">
        <is>
          <t>BGOW0046-Q2-MOVIMENTOS</t>
        </is>
      </c>
      <c r="B80" t="n">
        <v>317</v>
      </c>
      <c r="C80" t="n">
        <v>30</v>
      </c>
      <c r="E80" t="inlineStr">
        <is>
          <t>Para o tipo de linha 0037</t>
        </is>
      </c>
      <c r="F80" t="inlineStr">
        <is>
          <t>F</t>
        </is>
      </c>
    </row>
    <row r="81" ht="14" customHeight="1">
      <c r="A81" t="inlineStr">
        <is>
          <t>BGOW0046-Q2-OPCAO-INVEST</t>
        </is>
      </c>
      <c r="B81" t="n">
        <v>347</v>
      </c>
      <c r="C81" t="n">
        <v>30</v>
      </c>
      <c r="E81" t="inlineStr">
        <is>
          <t>Para o tipo de linha 0037</t>
        </is>
      </c>
      <c r="F81" t="inlineStr">
        <is>
          <t>F</t>
        </is>
      </c>
    </row>
    <row r="82" ht="15" customHeight="1">
      <c r="A82" t="inlineStr">
        <is>
          <t>BGOW0046-Q2-ENCAR-COMIS</t>
        </is>
      </c>
      <c r="B82" t="n">
        <v>377</v>
      </c>
      <c r="C82" t="n">
        <v>13</v>
      </c>
      <c r="D82" t="inlineStr">
        <is>
          <t>valor apresentado da direita p/esquerda 9.999,99</t>
        </is>
      </c>
      <c r="E82" t="inlineStr">
        <is>
          <t>Para o tipo de linha 0037</t>
        </is>
      </c>
      <c r="F82" t="inlineStr">
        <is>
          <t>F</t>
        </is>
      </c>
    </row>
    <row r="83" ht="15" customHeight="1">
      <c r="A83" t="inlineStr">
        <is>
          <t>BGOW0046-Q2-VALOR-BRUTO</t>
        </is>
      </c>
      <c r="B83" t="n">
        <v>390</v>
      </c>
      <c r="C83" t="n">
        <v>16</v>
      </c>
      <c r="D83" t="inlineStr">
        <is>
          <t>valor apresentado da direita p/esquerda 9.999,99</t>
        </is>
      </c>
      <c r="E83" t="inlineStr">
        <is>
          <t>Para o tipo de linha 0037</t>
        </is>
      </c>
      <c r="F83" t="inlineStr">
        <is>
          <t>F</t>
        </is>
      </c>
    </row>
    <row r="84" ht="15" customHeight="1">
      <c r="A84" t="inlineStr">
        <is>
          <t>BGOW0046-Q2-RENDIMENTO</t>
        </is>
      </c>
      <c r="B84" t="n">
        <v>406</v>
      </c>
      <c r="C84" t="n">
        <v>13</v>
      </c>
      <c r="D84" t="inlineStr">
        <is>
          <t>valor apresentado da direita p/esquerda 9.999,99</t>
        </is>
      </c>
      <c r="E84" t="inlineStr">
        <is>
          <t>Para o tipo de linha 0037</t>
        </is>
      </c>
      <c r="F84" t="inlineStr">
        <is>
          <t>F</t>
        </is>
      </c>
    </row>
    <row r="85" ht="15" customHeight="1">
      <c r="A85" t="inlineStr">
        <is>
          <t>BGOW0046-Q2-IMPOSTO</t>
        </is>
      </c>
      <c r="B85" t="n">
        <v>419</v>
      </c>
      <c r="C85" t="n">
        <v>13</v>
      </c>
      <c r="D85" t="inlineStr">
        <is>
          <t>valor apresentado da direita p/esquerda 9.999,99</t>
        </is>
      </c>
      <c r="E85" t="inlineStr">
        <is>
          <t>Para o tipo de linha 0037</t>
        </is>
      </c>
    </row>
    <row r="86" ht="15" customHeight="1">
      <c r="A86" t="inlineStr">
        <is>
          <t>BGOW0046-Q2-VALOR-LIQ</t>
        </is>
      </c>
      <c r="B86" t="n">
        <v>432</v>
      </c>
      <c r="C86" t="n">
        <v>16</v>
      </c>
      <c r="D86" t="inlineStr">
        <is>
          <t>valor apresentado da direita p/esquerda 9.999,99</t>
        </is>
      </c>
      <c r="E86" t="inlineStr">
        <is>
          <t>Para o tipo de linha 0037</t>
        </is>
      </c>
      <c r="F86" t="inlineStr">
        <is>
          <t>F</t>
        </is>
      </c>
    </row>
    <row r="87" ht="14" customHeight="1">
      <c r="A87" t="inlineStr">
        <is>
          <t>FILLER</t>
        </is>
      </c>
      <c r="B87" t="n">
        <v>448</v>
      </c>
      <c r="C87" t="n">
        <v>153</v>
      </c>
      <c r="E87" t="inlineStr">
        <is>
          <t xml:space="preserve"> </t>
        </is>
      </c>
    </row>
    <row r="88" ht="15" customHeight="1">
      <c r="A88" t="inlineStr">
        <is>
          <t>BGOW0046-0042</t>
        </is>
      </c>
      <c r="B88" t="n">
        <v>307</v>
      </c>
      <c r="C88" t="n">
        <v>0</v>
      </c>
      <c r="D88" t="inlineStr">
        <is>
          <t>Quadro 3 - Informação sobre taxas de rendimento garantido</t>
        </is>
      </c>
      <c r="E88" t="inlineStr">
        <is>
          <t>Para o tipo de linha 0042</t>
        </is>
      </c>
      <c r="F88" t="inlineStr">
        <is>
          <t>F</t>
        </is>
      </c>
    </row>
    <row r="89" ht="14" customHeight="1">
      <c r="A89" t="inlineStr">
        <is>
          <t>BGOW0046-Q3-PRODUTO</t>
        </is>
      </c>
      <c r="B89" t="n">
        <v>307</v>
      </c>
      <c r="C89" t="n">
        <v>30</v>
      </c>
      <c r="E89" t="inlineStr">
        <is>
          <t>Para o tipo de linha 0042</t>
        </is>
      </c>
      <c r="F89" t="inlineStr">
        <is>
          <t>F</t>
        </is>
      </c>
    </row>
    <row r="90" ht="15" customHeight="1">
      <c r="A90" t="inlineStr">
        <is>
          <t>BGOW0046-Q3-APOL-ADESAO</t>
        </is>
      </c>
      <c r="B90" t="n">
        <v>337</v>
      </c>
      <c r="C90" t="n">
        <v>20</v>
      </c>
      <c r="D90" t="inlineStr">
        <is>
          <t>Ramo(2)/Apolice(8)/Aderente(8)</t>
        </is>
      </c>
      <c r="E90" t="inlineStr">
        <is>
          <t>Para o tipo de linha 0042</t>
        </is>
      </c>
      <c r="F90" t="inlineStr">
        <is>
          <t>F</t>
        </is>
      </c>
    </row>
    <row r="91" ht="14" customHeight="1">
      <c r="A91" t="inlineStr">
        <is>
          <t>BGOW0046-Q3-OPCAO-INVEST</t>
        </is>
      </c>
      <c r="B91" t="n">
        <v>357</v>
      </c>
      <c r="C91" t="n">
        <v>30</v>
      </c>
      <c r="E91" t="inlineStr">
        <is>
          <t>Para o tipo de linha 0042</t>
        </is>
      </c>
      <c r="F91" t="inlineStr">
        <is>
          <t>F</t>
        </is>
      </c>
    </row>
    <row r="92" ht="14" customHeight="1">
      <c r="A92" t="inlineStr">
        <is>
          <t>BGOW0046-Q3-PERIODICADE</t>
        </is>
      </c>
      <c r="B92" t="n">
        <v>387</v>
      </c>
      <c r="C92" t="n">
        <v>10</v>
      </c>
      <c r="E92" t="inlineStr">
        <is>
          <t>Para o tipo de linha 0042</t>
        </is>
      </c>
      <c r="F92" t="inlineStr">
        <is>
          <t>F</t>
        </is>
      </c>
    </row>
    <row r="93" ht="15" customHeight="1">
      <c r="A93" t="inlineStr">
        <is>
          <t>BGOW0046-Q3-TAXA</t>
        </is>
      </c>
      <c r="B93" t="n">
        <v>397</v>
      </c>
      <c r="C93" t="n">
        <v>6</v>
      </c>
      <c r="D93" t="inlineStr">
        <is>
          <t>valor apresentado da direita p/esquerda 9.999,999</t>
        </is>
      </c>
      <c r="E93" t="inlineStr">
        <is>
          <t>Para o tipo de linha 0042</t>
        </is>
      </c>
      <c r="F93" t="inlineStr">
        <is>
          <t>F</t>
        </is>
      </c>
    </row>
    <row r="94" ht="14" customHeight="1">
      <c r="A94" t="inlineStr">
        <is>
          <t>FILLER</t>
        </is>
      </c>
      <c r="B94" t="n">
        <v>403</v>
      </c>
      <c r="C94" t="n">
        <v>198</v>
      </c>
      <c r="E94" t="inlineStr">
        <is>
          <t xml:space="preserve"> </t>
        </is>
      </c>
    </row>
    <row r="95" ht="30" customHeight="1">
      <c r="A95" t="inlineStr">
        <is>
          <t>BGOW0046-0045</t>
        </is>
      </c>
      <c r="B95" t="n">
        <v>307</v>
      </c>
      <c r="C95" t="n">
        <v>0</v>
      </c>
      <c r="D95" t="inlineStr">
        <is>
          <t>Quadro 4 - Informações sobre taxas anuais de participação nos resultados referentes ao ano civil anterior</t>
        </is>
      </c>
      <c r="E95" t="inlineStr">
        <is>
          <t>Para o tipo de linha 0045</t>
        </is>
      </c>
      <c r="F95" t="inlineStr">
        <is>
          <t>F</t>
        </is>
      </c>
    </row>
    <row r="96" ht="14" customHeight="1">
      <c r="A96" t="inlineStr">
        <is>
          <t>BGOW0046-Q4-PRODUTO</t>
        </is>
      </c>
      <c r="B96" t="n">
        <v>307</v>
      </c>
      <c r="C96" t="n">
        <v>30</v>
      </c>
      <c r="E96" t="inlineStr">
        <is>
          <t>Para o tipo de linha 0045</t>
        </is>
      </c>
      <c r="F96" t="inlineStr">
        <is>
          <t>F</t>
        </is>
      </c>
    </row>
    <row r="97" ht="14" customHeight="1">
      <c r="A97" t="inlineStr">
        <is>
          <t>BGOW0046-Q4-OPCAO-INVEST</t>
        </is>
      </c>
      <c r="B97" t="n">
        <v>337</v>
      </c>
      <c r="C97" t="n">
        <v>30</v>
      </c>
      <c r="E97" t="inlineStr">
        <is>
          <t>Para o tipo de linha 0045</t>
        </is>
      </c>
      <c r="F97" t="inlineStr">
        <is>
          <t>F</t>
        </is>
      </c>
    </row>
    <row r="98" ht="14" customHeight="1">
      <c r="A98" t="inlineStr">
        <is>
          <t>BGOW0046-Q4-DESCRITIVO</t>
        </is>
      </c>
      <c r="B98" t="n">
        <v>367</v>
      </c>
      <c r="C98" t="n">
        <v>30</v>
      </c>
      <c r="E98" t="inlineStr">
        <is>
          <t>Para o tipo de linha 0045</t>
        </is>
      </c>
      <c r="F98" t="inlineStr">
        <is>
          <t>F</t>
        </is>
      </c>
    </row>
    <row r="99" ht="15" customHeight="1">
      <c r="A99" t="inlineStr">
        <is>
          <t>BGOW0046-Q4-TAXA</t>
        </is>
      </c>
      <c r="B99" t="n">
        <v>397</v>
      </c>
      <c r="C99" t="n">
        <v>6</v>
      </c>
      <c r="D99" t="inlineStr">
        <is>
          <t>valor apresentado da direita p/esquerda 9.999,999</t>
        </is>
      </c>
      <c r="E99" t="inlineStr">
        <is>
          <t>Para o tipo de linha 0045</t>
        </is>
      </c>
      <c r="F99" t="inlineStr">
        <is>
          <t>F</t>
        </is>
      </c>
    </row>
    <row r="100" ht="14" customHeight="1">
      <c r="A100" t="inlineStr">
        <is>
          <t>FILLER</t>
        </is>
      </c>
      <c r="B100" t="n">
        <v>403</v>
      </c>
      <c r="C100" t="n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110.140625" customWidth="1" min="1" max="1"/>
    <col width="5.7109375" customWidth="1" min="2" max="2"/>
    <col width="88" customWidth="1" min="3" max="3"/>
    <col width="7.7109375" customWidth="1" min="4" max="4"/>
    <col width="9.140625" customWidth="1" min="5" max="5"/>
    <col width="12.28515625" customWidth="1" min="6" max="6"/>
  </cols>
  <sheetData>
    <row r="1" ht="15.75" customHeight="1">
      <c r="A1" s="1" t="inlineStr">
        <is>
          <t>Copybook</t>
        </is>
      </c>
      <c r="B1" s="2" t="inlineStr">
        <is>
          <t>Novo</t>
        </is>
      </c>
      <c r="C1" s="2" t="inlineStr">
        <is>
          <t>Descrição / Valores Possiveis / [Formato]</t>
        </is>
      </c>
      <c r="D1" s="3" t="inlineStr">
        <is>
          <t>Posição</t>
        </is>
      </c>
      <c r="E1" s="3" t="inlineStr">
        <is>
          <t>Tamanho</t>
        </is>
      </c>
      <c r="F1" s="4" t="inlineStr">
        <is>
          <t>Observações</t>
        </is>
      </c>
    </row>
    <row r="2">
      <c r="A2" s="5" t="inlineStr">
        <is>
          <t>05  :PREFIX:-DADOS-REGISTO.</t>
        </is>
      </c>
      <c r="B2" s="6" t="n"/>
      <c r="C2" s="7" t="n"/>
      <c r="D2" s="8" t="n">
        <v>1</v>
      </c>
      <c r="E2" s="8" t="n">
        <v>0</v>
      </c>
      <c r="F2" s="9" t="n"/>
    </row>
    <row r="3">
      <c r="A3" s="10" t="inlineStr">
        <is>
          <t xml:space="preserve">    07  :PREFIX:-COD-DOCUMENTO            PIC X(04).</t>
        </is>
      </c>
      <c r="B3" s="11" t="n"/>
      <c r="C3" s="12" t="inlineStr">
        <is>
          <t>Código de documento</t>
        </is>
      </c>
      <c r="D3" s="13">
        <f>D2+E2</f>
        <v/>
      </c>
      <c r="E3" s="13" t="n">
        <v>4</v>
      </c>
      <c r="F3" s="14" t="inlineStr">
        <is>
          <t>Obrigatório</t>
        </is>
      </c>
    </row>
    <row r="4">
      <c r="A4" s="10" t="inlineStr">
        <is>
          <t xml:space="preserve">        88  :PREFIX:-DOC-EXTRATO                    VALUE 'EXCE'.</t>
        </is>
      </c>
      <c r="B4" s="11" t="n"/>
      <c r="C4" s="12" t="inlineStr">
        <is>
          <t xml:space="preserve">     'EXCE' - Extrato Mensal Conta Efetivo</t>
        </is>
      </c>
      <c r="D4" s="13" t="n"/>
      <c r="E4" s="13" t="n"/>
      <c r="F4" s="15" t="n"/>
    </row>
    <row r="5">
      <c r="A5" s="10" t="inlineStr">
        <is>
          <t xml:space="preserve">    07  :PREFIX:-TIPO-REGISTO             PIC X(01).</t>
        </is>
      </c>
      <c r="B5" s="11" t="n"/>
      <c r="C5" s="16" t="inlineStr">
        <is>
          <t>Tipo de registo</t>
        </is>
      </c>
      <c r="D5" s="13">
        <f>D3+E3</f>
        <v/>
      </c>
      <c r="E5" s="16" t="n">
        <v>1</v>
      </c>
      <c r="F5" s="17" t="inlineStr">
        <is>
          <t>Obrigatório</t>
        </is>
      </c>
    </row>
    <row r="6">
      <c r="A6" s="10" t="inlineStr">
        <is>
          <t xml:space="preserve">        88  :PREFIX:-REG-TIPO1                      VALUE '1'.</t>
        </is>
      </c>
      <c r="B6" s="11" t="n"/>
      <c r="C6" s="16" t="inlineStr">
        <is>
          <t xml:space="preserve">     '1' - Dados do documento</t>
        </is>
      </c>
      <c r="D6" s="13" t="n"/>
      <c r="E6" s="16" t="n"/>
      <c r="F6" s="15" t="n"/>
    </row>
    <row r="7">
      <c r="A7" s="10" t="inlineStr">
        <is>
          <t xml:space="preserve">        88  :PREFIX:-REG-TIPO2                      VALUE '2'.</t>
        </is>
      </c>
      <c r="B7" s="11" t="n"/>
      <c r="C7" s="16" t="inlineStr">
        <is>
          <t xml:space="preserve">     '2' - Detalhe do documento</t>
        </is>
      </c>
      <c r="D7" s="13" t="n"/>
      <c r="E7" s="16" t="n"/>
      <c r="F7" s="15" t="n"/>
    </row>
    <row r="8">
      <c r="A8" s="10" t="inlineStr">
        <is>
          <t xml:space="preserve">        88  :PREFIX:-REG-TIPO3                      VALUE '3'.</t>
        </is>
      </c>
      <c r="B8" s="11" t="n"/>
      <c r="C8" s="16" t="inlineStr">
        <is>
          <t xml:space="preserve">     '3' - Totais do documento</t>
        </is>
      </c>
      <c r="D8" s="13" t="n"/>
      <c r="E8" s="16" t="n"/>
      <c r="F8" s="18" t="n"/>
    </row>
    <row r="9">
      <c r="A9" s="10" t="inlineStr">
        <is>
          <t xml:space="preserve">    07  :PREFIX:-TIPO-IMPRESSAO           PIC X(01).</t>
        </is>
      </c>
      <c r="B9" s="11" t="n"/>
      <c r="C9" s="12" t="inlineStr">
        <is>
          <t>Tipo de impressão</t>
        </is>
      </c>
      <c r="D9" s="13">
        <f>D5+E5</f>
        <v/>
      </c>
      <c r="E9" s="13" t="n">
        <v>1</v>
      </c>
      <c r="F9" s="17" t="inlineStr">
        <is>
          <t>Obrigatório</t>
        </is>
      </c>
    </row>
    <row r="10">
      <c r="A10" s="10" t="inlineStr">
        <is>
          <t xml:space="preserve">        88  :PREFIX:-IMP-ONLINE                     VALUE 'I'.</t>
        </is>
      </c>
      <c r="B10" s="11" t="n"/>
      <c r="C10" s="12" t="inlineStr">
        <is>
          <t xml:space="preserve">     'I' - Impressão OnLine (Immediate)</t>
        </is>
      </c>
      <c r="D10" s="13" t="n"/>
      <c r="E10" s="13" t="n"/>
      <c r="F10" s="15" t="n"/>
    </row>
    <row r="11">
      <c r="A11" s="10" t="inlineStr">
        <is>
          <t xml:space="preserve">        88  :PREFIX:-IMP-BATCH                      VALUE 'O'.</t>
        </is>
      </c>
      <c r="B11" s="11" t="n"/>
      <c r="C11" s="12" t="inlineStr">
        <is>
          <t xml:space="preserve">     'O' - Impressão via batch (Overnight)</t>
        </is>
      </c>
      <c r="D11" s="13" t="n"/>
      <c r="E11" s="13" t="n"/>
      <c r="F11" s="18" t="n"/>
    </row>
    <row r="12">
      <c r="A12" s="10" t="inlineStr">
        <is>
          <t xml:space="preserve">    07  :PREFIX:-USERID                   PIC X(08).</t>
        </is>
      </c>
      <c r="B12" s="11" t="n"/>
      <c r="C12" s="16" t="inlineStr">
        <is>
          <t>User Id da impressão OnLine</t>
        </is>
      </c>
      <c r="D12" s="13">
        <f>D9+E9</f>
        <v/>
      </c>
      <c r="E12" s="16" t="n">
        <v>8</v>
      </c>
      <c r="F12" s="19" t="inlineStr">
        <is>
          <t>Condicional</t>
        </is>
      </c>
    </row>
    <row r="13">
      <c r="A13" s="10" t="inlineStr">
        <is>
          <t xml:space="preserve">    07  :PREFIX:-COD-COMPANHIA            PIC X(03).</t>
        </is>
      </c>
      <c r="B13" s="20" t="n"/>
      <c r="C13" s="12" t="inlineStr">
        <is>
          <t>Código de identificação da Companhia</t>
        </is>
      </c>
      <c r="D13" s="13">
        <f>D12+E12</f>
        <v/>
      </c>
      <c r="E13" s="13" t="n">
        <v>3</v>
      </c>
      <c r="F13" s="17" t="inlineStr">
        <is>
          <t>Obrigatório</t>
        </is>
      </c>
    </row>
    <row r="14">
      <c r="A14" s="10" t="inlineStr">
        <is>
          <t xml:space="preserve">        88  :PREFIX:-COM-VIADIRECTA                 VALUE '111'.</t>
        </is>
      </c>
      <c r="B14" s="20" t="n"/>
      <c r="C14" s="12" t="inlineStr">
        <is>
          <t xml:space="preserve">     '111' - Via Directa</t>
        </is>
      </c>
      <c r="D14" s="13" t="n"/>
      <c r="E14" s="13" t="n"/>
      <c r="F14" s="15" t="n"/>
    </row>
    <row r="15">
      <c r="A15" s="10" t="inlineStr">
        <is>
          <t xml:space="preserve">        88  :PREFIX:-COM-FIDELIDADE                 VALUE '128'.</t>
        </is>
      </c>
      <c r="B15" s="20" t="n"/>
      <c r="C15" s="12" t="inlineStr">
        <is>
          <t xml:space="preserve">     '128' - Fidelidade</t>
        </is>
      </c>
      <c r="D15" s="13" t="n"/>
      <c r="E15" s="13" t="n"/>
      <c r="F15" s="15" t="n"/>
    </row>
    <row r="16">
      <c r="A16" s="10" t="inlineStr">
        <is>
          <t xml:space="preserve">        88  :PREFIX:-COM-IMPERIO                    VALUE '138'.</t>
        </is>
      </c>
      <c r="B16" s="20" t="n"/>
      <c r="C16" s="12" t="inlineStr">
        <is>
          <t xml:space="preserve">     '138' - Império</t>
        </is>
      </c>
      <c r="D16" s="13" t="n"/>
      <c r="E16" s="13" t="n"/>
      <c r="F16" s="15" t="n"/>
    </row>
    <row r="17">
      <c r="A17" s="10" t="inlineStr">
        <is>
          <t xml:space="preserve">        88  :PREFIX:-COM-MULTICARE                  VALUE '148'.</t>
        </is>
      </c>
      <c r="B17" s="11" t="n"/>
      <c r="C17" s="12" t="inlineStr">
        <is>
          <t xml:space="preserve">     '148' - Multicare</t>
        </is>
      </c>
      <c r="D17" s="16" t="n"/>
      <c r="E17" s="16" t="n"/>
      <c r="F17" s="18" t="n"/>
    </row>
    <row r="18">
      <c r="A18" s="10" t="inlineStr">
        <is>
          <t xml:space="preserve">    07  :PREFIX:-COD-MARCA                PIC X(03).</t>
        </is>
      </c>
      <c r="B18" s="11" t="n"/>
      <c r="C18" s="12" t="inlineStr">
        <is>
          <t>Código de identificação da Marca</t>
        </is>
      </c>
      <c r="D18" s="13">
        <f>D13+E13</f>
        <v/>
      </c>
      <c r="E18" s="16" t="n">
        <v>3</v>
      </c>
      <c r="F18" s="17" t="inlineStr">
        <is>
          <t>Obrigatório</t>
        </is>
      </c>
    </row>
    <row r="19">
      <c r="A19" s="10" t="inlineStr">
        <is>
          <t xml:space="preserve">        88  :PREFIX:-MAR-OKTELESEGURO               VALUE '001'.</t>
        </is>
      </c>
      <c r="B19" s="11" t="n"/>
      <c r="C19" s="12" t="inlineStr">
        <is>
          <t xml:space="preserve">     '001' - OK Teleseguro</t>
        </is>
      </c>
      <c r="D19" s="16" t="n"/>
      <c r="E19" s="16" t="n"/>
      <c r="F19" s="15" t="n"/>
    </row>
    <row r="20">
      <c r="A20" s="10" t="inlineStr">
        <is>
          <t xml:space="preserve">        88  :PREFIX:-MAR-FIDELIDADE                 VALUE '002'.</t>
        </is>
      </c>
      <c r="B20" s="11" t="n"/>
      <c r="C20" s="12" t="inlineStr">
        <is>
          <t xml:space="preserve">     '002' - Fidelidade</t>
        </is>
      </c>
      <c r="D20" s="16" t="n"/>
      <c r="E20" s="16" t="n"/>
      <c r="F20" s="15" t="n"/>
    </row>
    <row r="21">
      <c r="A21" s="10" t="inlineStr">
        <is>
          <t xml:space="preserve">        88  :PREFIX:-MAR-IMPERIO                    VALUE '003'.</t>
        </is>
      </c>
      <c r="B21" s="11" t="n"/>
      <c r="C21" s="12" t="inlineStr">
        <is>
          <t xml:space="preserve">     '003' - Império</t>
        </is>
      </c>
      <c r="D21" s="16" t="n"/>
      <c r="E21" s="16" t="n"/>
      <c r="F21" s="15" t="n"/>
    </row>
    <row r="22">
      <c r="A22" s="10" t="inlineStr">
        <is>
          <t xml:space="preserve">        88  :PREFIX:-MAR-ICI                        VALUE '004'.</t>
        </is>
      </c>
      <c r="B22" s="11" t="n"/>
      <c r="C22" s="12" t="inlineStr">
        <is>
          <t xml:space="preserve">     '004' - ICI</t>
        </is>
      </c>
      <c r="D22" s="16" t="n"/>
      <c r="E22" s="16" t="n"/>
      <c r="F22" s="15" t="n"/>
    </row>
    <row r="23">
      <c r="A23" s="10" t="inlineStr">
        <is>
          <t xml:space="preserve">        88  :PREFIX:-MAR-SONAE                      VALUE '005'.</t>
        </is>
      </c>
      <c r="B23" s="11" t="n"/>
      <c r="C23" s="12" t="inlineStr">
        <is>
          <t xml:space="preserve">     '005' - Continente</t>
        </is>
      </c>
      <c r="D23" s="16" t="n"/>
      <c r="E23" s="16" t="n"/>
      <c r="F23" s="15" t="n"/>
    </row>
    <row r="24">
      <c r="A24" s="10" t="inlineStr">
        <is>
          <t xml:space="preserve">        88  :PREFIX:-MAR-MULTICARE                  VALUE '006'.</t>
        </is>
      </c>
      <c r="B24" s="11" t="n"/>
      <c r="C24" s="12" t="inlineStr">
        <is>
          <t xml:space="preserve">     '006' - Multicare</t>
        </is>
      </c>
      <c r="D24" s="16" t="n"/>
      <c r="E24" s="16" t="n"/>
      <c r="F24" s="15" t="n"/>
    </row>
    <row r="25">
      <c r="A25" s="10" t="inlineStr">
        <is>
          <t xml:space="preserve">        88  :PREFIX:-MAR-EUROBIC                    VALUE '028'.</t>
        </is>
      </c>
      <c r="B25" s="11" t="n"/>
      <c r="C25" s="12" t="inlineStr">
        <is>
          <t xml:space="preserve">     '028' - EuroBic</t>
        </is>
      </c>
      <c r="D25" s="16" t="n"/>
      <c r="E25" s="16" t="n"/>
      <c r="F25" s="18" t="n"/>
    </row>
    <row r="26">
      <c r="A26" s="10" t="inlineStr">
        <is>
          <t xml:space="preserve">    07  :PREFIX:-AUX-MARCA                PIC X(01).</t>
        </is>
      </c>
      <c r="B26" s="11" t="n"/>
      <c r="C26" s="12" t="n"/>
      <c r="D26" s="16">
        <f>D18+E18</f>
        <v/>
      </c>
      <c r="E26" s="16" t="n">
        <v>1</v>
      </c>
      <c r="F26" s="21" t="inlineStr">
        <is>
          <t>Opcional</t>
        </is>
      </c>
    </row>
    <row r="27">
      <c r="A27" s="22" t="inlineStr">
        <is>
          <t xml:space="preserve">        88  :PREFIX:-MAR-LEVE                       VALUE 'L'.</t>
        </is>
      </c>
      <c r="B27" s="23" t="n"/>
      <c r="C27" s="24" t="inlineStr">
        <is>
          <t xml:space="preserve">     'L' - Leve (Substitui 'L02' - FM Leve / 'L03' - IB Leve, apenas para marca 002 ou 003)</t>
        </is>
      </c>
      <c r="D27" s="25" t="n"/>
      <c r="E27" s="25" t="n"/>
      <c r="F27" s="18" t="n"/>
    </row>
    <row r="28">
      <c r="A28" s="10" t="inlineStr">
        <is>
          <t xml:space="preserve">    07  :PREFIX:-NR-AGENTE                PIC X(10).</t>
        </is>
      </c>
      <c r="B28" s="11" t="n"/>
      <c r="C28" s="16" t="inlineStr">
        <is>
          <t>Número do Mediador</t>
        </is>
      </c>
      <c r="D28" s="13">
        <f>D26+E26</f>
        <v/>
      </c>
      <c r="E28" s="16" t="n">
        <v>10</v>
      </c>
      <c r="F28" s="17" t="inlineStr">
        <is>
          <t>Obrigatório</t>
        </is>
      </c>
    </row>
    <row r="29">
      <c r="A29" s="10" t="inlineStr">
        <is>
          <t xml:space="preserve">    07  :PREFIX:-NR-CLIENTE               PIC X(10).</t>
        </is>
      </c>
      <c r="B29" s="11" t="n"/>
      <c r="C29" s="16" t="inlineStr">
        <is>
          <t>Número do Cliente: Preencher a espaços, uma vez que é sempre para mediador</t>
        </is>
      </c>
      <c r="D29" s="13">
        <f>D28+E28</f>
        <v/>
      </c>
      <c r="E29" s="16" t="n">
        <v>10</v>
      </c>
      <c r="F29" s="21" t="inlineStr">
        <is>
          <t>Opcional</t>
        </is>
      </c>
    </row>
    <row r="30">
      <c r="A30" s="10" t="inlineStr">
        <is>
          <t xml:space="preserve">    07  :PREFIX:-NR-APOLICE               PIC X(16).</t>
        </is>
      </c>
      <c r="B30" s="11" t="n"/>
      <c r="C30" s="16" t="inlineStr">
        <is>
          <t xml:space="preserve">Número da Apólice: Preencher a espaços, uma vez que poderá existir várias apólices associadas </t>
        </is>
      </c>
      <c r="D30" s="13">
        <f>D29+E29</f>
        <v/>
      </c>
      <c r="E30" s="16" t="n">
        <v>16</v>
      </c>
      <c r="F30" s="21" t="inlineStr">
        <is>
          <t>Opcional</t>
        </is>
      </c>
    </row>
    <row r="31">
      <c r="A31" s="10" t="inlineStr">
        <is>
          <t xml:space="preserve">    07  :PREFIX:-COD-ORIGEM               PIC X(03).</t>
        </is>
      </c>
      <c r="B31" s="11" t="n"/>
      <c r="C31" s="12" t="inlineStr">
        <is>
          <t>Código de identificação do Sistema Origem</t>
        </is>
      </c>
      <c r="D31" s="13">
        <f>D30+E30</f>
        <v/>
      </c>
      <c r="E31" s="16" t="n">
        <v>3</v>
      </c>
      <c r="F31" s="17" t="inlineStr">
        <is>
          <t>Obrigatório</t>
        </is>
      </c>
    </row>
    <row r="32">
      <c r="A32" s="10" t="inlineStr">
        <is>
          <t xml:space="preserve">        88  :PREFIX:-ORI-COGEN22                    VALUE 'CG2'.</t>
        </is>
      </c>
      <c r="B32" s="11" t="n"/>
      <c r="C32" s="16" t="inlineStr">
        <is>
          <t xml:space="preserve">     'CG2' - Cogen 22</t>
        </is>
      </c>
      <c r="D32" s="16" t="n"/>
      <c r="E32" s="16" t="n"/>
      <c r="F32" s="15" t="n"/>
    </row>
    <row r="33">
      <c r="A33" s="10" t="inlineStr">
        <is>
          <t xml:space="preserve">        88  :PREFIX:-ORI-COGEN33                    VALUE 'CGN'.</t>
        </is>
      </c>
      <c r="B33" s="11" t="n"/>
      <c r="C33" s="16" t="inlineStr">
        <is>
          <t xml:space="preserve">     'CGN' - Cogen 33</t>
        </is>
      </c>
      <c r="D33" s="16" t="n"/>
      <c r="E33" s="16" t="n"/>
      <c r="F33" s="15" t="n"/>
    </row>
    <row r="34">
      <c r="A34" s="10" t="inlineStr">
        <is>
          <t xml:space="preserve">        88  :PREFIX:-ORI-GIS                        VALUE 'GIS'.</t>
        </is>
      </c>
      <c r="B34" s="11" t="n"/>
      <c r="C34" s="16" t="inlineStr">
        <is>
          <t xml:space="preserve">     'GIS' - GIS</t>
        </is>
      </c>
      <c r="D34" s="16" t="n"/>
      <c r="E34" s="16" t="n"/>
      <c r="F34" s="15" t="n"/>
    </row>
    <row r="35">
      <c r="A35" s="10" t="inlineStr">
        <is>
          <t xml:space="preserve">        88  :PREFIX:-ORI-COLHEITAS                  VALUE 'CLH'.</t>
        </is>
      </c>
      <c r="B35" s="11" t="n"/>
      <c r="C35" s="16" t="inlineStr">
        <is>
          <t xml:space="preserve">     'CLH' - Colheitas (GIC)</t>
        </is>
      </c>
      <c r="D35" s="16" t="n"/>
      <c r="E35" s="16" t="n"/>
      <c r="F35" s="15" t="n"/>
    </row>
    <row r="36">
      <c r="A36" s="10" t="inlineStr">
        <is>
          <t xml:space="preserve">        88  :PREFIX:-ORI-MULTICARE                  VALUE 'MHS'.</t>
        </is>
      </c>
      <c r="B36" s="11" t="n"/>
      <c r="C36" s="16" t="inlineStr">
        <is>
          <t xml:space="preserve">     'MHS' - Multicare</t>
        </is>
      </c>
      <c r="D36" s="16" t="n"/>
      <c r="E36" s="16" t="n"/>
      <c r="F36" s="15" t="n"/>
    </row>
    <row r="37">
      <c r="A37" s="10" t="inlineStr">
        <is>
          <t xml:space="preserve">        88  :PREFIX:-ORI-SGF-GR                     VALUE 'SPG'.</t>
        </is>
      </c>
      <c r="B37" s="11" t="n"/>
      <c r="C37" s="16" t="inlineStr">
        <is>
          <t xml:space="preserve">     'SPG' - SPG</t>
        </is>
      </c>
      <c r="D37" s="16" t="n"/>
      <c r="E37" s="16" t="n"/>
      <c r="F37" s="15" t="n"/>
    </row>
    <row r="38">
      <c r="A38" s="10" t="inlineStr">
        <is>
          <t xml:space="preserve">        88  :PREFIX:-ORI-SGF-IN                     VALUE 'SPA'.</t>
        </is>
      </c>
      <c r="B38" s="11" t="n"/>
      <c r="C38" s="16" t="inlineStr">
        <is>
          <t xml:space="preserve">     'SPA' - SPA</t>
        </is>
      </c>
      <c r="D38" s="16" t="n"/>
      <c r="E38" s="16" t="n"/>
      <c r="F38" s="15" t="n"/>
    </row>
    <row r="39">
      <c r="A39" s="10" t="inlineStr">
        <is>
          <t xml:space="preserve">        88  :PREFIX:-ORI-FGS                        VALUE 'FGS'.</t>
        </is>
      </c>
      <c r="B39" s="11" t="n"/>
      <c r="C39" s="16" t="inlineStr">
        <is>
          <t xml:space="preserve">     'FGS' - FGS</t>
        </is>
      </c>
      <c r="D39" s="16" t="n"/>
      <c r="E39" s="16" t="n"/>
      <c r="F39" s="15" t="n"/>
    </row>
    <row r="40">
      <c r="A40" s="10" t="inlineStr">
        <is>
          <t xml:space="preserve">        88  :PREFIX:-ORI-FCS                        VALUE 'FCS'.</t>
        </is>
      </c>
      <c r="B40" s="11" t="n"/>
      <c r="C40" s="16" t="inlineStr">
        <is>
          <t xml:space="preserve">     'FCS' - FCS</t>
        </is>
      </c>
      <c r="D40" s="16" t="n"/>
      <c r="E40" s="16" t="n"/>
      <c r="F40" s="18" t="n"/>
    </row>
    <row r="41">
      <c r="A41" s="10" t="inlineStr">
        <is>
          <t xml:space="preserve">        88  :PREFIX:-ORI-SAS                        VALUE 'SAS'.</t>
        </is>
      </c>
      <c r="B41" s="11" t="n"/>
      <c r="C41" s="16" t="inlineStr">
        <is>
          <t xml:space="preserve">     'SAS' - SAS</t>
        </is>
      </c>
      <c r="D41" s="16" t="n"/>
      <c r="E41" s="16" t="n"/>
      <c r="F41" s="26" t="n"/>
    </row>
    <row r="42">
      <c r="A42" s="10" t="inlineStr">
        <is>
          <t xml:space="preserve">    07  :PREFIX:-IND-FLYER                PIC X(01).</t>
        </is>
      </c>
      <c r="B42" s="11" t="n"/>
      <c r="C42" s="16" t="inlineStr">
        <is>
          <t>Indicador de inclusão de Flyer (ex: "V" - Cobertura PVC)</t>
        </is>
      </c>
      <c r="D42" s="13">
        <f>D31+E31</f>
        <v/>
      </c>
      <c r="E42" s="16" t="n">
        <v>1</v>
      </c>
      <c r="F42" s="21" t="inlineStr">
        <is>
          <t>Opcional</t>
        </is>
      </c>
    </row>
    <row r="43">
      <c r="A43" s="5" t="inlineStr">
        <is>
          <t>05  :PREFIX:-DADOS-DOCUMENTO              PIC X(2138).</t>
        </is>
      </c>
      <c r="B43" s="6" t="n"/>
      <c r="C43" s="7" t="n"/>
      <c r="D43" s="8">
        <f>D42+E42</f>
        <v/>
      </c>
      <c r="E43" s="8">
        <f>2200-D43</f>
        <v/>
      </c>
      <c r="F43" s="27" t="n"/>
    </row>
    <row r="44">
      <c r="A44" s="28" t="n"/>
      <c r="B44" s="20" t="n"/>
      <c r="C44" s="12" t="n"/>
      <c r="D44" s="13" t="n"/>
      <c r="E44" s="13" t="n"/>
      <c r="F44" s="27" t="n"/>
    </row>
    <row r="45">
      <c r="A45" s="5" t="inlineStr">
        <is>
          <t>05  FILLER  REDEFINES  :PREFIX:-DADOS-DOCUMENTO.</t>
        </is>
      </c>
      <c r="B45" s="29" t="n"/>
      <c r="C45" s="7" t="n"/>
      <c r="D45" s="8" t="n">
        <v>62</v>
      </c>
      <c r="E45" s="8" t="n">
        <v>0</v>
      </c>
      <c r="F45" s="27" t="n"/>
    </row>
    <row r="46">
      <c r="A46" s="30" t="inlineStr">
        <is>
          <t xml:space="preserve">    07  :PREFIX:-DADOS-MEDIADOR.</t>
        </is>
      </c>
      <c r="B46" s="31" t="n"/>
      <c r="C46" s="32" t="inlineStr">
        <is>
          <t>Dados do Extrato (Registo do tipo 1)</t>
        </is>
      </c>
      <c r="D46" s="33">
        <f>D45+E45</f>
        <v/>
      </c>
      <c r="E46" s="32" t="n">
        <v>0</v>
      </c>
      <c r="F46" s="16" t="n"/>
    </row>
    <row r="47">
      <c r="A47" s="10" t="inlineStr">
        <is>
          <t xml:space="preserve">        09  :PREFIX:-MD-NOME              PIC X(40).</t>
        </is>
      </c>
      <c r="B47" s="11" t="n"/>
      <c r="C47" s="16" t="inlineStr">
        <is>
          <t>Nome</t>
        </is>
      </c>
      <c r="D47" s="25">
        <f>D46+E46</f>
        <v/>
      </c>
      <c r="E47" s="16" t="n">
        <v>40</v>
      </c>
      <c r="F47" s="17" t="inlineStr">
        <is>
          <t>Obrigatório</t>
        </is>
      </c>
    </row>
    <row r="48">
      <c r="A48" s="10" t="inlineStr">
        <is>
          <t xml:space="preserve">        09  :PREFIX:-MD-LOCATION-REF      PIC X(04).</t>
        </is>
      </c>
      <c r="B48" s="11" t="n"/>
      <c r="C48" s="16" t="inlineStr">
        <is>
          <t>Referência da morada</t>
        </is>
      </c>
      <c r="D48" s="25">
        <f>D47+E47</f>
        <v/>
      </c>
      <c r="E48" s="16" t="n">
        <v>4</v>
      </c>
      <c r="F48" s="17" t="inlineStr">
        <is>
          <t>Obrigatório</t>
        </is>
      </c>
    </row>
    <row r="49">
      <c r="A49" s="10" t="inlineStr">
        <is>
          <t xml:space="preserve">        09  :PREFIX:-MD-MORADA1           PIC X(40).</t>
        </is>
      </c>
      <c r="B49" s="11" t="n"/>
      <c r="C49" s="16" t="inlineStr">
        <is>
          <t>Dados de morada 1</t>
        </is>
      </c>
      <c r="D49" s="25">
        <f>D48+E48</f>
        <v/>
      </c>
      <c r="E49" s="16" t="n">
        <v>40</v>
      </c>
      <c r="F49" s="17" t="inlineStr">
        <is>
          <t>Obrigatório</t>
        </is>
      </c>
    </row>
    <row r="50">
      <c r="A50" s="10" t="inlineStr">
        <is>
          <t xml:space="preserve">        09  :PREFIX:-MD-MORADA2           PIC X(40).</t>
        </is>
      </c>
      <c r="B50" s="11" t="n"/>
      <c r="C50" s="16" t="inlineStr">
        <is>
          <t>Dados de morada 2</t>
        </is>
      </c>
      <c r="D50" s="25">
        <f>D49+E49</f>
        <v/>
      </c>
      <c r="E50" s="16" t="n">
        <v>40</v>
      </c>
      <c r="F50" s="21" t="inlineStr">
        <is>
          <t>Opcional</t>
        </is>
      </c>
    </row>
    <row r="51">
      <c r="A51" s="10" t="inlineStr">
        <is>
          <t xml:space="preserve">        09  :PREFIX:-MD-LOCALIDADE        PIC X(40).</t>
        </is>
      </c>
      <c r="B51" s="11" t="n"/>
      <c r="C51" s="16" t="inlineStr">
        <is>
          <t>Localidade</t>
        </is>
      </c>
      <c r="D51" s="25">
        <f>D50+E50</f>
        <v/>
      </c>
      <c r="E51" s="16" t="n">
        <v>40</v>
      </c>
      <c r="F51" s="21" t="inlineStr">
        <is>
          <t>Opcional</t>
        </is>
      </c>
    </row>
    <row r="52">
      <c r="A52" s="10" t="inlineStr">
        <is>
          <t xml:space="preserve">        09  :PREFIX:-MD-CPOSTAL           PIC X(09).</t>
        </is>
      </c>
      <c r="B52" s="11" t="n"/>
      <c r="C52" s="16" t="inlineStr">
        <is>
          <t>Código postal (Se estrangeiro deverá vir a zeros) [9999-999]</t>
        </is>
      </c>
      <c r="D52" s="25">
        <f>D51+E51</f>
        <v/>
      </c>
      <c r="E52" s="16" t="n">
        <v>9</v>
      </c>
      <c r="F52" s="17" t="inlineStr">
        <is>
          <t>Obrigatório</t>
        </is>
      </c>
    </row>
    <row r="53">
      <c r="A53" s="10" t="inlineStr">
        <is>
          <t xml:space="preserve">        09  :PREFIX:-MD-CPOSTAL-DESC      PIC X(40).</t>
        </is>
      </c>
      <c r="B53" s="11" t="n"/>
      <c r="C53" s="16" t="inlineStr">
        <is>
          <t>Descritivo do código postal</t>
        </is>
      </c>
      <c r="D53" s="25">
        <f>D52+E52</f>
        <v/>
      </c>
      <c r="E53" s="16" t="n">
        <v>40</v>
      </c>
      <c r="F53" s="17" t="inlineStr">
        <is>
          <t>Obrigatório</t>
        </is>
      </c>
    </row>
    <row r="54">
      <c r="A54" s="10" t="inlineStr">
        <is>
          <t xml:space="preserve">        09  :PREFIX:-MD-CPAIS             PIC X(03).</t>
        </is>
      </c>
      <c r="B54" s="11" t="n"/>
      <c r="C54" s="16" t="inlineStr">
        <is>
          <t>Código do País (Se estrangeiro, diferente de 620)</t>
        </is>
      </c>
      <c r="D54" s="25">
        <f>D53+E53</f>
        <v/>
      </c>
      <c r="E54" s="16" t="n">
        <v>3</v>
      </c>
      <c r="F54" s="17" t="inlineStr">
        <is>
          <t>Obrigatório</t>
        </is>
      </c>
    </row>
    <row r="55">
      <c r="A55" s="10" t="inlineStr">
        <is>
          <t xml:space="preserve">        09  :PREFIX:-MD-CPAIS-DESC        PIC X(40).</t>
        </is>
      </c>
      <c r="B55" s="11" t="n"/>
      <c r="C55" s="16" t="inlineStr">
        <is>
          <t>Descritivo do País</t>
        </is>
      </c>
      <c r="D55" s="25">
        <f>D54+E54</f>
        <v/>
      </c>
      <c r="E55" s="16" t="n">
        <v>40</v>
      </c>
      <c r="F55" s="17" t="inlineStr">
        <is>
          <t>Obrigatório</t>
        </is>
      </c>
    </row>
    <row r="56">
      <c r="A56" s="22" t="inlineStr">
        <is>
          <t xml:space="preserve">        09  :PREFIX:-MD-IDP               PIC X(04).</t>
        </is>
      </c>
      <c r="B56" s="11" t="n"/>
      <c r="C56" s="25" t="inlineStr">
        <is>
          <t>Identificação da Porta (no CBC)</t>
        </is>
      </c>
      <c r="D56" s="25">
        <f>D55+E55</f>
        <v/>
      </c>
      <c r="E56" s="25" t="n">
        <v>4</v>
      </c>
      <c r="F56" s="17" t="inlineStr">
        <is>
          <t>Obrigatório</t>
        </is>
      </c>
    </row>
    <row r="57">
      <c r="A57" s="22" t="inlineStr">
        <is>
          <t xml:space="preserve">        09  :PREFIX:-MD-NIF               PIC X(22).</t>
        </is>
      </c>
      <c r="B57" s="11" t="n"/>
      <c r="C57" s="25" t="inlineStr">
        <is>
          <t>Número de Identificação Fiscal do Mediador (No caso de Portugal será PT999999999)</t>
        </is>
      </c>
      <c r="D57" s="25">
        <f>D56+E56</f>
        <v/>
      </c>
      <c r="E57" s="25" t="n">
        <v>22</v>
      </c>
      <c r="F57" s="17" t="inlineStr">
        <is>
          <t>Obrigatório</t>
        </is>
      </c>
    </row>
    <row r="58">
      <c r="A58" s="22" t="inlineStr">
        <is>
          <t xml:space="preserve">        09  :PREFIX:-MD-TIPO-ENTIDADE     PIC X(01).</t>
        </is>
      </c>
      <c r="B58" s="11" t="n"/>
      <c r="C58" s="16" t="inlineStr">
        <is>
          <t>Tipo Entidade</t>
        </is>
      </c>
      <c r="D58" s="25">
        <f>D57+E57</f>
        <v/>
      </c>
      <c r="E58" s="25" t="n">
        <v>1</v>
      </c>
      <c r="F58" s="34" t="inlineStr">
        <is>
          <t>Opcional</t>
        </is>
      </c>
    </row>
    <row r="59">
      <c r="A59" s="22" t="inlineStr">
        <is>
          <t xml:space="preserve">            88 :PREFIX:-MD-ENT-PARTICUL             VALUE '1'.</t>
        </is>
      </c>
      <c r="B59" s="11" t="n"/>
      <c r="C59" s="16" t="inlineStr">
        <is>
          <t xml:space="preserve">     '1' - Pessoa / Particular</t>
        </is>
      </c>
      <c r="D59" s="25" t="n"/>
      <c r="E59" s="25" t="n"/>
      <c r="F59" s="15" t="n"/>
    </row>
    <row r="60">
      <c r="A60" s="22" t="inlineStr">
        <is>
          <t xml:space="preserve">            88 :PREFIX:-MD-ENT-COLETIVA             VALUE '2'.</t>
        </is>
      </c>
      <c r="B60" s="11" t="n"/>
      <c r="C60" s="16" t="inlineStr">
        <is>
          <t xml:space="preserve">     '2' - Colectivo/Conta Interna</t>
        </is>
      </c>
      <c r="D60" s="25" t="n"/>
      <c r="E60" s="25" t="n"/>
      <c r="F60" s="18" t="n"/>
    </row>
    <row r="61">
      <c r="A61" s="30" t="inlineStr">
        <is>
          <t xml:space="preserve">    07  :PREFIX:-DADOS-EXTRATO.</t>
        </is>
      </c>
      <c r="B61" s="31" t="n"/>
      <c r="C61" s="33" t="n"/>
      <c r="D61" s="33">
        <f>D58+E58</f>
        <v/>
      </c>
      <c r="E61" s="33" t="n">
        <v>0</v>
      </c>
      <c r="F61" s="9" t="n"/>
    </row>
    <row r="62">
      <c r="A62" s="10" t="inlineStr">
        <is>
          <t xml:space="preserve">        09  :PREFIX:-DT-EMISSAO           PIC X(08).</t>
        </is>
      </c>
      <c r="B62" s="11" t="n"/>
      <c r="C62" s="16" t="inlineStr">
        <is>
          <t>Data de emissão [aaaammdd]</t>
        </is>
      </c>
      <c r="D62" s="25">
        <f>D61+E61</f>
        <v/>
      </c>
      <c r="E62" s="25" t="n">
        <v>8</v>
      </c>
      <c r="F62" s="17" t="inlineStr">
        <is>
          <t>Obrigatório</t>
        </is>
      </c>
    </row>
    <row r="63">
      <c r="A63" s="35" t="inlineStr">
        <is>
          <t xml:space="preserve">        09  :PREFIX:-COD-MOEDA            PIC X(03).</t>
        </is>
      </c>
      <c r="B63" s="11" t="n"/>
      <c r="C63" s="36" t="inlineStr">
        <is>
          <t>Código de moeda (ex: EUR)</t>
        </is>
      </c>
      <c r="D63" s="25">
        <f>D62+E62</f>
        <v/>
      </c>
      <c r="E63" s="36" t="n">
        <v>3</v>
      </c>
      <c r="F63" s="17" t="inlineStr">
        <is>
          <t>Obrigatório</t>
        </is>
      </c>
    </row>
    <row r="64">
      <c r="A64" s="35" t="inlineStr">
        <is>
          <t xml:space="preserve">        09  :PREFIX:-QTE-LIN-DET          PIC X(05).</t>
        </is>
      </c>
      <c r="B64" s="11" t="n"/>
      <c r="C64" s="36" t="inlineStr">
        <is>
          <t>Quantidade de linhas de detalhe</t>
        </is>
      </c>
      <c r="D64" s="25">
        <f>D63+E63</f>
        <v/>
      </c>
      <c r="E64" s="36" t="n">
        <v>5</v>
      </c>
      <c r="F64" s="17" t="inlineStr">
        <is>
          <t>Obrigatório</t>
        </is>
      </c>
    </row>
    <row r="65">
      <c r="A65" s="35" t="inlineStr">
        <is>
          <t xml:space="preserve">        09  :PREFIX:-PERIODO              PIC X(07).</t>
        </is>
      </c>
      <c r="B65" s="11" t="n"/>
      <c r="C65" s="36" t="inlineStr">
        <is>
          <t>Período (aaaa/mm)</t>
        </is>
      </c>
      <c r="D65" s="25">
        <f>D64+E64</f>
        <v/>
      </c>
      <c r="E65" s="36" t="n">
        <v>7</v>
      </c>
      <c r="F65" s="17" t="inlineStr">
        <is>
          <t>Obrigatório</t>
        </is>
      </c>
    </row>
    <row r="66">
      <c r="A66" s="30" t="inlineStr">
        <is>
          <t xml:space="preserve">    07  FILLER                            PIC X(1832).</t>
        </is>
      </c>
      <c r="B66" s="31" t="n"/>
      <c r="C66" s="32" t="inlineStr">
        <is>
          <t>Espaços</t>
        </is>
      </c>
      <c r="D66" s="33">
        <f>D65+E65</f>
        <v/>
      </c>
      <c r="E66" s="32">
        <f>2200-D66</f>
        <v/>
      </c>
      <c r="F66" s="16" t="n"/>
    </row>
    <row r="67">
      <c r="A67" s="10" t="n"/>
      <c r="B67" s="11" t="n"/>
      <c r="C67" s="16" t="n"/>
      <c r="D67" s="25" t="n"/>
      <c r="E67" s="16" t="n"/>
      <c r="F67" s="16" t="n"/>
    </row>
    <row r="68">
      <c r="A68" s="5" t="inlineStr">
        <is>
          <t>05  FILLER  REDEFINES  :PREFIX:-DADOS-DOCUMENTO.</t>
        </is>
      </c>
      <c r="B68" s="6" t="n"/>
      <c r="C68" s="37" t="inlineStr">
        <is>
          <t>Este bloco repete n vezes</t>
        </is>
      </c>
      <c r="D68" s="8" t="n">
        <v>62</v>
      </c>
      <c r="E68" s="8" t="n">
        <v>0</v>
      </c>
      <c r="F68" s="13" t="n"/>
    </row>
    <row r="69">
      <c r="A69" s="30" t="inlineStr">
        <is>
          <t xml:space="preserve">    07  :PREFIX:-DETALHE-EXTRATO.</t>
        </is>
      </c>
      <c r="B69" s="31" t="n"/>
      <c r="C69" s="32" t="inlineStr">
        <is>
          <t>Detalhe do Extrato (Registo do tipo 2)</t>
        </is>
      </c>
      <c r="D69" s="38">
        <f>D68+E68</f>
        <v/>
      </c>
      <c r="E69" s="32" t="n">
        <v>0</v>
      </c>
      <c r="F69" s="16" t="n"/>
    </row>
    <row r="70">
      <c r="A70" s="10" t="inlineStr">
        <is>
          <t xml:space="preserve">        09  :PREFIX:-DT-DATA              PIC X(08).</t>
        </is>
      </c>
      <c r="B70" s="11" t="n"/>
      <c r="C70" s="16" t="inlineStr">
        <is>
          <t>Data [aaaammdd]</t>
        </is>
      </c>
      <c r="D70" s="13">
        <f>D69+E69</f>
        <v/>
      </c>
      <c r="E70" s="16" t="n">
        <v>8</v>
      </c>
      <c r="F70" s="17" t="inlineStr">
        <is>
          <t>Obrigatório</t>
        </is>
      </c>
    </row>
    <row r="71">
      <c r="A71" s="10" t="inlineStr">
        <is>
          <t xml:space="preserve">        09  :PREFIX:-DT-HORA              PIC X(06).</t>
        </is>
      </c>
      <c r="B71" s="11" t="n"/>
      <c r="C71" s="16" t="inlineStr">
        <is>
          <t>Hora (hhmmss)</t>
        </is>
      </c>
      <c r="D71" s="13">
        <f>D70+E70</f>
        <v/>
      </c>
      <c r="E71" s="16" t="n">
        <v>6</v>
      </c>
      <c r="F71" s="17" t="inlineStr">
        <is>
          <t>Obrigatório</t>
        </is>
      </c>
    </row>
    <row r="72">
      <c r="A72" s="10" t="inlineStr">
        <is>
          <t xml:space="preserve">        09  :PREFIX:-DT-REFERENCIA        PIC X(50).</t>
        </is>
      </c>
      <c r="B72" s="11" t="n"/>
      <c r="C72" s="16" t="inlineStr">
        <is>
          <t>Referência do Movimento</t>
        </is>
      </c>
      <c r="D72" s="13">
        <f>D71+E71</f>
        <v/>
      </c>
      <c r="E72" s="16" t="n">
        <v>50</v>
      </c>
      <c r="F72" s="17" t="inlineStr">
        <is>
          <t>Obrigatório</t>
        </is>
      </c>
    </row>
    <row r="73">
      <c r="A73" s="10" t="inlineStr">
        <is>
          <t xml:space="preserve">        09  :PREFIX:-DT-TIPO-MOVIMENTO    PIC X(50).</t>
        </is>
      </c>
      <c r="B73" s="11" t="n"/>
      <c r="C73" s="16" t="inlineStr">
        <is>
          <t>Tipo do Movimento</t>
        </is>
      </c>
      <c r="D73" s="13">
        <f>D72+E72</f>
        <v/>
      </c>
      <c r="E73" s="16" t="n">
        <v>50</v>
      </c>
      <c r="F73" s="17" t="inlineStr">
        <is>
          <t>Obrigatório</t>
        </is>
      </c>
    </row>
    <row r="74">
      <c r="A74" s="22" t="inlineStr">
        <is>
          <t xml:space="preserve">        09  :PREFIX:-DT-NR-APOLICE        PIC X(16).</t>
        </is>
      </c>
      <c r="B74" s="11" t="n"/>
      <c r="C74" s="25" t="inlineStr">
        <is>
          <t>Número da Apólice</t>
        </is>
      </c>
      <c r="D74" s="13">
        <f>D73+E73</f>
        <v/>
      </c>
      <c r="E74" s="25" t="n">
        <v>16</v>
      </c>
      <c r="F74" s="21" t="inlineStr">
        <is>
          <t>Opcional</t>
        </is>
      </c>
    </row>
    <row r="75">
      <c r="A75" s="10" t="inlineStr">
        <is>
          <t xml:space="preserve">        09  :PREFIX:-DT-NR-SINISTRO       PIC X(12).</t>
        </is>
      </c>
      <c r="B75" s="11" t="n"/>
      <c r="C75" s="25" t="inlineStr">
        <is>
          <t>Número do Sinistro</t>
        </is>
      </c>
      <c r="D75" s="13">
        <f>D74+E74</f>
        <v/>
      </c>
      <c r="E75" s="25" t="n">
        <v>12</v>
      </c>
      <c r="F75" s="21" t="inlineStr">
        <is>
          <t>Opcional</t>
        </is>
      </c>
    </row>
    <row r="76">
      <c r="A76" s="10" t="inlineStr">
        <is>
          <t xml:space="preserve">        09  :PREFIX:-DT-NR-RECIBO         PIC X(16).</t>
        </is>
      </c>
      <c r="B76" s="11" t="n"/>
      <c r="C76" s="39" t="inlineStr">
        <is>
          <t>Número do Recibo (Garantir que no máximo vem 11 posições Vida / 10 posições nos restantes)</t>
        </is>
      </c>
      <c r="D76" s="13">
        <f>D75+E75</f>
        <v/>
      </c>
      <c r="E76" s="16" t="n">
        <v>16</v>
      </c>
      <c r="F76" s="17" t="inlineStr">
        <is>
          <t>Obrigatório</t>
        </is>
      </c>
    </row>
    <row r="77">
      <c r="A77" s="10" t="inlineStr">
        <is>
          <t xml:space="preserve">        09  :PREFIX:-DT-TIPO              PIC X(12).</t>
        </is>
      </c>
      <c r="B77" s="11" t="n"/>
      <c r="C77" s="16" t="inlineStr">
        <is>
          <t>Tipo de Recibo</t>
        </is>
      </c>
      <c r="D77" s="13">
        <f>D76+E76</f>
        <v/>
      </c>
      <c r="E77" s="16" t="n">
        <v>12</v>
      </c>
      <c r="F77" s="17" t="inlineStr">
        <is>
          <t>Obrigatório</t>
        </is>
      </c>
    </row>
    <row r="78">
      <c r="A78" s="40" t="inlineStr">
        <is>
          <t xml:space="preserve">        09  :PREFIX:-DT-VLR-REC           PIC S9(12)V9(02)  SIGN LEADING SEPARATE.</t>
        </is>
      </c>
      <c r="B78" s="11" t="n"/>
      <c r="C78" s="25" t="inlineStr">
        <is>
          <t>Valor Total do Recibo</t>
        </is>
      </c>
      <c r="D78" s="13">
        <f>D77+E77</f>
        <v/>
      </c>
      <c r="E78" s="25" t="n">
        <v>15</v>
      </c>
      <c r="F78" s="21" t="inlineStr">
        <is>
          <t>Opcional</t>
        </is>
      </c>
    </row>
    <row r="79">
      <c r="A79" s="40" t="inlineStr">
        <is>
          <t xml:space="preserve">        09  :PREFIX:-DT-VLR-COM           PIC S9(12)V9(02)  SIGN LEADING SEPARATE.</t>
        </is>
      </c>
      <c r="B79" s="11" t="n"/>
      <c r="C79" s="25" t="inlineStr">
        <is>
          <t>Valor Comissão</t>
        </is>
      </c>
      <c r="D79" s="13">
        <f>D78+E78</f>
        <v/>
      </c>
      <c r="E79" s="25" t="n">
        <v>15</v>
      </c>
      <c r="F79" s="21" t="inlineStr">
        <is>
          <t>Opcional</t>
        </is>
      </c>
    </row>
    <row r="80">
      <c r="A80" s="40" t="inlineStr">
        <is>
          <t xml:space="preserve">        09  :PREFIX:-DT-VLR-IRS           PIC S9(12)V9(02)  SIGN LEADING SEPARATE.</t>
        </is>
      </c>
      <c r="B80" s="11" t="n"/>
      <c r="C80" s="25" t="inlineStr">
        <is>
          <t>Valor IRS</t>
        </is>
      </c>
      <c r="D80" s="13">
        <f>D79+E79</f>
        <v/>
      </c>
      <c r="E80" s="25" t="n">
        <v>15</v>
      </c>
      <c r="F80" s="21" t="inlineStr">
        <is>
          <t>Opcional</t>
        </is>
      </c>
    </row>
    <row r="81">
      <c r="A81" s="40" t="inlineStr">
        <is>
          <t xml:space="preserve">        09  :PREFIX:-DT-VLR-SEL           PIC S9(12)V9(02)  SIGN LEADING SEPARATE.</t>
        </is>
      </c>
      <c r="B81" s="11" t="n"/>
      <c r="C81" s="25" t="inlineStr">
        <is>
          <t>Valor Imposto Selo</t>
        </is>
      </c>
      <c r="D81" s="13">
        <f>D80+E80</f>
        <v/>
      </c>
      <c r="E81" s="25" t="n">
        <v>15</v>
      </c>
      <c r="F81" s="21" t="inlineStr">
        <is>
          <t>Opcional</t>
        </is>
      </c>
    </row>
    <row r="82">
      <c r="A82" s="40" t="inlineStr">
        <is>
          <t xml:space="preserve">        09  :PREFIX:-DT-VLR-SEG           PIC S9(12)V9(02)  SIGN LEADING SEPARATE.</t>
        </is>
      </c>
      <c r="B82" s="11" t="n"/>
      <c r="C82" s="25" t="inlineStr">
        <is>
          <t>Valor Segurança Social</t>
        </is>
      </c>
      <c r="D82" s="13">
        <f>D81+E81</f>
        <v/>
      </c>
      <c r="E82" s="25" t="n">
        <v>15</v>
      </c>
      <c r="F82" s="21" t="inlineStr">
        <is>
          <t>Opcional</t>
        </is>
      </c>
    </row>
    <row r="83">
      <c r="A83" s="40" t="inlineStr">
        <is>
          <t xml:space="preserve">        09  :PREFIX:-DT-VLR-OUT           PIC S9(12)V9(02)  SIGN LEADING SEPARATE.</t>
        </is>
      </c>
      <c r="B83" s="11" t="n"/>
      <c r="C83" s="25" t="inlineStr">
        <is>
          <t>Valor Outros Movimentos</t>
        </is>
      </c>
      <c r="D83" s="13">
        <f>D82+E82</f>
        <v/>
      </c>
      <c r="E83" s="25" t="n">
        <v>15</v>
      </c>
      <c r="F83" s="21" t="inlineStr">
        <is>
          <t>Opcional</t>
        </is>
      </c>
    </row>
    <row r="84">
      <c r="A84" s="30" t="inlineStr">
        <is>
          <t xml:space="preserve">    07  FILLER                            PIC X(1878).</t>
        </is>
      </c>
      <c r="B84" s="31" t="n"/>
      <c r="C84" s="32" t="inlineStr">
        <is>
          <t>Espaços</t>
        </is>
      </c>
      <c r="D84" s="38">
        <f>D83+E83</f>
        <v/>
      </c>
      <c r="E84" s="32">
        <f>2200-D84</f>
        <v/>
      </c>
      <c r="F84" s="16" t="n"/>
    </row>
    <row r="85">
      <c r="A85" s="10" t="n"/>
      <c r="B85" s="11" t="n"/>
      <c r="C85" s="16" t="n"/>
      <c r="D85" s="13" t="n"/>
      <c r="E85" s="16" t="n"/>
      <c r="F85" s="16" t="n"/>
    </row>
    <row r="86">
      <c r="A86" s="5" t="inlineStr">
        <is>
          <t>05  FILLER  REDEFINES  :PREFIX:-DADOS-DOCUMENTO.</t>
        </is>
      </c>
      <c r="B86" s="6" t="n"/>
      <c r="C86" s="7" t="n"/>
      <c r="D86" s="8" t="n">
        <v>62</v>
      </c>
      <c r="E86" s="8" t="n">
        <v>0</v>
      </c>
      <c r="F86" s="13" t="n"/>
    </row>
    <row r="87">
      <c r="A87" s="30" t="inlineStr">
        <is>
          <t xml:space="preserve">    07  :PREFIX:-TOTAIS-EXTRATO.</t>
        </is>
      </c>
      <c r="B87" s="31" t="n"/>
      <c r="C87" s="32" t="inlineStr">
        <is>
          <t>Totais do Extrato (Registo do tipo 3)</t>
        </is>
      </c>
      <c r="D87" s="38">
        <f>D86+E86</f>
        <v/>
      </c>
      <c r="E87" s="32" t="n">
        <v>0</v>
      </c>
      <c r="F87" s="16" t="n"/>
    </row>
    <row r="88">
      <c r="A88" s="10" t="inlineStr">
        <is>
          <t xml:space="preserve">        09  :PREFIX:-TOTAIS-EXT-RESUMO.</t>
        </is>
      </c>
      <c r="B88" s="11" t="n"/>
      <c r="C88" s="16" t="n"/>
      <c r="D88" s="13">
        <f>D87+E87</f>
        <v/>
      </c>
      <c r="E88" s="16" t="n">
        <v>0</v>
      </c>
      <c r="F88" s="16" t="n"/>
    </row>
    <row r="89">
      <c r="A89" s="10" t="inlineStr">
        <is>
          <t xml:space="preserve">            11  :PREFIX:-TR-SI-DATA       PIC X(08).</t>
        </is>
      </c>
      <c r="B89" s="11" t="n"/>
      <c r="C89" s="16" t="inlineStr">
        <is>
          <t>Data de Saldo Inicial do Resumo [aaaammdd]</t>
        </is>
      </c>
      <c r="D89" s="13">
        <f>D88+E88</f>
        <v/>
      </c>
      <c r="E89" s="16" t="n">
        <v>8</v>
      </c>
      <c r="F89" s="17" t="inlineStr">
        <is>
          <t>Obrigatório</t>
        </is>
      </c>
    </row>
    <row r="90">
      <c r="A90" s="40" t="inlineStr">
        <is>
          <t xml:space="preserve">            11  :PREFIX:-TR-SI-VALOR      PIC S9(12)V9(02)  SIGN LEADING SEPARATE.</t>
        </is>
      </c>
      <c r="B90" s="11" t="n"/>
      <c r="C90" s="16" t="inlineStr">
        <is>
          <t>Valor de Saldo Inicial do Resumo</t>
        </is>
      </c>
      <c r="D90" s="13">
        <f>D89+E89</f>
        <v/>
      </c>
      <c r="E90" s="16" t="n">
        <v>15</v>
      </c>
      <c r="F90" s="21" t="inlineStr">
        <is>
          <t>Opcional</t>
        </is>
      </c>
    </row>
    <row r="91">
      <c r="A91" s="40" t="inlineStr">
        <is>
          <t xml:space="preserve">            11  :PREFIX:-TR-VLR-REC       PIC S9(12)V9(02)  SIGN LEADING SEPARATE.</t>
        </is>
      </c>
      <c r="B91" s="11" t="n"/>
      <c r="C91" s="16" t="inlineStr">
        <is>
          <t>Total Valor Recibo do Resumo</t>
        </is>
      </c>
      <c r="D91" s="13">
        <f>D90+E90</f>
        <v/>
      </c>
      <c r="E91" s="16" t="n">
        <v>15</v>
      </c>
      <c r="F91" s="21" t="inlineStr">
        <is>
          <t>Opcional</t>
        </is>
      </c>
    </row>
    <row r="92">
      <c r="A92" s="40" t="inlineStr">
        <is>
          <t xml:space="preserve">            11  :PREFIX:-TR-VLR-COM       PIC S9(12)V9(02)  SIGN LEADING SEPARATE.</t>
        </is>
      </c>
      <c r="B92" s="11" t="n"/>
      <c r="C92" s="16" t="inlineStr">
        <is>
          <t>Total Valor Comissões do Resumo</t>
        </is>
      </c>
      <c r="D92" s="13">
        <f>D91+E91</f>
        <v/>
      </c>
      <c r="E92" s="16" t="n">
        <v>15</v>
      </c>
      <c r="F92" s="21" t="inlineStr">
        <is>
          <t>Opcional</t>
        </is>
      </c>
    </row>
    <row r="93">
      <c r="A93" s="40" t="inlineStr">
        <is>
          <t xml:space="preserve">            11  :PREFIX:-TR-VLR-IRS       PIC S9(12)V9(02)  SIGN LEADING SEPARATE.</t>
        </is>
      </c>
      <c r="B93" s="11" t="n"/>
      <c r="C93" s="16" t="inlineStr">
        <is>
          <t>Total Valor IRS do Resumo</t>
        </is>
      </c>
      <c r="D93" s="13">
        <f>D92+E92</f>
        <v/>
      </c>
      <c r="E93" s="16" t="n">
        <v>15</v>
      </c>
      <c r="F93" s="21" t="inlineStr">
        <is>
          <t>Opcional</t>
        </is>
      </c>
    </row>
    <row r="94">
      <c r="A94" s="40" t="inlineStr">
        <is>
          <t xml:space="preserve">            11  :PREFIX:-TR-VLR-SEL       PIC S9(12)V9(02)  SIGN LEADING SEPARATE.</t>
        </is>
      </c>
      <c r="B94" s="11" t="n"/>
      <c r="C94" s="16" t="inlineStr">
        <is>
          <t>Total Valor Imposto Selo do Resumo</t>
        </is>
      </c>
      <c r="D94" s="13">
        <f>D93+E93</f>
        <v/>
      </c>
      <c r="E94" s="16" t="n">
        <v>15</v>
      </c>
      <c r="F94" s="21" t="inlineStr">
        <is>
          <t>Opcional</t>
        </is>
      </c>
    </row>
    <row r="95">
      <c r="A95" s="40" t="inlineStr">
        <is>
          <t xml:space="preserve">            11  :PREFIX:-TR-VLR-SEG       PIC S9(12)V9(02)  SIGN LEADING SEPARATE.</t>
        </is>
      </c>
      <c r="B95" s="11" t="n"/>
      <c r="C95" s="16" t="inlineStr">
        <is>
          <t>Total Valor Segurança Social do Resumo</t>
        </is>
      </c>
      <c r="D95" s="13">
        <f>D94+E94</f>
        <v/>
      </c>
      <c r="E95" s="16" t="n">
        <v>15</v>
      </c>
      <c r="F95" s="21" t="inlineStr">
        <is>
          <t>Opcional</t>
        </is>
      </c>
    </row>
    <row r="96">
      <c r="A96" s="40" t="inlineStr">
        <is>
          <t xml:space="preserve">            11  :PREFIX:-TR-VLR-OUT       PIC S9(12)V9(02)  SIGN LEADING SEPARATE.</t>
        </is>
      </c>
      <c r="B96" s="11" t="n"/>
      <c r="C96" s="16" t="inlineStr">
        <is>
          <t>Total Valor Outros Movimentos do Resumo</t>
        </is>
      </c>
      <c r="D96" s="13">
        <f>D95+E95</f>
        <v/>
      </c>
      <c r="E96" s="16" t="n">
        <v>15</v>
      </c>
      <c r="F96" s="21" t="inlineStr">
        <is>
          <t>Opcional</t>
        </is>
      </c>
    </row>
    <row r="97">
      <c r="A97" s="40" t="inlineStr">
        <is>
          <t xml:space="preserve">            11  :PREFIX:-TR-SF-VALOR      PIC S9(12)V9(02)  SIGN LEADING SEPARATE.</t>
        </is>
      </c>
      <c r="B97" s="11" t="n"/>
      <c r="C97" s="16" t="inlineStr">
        <is>
          <t>Valor de Saldo Final do Resumo</t>
        </is>
      </c>
      <c r="D97" s="13">
        <f>D96+E96</f>
        <v/>
      </c>
      <c r="E97" s="16" t="n">
        <v>15</v>
      </c>
      <c r="F97" s="21" t="inlineStr">
        <is>
          <t>Opcional</t>
        </is>
      </c>
    </row>
    <row r="98">
      <c r="A98" s="10" t="inlineStr">
        <is>
          <t xml:space="preserve">        09  :PREFIX:-TOTAIS-EXT-ACUMULADO.</t>
        </is>
      </c>
      <c r="B98" s="11" t="n"/>
      <c r="C98" s="16" t="n"/>
      <c r="D98" s="13">
        <f>D97+E97</f>
        <v/>
      </c>
      <c r="E98" s="16" t="n">
        <v>0</v>
      </c>
      <c r="F98" s="9" t="n"/>
    </row>
    <row r="99">
      <c r="A99" s="40" t="inlineStr">
        <is>
          <t xml:space="preserve">            11  :PREFIX:-TA-VLR-COM       PIC S9(12)V9(02)  SIGN LEADING SEPARATE.</t>
        </is>
      </c>
      <c r="B99" s="11" t="n"/>
      <c r="C99" s="16" t="inlineStr">
        <is>
          <t>Total Valor Comissões do Acumulado Fiscal</t>
        </is>
      </c>
      <c r="D99" s="13">
        <f>D98+E98</f>
        <v/>
      </c>
      <c r="E99" s="16" t="n">
        <v>15</v>
      </c>
      <c r="F99" s="21" t="inlineStr">
        <is>
          <t>Opcional</t>
        </is>
      </c>
    </row>
    <row r="100">
      <c r="A100" s="40" t="inlineStr">
        <is>
          <t xml:space="preserve">            11  :PREFIX:-TA-VLR-IRS       PIC S9(12)V9(02)  SIGN LEADING SEPARATE.</t>
        </is>
      </c>
      <c r="B100" s="11" t="n"/>
      <c r="C100" s="16" t="inlineStr">
        <is>
          <t>Total Valor IRS do Acumulado Fiscal</t>
        </is>
      </c>
      <c r="D100" s="13">
        <f>D99+E99</f>
        <v/>
      </c>
      <c r="E100" s="16" t="n">
        <v>15</v>
      </c>
      <c r="F100" s="21" t="inlineStr">
        <is>
          <t>Opcional</t>
        </is>
      </c>
    </row>
    <row r="101">
      <c r="A101" s="40" t="inlineStr">
        <is>
          <t xml:space="preserve">            11  :PREFIX:-TA-VLR-SEL       PIC S9(12)V9(02)  SIGN LEADING SEPARATE.</t>
        </is>
      </c>
      <c r="B101" s="11" t="n"/>
      <c r="C101" s="16" t="inlineStr">
        <is>
          <t>Total Valor Imposto Selo do Acumulado Fiscal</t>
        </is>
      </c>
      <c r="D101" s="13">
        <f>D100+E100</f>
        <v/>
      </c>
      <c r="E101" s="16" t="n">
        <v>15</v>
      </c>
      <c r="F101" s="21" t="inlineStr">
        <is>
          <t>Opcional</t>
        </is>
      </c>
    </row>
    <row r="102">
      <c r="A102" s="40" t="inlineStr">
        <is>
          <t xml:space="preserve">            11  :PREFIX:-TA-VLR-SEG       PIC S9(12)V9(02)  SIGN LEADING SEPARATE.</t>
        </is>
      </c>
      <c r="B102" s="11" t="n"/>
      <c r="C102" s="16" t="inlineStr">
        <is>
          <t>Total Valor Segurança Social do Acumulado Fiscal</t>
        </is>
      </c>
      <c r="D102" s="13">
        <f>D101+E101</f>
        <v/>
      </c>
      <c r="E102" s="16" t="n">
        <v>15</v>
      </c>
      <c r="F102" s="21" t="inlineStr">
        <is>
          <t>Opcional</t>
        </is>
      </c>
    </row>
    <row r="103">
      <c r="A103" s="30" t="inlineStr">
        <is>
          <t xml:space="preserve">    07  FILLER                            PIC X(1950).</t>
        </is>
      </c>
      <c r="B103" s="31" t="n"/>
      <c r="C103" s="32" t="inlineStr">
        <is>
          <t>Espaços</t>
        </is>
      </c>
      <c r="D103" s="38">
        <f>D102+E102</f>
        <v/>
      </c>
      <c r="E103" s="32">
        <f>2200-D103</f>
        <v/>
      </c>
      <c r="F103" s="16" t="n"/>
    </row>
  </sheetData>
  <mergeCells count="8">
    <mergeCell ref="F18:F25"/>
    <mergeCell ref="F9:F11"/>
    <mergeCell ref="F31:F40"/>
    <mergeCell ref="F26:F27"/>
    <mergeCell ref="F3:F4"/>
    <mergeCell ref="F13:F17"/>
    <mergeCell ref="F5:F8"/>
    <mergeCell ref="F58:F60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108.85546875" customWidth="1" min="1" max="1"/>
    <col width="5.7109375" customWidth="1" min="2" max="2"/>
    <col width="88" customWidth="1" min="3" max="3"/>
    <col width="7.7109375" customWidth="1" min="4" max="4"/>
    <col width="9.140625" customWidth="1" min="5" max="5"/>
    <col width="12.28515625" customWidth="1" min="6" max="6"/>
  </cols>
  <sheetData>
    <row r="1" ht="15.75" customHeight="1">
      <c r="A1" s="1" t="inlineStr">
        <is>
          <t>Copybook</t>
        </is>
      </c>
      <c r="B1" s="2" t="inlineStr">
        <is>
          <t>Novo</t>
        </is>
      </c>
      <c r="C1" s="2" t="inlineStr">
        <is>
          <t>Descrição / Valores Possiveis / [Formato]</t>
        </is>
      </c>
      <c r="D1" s="3" t="inlineStr">
        <is>
          <t>Posição</t>
        </is>
      </c>
      <c r="E1" s="3" t="inlineStr">
        <is>
          <t>Tamanho</t>
        </is>
      </c>
      <c r="F1" s="4" t="inlineStr">
        <is>
          <t>Observações</t>
        </is>
      </c>
    </row>
    <row r="2">
      <c r="A2" s="5" t="inlineStr">
        <is>
          <t>05  :PREFIX:-DADOS-REGISTO.</t>
        </is>
      </c>
      <c r="B2" s="6" t="n"/>
      <c r="C2" s="7" t="n"/>
      <c r="D2" s="8" t="n">
        <v>1</v>
      </c>
      <c r="E2" s="8" t="n">
        <v>0</v>
      </c>
      <c r="F2" s="9" t="n"/>
    </row>
    <row r="3">
      <c r="A3" s="10" t="inlineStr">
        <is>
          <t xml:space="preserve">    07  :PREFIX:-COD-DOCUMENTO            PIC X(04).</t>
        </is>
      </c>
      <c r="B3" s="11" t="n"/>
      <c r="C3" s="12" t="inlineStr">
        <is>
          <t>Código de documento</t>
        </is>
      </c>
      <c r="D3" s="13">
        <f>D2+E2</f>
        <v/>
      </c>
      <c r="E3" s="13" t="n">
        <v>4</v>
      </c>
      <c r="F3" s="14" t="inlineStr">
        <is>
          <t>Obrigatório</t>
        </is>
      </c>
    </row>
    <row r="4">
      <c r="A4" s="10" t="inlineStr">
        <is>
          <t xml:space="preserve">        88  :PREFIX:-DOC-REL-REC                    VALUE 'RERL'.</t>
        </is>
      </c>
      <c r="B4" s="11" t="n"/>
      <c r="C4" s="12" t="inlineStr">
        <is>
          <t xml:space="preserve">     'RERL' - Relação Recibos por Liquidar (Mensal)</t>
        </is>
      </c>
      <c r="D4" s="13" t="n"/>
      <c r="E4" s="13" t="n"/>
      <c r="F4" s="15" t="n"/>
    </row>
    <row r="5">
      <c r="A5" s="10" t="inlineStr">
        <is>
          <t xml:space="preserve">    07  :PREFIX:-TIPO-REGISTO             PIC X(01).</t>
        </is>
      </c>
      <c r="B5" s="11" t="n"/>
      <c r="C5" s="16" t="inlineStr">
        <is>
          <t>Tipo de registo</t>
        </is>
      </c>
      <c r="D5" s="13">
        <f>D3+E3</f>
        <v/>
      </c>
      <c r="E5" s="16" t="n">
        <v>1</v>
      </c>
      <c r="F5" s="17" t="inlineStr">
        <is>
          <t>Obrigatório</t>
        </is>
      </c>
    </row>
    <row r="6">
      <c r="A6" s="10" t="inlineStr">
        <is>
          <t xml:space="preserve">        88  :PREFIX:-REG-TIPO1                      VALUE '1'.</t>
        </is>
      </c>
      <c r="B6" s="11" t="n"/>
      <c r="C6" s="16" t="inlineStr">
        <is>
          <t xml:space="preserve">     '1' - Dados do documento</t>
        </is>
      </c>
      <c r="D6" s="13" t="n"/>
      <c r="E6" s="16" t="n"/>
      <c r="F6" s="15" t="n"/>
    </row>
    <row r="7">
      <c r="A7" s="10" t="inlineStr">
        <is>
          <t xml:space="preserve">        88  :PREFIX:-REG-TIPO2                      VALUE '2'.</t>
        </is>
      </c>
      <c r="B7" s="11" t="n"/>
      <c r="C7" s="16" t="inlineStr">
        <is>
          <t xml:space="preserve">     '2' - Detalhe do documento</t>
        </is>
      </c>
      <c r="D7" s="13" t="n"/>
      <c r="E7" s="16" t="n"/>
      <c r="F7" s="15" t="n"/>
    </row>
    <row r="8">
      <c r="A8" s="10" t="inlineStr">
        <is>
          <t xml:space="preserve">        88  :PREFIX:-REG-TIPO3                      VALUE '3'.</t>
        </is>
      </c>
      <c r="B8" s="11" t="n"/>
      <c r="C8" s="16" t="inlineStr">
        <is>
          <t xml:space="preserve">     '3' - Totais do documento</t>
        </is>
      </c>
      <c r="D8" s="13" t="n"/>
      <c r="E8" s="16" t="n"/>
      <c r="F8" s="18" t="n"/>
    </row>
    <row r="9">
      <c r="A9" s="10" t="inlineStr">
        <is>
          <t xml:space="preserve">    07  :PREFIX:-TIPO-IMPRESSAO           PIC X(01).</t>
        </is>
      </c>
      <c r="B9" s="11" t="n"/>
      <c r="C9" s="12" t="inlineStr">
        <is>
          <t>Tipo de impressão</t>
        </is>
      </c>
      <c r="D9" s="13">
        <f>D5+E5</f>
        <v/>
      </c>
      <c r="E9" s="13" t="n">
        <v>1</v>
      </c>
      <c r="F9" s="17" t="inlineStr">
        <is>
          <t>Obrigatório</t>
        </is>
      </c>
    </row>
    <row r="10">
      <c r="A10" s="10" t="inlineStr">
        <is>
          <t xml:space="preserve">        88  :PREFIX:-IMP-ONLINE                     VALUE 'I'.</t>
        </is>
      </c>
      <c r="B10" s="11" t="n"/>
      <c r="C10" s="12" t="inlineStr">
        <is>
          <t xml:space="preserve">     'I' - Impressão OnLine (Immediate)</t>
        </is>
      </c>
      <c r="D10" s="13" t="n"/>
      <c r="E10" s="13" t="n"/>
      <c r="F10" s="15" t="n"/>
    </row>
    <row r="11">
      <c r="A11" s="10" t="inlineStr">
        <is>
          <t xml:space="preserve">        88  :PREFIX:-IMP-BATCH                      VALUE 'O'.</t>
        </is>
      </c>
      <c r="B11" s="11" t="n"/>
      <c r="C11" s="12" t="inlineStr">
        <is>
          <t xml:space="preserve">     'O' - Impressão via batch (Overnight)</t>
        </is>
      </c>
      <c r="D11" s="13" t="n"/>
      <c r="E11" s="13" t="n"/>
      <c r="F11" s="18" t="n"/>
    </row>
    <row r="12">
      <c r="A12" s="10" t="inlineStr">
        <is>
          <t xml:space="preserve">    07  :PREFIX:-USERID                   PIC X(08).</t>
        </is>
      </c>
      <c r="B12" s="11" t="n"/>
      <c r="C12" s="16" t="inlineStr">
        <is>
          <t>User Id da impressão OnLine</t>
        </is>
      </c>
      <c r="D12" s="13">
        <f>D9+E9</f>
        <v/>
      </c>
      <c r="E12" s="16" t="n">
        <v>8</v>
      </c>
      <c r="F12" s="19" t="inlineStr">
        <is>
          <t>Condicional</t>
        </is>
      </c>
    </row>
    <row r="13">
      <c r="A13" s="10" t="inlineStr">
        <is>
          <t xml:space="preserve">    07  :PREFIX:-COD-COMPANHIA            PIC X(03).</t>
        </is>
      </c>
      <c r="B13" s="20" t="n"/>
      <c r="C13" s="12" t="inlineStr">
        <is>
          <t>Código de identificação da Companhia</t>
        </is>
      </c>
      <c r="D13" s="13">
        <f>D12+E12</f>
        <v/>
      </c>
      <c r="E13" s="13" t="n">
        <v>3</v>
      </c>
      <c r="F13" s="17" t="inlineStr">
        <is>
          <t>Obrigatório</t>
        </is>
      </c>
    </row>
    <row r="14">
      <c r="A14" s="10" t="inlineStr">
        <is>
          <t xml:space="preserve">        88  :PREFIX:-COM-VIADIRECTA                 VALUE '111'.</t>
        </is>
      </c>
      <c r="B14" s="20" t="n"/>
      <c r="C14" s="12" t="inlineStr">
        <is>
          <t xml:space="preserve">     '111' - Via Directa</t>
        </is>
      </c>
      <c r="D14" s="13" t="n"/>
      <c r="E14" s="13" t="n"/>
      <c r="F14" s="15" t="n"/>
    </row>
    <row r="15">
      <c r="A15" s="10" t="inlineStr">
        <is>
          <t xml:space="preserve">        88  :PREFIX:-COM-FIDELIDADE                 VALUE '128'.</t>
        </is>
      </c>
      <c r="B15" s="20" t="n"/>
      <c r="C15" s="12" t="inlineStr">
        <is>
          <t xml:space="preserve">     '128' - Fidelidade</t>
        </is>
      </c>
      <c r="D15" s="13" t="n"/>
      <c r="E15" s="13" t="n"/>
      <c r="F15" s="15" t="n"/>
    </row>
    <row r="16">
      <c r="A16" s="10" t="inlineStr">
        <is>
          <t xml:space="preserve">        88  :PREFIX:-COM-IMPERIO                    VALUE '138'.</t>
        </is>
      </c>
      <c r="B16" s="20" t="n"/>
      <c r="C16" s="12" t="inlineStr">
        <is>
          <t xml:space="preserve">     '138' - Império</t>
        </is>
      </c>
      <c r="D16" s="13" t="n"/>
      <c r="E16" s="13" t="n"/>
      <c r="F16" s="15" t="n"/>
    </row>
    <row r="17">
      <c r="A17" s="10" t="inlineStr">
        <is>
          <t xml:space="preserve">        88  :PREFIX:-COM-MULTICARE                  VALUE '148'.</t>
        </is>
      </c>
      <c r="B17" s="11" t="n"/>
      <c r="C17" s="12" t="inlineStr">
        <is>
          <t xml:space="preserve">     '148' - Multicare</t>
        </is>
      </c>
      <c r="D17" s="16" t="n"/>
      <c r="E17" s="16" t="n"/>
      <c r="F17" s="18" t="n"/>
    </row>
    <row r="18">
      <c r="A18" s="10" t="inlineStr">
        <is>
          <t xml:space="preserve">    07  :PREFIX:-COD-MARCA                PIC X(03).</t>
        </is>
      </c>
      <c r="B18" s="11" t="n"/>
      <c r="C18" s="12" t="inlineStr">
        <is>
          <t>Código de identificação da Marca</t>
        </is>
      </c>
      <c r="D18" s="13">
        <f>D13+E13</f>
        <v/>
      </c>
      <c r="E18" s="16" t="n">
        <v>3</v>
      </c>
      <c r="F18" s="17" t="inlineStr">
        <is>
          <t>Obrigatório</t>
        </is>
      </c>
    </row>
    <row r="19">
      <c r="A19" s="10" t="inlineStr">
        <is>
          <t xml:space="preserve">        88  :PREFIX:-MAR-OKTELESEGURO               VALUE '001'.</t>
        </is>
      </c>
      <c r="B19" s="11" t="n"/>
      <c r="C19" s="12" t="inlineStr">
        <is>
          <t xml:space="preserve">     '001' - OK Teleseguro</t>
        </is>
      </c>
      <c r="D19" s="16" t="n"/>
      <c r="E19" s="16" t="n"/>
      <c r="F19" s="15" t="n"/>
    </row>
    <row r="20">
      <c r="A20" s="10" t="inlineStr">
        <is>
          <t xml:space="preserve">        88  :PREFIX:-MAR-FIDELIDADE                 VALUE '002'.</t>
        </is>
      </c>
      <c r="B20" s="11" t="n"/>
      <c r="C20" s="12" t="inlineStr">
        <is>
          <t xml:space="preserve">     '002' - Fidelidade</t>
        </is>
      </c>
      <c r="D20" s="16" t="n"/>
      <c r="E20" s="16" t="n"/>
      <c r="F20" s="15" t="n"/>
    </row>
    <row r="21">
      <c r="A21" s="10" t="inlineStr">
        <is>
          <t xml:space="preserve">        88  :PREFIX:-MAR-IMPERIO                    VALUE '003'.</t>
        </is>
      </c>
      <c r="B21" s="11" t="n"/>
      <c r="C21" s="12" t="inlineStr">
        <is>
          <t xml:space="preserve">     '003' - Império</t>
        </is>
      </c>
      <c r="D21" s="16" t="n"/>
      <c r="E21" s="16" t="n"/>
      <c r="F21" s="15" t="n"/>
    </row>
    <row r="22">
      <c r="A22" s="10" t="inlineStr">
        <is>
          <t xml:space="preserve">        88  :PREFIX:-MAR-ICI                        VALUE '004'.</t>
        </is>
      </c>
      <c r="B22" s="11" t="n"/>
      <c r="C22" s="12" t="inlineStr">
        <is>
          <t xml:space="preserve">     '004' - ICI</t>
        </is>
      </c>
      <c r="D22" s="16" t="n"/>
      <c r="E22" s="16" t="n"/>
      <c r="F22" s="15" t="n"/>
    </row>
    <row r="23">
      <c r="A23" s="10" t="inlineStr">
        <is>
          <t xml:space="preserve">        88  :PREFIX:-MAR-SONAE                      VALUE '005'.</t>
        </is>
      </c>
      <c r="B23" s="11" t="n"/>
      <c r="C23" s="12" t="inlineStr">
        <is>
          <t xml:space="preserve">     '005' - Continente</t>
        </is>
      </c>
      <c r="D23" s="16" t="n"/>
      <c r="E23" s="16" t="n"/>
      <c r="F23" s="15" t="n"/>
    </row>
    <row r="24">
      <c r="A24" s="10" t="inlineStr">
        <is>
          <t xml:space="preserve">        88  :PREFIX:-MAR-MULTICARE                  VALUE '006'.</t>
        </is>
      </c>
      <c r="B24" s="11" t="n"/>
      <c r="C24" s="12" t="inlineStr">
        <is>
          <t xml:space="preserve">     '006' - Multicare</t>
        </is>
      </c>
      <c r="D24" s="16" t="n"/>
      <c r="E24" s="16" t="n"/>
      <c r="F24" s="15" t="n"/>
    </row>
    <row r="25">
      <c r="A25" s="10" t="inlineStr">
        <is>
          <t xml:space="preserve">        88  :PREFIX:-MAR-EUROBIC                    VALUE '028'.</t>
        </is>
      </c>
      <c r="B25" s="11" t="n"/>
      <c r="C25" s="12" t="inlineStr">
        <is>
          <t xml:space="preserve">     '028' - EuroBic</t>
        </is>
      </c>
      <c r="D25" s="16" t="n"/>
      <c r="E25" s="16" t="n"/>
      <c r="F25" s="18" t="n"/>
    </row>
    <row r="26">
      <c r="A26" s="10" t="inlineStr">
        <is>
          <t xml:space="preserve">    07  :PREFIX:-AUX-MARCA                PIC X(01).</t>
        </is>
      </c>
      <c r="B26" s="11" t="n"/>
      <c r="C26" s="12" t="n"/>
      <c r="D26" s="16">
        <f>D18+E18</f>
        <v/>
      </c>
      <c r="E26" s="16" t="n">
        <v>1</v>
      </c>
      <c r="F26" s="21" t="inlineStr">
        <is>
          <t>Opcional</t>
        </is>
      </c>
    </row>
    <row r="27">
      <c r="A27" s="22" t="inlineStr">
        <is>
          <t xml:space="preserve">        88  :PREFIX:-MAR-LEVE                       VALUE 'L'.</t>
        </is>
      </c>
      <c r="B27" s="23" t="n"/>
      <c r="C27" s="24" t="inlineStr">
        <is>
          <t xml:space="preserve">     'L' - Leve (Substitui 'L02' - FM Leve / 'L03' - IB Leve, apenas para marca 002 ou 003)</t>
        </is>
      </c>
      <c r="D27" s="25" t="n"/>
      <c r="E27" s="25" t="n"/>
      <c r="F27" s="18" t="n"/>
    </row>
    <row r="28">
      <c r="A28" s="10" t="inlineStr">
        <is>
          <t xml:space="preserve">    07  :PREFIX:-NR-AGENTE                PIC X(10).</t>
        </is>
      </c>
      <c r="B28" s="11" t="n"/>
      <c r="C28" s="16" t="inlineStr">
        <is>
          <t>Número do Mediador</t>
        </is>
      </c>
      <c r="D28" s="13">
        <f>D26+E26</f>
        <v/>
      </c>
      <c r="E28" s="16" t="n">
        <v>10</v>
      </c>
      <c r="F28" s="17" t="inlineStr">
        <is>
          <t>Obrigatório</t>
        </is>
      </c>
    </row>
    <row r="29">
      <c r="A29" s="10" t="inlineStr">
        <is>
          <t xml:space="preserve">    07  :PREFIX:-NR-CLIENTE               PIC X(10).</t>
        </is>
      </c>
      <c r="B29" s="11" t="n"/>
      <c r="C29" s="16" t="inlineStr">
        <is>
          <t>Número do Cliente: Preencher a espaços, uma vez que é sempre para mediador</t>
        </is>
      </c>
      <c r="D29" s="13">
        <f>D28+E28</f>
        <v/>
      </c>
      <c r="E29" s="16" t="n">
        <v>10</v>
      </c>
      <c r="F29" s="21" t="inlineStr">
        <is>
          <t>Opcional</t>
        </is>
      </c>
    </row>
    <row r="30">
      <c r="A30" s="10" t="inlineStr">
        <is>
          <t xml:space="preserve">    07  :PREFIX:-NR-APOLICE               PIC X(16).</t>
        </is>
      </c>
      <c r="B30" s="11" t="n"/>
      <c r="C30" s="16" t="inlineStr">
        <is>
          <t xml:space="preserve">Número da Apólice: Preencher a espaços, uma vez que poderá existir várias apólices associadas </t>
        </is>
      </c>
      <c r="D30" s="13">
        <f>D29+E29</f>
        <v/>
      </c>
      <c r="E30" s="16" t="n">
        <v>16</v>
      </c>
      <c r="F30" s="21" t="inlineStr">
        <is>
          <t>Opcional</t>
        </is>
      </c>
    </row>
    <row r="31">
      <c r="A31" s="10" t="inlineStr">
        <is>
          <t xml:space="preserve">    07  :PREFIX:-COD-ORIGEM               PIC X(03).</t>
        </is>
      </c>
      <c r="B31" s="11" t="n"/>
      <c r="C31" s="12" t="inlineStr">
        <is>
          <t>Código de identificação do Sistema Origem</t>
        </is>
      </c>
      <c r="D31" s="13">
        <f>D30+E30</f>
        <v/>
      </c>
      <c r="E31" s="16" t="n">
        <v>3</v>
      </c>
      <c r="F31" s="17" t="inlineStr">
        <is>
          <t>Obrigatório</t>
        </is>
      </c>
    </row>
    <row r="32">
      <c r="A32" s="10" t="inlineStr">
        <is>
          <t xml:space="preserve">        88  :PREFIX:-ORI-COGEN22                    VALUE 'CG2'.</t>
        </is>
      </c>
      <c r="B32" s="11" t="n"/>
      <c r="C32" s="16" t="inlineStr">
        <is>
          <t xml:space="preserve">     'CG2' - Cogen 22</t>
        </is>
      </c>
      <c r="D32" s="16" t="n"/>
      <c r="E32" s="16" t="n"/>
      <c r="F32" s="15" t="n"/>
    </row>
    <row r="33">
      <c r="A33" s="10" t="inlineStr">
        <is>
          <t xml:space="preserve">        88  :PREFIX:-ORI-COGEN33                    VALUE 'CGN'.</t>
        </is>
      </c>
      <c r="B33" s="11" t="n"/>
      <c r="C33" s="16" t="inlineStr">
        <is>
          <t xml:space="preserve">     'CGN' - Cogen 33</t>
        </is>
      </c>
      <c r="D33" s="16" t="n"/>
      <c r="E33" s="16" t="n"/>
      <c r="F33" s="15" t="n"/>
    </row>
    <row r="34">
      <c r="A34" s="10" t="inlineStr">
        <is>
          <t xml:space="preserve">        88  :PREFIX:-ORI-GIS                        VALUE 'GIS'.</t>
        </is>
      </c>
      <c r="B34" s="11" t="n"/>
      <c r="C34" s="16" t="inlineStr">
        <is>
          <t xml:space="preserve">     'GIS' - GIS</t>
        </is>
      </c>
      <c r="D34" s="16" t="n"/>
      <c r="E34" s="16" t="n"/>
      <c r="F34" s="15" t="n"/>
    </row>
    <row r="35">
      <c r="A35" s="10" t="inlineStr">
        <is>
          <t xml:space="preserve">        88  :PREFIX:-ORI-COLHEITAS                  VALUE 'CLH'.</t>
        </is>
      </c>
      <c r="B35" s="11" t="n"/>
      <c r="C35" s="16" t="inlineStr">
        <is>
          <t xml:space="preserve">     'CLH' - Colheitas (GIC)</t>
        </is>
      </c>
      <c r="D35" s="16" t="n"/>
      <c r="E35" s="16" t="n"/>
      <c r="F35" s="15" t="n"/>
    </row>
    <row r="36">
      <c r="A36" s="10" t="inlineStr">
        <is>
          <t xml:space="preserve">        88  :PREFIX:-ORI-MULTICARE                  VALUE 'MHS'.</t>
        </is>
      </c>
      <c r="B36" s="11" t="n"/>
      <c r="C36" s="16" t="inlineStr">
        <is>
          <t xml:space="preserve">     'MHS' - Multicare</t>
        </is>
      </c>
      <c r="D36" s="16" t="n"/>
      <c r="E36" s="16" t="n"/>
      <c r="F36" s="15" t="n"/>
    </row>
    <row r="37">
      <c r="A37" s="10" t="inlineStr">
        <is>
          <t xml:space="preserve">        88  :PREFIX:-ORI-SGF-GR                     VALUE 'SPG'.</t>
        </is>
      </c>
      <c r="B37" s="11" t="n"/>
      <c r="C37" s="16" t="inlineStr">
        <is>
          <t xml:space="preserve">     'SPG' - SPG</t>
        </is>
      </c>
      <c r="D37" s="16" t="n"/>
      <c r="E37" s="16" t="n"/>
      <c r="F37" s="15" t="n"/>
    </row>
    <row r="38">
      <c r="A38" s="10" t="inlineStr">
        <is>
          <t xml:space="preserve">        88  :PREFIX:-ORI-SGF-IN                     VALUE 'SPA'.</t>
        </is>
      </c>
      <c r="B38" s="11" t="n"/>
      <c r="C38" s="16" t="inlineStr">
        <is>
          <t xml:space="preserve">     'SPA' - SPA</t>
        </is>
      </c>
      <c r="D38" s="16" t="n"/>
      <c r="E38" s="16" t="n"/>
      <c r="F38" s="15" t="n"/>
    </row>
    <row r="39">
      <c r="A39" s="10" t="inlineStr">
        <is>
          <t xml:space="preserve">        88  :PREFIX:-ORI-FGS                        VALUE 'FGS'.</t>
        </is>
      </c>
      <c r="B39" s="11" t="n"/>
      <c r="C39" s="16" t="inlineStr">
        <is>
          <t xml:space="preserve">     'FGS' - FGS</t>
        </is>
      </c>
      <c r="D39" s="16" t="n"/>
      <c r="E39" s="16" t="n"/>
      <c r="F39" s="15" t="n"/>
    </row>
    <row r="40">
      <c r="A40" s="10" t="inlineStr">
        <is>
          <t xml:space="preserve">        88  :PREFIX:-ORI-FCS                        VALUE 'FCS'.</t>
        </is>
      </c>
      <c r="B40" s="11" t="n"/>
      <c r="C40" s="16" t="inlineStr">
        <is>
          <t xml:space="preserve">     'FCS' - FCS</t>
        </is>
      </c>
      <c r="D40" s="16" t="n"/>
      <c r="E40" s="16" t="n"/>
      <c r="F40" s="18" t="n"/>
    </row>
    <row r="41">
      <c r="A41" s="10" t="inlineStr">
        <is>
          <t xml:space="preserve">    07  :PREFIX:-IND-FLYER                PIC X(01).</t>
        </is>
      </c>
      <c r="B41" s="11" t="n"/>
      <c r="C41" s="16" t="inlineStr">
        <is>
          <t>Indicador de inclusão de Flyer (ex: "V" - Cobertura PVC)</t>
        </is>
      </c>
      <c r="D41" s="13">
        <f>D31+E31</f>
        <v/>
      </c>
      <c r="E41" s="16" t="n">
        <v>1</v>
      </c>
      <c r="F41" s="21" t="inlineStr">
        <is>
          <t>Opcional</t>
        </is>
      </c>
    </row>
    <row r="42">
      <c r="A42" s="5" t="inlineStr">
        <is>
          <t>05  :PREFIX:-DADOS-DOCUMENTO              PIC X(2138).</t>
        </is>
      </c>
      <c r="B42" s="6" t="n"/>
      <c r="C42" s="7" t="n"/>
      <c r="D42" s="8">
        <f>D41+E41</f>
        <v/>
      </c>
      <c r="E42" s="8">
        <f>2200-D42</f>
        <v/>
      </c>
      <c r="F42" s="27" t="n"/>
    </row>
    <row r="43">
      <c r="A43" s="28" t="n"/>
      <c r="B43" s="20" t="n"/>
      <c r="C43" s="12" t="n"/>
      <c r="D43" s="13" t="n"/>
      <c r="E43" s="13" t="n"/>
      <c r="F43" s="27" t="n"/>
    </row>
    <row r="44">
      <c r="A44" s="5" t="inlineStr">
        <is>
          <t>05  FILLER  REDEFINES  :PREFIX:-DADOS-DOCUMENTO.</t>
        </is>
      </c>
      <c r="B44" s="29" t="n"/>
      <c r="C44" s="7" t="n"/>
      <c r="D44" s="8" t="n">
        <v>62</v>
      </c>
      <c r="E44" s="8" t="n">
        <v>0</v>
      </c>
      <c r="F44" s="27" t="n"/>
    </row>
    <row r="45">
      <c r="A45" s="30" t="inlineStr">
        <is>
          <t xml:space="preserve">    07  :PREFIX:-DADOS-MEDIADOR.</t>
        </is>
      </c>
      <c r="B45" s="31" t="n"/>
      <c r="C45" s="32" t="inlineStr">
        <is>
          <t>Dados da Relação (Registo do tipo 1)</t>
        </is>
      </c>
      <c r="D45" s="33">
        <f>D44+E44</f>
        <v/>
      </c>
      <c r="E45" s="32" t="n">
        <v>0</v>
      </c>
      <c r="F45" s="16" t="n"/>
    </row>
    <row r="46">
      <c r="A46" s="10" t="inlineStr">
        <is>
          <t xml:space="preserve">        09  :PREFIX:-MD-NOME              PIC X(40).</t>
        </is>
      </c>
      <c r="B46" s="11" t="n"/>
      <c r="C46" s="16" t="inlineStr">
        <is>
          <t>Nome</t>
        </is>
      </c>
      <c r="D46" s="25">
        <f>D45+E45</f>
        <v/>
      </c>
      <c r="E46" s="16" t="n">
        <v>40</v>
      </c>
      <c r="F46" s="17" t="inlineStr">
        <is>
          <t>Obrigatório</t>
        </is>
      </c>
    </row>
    <row r="47">
      <c r="A47" s="10" t="inlineStr">
        <is>
          <t xml:space="preserve">        09  :PREFIX:-MD-LOCATION-REF      PIC X(04).</t>
        </is>
      </c>
      <c r="B47" s="11" t="n"/>
      <c r="C47" s="16" t="inlineStr">
        <is>
          <t>Referência da morada</t>
        </is>
      </c>
      <c r="D47" s="25">
        <f>D46+E46</f>
        <v/>
      </c>
      <c r="E47" s="16" t="n">
        <v>4</v>
      </c>
      <c r="F47" s="17" t="inlineStr">
        <is>
          <t>Obrigatório</t>
        </is>
      </c>
    </row>
    <row r="48">
      <c r="A48" s="10" t="inlineStr">
        <is>
          <t xml:space="preserve">        09  :PREFIX:-MD-MORADA1           PIC X(40).</t>
        </is>
      </c>
      <c r="B48" s="11" t="n"/>
      <c r="C48" s="16" t="inlineStr">
        <is>
          <t>Dados de morada 1</t>
        </is>
      </c>
      <c r="D48" s="25">
        <f>D47+E47</f>
        <v/>
      </c>
      <c r="E48" s="16" t="n">
        <v>40</v>
      </c>
      <c r="F48" s="17" t="inlineStr">
        <is>
          <t>Obrigatório</t>
        </is>
      </c>
    </row>
    <row r="49">
      <c r="A49" s="10" t="inlineStr">
        <is>
          <t xml:space="preserve">        09  :PREFIX:-MD-MORADA2           PIC X(40).</t>
        </is>
      </c>
      <c r="B49" s="11" t="n"/>
      <c r="C49" s="16" t="inlineStr">
        <is>
          <t>Dados de morada 2</t>
        </is>
      </c>
      <c r="D49" s="25">
        <f>D48+E48</f>
        <v/>
      </c>
      <c r="E49" s="16" t="n">
        <v>40</v>
      </c>
      <c r="F49" s="21" t="inlineStr">
        <is>
          <t>Opcional</t>
        </is>
      </c>
    </row>
    <row r="50">
      <c r="A50" s="10" t="inlineStr">
        <is>
          <t xml:space="preserve">        09  :PREFIX:-MD-LOCALIDADE        PIC X(40).</t>
        </is>
      </c>
      <c r="B50" s="11" t="n"/>
      <c r="C50" s="16" t="inlineStr">
        <is>
          <t>Localidade</t>
        </is>
      </c>
      <c r="D50" s="25">
        <f>D49+E49</f>
        <v/>
      </c>
      <c r="E50" s="16" t="n">
        <v>40</v>
      </c>
      <c r="F50" s="21" t="inlineStr">
        <is>
          <t>Opcional</t>
        </is>
      </c>
    </row>
    <row r="51">
      <c r="A51" s="10" t="inlineStr">
        <is>
          <t xml:space="preserve">        09  :PREFIX:-MD-CPOSTAL           PIC X(09).</t>
        </is>
      </c>
      <c r="B51" s="11" t="n"/>
      <c r="C51" s="16" t="inlineStr">
        <is>
          <t>Código postal (Se estrangeiro deverá vir a zeros) [9999-999]</t>
        </is>
      </c>
      <c r="D51" s="25">
        <f>D50+E50</f>
        <v/>
      </c>
      <c r="E51" s="16" t="n">
        <v>9</v>
      </c>
      <c r="F51" s="17" t="inlineStr">
        <is>
          <t>Obrigatório</t>
        </is>
      </c>
    </row>
    <row r="52">
      <c r="A52" s="10" t="inlineStr">
        <is>
          <t xml:space="preserve">        09  :PREFIX:-MD-CPOSTAL-DESC      PIC X(40).</t>
        </is>
      </c>
      <c r="B52" s="11" t="n"/>
      <c r="C52" s="16" t="inlineStr">
        <is>
          <t>Descritivo do código postal</t>
        </is>
      </c>
      <c r="D52" s="25">
        <f>D51+E51</f>
        <v/>
      </c>
      <c r="E52" s="16" t="n">
        <v>40</v>
      </c>
      <c r="F52" s="17" t="inlineStr">
        <is>
          <t>Obrigatório</t>
        </is>
      </c>
    </row>
    <row r="53">
      <c r="A53" s="10" t="inlineStr">
        <is>
          <t xml:space="preserve">        09  :PREFIX:-MD-CPAIS             PIC X(03).</t>
        </is>
      </c>
      <c r="B53" s="11" t="n"/>
      <c r="C53" s="16" t="inlineStr">
        <is>
          <t>Código do País (Se estrangeiro, diferente de 620)</t>
        </is>
      </c>
      <c r="D53" s="25">
        <f>D52+E52</f>
        <v/>
      </c>
      <c r="E53" s="16" t="n">
        <v>3</v>
      </c>
      <c r="F53" s="17" t="inlineStr">
        <is>
          <t>Obrigatório</t>
        </is>
      </c>
    </row>
    <row r="54">
      <c r="A54" s="10" t="inlineStr">
        <is>
          <t xml:space="preserve">        09  :PREFIX:-MD-CPAIS-DESC        PIC X(40).</t>
        </is>
      </c>
      <c r="B54" s="11" t="n"/>
      <c r="C54" s="16" t="inlineStr">
        <is>
          <t>Descritivo do País</t>
        </is>
      </c>
      <c r="D54" s="25">
        <f>D53+E53</f>
        <v/>
      </c>
      <c r="E54" s="16" t="n">
        <v>40</v>
      </c>
      <c r="F54" s="17" t="inlineStr">
        <is>
          <t>Obrigatório</t>
        </is>
      </c>
    </row>
    <row r="55">
      <c r="A55" s="22" t="inlineStr">
        <is>
          <t xml:space="preserve">        09  :PREFIX:-MD-IDP               PIC X(04).</t>
        </is>
      </c>
      <c r="B55" s="11" t="n"/>
      <c r="C55" s="25" t="inlineStr">
        <is>
          <t>Identificação da Porta (no CBC)</t>
        </is>
      </c>
      <c r="D55" s="25">
        <f>D54+E54</f>
        <v/>
      </c>
      <c r="E55" s="25" t="n">
        <v>4</v>
      </c>
      <c r="F55" s="17" t="inlineStr">
        <is>
          <t>Obrigatório</t>
        </is>
      </c>
    </row>
    <row r="56">
      <c r="A56" s="22" t="inlineStr">
        <is>
          <t xml:space="preserve">        09  :PREFIX:-MD-NIF               PIC X(22).</t>
        </is>
      </c>
      <c r="B56" s="11" t="n"/>
      <c r="C56" s="25" t="inlineStr">
        <is>
          <t>Número de Identificação Fiscal do Mediador (No caso de Portugal será PT999999999)</t>
        </is>
      </c>
      <c r="D56" s="25">
        <f>D55+E55</f>
        <v/>
      </c>
      <c r="E56" s="25" t="n">
        <v>22</v>
      </c>
      <c r="F56" s="17" t="inlineStr">
        <is>
          <t>Obrigatório</t>
        </is>
      </c>
    </row>
    <row r="57">
      <c r="A57" s="22" t="inlineStr">
        <is>
          <t xml:space="preserve">        09  :PREFIX:-MD-TIPO-ENTIDADE     PIC X(01).</t>
        </is>
      </c>
      <c r="B57" s="11" t="n"/>
      <c r="C57" s="16" t="inlineStr">
        <is>
          <t>Tipo Entidade</t>
        </is>
      </c>
      <c r="D57" s="25">
        <f>D56+E56</f>
        <v/>
      </c>
      <c r="E57" s="25" t="n">
        <v>1</v>
      </c>
      <c r="F57" s="34" t="inlineStr">
        <is>
          <t>Opcional</t>
        </is>
      </c>
    </row>
    <row r="58">
      <c r="A58" s="22" t="inlineStr">
        <is>
          <t xml:space="preserve">            88 :PREFIX:-MD-ENT-PARTICUL             VALUE '1'.</t>
        </is>
      </c>
      <c r="B58" s="11" t="n"/>
      <c r="C58" s="16" t="inlineStr">
        <is>
          <t xml:space="preserve">     '1' - Pessoa / Particular</t>
        </is>
      </c>
      <c r="D58" s="25" t="n"/>
      <c r="E58" s="25" t="n"/>
      <c r="F58" s="15" t="n"/>
    </row>
    <row r="59">
      <c r="A59" s="22" t="inlineStr">
        <is>
          <t xml:space="preserve">            88 :PREFIX:-MD-ENT-COLETIVA             VALUE '2'.</t>
        </is>
      </c>
      <c r="B59" s="11" t="n"/>
      <c r="C59" s="16" t="inlineStr">
        <is>
          <t xml:space="preserve">     '2' - Colectivo/Conta Interna</t>
        </is>
      </c>
      <c r="D59" s="25" t="n"/>
      <c r="E59" s="25" t="n"/>
      <c r="F59" s="18" t="n"/>
    </row>
    <row r="60">
      <c r="A60" s="30" t="inlineStr">
        <is>
          <t xml:space="preserve">    07  :PREFIX:-DADOS-RELACAO.</t>
        </is>
      </c>
      <c r="B60" s="31" t="n"/>
      <c r="C60" s="33" t="n"/>
      <c r="D60" s="33">
        <f>D57+E57</f>
        <v/>
      </c>
      <c r="E60" s="33" t="n">
        <v>0</v>
      </c>
      <c r="F60" s="9" t="n"/>
    </row>
    <row r="61">
      <c r="A61" s="10" t="inlineStr">
        <is>
          <t xml:space="preserve">        09  :PREFIX:-DT-EMISSAO           PIC X(08).</t>
        </is>
      </c>
      <c r="B61" s="11" t="n"/>
      <c r="C61" s="16" t="inlineStr">
        <is>
          <t>Data de emissão Carta [aaaammdd]</t>
        </is>
      </c>
      <c r="D61" s="25">
        <f>D60+E60</f>
        <v/>
      </c>
      <c r="E61" s="25" t="n">
        <v>8</v>
      </c>
      <c r="F61" s="17" t="inlineStr">
        <is>
          <t>Obrigatório</t>
        </is>
      </c>
    </row>
    <row r="62">
      <c r="A62" s="35" t="inlineStr">
        <is>
          <t xml:space="preserve">        09  :PREFIX:-COD-MOEDA            PIC X(03).</t>
        </is>
      </c>
      <c r="B62" s="11" t="n"/>
      <c r="C62" s="36" t="inlineStr">
        <is>
          <t>Código de moeda (ex: EUR)</t>
        </is>
      </c>
      <c r="D62" s="25">
        <f>D61+E61</f>
        <v/>
      </c>
      <c r="E62" s="36" t="n">
        <v>3</v>
      </c>
      <c r="F62" s="17" t="inlineStr">
        <is>
          <t>Obrigatório</t>
        </is>
      </c>
    </row>
    <row r="63">
      <c r="A63" s="35" t="inlineStr">
        <is>
          <t xml:space="preserve">        09  :PREFIX:-QTE-LIN-DET          PIC X(05).</t>
        </is>
      </c>
      <c r="B63" s="11" t="n"/>
      <c r="C63" s="36" t="inlineStr">
        <is>
          <t>Quantidade de linhas de detalhe</t>
        </is>
      </c>
      <c r="D63" s="25">
        <f>D62+E62</f>
        <v/>
      </c>
      <c r="E63" s="36" t="n">
        <v>5</v>
      </c>
      <c r="F63" s="17" t="inlineStr">
        <is>
          <t>Obrigatório</t>
        </is>
      </c>
    </row>
    <row r="64">
      <c r="A64" s="30" t="inlineStr">
        <is>
          <t xml:space="preserve">    07  FILLER                            PIC X(1839).</t>
        </is>
      </c>
      <c r="B64" s="31" t="n"/>
      <c r="C64" s="32" t="inlineStr">
        <is>
          <t>Espaços</t>
        </is>
      </c>
      <c r="D64" s="41">
        <f>D63+E63</f>
        <v/>
      </c>
      <c r="E64" s="32">
        <f>2200-D64</f>
        <v/>
      </c>
      <c r="F64" s="16" t="n"/>
    </row>
    <row r="65">
      <c r="A65" s="10" t="n"/>
      <c r="B65" s="11" t="n"/>
      <c r="C65" s="16" t="n"/>
      <c r="D65" s="25" t="n"/>
      <c r="E65" s="16" t="n"/>
      <c r="F65" s="16" t="n"/>
    </row>
    <row r="66">
      <c r="A66" s="5" t="inlineStr">
        <is>
          <t>05  FILLER  REDEFINES  :PREFIX:-DADOS-DOCUMENTO.</t>
        </is>
      </c>
      <c r="B66" s="6" t="n"/>
      <c r="C66" s="37" t="inlineStr">
        <is>
          <t>Este bloco repete n vezes</t>
        </is>
      </c>
      <c r="D66" s="8" t="n">
        <v>62</v>
      </c>
      <c r="E66" s="8" t="n">
        <v>0</v>
      </c>
      <c r="F66" s="13" t="n"/>
    </row>
    <row r="67">
      <c r="A67" s="30" t="inlineStr">
        <is>
          <t xml:space="preserve">    07  :PREFIX:-DETALHE-RELACAO.</t>
        </is>
      </c>
      <c r="B67" s="31" t="n"/>
      <c r="C67" s="32" t="inlineStr">
        <is>
          <t>Detalhe da Relação (Registo do tipo 2)</t>
        </is>
      </c>
      <c r="D67" s="38">
        <f>D66+E66</f>
        <v/>
      </c>
      <c r="E67" s="32" t="n">
        <v>0</v>
      </c>
      <c r="F67" s="16" t="n"/>
    </row>
    <row r="68">
      <c r="A68" s="10" t="inlineStr">
        <is>
          <t xml:space="preserve">        09  :PREFIX:-DT-NOME              PIC X(40).</t>
        </is>
      </c>
      <c r="B68" s="11" t="n"/>
      <c r="C68" s="16" t="inlineStr">
        <is>
          <t>Nome do Segurado</t>
        </is>
      </c>
      <c r="D68" s="13">
        <f>D67+E67</f>
        <v/>
      </c>
      <c r="E68" s="16" t="n">
        <v>40</v>
      </c>
      <c r="F68" s="17" t="inlineStr">
        <is>
          <t>Obrigatório</t>
        </is>
      </c>
    </row>
    <row r="69">
      <c r="A69" s="10" t="inlineStr">
        <is>
          <t xml:space="preserve">        09  :PREFIX:-DT-RAMO              PIC X(10).</t>
        </is>
      </c>
      <c r="B69" s="11" t="n"/>
      <c r="C69" s="16" t="inlineStr">
        <is>
          <t>Ramo da Apólice</t>
        </is>
      </c>
      <c r="D69" s="13">
        <f>D68+E68</f>
        <v/>
      </c>
      <c r="E69" s="16" t="n">
        <v>10</v>
      </c>
      <c r="F69" s="17" t="inlineStr">
        <is>
          <t>Obrigatório</t>
        </is>
      </c>
    </row>
    <row r="70">
      <c r="A70" s="22" t="inlineStr">
        <is>
          <t xml:space="preserve">        09  :PREFIX:-DT-DESCR-RAMO        PIC X(40).</t>
        </is>
      </c>
      <c r="B70" s="42" t="n"/>
      <c r="C70" s="25" t="inlineStr">
        <is>
          <t>Descritivo do Ramo</t>
        </is>
      </c>
      <c r="D70" s="13">
        <f>D69+E69</f>
        <v/>
      </c>
      <c r="E70" s="25" t="n">
        <v>40</v>
      </c>
      <c r="F70" s="17" t="inlineStr">
        <is>
          <t>Obrigatório</t>
        </is>
      </c>
    </row>
    <row r="71">
      <c r="A71" s="22" t="inlineStr">
        <is>
          <t xml:space="preserve">        09  :PREFIX:-DT-NR-APOLICE        PIC X(16).</t>
        </is>
      </c>
      <c r="B71" s="11" t="n"/>
      <c r="C71" s="25" t="inlineStr">
        <is>
          <t>Número da Apólice</t>
        </is>
      </c>
      <c r="D71" s="13">
        <f>D70+E70</f>
        <v/>
      </c>
      <c r="E71" s="25" t="n">
        <v>16</v>
      </c>
      <c r="F71" s="21" t="inlineStr">
        <is>
          <t>Opcional</t>
        </is>
      </c>
    </row>
    <row r="72">
      <c r="A72" s="10" t="inlineStr">
        <is>
          <t xml:space="preserve">        09  :PREFIX:-DT-NR-SINISTRO       PIC X(12).</t>
        </is>
      </c>
      <c r="B72" s="11" t="n"/>
      <c r="C72" s="25" t="inlineStr">
        <is>
          <t>Número do Sinistro</t>
        </is>
      </c>
      <c r="D72" s="13">
        <f>D71+E71</f>
        <v/>
      </c>
      <c r="E72" s="25" t="n">
        <v>12</v>
      </c>
      <c r="F72" s="21" t="inlineStr">
        <is>
          <t>Opcional</t>
        </is>
      </c>
    </row>
    <row r="73">
      <c r="A73" s="10" t="inlineStr">
        <is>
          <t xml:space="preserve">        09  :PREFIX:-DT-NR-RECIBO         PIC X(11).</t>
        </is>
      </c>
      <c r="B73" s="11" t="n"/>
      <c r="C73" s="39" t="inlineStr">
        <is>
          <t>Número do Recibo (Garantir que no máximo vem 11 posições Vida / 10 posições nos restantes)</t>
        </is>
      </c>
      <c r="D73" s="13">
        <f>D72+E72</f>
        <v/>
      </c>
      <c r="E73" s="16" t="n">
        <v>11</v>
      </c>
      <c r="F73" s="17" t="inlineStr">
        <is>
          <t>Obrigatório</t>
        </is>
      </c>
    </row>
    <row r="74">
      <c r="A74" s="10" t="inlineStr">
        <is>
          <t xml:space="preserve">        09  :PREFIX:-DT-TIPO-RECIBO       PIC X(12).</t>
        </is>
      </c>
      <c r="B74" s="11" t="n"/>
      <c r="C74" s="16" t="inlineStr">
        <is>
          <t>Tipo de Recibo</t>
        </is>
      </c>
      <c r="D74" s="13">
        <f>D73+E73</f>
        <v/>
      </c>
      <c r="E74" s="16" t="n">
        <v>12</v>
      </c>
      <c r="F74" s="17" t="inlineStr">
        <is>
          <t>Obrigatório</t>
        </is>
      </c>
    </row>
    <row r="75">
      <c r="A75" s="10" t="inlineStr">
        <is>
          <t xml:space="preserve">        09  :PREFIX:-DT-DATA-EMISSAO      PIC X(08).</t>
        </is>
      </c>
      <c r="B75" s="11" t="n"/>
      <c r="C75" s="16" t="inlineStr">
        <is>
          <t>Data Emissão [aaaammdd]</t>
        </is>
      </c>
      <c r="D75" s="13">
        <f>D74+E74</f>
        <v/>
      </c>
      <c r="E75" s="25" t="n">
        <v>8</v>
      </c>
      <c r="F75" s="21" t="inlineStr">
        <is>
          <t>Opcional</t>
        </is>
      </c>
    </row>
    <row r="76">
      <c r="A76" s="10" t="inlineStr">
        <is>
          <t xml:space="preserve">        09  :PREFIX:-DT-DATA-INICIO       PIC X(08).</t>
        </is>
      </c>
      <c r="B76" s="11" t="n"/>
      <c r="C76" s="16" t="inlineStr">
        <is>
          <t>Data Inicio [aaaammdd]</t>
        </is>
      </c>
      <c r="D76" s="13">
        <f>D75+E75</f>
        <v/>
      </c>
      <c r="E76" s="25" t="n">
        <v>8</v>
      </c>
      <c r="F76" s="21" t="inlineStr">
        <is>
          <t>Opcional</t>
        </is>
      </c>
    </row>
    <row r="77">
      <c r="A77" s="10" t="inlineStr">
        <is>
          <t xml:space="preserve">        09  :PREFIX:-DT-DATA-FIM          PIC X(08).</t>
        </is>
      </c>
      <c r="B77" s="11" t="n"/>
      <c r="C77" s="16" t="inlineStr">
        <is>
          <t>Data Fim [aaaammdd]</t>
        </is>
      </c>
      <c r="D77" s="13">
        <f>D76+E76</f>
        <v/>
      </c>
      <c r="E77" s="25" t="n">
        <v>8</v>
      </c>
      <c r="F77" s="21" t="inlineStr">
        <is>
          <t>Opcional</t>
        </is>
      </c>
    </row>
    <row r="78">
      <c r="A78" s="10" t="inlineStr">
        <is>
          <t xml:space="preserve">        09  :PREFIX:-DT-DATA-DEVIDO       PIC X(08).</t>
        </is>
      </c>
      <c r="B78" s="11" t="n"/>
      <c r="C78" s="16" t="inlineStr">
        <is>
          <t>Data Devido [aaaammdd]</t>
        </is>
      </c>
      <c r="D78" s="13">
        <f>D77+E77</f>
        <v/>
      </c>
      <c r="E78" s="25" t="n">
        <v>8</v>
      </c>
      <c r="F78" s="21" t="inlineStr">
        <is>
          <t>Opcional</t>
        </is>
      </c>
    </row>
    <row r="79">
      <c r="A79" s="40" t="inlineStr">
        <is>
          <t xml:space="preserve">        09  :PREFIX:-DT-VLR-PRM           PIC S9(12)V9(2)  SIGN LEADING SEPARATE.</t>
        </is>
      </c>
      <c r="B79" s="11" t="n"/>
      <c r="C79" s="25" t="inlineStr">
        <is>
          <t>Valor Prémio Comercial</t>
        </is>
      </c>
      <c r="D79" s="13">
        <f>D78+E78</f>
        <v/>
      </c>
      <c r="E79" s="25" t="n">
        <v>15</v>
      </c>
      <c r="F79" s="21" t="inlineStr">
        <is>
          <t>Opcional</t>
        </is>
      </c>
    </row>
    <row r="80">
      <c r="A80" s="40" t="inlineStr">
        <is>
          <t xml:space="preserve">        09  :PREFIX:-DT-VLR-REC           PIC S9(12)V9(2)  SIGN LEADING SEPARATE.</t>
        </is>
      </c>
      <c r="B80" s="11" t="n"/>
      <c r="C80" s="25" t="inlineStr">
        <is>
          <t>Valor Total Recibo</t>
        </is>
      </c>
      <c r="D80" s="13">
        <f>D79+E79</f>
        <v/>
      </c>
      <c r="E80" s="25" t="n">
        <v>15</v>
      </c>
      <c r="F80" s="21" t="inlineStr">
        <is>
          <t>Opcional</t>
        </is>
      </c>
    </row>
    <row r="81">
      <c r="A81" s="40" t="inlineStr">
        <is>
          <t xml:space="preserve">        09  :PREFIX:-DT-NUM-DIAS          PIC X(05).</t>
        </is>
      </c>
      <c r="B81" s="11" t="n"/>
      <c r="C81" s="25" t="inlineStr">
        <is>
          <t>Nº de Dias decorridos após a Data Devido</t>
        </is>
      </c>
      <c r="D81" s="13">
        <f>D80+E80</f>
        <v/>
      </c>
      <c r="E81" s="25" t="n">
        <v>5</v>
      </c>
      <c r="F81" s="17" t="inlineStr">
        <is>
          <t>Obrigatório</t>
        </is>
      </c>
    </row>
    <row r="82">
      <c r="A82" s="30" t="inlineStr">
        <is>
          <t xml:space="preserve">    07  FILLER                            PIC X(1930).</t>
        </is>
      </c>
      <c r="B82" s="31" t="n"/>
      <c r="C82" s="32" t="inlineStr">
        <is>
          <t>Espaços</t>
        </is>
      </c>
      <c r="D82" s="43">
        <f>D81+E81</f>
        <v/>
      </c>
      <c r="E82" s="32">
        <f>2200-D82</f>
        <v/>
      </c>
      <c r="F82" s="16" t="n"/>
    </row>
    <row r="83">
      <c r="A83" s="10" t="n"/>
      <c r="B83" s="11" t="n"/>
      <c r="C83" s="16" t="n"/>
      <c r="D83" s="13" t="n"/>
      <c r="E83" s="16" t="n"/>
      <c r="F83" s="16" t="n"/>
    </row>
    <row r="84">
      <c r="A84" s="5" t="inlineStr">
        <is>
          <t>05  FILLER  REDEFINES  :PREFIX:-DADOS-DOCUMENTO.</t>
        </is>
      </c>
      <c r="B84" s="6" t="n"/>
      <c r="C84" s="7" t="n"/>
      <c r="D84" s="8" t="n">
        <v>62</v>
      </c>
      <c r="E84" s="8" t="n">
        <v>0</v>
      </c>
      <c r="F84" s="13" t="n"/>
    </row>
    <row r="85">
      <c r="A85" s="30" t="inlineStr">
        <is>
          <t xml:space="preserve">    07  :PREFIX:-TOTAIS-RELACAO.</t>
        </is>
      </c>
      <c r="B85" s="31" t="n"/>
      <c r="C85" s="32" t="inlineStr">
        <is>
          <t>Totais da Relação (Registo do tipo 3)</t>
        </is>
      </c>
      <c r="D85" s="38">
        <f>D84+E84</f>
        <v/>
      </c>
      <c r="E85" s="32" t="n">
        <v>0</v>
      </c>
      <c r="F85" s="16" t="n"/>
    </row>
    <row r="86">
      <c r="A86" s="10" t="inlineStr">
        <is>
          <t xml:space="preserve">        09  :PREFIX:-TT-VLR-REC           PIC S9(12)V9(2)  SIGN LEADING SEPARATE.</t>
        </is>
      </c>
      <c r="B86" s="11" t="n"/>
      <c r="C86" s="16" t="inlineStr">
        <is>
          <t>Valor Total da relação de Recibos</t>
        </is>
      </c>
      <c r="D86" s="44">
        <f>D85+E85</f>
        <v/>
      </c>
      <c r="E86" s="16" t="n">
        <v>15</v>
      </c>
      <c r="F86" s="17" t="inlineStr">
        <is>
          <t>Obrigatório</t>
        </is>
      </c>
    </row>
    <row r="87">
      <c r="A87" s="30" t="inlineStr">
        <is>
          <t xml:space="preserve">    07  FILLER                            PIC X(2123).</t>
        </is>
      </c>
      <c r="B87" s="31" t="n"/>
      <c r="C87" s="32" t="inlineStr">
        <is>
          <t>Espaços</t>
        </is>
      </c>
      <c r="D87" s="38">
        <f>D86+E86</f>
        <v/>
      </c>
      <c r="E87" s="32">
        <f>2200-D87</f>
        <v/>
      </c>
      <c r="F87" s="16" t="n"/>
    </row>
  </sheetData>
  <mergeCells count="8">
    <mergeCell ref="F18:F25"/>
    <mergeCell ref="F9:F11"/>
    <mergeCell ref="F57:F59"/>
    <mergeCell ref="F31:F40"/>
    <mergeCell ref="F26:F27"/>
    <mergeCell ref="F3:F4"/>
    <mergeCell ref="F13:F17"/>
    <mergeCell ref="F5:F8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8"/>
  <sheetViews>
    <sheetView workbookViewId="0">
      <selection activeCell="A1" sqref="A1"/>
    </sheetView>
  </sheetViews>
  <sheetFormatPr baseColWidth="8" defaultRowHeight="14.4"/>
  <cols>
    <col width="112" customWidth="1" min="1" max="1"/>
    <col width="76.44140625" customWidth="1" min="2" max="2"/>
    <col width="7.6640625" customWidth="1" min="3" max="3"/>
    <col width="9.109375" customWidth="1" min="4" max="4"/>
    <col width="15.33203125" customWidth="1" min="5" max="5"/>
    <col width="13" customWidth="1" min="6" max="6"/>
  </cols>
  <sheetData>
    <row r="1">
      <c r="A1" s="1" t="inlineStr">
        <is>
          <t>Copybook</t>
        </is>
      </c>
      <c r="B1" s="2" t="inlineStr">
        <is>
          <t>Descrição / Valores Possiveis / [Formato]</t>
        </is>
      </c>
      <c r="C1" s="3" t="inlineStr">
        <is>
          <t>Posição</t>
        </is>
      </c>
      <c r="D1" s="3" t="inlineStr">
        <is>
          <t>Tamanho</t>
        </is>
      </c>
      <c r="E1" s="4" t="inlineStr">
        <is>
          <t>Observações</t>
        </is>
      </c>
    </row>
    <row r="2">
      <c r="A2" s="5" t="inlineStr">
        <is>
          <t>05  :PREFIX:-DADOS-REGISTO.</t>
        </is>
      </c>
      <c r="B2" s="7" t="n"/>
      <c r="C2" s="8" t="n">
        <v>1</v>
      </c>
      <c r="D2" s="8" t="n">
        <v>0</v>
      </c>
      <c r="E2" s="45" t="n"/>
    </row>
    <row r="3">
      <c r="A3" s="46" t="inlineStr">
        <is>
          <t xml:space="preserve">  07  :PREFIX:-COD-COMPANHIA            PIC X(03).</t>
        </is>
      </c>
      <c r="B3" s="47" t="inlineStr">
        <is>
          <t>Código de identificação da Companhia</t>
        </is>
      </c>
      <c r="C3" s="48">
        <f>C2+D2</f>
        <v/>
      </c>
      <c r="D3" s="48" t="n">
        <v>3</v>
      </c>
      <c r="E3" s="17" t="inlineStr">
        <is>
          <t>Obrigatório</t>
        </is>
      </c>
    </row>
    <row r="4">
      <c r="A4" s="46" t="inlineStr">
        <is>
          <t xml:space="preserve">    88  :PREFIX:-CC-FIDELIDADE                  VALUE '128'.</t>
        </is>
      </c>
      <c r="B4" s="47" t="inlineStr">
        <is>
          <t xml:space="preserve">     '128' - Fidelidade</t>
        </is>
      </c>
      <c r="C4" s="48" t="n"/>
      <c r="D4" s="48" t="n"/>
      <c r="E4" s="15" t="n"/>
    </row>
    <row r="5">
      <c r="A5" s="46" t="inlineStr">
        <is>
          <t xml:space="preserve">    88  :PREFIX:-CC-IMPERIO                     VALUE '138'.</t>
        </is>
      </c>
      <c r="B5" s="47" t="inlineStr">
        <is>
          <t xml:space="preserve">     '138' - Império</t>
        </is>
      </c>
      <c r="C5" s="48" t="n"/>
      <c r="D5" s="48" t="n"/>
      <c r="E5" s="15" t="n"/>
    </row>
    <row r="6">
      <c r="A6" s="49" t="inlineStr">
        <is>
          <t xml:space="preserve">    88  :PREFIX:-CC-VIADIRECTA                  VALUE '111'.</t>
        </is>
      </c>
      <c r="B6" s="50" t="inlineStr">
        <is>
          <t xml:space="preserve">     '111' - Via Directa</t>
        </is>
      </c>
      <c r="C6" s="51" t="n"/>
      <c r="D6" s="51" t="n"/>
      <c r="E6" s="15" t="n"/>
      <c r="F6" s="52" t="inlineStr">
        <is>
          <t>Valores não considerados</t>
        </is>
      </c>
    </row>
    <row r="7">
      <c r="A7" s="49" t="inlineStr">
        <is>
          <t xml:space="preserve">    88  :PREFIX:-CC-MULTICARE                   VALUE '148'.</t>
        </is>
      </c>
      <c r="B7" s="50" t="inlineStr">
        <is>
          <t xml:space="preserve">     '148' - Multicare</t>
        </is>
      </c>
      <c r="C7" s="53" t="n"/>
      <c r="D7" s="53" t="n"/>
      <c r="E7" s="18" t="n"/>
      <c r="F7" s="18" t="n"/>
    </row>
    <row r="8">
      <c r="A8" s="46" t="inlineStr">
        <is>
          <t xml:space="preserve">  07  :PREFIX:-COD-MARCA                PIC X(03).</t>
        </is>
      </c>
      <c r="B8" s="47" t="inlineStr">
        <is>
          <t>Código de identificação da Marca</t>
        </is>
      </c>
      <c r="C8" s="48">
        <f>C3+D3</f>
        <v/>
      </c>
      <c r="D8" s="54" t="n">
        <v>3</v>
      </c>
      <c r="E8" s="17" t="inlineStr">
        <is>
          <t>Obrigatório</t>
        </is>
      </c>
    </row>
    <row r="9">
      <c r="A9" s="46" t="inlineStr">
        <is>
          <t xml:space="preserve">    88  :PREFIX:-CM-FIDELIDADE                  VALUE '002'.</t>
        </is>
      </c>
      <c r="B9" s="47" t="inlineStr">
        <is>
          <t xml:space="preserve">     '002' - Fidelidade</t>
        </is>
      </c>
      <c r="C9" s="54" t="n"/>
      <c r="D9" s="54" t="n"/>
      <c r="E9" s="15" t="n"/>
    </row>
    <row r="10">
      <c r="A10" s="46" t="inlineStr">
        <is>
          <t xml:space="preserve">    88  :PREFIX:-CM-FIDELIDADE-LEVE             VALUE 'L02'.</t>
        </is>
      </c>
      <c r="B10" s="47" t="inlineStr">
        <is>
          <t xml:space="preserve">     'L02' - Fidelidade Leve</t>
        </is>
      </c>
      <c r="C10" s="54" t="n"/>
      <c r="D10" s="54" t="n"/>
      <c r="E10" s="15" t="n"/>
    </row>
    <row r="11">
      <c r="A11" s="46" t="inlineStr">
        <is>
          <t xml:space="preserve">    88  :PREFIX:-CM-IMPERIO                     VALUE '003'.</t>
        </is>
      </c>
      <c r="B11" s="47" t="inlineStr">
        <is>
          <t xml:space="preserve">     '003' - Império</t>
        </is>
      </c>
      <c r="C11" s="54" t="n"/>
      <c r="D11" s="54" t="n"/>
      <c r="E11" s="15" t="n"/>
    </row>
    <row r="12">
      <c r="A12" s="46" t="inlineStr">
        <is>
          <t xml:space="preserve">    88  :PREFIX:-CM-IMPERIO-LEVE                VALUE 'L03'.</t>
        </is>
      </c>
      <c r="B12" s="47" t="inlineStr">
        <is>
          <t xml:space="preserve">     'L03' - Império Leve</t>
        </is>
      </c>
      <c r="C12" s="54" t="n"/>
      <c r="D12" s="54" t="n"/>
      <c r="E12" s="15" t="n"/>
    </row>
    <row r="13">
      <c r="A13" s="46" t="inlineStr">
        <is>
          <t xml:space="preserve">    88  :PREFIX:-CM-ICI                         VALUE '004'.</t>
        </is>
      </c>
      <c r="B13" s="47" t="inlineStr">
        <is>
          <t xml:space="preserve">     '004' - ICI</t>
        </is>
      </c>
      <c r="C13" s="54" t="n"/>
      <c r="D13" s="54" t="n"/>
      <c r="E13" s="15" t="n"/>
    </row>
    <row r="14">
      <c r="A14" s="49" t="inlineStr">
        <is>
          <t xml:space="preserve">    88  :PREFIX:-CM-VIADIRECTA                  VALUE '001'.</t>
        </is>
      </c>
      <c r="B14" s="50" t="inlineStr">
        <is>
          <t xml:space="preserve">     '001' - OK Teleseguro</t>
        </is>
      </c>
      <c r="C14" s="53" t="n"/>
      <c r="D14" s="53" t="n"/>
      <c r="E14" s="15" t="n"/>
      <c r="F14" s="52" t="inlineStr">
        <is>
          <t>Valores não considerados</t>
        </is>
      </c>
    </row>
    <row r="15">
      <c r="A15" s="49" t="inlineStr">
        <is>
          <t xml:space="preserve">    88  :PREFIX:-CM-SONAE                       VALUE '005'.</t>
        </is>
      </c>
      <c r="B15" s="50" t="inlineStr">
        <is>
          <t xml:space="preserve">     '005' - Continente</t>
        </is>
      </c>
      <c r="C15" s="53" t="n"/>
      <c r="D15" s="53" t="n"/>
      <c r="E15" s="15" t="n"/>
      <c r="F15" s="15" t="n"/>
    </row>
    <row r="16">
      <c r="A16" s="49" t="inlineStr">
        <is>
          <t xml:space="preserve">    88  :PREFIX:-CM-MULTICARE                   VALUE '006'.</t>
        </is>
      </c>
      <c r="B16" s="50" t="inlineStr">
        <is>
          <t xml:space="preserve">     '006' - Multicare</t>
        </is>
      </c>
      <c r="C16" s="53" t="n"/>
      <c r="D16" s="53" t="n"/>
      <c r="E16" s="18" t="n"/>
      <c r="F16" s="18" t="n"/>
    </row>
    <row r="17">
      <c r="A17" s="46" t="inlineStr">
        <is>
          <t xml:space="preserve">  07  :PREFIX:-COD-ORIGEM               PIC X(03).</t>
        </is>
      </c>
      <c r="B17" s="47" t="inlineStr">
        <is>
          <t>Código de identificação do Sistema Origem</t>
        </is>
      </c>
      <c r="C17" s="48">
        <f>C8+D8</f>
        <v/>
      </c>
      <c r="D17" s="54" t="n">
        <v>3</v>
      </c>
      <c r="E17" s="17" t="inlineStr">
        <is>
          <t>Obrigatório</t>
        </is>
      </c>
    </row>
    <row r="18">
      <c r="A18" s="49" t="inlineStr">
        <is>
          <t xml:space="preserve">    88  :PREFIX:-CO-COGEN22                     VALUE 'C22'.</t>
        </is>
      </c>
      <c r="B18" s="53" t="inlineStr">
        <is>
          <t xml:space="preserve">     'C22' - Cogen 2.2</t>
        </is>
      </c>
      <c r="C18" s="53" t="n"/>
      <c r="D18" s="53" t="n"/>
      <c r="E18" s="15" t="n"/>
      <c r="F18" s="52" t="inlineStr">
        <is>
          <t>Valores não considerados</t>
        </is>
      </c>
    </row>
    <row r="19">
      <c r="A19" s="49" t="inlineStr">
        <is>
          <t xml:space="preserve">    88  :PREFIX:-CO-COGEN33                     VALUE 'C33'.</t>
        </is>
      </c>
      <c r="B19" s="53" t="inlineStr">
        <is>
          <t xml:space="preserve">     'C33' - Cogen 3.3</t>
        </is>
      </c>
      <c r="C19" s="53" t="n"/>
      <c r="D19" s="53" t="n"/>
      <c r="E19" s="15" t="n"/>
      <c r="F19" s="15" t="n"/>
    </row>
    <row r="20">
      <c r="A20" s="49" t="inlineStr">
        <is>
          <t xml:space="preserve">    88  :PREFIX:-CO-COGEN41                     VALUE 'C41'.</t>
        </is>
      </c>
      <c r="B20" s="53" t="inlineStr">
        <is>
          <t xml:space="preserve">     'C41' - Cogen 4.1</t>
        </is>
      </c>
      <c r="C20" s="53" t="n"/>
      <c r="D20" s="53" t="n"/>
      <c r="E20" s="15" t="n"/>
      <c r="F20" s="15" t="n"/>
    </row>
    <row r="21">
      <c r="A21" s="49" t="inlineStr">
        <is>
          <t xml:space="preserve">    88  :PREFIX:-CO-PRIC41                      VALUE 'P41'.</t>
        </is>
      </c>
      <c r="B21" s="53" t="inlineStr">
        <is>
          <t xml:space="preserve">     'P41' - PRIC</t>
        </is>
      </c>
      <c r="C21" s="53" t="n"/>
      <c r="D21" s="53" t="n"/>
      <c r="E21" s="15" t="n"/>
      <c r="F21" s="15" t="n"/>
    </row>
    <row r="22">
      <c r="A22" s="49" t="inlineStr">
        <is>
          <t xml:space="preserve">    88  :PREFIX:-CO-COLHEITAS                   VALUE 'CLH'.</t>
        </is>
      </c>
      <c r="B22" s="53" t="inlineStr">
        <is>
          <t xml:space="preserve">     'CLH' - Colheitas (GIC)</t>
        </is>
      </c>
      <c r="C22" s="53" t="n"/>
      <c r="D22" s="53" t="n"/>
      <c r="E22" s="15" t="n"/>
      <c r="F22" s="15" t="n"/>
    </row>
    <row r="23">
      <c r="A23" s="49" t="inlineStr">
        <is>
          <t xml:space="preserve">    88  :PREFIX:-CO-PAXUS                       VALUE 'PXS'.</t>
        </is>
      </c>
      <c r="B23" s="53" t="inlineStr">
        <is>
          <t xml:space="preserve">     'PXS' - Paxus</t>
        </is>
      </c>
      <c r="C23" s="53" t="n"/>
      <c r="D23" s="53" t="n"/>
      <c r="E23" s="15" t="n"/>
      <c r="F23" s="15" t="n"/>
    </row>
    <row r="24">
      <c r="A24" s="49" t="inlineStr">
        <is>
          <t xml:space="preserve">    88  :PREFIX:-CO-VIDA-GRUPO                  VALUE 'FGS'.</t>
        </is>
      </c>
      <c r="B24" s="53" t="inlineStr">
        <is>
          <t xml:space="preserve">     'FGS' - FGS</t>
        </is>
      </c>
      <c r="C24" s="53" t="n"/>
      <c r="D24" s="53" t="n"/>
      <c r="E24" s="15" t="n"/>
      <c r="F24" s="15" t="n"/>
    </row>
    <row r="25">
      <c r="A25" s="49" t="inlineStr">
        <is>
          <t xml:space="preserve">    88  :PREFIX:-CO-VIDA-IND                    VALUE 'RVI'.</t>
        </is>
      </c>
      <c r="B25" s="53" t="inlineStr">
        <is>
          <t xml:space="preserve">     'RVI' - RVI</t>
        </is>
      </c>
      <c r="C25" s="53" t="n"/>
      <c r="D25" s="53" t="n"/>
      <c r="E25" s="15" t="n"/>
      <c r="F25" s="18" t="n"/>
    </row>
    <row r="26">
      <c r="A26" s="46" t="inlineStr">
        <is>
          <t xml:space="preserve">    88  :PREFIX:-CO-GIS                         VALUE 'GIS'.</t>
        </is>
      </c>
      <c r="B26" s="54" t="inlineStr">
        <is>
          <t xml:space="preserve">     'GIS' - GIS</t>
        </is>
      </c>
      <c r="C26" s="54" t="n"/>
      <c r="D26" s="54" t="n"/>
      <c r="E26" s="18" t="n"/>
    </row>
    <row r="27">
      <c r="A27" s="46" t="inlineStr">
        <is>
          <t xml:space="preserve">  07  :PREFIX:-COD-POSTALM              PIC X(09).</t>
        </is>
      </c>
      <c r="B27" s="54" t="inlineStr">
        <is>
          <t>Código postal do Mediador (Se estrangeiro deverá vir a zeros) [9999-999]</t>
        </is>
      </c>
      <c r="C27" s="54">
        <f>C17+D17</f>
        <v/>
      </c>
      <c r="D27" s="54" t="n">
        <v>9</v>
      </c>
      <c r="E27" s="21" t="inlineStr">
        <is>
          <t>Opcional</t>
        </is>
      </c>
    </row>
    <row r="28">
      <c r="A28" s="46" t="inlineStr">
        <is>
          <t xml:space="preserve">  07  :PREFIX:-NR-MEDIADOR              PIC X(10).</t>
        </is>
      </c>
      <c r="B28" s="54" t="inlineStr">
        <is>
          <t>Número do Mediador</t>
        </is>
      </c>
      <c r="C28" s="48">
        <f>C27+D27</f>
        <v/>
      </c>
      <c r="D28" s="54" t="n">
        <v>10</v>
      </c>
      <c r="E28" s="21" t="inlineStr">
        <is>
          <t>Opcional</t>
        </is>
      </c>
    </row>
    <row r="29">
      <c r="A29" s="46" t="inlineStr">
        <is>
          <t xml:space="preserve">  07  :PREFIX:-COD-POSTALC              PIC X(09).</t>
        </is>
      </c>
      <c r="B29" s="54" t="inlineStr">
        <is>
          <t>Código postal do Cliente (Se estrangeiro deverá vir a zeros) [9999-999]</t>
        </is>
      </c>
      <c r="C29" s="55">
        <f>C28+D28</f>
        <v/>
      </c>
      <c r="D29" s="54" t="n">
        <v>9</v>
      </c>
      <c r="E29" s="17" t="inlineStr">
        <is>
          <t>Obrigatório</t>
        </is>
      </c>
    </row>
    <row r="30">
      <c r="A30" s="46" t="inlineStr">
        <is>
          <t xml:space="preserve">  07  :PREFIX:-NR-CLIENTE               PIC X(10).</t>
        </is>
      </c>
      <c r="B30" s="54" t="inlineStr">
        <is>
          <t>Número do Cliente</t>
        </is>
      </c>
      <c r="C30" s="48">
        <f>C29+D29</f>
        <v/>
      </c>
      <c r="D30" s="54" t="n">
        <v>10</v>
      </c>
      <c r="E30" s="17" t="inlineStr">
        <is>
          <t>Obrigatório</t>
        </is>
      </c>
    </row>
    <row r="31">
      <c r="A31" s="46" t="inlineStr">
        <is>
          <t xml:space="preserve">  07  :PREFIX:-NR-APOLICE               PIC X(16).</t>
        </is>
      </c>
      <c r="B31" s="54" t="inlineStr">
        <is>
          <t>Número da Apólice</t>
        </is>
      </c>
      <c r="C31" s="48">
        <f>C30+D30</f>
        <v/>
      </c>
      <c r="D31" s="54" t="n">
        <v>16</v>
      </c>
      <c r="E31" s="21" t="inlineStr">
        <is>
          <t>Opcional</t>
        </is>
      </c>
    </row>
    <row r="32">
      <c r="A32" s="46" t="inlineStr">
        <is>
          <t xml:space="preserve">  07  :PREFIX:-COD-PRODUTO              PIC X(06).</t>
        </is>
      </c>
      <c r="B32" s="47" t="inlineStr">
        <is>
          <t>Código do Produto</t>
        </is>
      </c>
      <c r="C32" s="48">
        <f>C31+D31</f>
        <v/>
      </c>
      <c r="D32" s="48" t="n">
        <v>6</v>
      </c>
      <c r="E32" s="17" t="inlineStr">
        <is>
          <t>Obrigatório</t>
        </is>
      </c>
    </row>
    <row r="33">
      <c r="A33" s="46" t="inlineStr">
        <is>
          <t xml:space="preserve">  07  :PREFIX:-DATA-HORA                PIC X(14).</t>
        </is>
      </c>
      <c r="B33" s="47" t="inlineStr">
        <is>
          <t>Data e hora da emissão do documento  [AAAAMMDDhhmmss]</t>
        </is>
      </c>
      <c r="C33" s="48">
        <f>C32+D32</f>
        <v/>
      </c>
      <c r="D33" s="48" t="n">
        <v>14</v>
      </c>
      <c r="E33" s="17" t="inlineStr">
        <is>
          <t>Obrigatório</t>
        </is>
      </c>
    </row>
    <row r="34">
      <c r="A34" s="46" t="inlineStr">
        <is>
          <t xml:space="preserve">  07  FILLER                            PIC 9(07).</t>
        </is>
      </c>
      <c r="B34" s="47" t="inlineStr">
        <is>
          <t>Número de ordem do documento: Espaços (:PREFIX:-NUM-DOC)</t>
        </is>
      </c>
      <c r="C34" s="48">
        <f>C33+D33</f>
        <v/>
      </c>
      <c r="D34" s="48" t="n">
        <v>7</v>
      </c>
      <c r="E34" s="56" t="inlineStr">
        <is>
          <t>Espaços</t>
        </is>
      </c>
    </row>
    <row r="35">
      <c r="A35" s="46" t="inlineStr">
        <is>
          <t xml:space="preserve">  07  FILLER                            PIC 9(07).</t>
        </is>
      </c>
      <c r="B35" s="47" t="inlineStr">
        <is>
          <t>Número de ordem do registo: Espaços (:PREFIX:-NUM-REGISTO)</t>
        </is>
      </c>
      <c r="C35" s="48">
        <f>C34+D34</f>
        <v/>
      </c>
      <c r="D35" s="48" t="n">
        <v>7</v>
      </c>
      <c r="E35" s="56" t="inlineStr">
        <is>
          <t>Espaços</t>
        </is>
      </c>
    </row>
    <row r="36">
      <c r="A36" s="46" t="inlineStr">
        <is>
          <t xml:space="preserve">  07  FILLER                            PIC X(04).</t>
        </is>
      </c>
      <c r="B36" s="47" t="inlineStr">
        <is>
          <t>Código da assinatura do documento: Espaços (:PREFIX:-COD-ASSINATURA)</t>
        </is>
      </c>
      <c r="C36" s="48">
        <f>C35+D35</f>
        <v/>
      </c>
      <c r="D36" s="48" t="n">
        <v>4</v>
      </c>
      <c r="E36" s="56" t="inlineStr">
        <is>
          <t>Espaços</t>
        </is>
      </c>
    </row>
    <row r="37">
      <c r="A37" s="46" t="inlineStr">
        <is>
          <t xml:space="preserve">  07  FILLER                            PIC X(04).</t>
        </is>
      </c>
      <c r="B37" s="47" t="inlineStr">
        <is>
          <t>Código de identificação do Tipo de Documento</t>
        </is>
      </c>
      <c r="C37" s="48">
        <f>C36+D36</f>
        <v/>
      </c>
      <c r="D37" s="48" t="n">
        <v>4</v>
      </c>
      <c r="E37" s="56" t="inlineStr">
        <is>
          <t>Espaços</t>
        </is>
      </c>
    </row>
    <row r="38">
      <c r="A38" s="46" t="inlineStr">
        <is>
          <t xml:space="preserve">  07  :PREFIX:-TIPO-IMPRESSAO           PIC X(03).</t>
        </is>
      </c>
      <c r="B38" s="47" t="inlineStr">
        <is>
          <t>Código de identificação do tipo de impressão [Espaços para o DOC-ID = '006']</t>
        </is>
      </c>
      <c r="C38" s="48">
        <f>C37+D37</f>
        <v/>
      </c>
      <c r="D38" s="48" t="n">
        <v>3</v>
      </c>
      <c r="E38" s="17" t="inlineStr">
        <is>
          <t>Obrigatório</t>
        </is>
      </c>
    </row>
    <row r="39">
      <c r="A39" s="49" t="inlineStr">
        <is>
          <t xml:space="preserve">    88  :PREFIX:-CEN-AGR-EX                     VALUE 'CAE'.</t>
        </is>
      </c>
      <c r="B39" s="50" t="inlineStr">
        <is>
          <t xml:space="preserve">     'CAE' - Centralizado/Agrupado/Expedir</t>
        </is>
      </c>
      <c r="C39" s="51" t="n"/>
      <c r="D39" s="51" t="n"/>
      <c r="E39" s="15" t="n"/>
      <c r="F39" s="52" t="inlineStr">
        <is>
          <t>Valores não considerados</t>
        </is>
      </c>
    </row>
    <row r="40">
      <c r="A40" s="49" t="inlineStr">
        <is>
          <t xml:space="preserve">    88  :PREFIX:-CEN-AGR-NEX                    VALUE 'CAN'.</t>
        </is>
      </c>
      <c r="B40" s="50" t="inlineStr">
        <is>
          <t xml:space="preserve">     'CAN' - Centralizado/Agrupado/Não Expedir</t>
        </is>
      </c>
      <c r="C40" s="51" t="n"/>
      <c r="D40" s="51" t="n"/>
      <c r="E40" s="15" t="n"/>
      <c r="F40" s="15" t="n"/>
    </row>
    <row r="41">
      <c r="A41" s="49" t="inlineStr">
        <is>
          <t xml:space="preserve">    88  :PREFIX:-CEN-NAGR-EX                    VALUE 'CNE'.</t>
        </is>
      </c>
      <c r="B41" s="50" t="inlineStr">
        <is>
          <t xml:space="preserve">     'CNE' - Centralizado/Não Agrupado/Expedir</t>
        </is>
      </c>
      <c r="C41" s="51" t="n"/>
      <c r="D41" s="51" t="n"/>
      <c r="E41" s="15" t="n"/>
      <c r="F41" s="15" t="n"/>
    </row>
    <row r="42">
      <c r="A42" s="49" t="inlineStr">
        <is>
          <t xml:space="preserve">    88  :PREFIX:-CEN-NAGR-NEX                   VALUE 'CNN'.</t>
        </is>
      </c>
      <c r="B42" s="50" t="inlineStr">
        <is>
          <t xml:space="preserve">     'CNN' - Centralizado/Não Agrupado/Não Expedir</t>
        </is>
      </c>
      <c r="C42" s="51" t="n"/>
      <c r="D42" s="51" t="n"/>
      <c r="E42" s="15" t="n"/>
      <c r="F42" s="15" t="n"/>
    </row>
    <row r="43">
      <c r="A43" s="49" t="inlineStr">
        <is>
          <t xml:space="preserve">    88  :PREFIX:-DES-AGR-NEX                    VALUE 'DAN'.</t>
        </is>
      </c>
      <c r="B43" s="50" t="inlineStr">
        <is>
          <t xml:space="preserve">     'DAN' - Descentralizado/Agrupado/Não Expedir</t>
        </is>
      </c>
      <c r="C43" s="51" t="n"/>
      <c r="D43" s="51" t="n"/>
      <c r="E43" s="15" t="n"/>
      <c r="F43" s="15" t="n"/>
    </row>
    <row r="44">
      <c r="A44" s="49" t="inlineStr">
        <is>
          <t xml:space="preserve">    88  :PREFIX:-DES-NAGR-NEX                   VALUE 'DNN'.</t>
        </is>
      </c>
      <c r="B44" s="50" t="inlineStr">
        <is>
          <t xml:space="preserve">     'DNN' - Descentralizado/Não Agrupado/Não Expedir</t>
        </is>
      </c>
      <c r="C44" s="51" t="n"/>
      <c r="D44" s="51" t="n"/>
      <c r="E44" s="15" t="n"/>
      <c r="F44" s="18" t="n"/>
    </row>
    <row r="45">
      <c r="A45" s="57" t="inlineStr">
        <is>
          <t xml:space="preserve">    88  :PREFIX:-IMP-ONLINE                     VALUE 'ONL'.</t>
        </is>
      </c>
      <c r="B45" s="58" t="inlineStr">
        <is>
          <t xml:space="preserve">     'ONL' - Impressão Online (Não Expedir)</t>
        </is>
      </c>
      <c r="C45" s="48" t="n"/>
      <c r="D45" s="48" t="n"/>
      <c r="E45" s="15" t="n"/>
    </row>
    <row r="46">
      <c r="A46" s="57" t="inlineStr">
        <is>
          <t xml:space="preserve">    88  :PREFIX:-IMP-EXPEDIR                    VALUE 'EXP'.</t>
        </is>
      </c>
      <c r="B46" s="58" t="inlineStr">
        <is>
          <t xml:space="preserve">     'EXP' - Impressão Batch (Expedir)</t>
        </is>
      </c>
      <c r="C46" s="48" t="n"/>
      <c r="D46" s="48" t="n"/>
      <c r="E46" s="18" t="n"/>
    </row>
    <row r="47">
      <c r="A47" s="46" t="inlineStr">
        <is>
          <t xml:space="preserve">  07  :PREFIX:-COD-IMPRESSORA           PIC X(08).</t>
        </is>
      </c>
      <c r="B47" s="47" t="inlineStr">
        <is>
          <t>Código da impressora</t>
        </is>
      </c>
      <c r="C47" s="48">
        <f>C38+D38</f>
        <v/>
      </c>
      <c r="D47" s="48" t="n">
        <v>8</v>
      </c>
      <c r="E47" s="21" t="inlineStr">
        <is>
          <t>Opcional</t>
        </is>
      </c>
    </row>
    <row r="48">
      <c r="A48" s="46" t="inlineStr">
        <is>
          <t xml:space="preserve">  07  :PREFIX:-COD-DOC-ORIGEM           PIC X(10).</t>
        </is>
      </c>
      <c r="B48" s="47" t="inlineStr">
        <is>
          <t>Código do documento de origem</t>
        </is>
      </c>
      <c r="C48" s="48">
        <f>C47+D47</f>
        <v/>
      </c>
      <c r="D48" s="48" t="n">
        <v>10</v>
      </c>
      <c r="E48" s="17" t="inlineStr">
        <is>
          <t>Obrigatório</t>
        </is>
      </c>
    </row>
    <row r="49">
      <c r="A49" s="46" t="inlineStr">
        <is>
          <t xml:space="preserve">  07  :PREFIX:-TIPO-REG                 PIC X(04).</t>
        </is>
      </c>
      <c r="B49" s="47" t="inlineStr">
        <is>
          <t>Tipo de Registo</t>
        </is>
      </c>
      <c r="C49" s="48">
        <f>C48+D48</f>
        <v/>
      </c>
      <c r="D49" s="48" t="n">
        <v>4</v>
      </c>
      <c r="E49" s="17" t="inlineStr">
        <is>
          <t>Obrigatório</t>
        </is>
      </c>
    </row>
    <row r="50">
      <c r="A50" s="49" t="inlineStr">
        <is>
          <t xml:space="preserve">    88  :PREFIX:-TIPO-HEADERMM                  VALUE 'HDMM'.</t>
        </is>
      </c>
      <c r="B50" s="50" t="inlineStr">
        <is>
          <t xml:space="preserve">     'HDMM' - Registo tipo header (Endereçamento)GIS</t>
        </is>
      </c>
      <c r="C50" s="51" t="n"/>
      <c r="D50" s="51" t="n"/>
      <c r="E50" s="15" t="n"/>
      <c r="F50" s="52" t="inlineStr">
        <is>
          <t>Valores não considerados</t>
        </is>
      </c>
    </row>
    <row r="51">
      <c r="A51" s="49" t="inlineStr">
        <is>
          <t xml:space="preserve">    88  :PREFIX:-TIPO-HEADER01                  VALUE 'HD01'.</t>
        </is>
      </c>
      <c r="B51" s="50" t="inlineStr">
        <is>
          <t xml:space="preserve">     'HD01' - Registo tipo header (cartas) FGS</t>
        </is>
      </c>
      <c r="C51" s="51" t="n"/>
      <c r="D51" s="51" t="n"/>
      <c r="E51" s="15" t="n"/>
      <c r="F51" s="15" t="n"/>
    </row>
    <row r="52">
      <c r="A52" s="49" t="inlineStr">
        <is>
          <t xml:space="preserve">    88  :PREFIX:-TIPO-HEADER02                  VALUE 'HD02'.</t>
        </is>
      </c>
      <c r="B52" s="50" t="inlineStr">
        <is>
          <t xml:space="preserve">     'HD02' - Registo tipo header (CP, Cert.) FGS</t>
        </is>
      </c>
      <c r="C52" s="51" t="n"/>
      <c r="D52" s="51" t="n"/>
      <c r="E52" s="15" t="n"/>
      <c r="F52" s="15" t="n"/>
    </row>
    <row r="53">
      <c r="A53" s="49" t="inlineStr">
        <is>
          <t xml:space="preserve">    88  :PREFIX:-TIPO-HEADER03                  VALUE 'HD03'.</t>
        </is>
      </c>
      <c r="B53" s="50" t="inlineStr">
        <is>
          <t xml:space="preserve">     'HD03' - Registo tipo header (dt, assuntos) GIS</t>
        </is>
      </c>
      <c r="C53" s="51" t="n"/>
      <c r="D53" s="51" t="n"/>
      <c r="E53" s="15" t="n"/>
      <c r="F53" s="15" t="n"/>
    </row>
    <row r="54">
      <c r="A54" s="49" t="inlineStr">
        <is>
          <t xml:space="preserve">    88  :PREFIX:-TIPO-HEADER04                  VALUE 'HD04'.</t>
        </is>
      </c>
      <c r="B54" s="50" t="inlineStr">
        <is>
          <t xml:space="preserve">     'HD04' - Registo tipo header (CP's e Cert) GIS</t>
        </is>
      </c>
      <c r="C54" s="51" t="n"/>
      <c r="D54" s="51" t="n"/>
      <c r="E54" s="15" t="n"/>
      <c r="F54" s="15" t="n"/>
    </row>
    <row r="55">
      <c r="A55" s="49" t="inlineStr">
        <is>
          <t xml:space="preserve">    88  :PREFIX:-TIPO-HEADER05                  VALUE 'HD05'.</t>
        </is>
      </c>
      <c r="B55" s="50" t="inlineStr">
        <is>
          <t xml:space="preserve">     'HD05' - Registo tipo header (Extractos) GIS</t>
        </is>
      </c>
      <c r="C55" s="51" t="n"/>
      <c r="D55" s="51" t="n"/>
      <c r="E55" s="15" t="n"/>
      <c r="F55" s="15" t="n"/>
    </row>
    <row r="56">
      <c r="A56" s="49" t="inlineStr">
        <is>
          <t xml:space="preserve">    88  :PREFIX:-TIPO-HEADER06                  VALUE 'HD06'.</t>
        </is>
      </c>
      <c r="B56" s="50" t="inlineStr">
        <is>
          <t xml:space="preserve">     'HD06' - Registo tipo header (Recibos de Sinistros)</t>
        </is>
      </c>
      <c r="C56" s="51" t="n"/>
      <c r="D56" s="51" t="n"/>
      <c r="E56" s="15" t="n"/>
      <c r="F56" s="15" t="n"/>
    </row>
    <row r="57">
      <c r="A57" s="49" t="inlineStr">
        <is>
          <t xml:space="preserve">    88  :PREFIX:-FRASE-REEMIS                   VALUE 'DT00'.</t>
        </is>
      </c>
      <c r="B57" s="50" t="inlineStr">
        <is>
          <t xml:space="preserve">     'DT00' - Registo tipo detalhe</t>
        </is>
      </c>
      <c r="C57" s="51" t="n"/>
      <c r="D57" s="51" t="n"/>
      <c r="E57" s="15" t="n"/>
      <c r="F57" s="15" t="n"/>
    </row>
    <row r="58">
      <c r="A58" s="49" t="inlineStr">
        <is>
          <t xml:space="preserve">    88  :PREFIX:-TIPO-DETALHE                   VALUE 'DT01'.</t>
        </is>
      </c>
      <c r="B58" s="50" t="inlineStr">
        <is>
          <t xml:space="preserve">     'DT01' - Registo tipo detalhe</t>
        </is>
      </c>
      <c r="C58" s="51" t="n"/>
      <c r="D58" s="51" t="n"/>
      <c r="E58" s="15" t="n"/>
      <c r="F58" s="15" t="n"/>
    </row>
    <row r="59">
      <c r="A59" s="49" t="inlineStr">
        <is>
          <t xml:space="preserve">    88  :PREFIX:-FIM-DOCUMENTO                  VALUE 'ENDD'.</t>
        </is>
      </c>
      <c r="B59" s="50" t="inlineStr">
        <is>
          <t xml:space="preserve">     'ENDD' - Fim de Documento</t>
        </is>
      </c>
      <c r="C59" s="51" t="n"/>
      <c r="D59" s="51" t="n"/>
      <c r="E59" s="15" t="n"/>
      <c r="F59" s="15" t="n"/>
    </row>
    <row r="60">
      <c r="A60" s="49" t="inlineStr">
        <is>
          <t xml:space="preserve">    88  :PREFIX:-TRSF-0001                      VALUE '0001'.</t>
        </is>
      </c>
      <c r="B60" s="50" t="inlineStr">
        <is>
          <t xml:space="preserve">     '0001' - Transf de Carteira dados Endereçamento (DOC-ID = '006')</t>
        </is>
      </c>
      <c r="C60" s="51" t="n"/>
      <c r="D60" s="51" t="n"/>
      <c r="E60" s="15" t="n"/>
      <c r="F60" s="15" t="n"/>
    </row>
    <row r="61">
      <c r="A61" s="49" t="inlineStr">
        <is>
          <t xml:space="preserve">    88  :PREFIX:-TRSF-0002                      VALUE '0002'.</t>
        </is>
      </c>
      <c r="B61" s="50" t="inlineStr">
        <is>
          <t xml:space="preserve">     '0002' - Transf de Carteira dados Mediador (DOC-ID = '006')</t>
        </is>
      </c>
      <c r="C61" s="51" t="n"/>
      <c r="D61" s="51" t="n"/>
      <c r="E61" s="15" t="n"/>
      <c r="F61" s="15" t="n"/>
    </row>
    <row r="62">
      <c r="A62" s="49" t="inlineStr">
        <is>
          <t xml:space="preserve">    88  :PREFIX:-TRSF-0003                      VALUE '0003'.</t>
        </is>
      </c>
      <c r="B62" s="50" t="inlineStr">
        <is>
          <t xml:space="preserve">     '0003' - Transf de Carteira restantes dados (DOC-ID = '006')</t>
        </is>
      </c>
      <c r="C62" s="51" t="n"/>
      <c r="D62" s="51" t="n"/>
      <c r="E62" s="15" t="n"/>
      <c r="F62" s="18" t="n"/>
    </row>
    <row r="63">
      <c r="A63" s="57" t="inlineStr">
        <is>
          <t xml:space="preserve">    88  :PREFIX:-PLANPAGEA                      VALUE 'PPEA'.</t>
        </is>
      </c>
      <c r="B63" s="58" t="inlineStr">
        <is>
          <t xml:space="preserve">     Plano Pagamento - Registo tipo único - Endereçamento e Assunto</t>
        </is>
      </c>
      <c r="C63" s="48" t="n"/>
      <c r="D63" s="48" t="n"/>
      <c r="E63" s="15" t="n"/>
    </row>
    <row r="64">
      <c r="A64" s="57" t="inlineStr">
        <is>
          <t xml:space="preserve">    88  :PREFIX:-PLANPAGPS                      VALUE 'PPPS'.</t>
        </is>
      </c>
      <c r="B64" s="58" t="inlineStr">
        <is>
          <t xml:space="preserve">     Plano Pagamento - Registo tipo Lista - Pessoas Seguras</t>
        </is>
      </c>
      <c r="C64" s="48" t="n"/>
      <c r="D64" s="48" t="n"/>
      <c r="E64" s="15" t="n"/>
    </row>
    <row r="65">
      <c r="A65" s="57" t="inlineStr">
        <is>
          <t xml:space="preserve">    88  :PREFIX:-PLANPAGFL                      VALUE 'PPFL'.</t>
        </is>
      </c>
      <c r="B65" s="58" t="inlineStr">
        <is>
          <t xml:space="preserve">     Plano Pagamento - Registo tipo Lista - Filhos</t>
        </is>
      </c>
      <c r="C65" s="48" t="n"/>
      <c r="D65" s="48" t="n"/>
      <c r="E65" s="15" t="n"/>
    </row>
    <row r="66">
      <c r="A66" s="57" t="inlineStr">
        <is>
          <t xml:space="preserve">    88  :PREFIX:-PLANPAGCC                      VALUE 'PPCC'.</t>
        </is>
      </c>
      <c r="B66" s="58" t="inlineStr">
        <is>
          <t xml:space="preserve">     Plano Pagamento - Registo tipo Lista - Coberturas contratadas</t>
        </is>
      </c>
      <c r="C66" s="48" t="n"/>
      <c r="D66" s="48" t="n"/>
      <c r="E66" s="15" t="n"/>
    </row>
    <row r="67">
      <c r="A67" s="57" t="inlineStr">
        <is>
          <t xml:space="preserve">    88  :PREFIX:-PLANPAGPC                      VALUE 'PPPC'.</t>
        </is>
      </c>
      <c r="B67" s="58" t="inlineStr">
        <is>
          <t xml:space="preserve">     Plano Pagamento - Registo tipo Lista - Prémio Contracto</t>
        </is>
      </c>
      <c r="C67" s="48" t="n"/>
      <c r="D67" s="48" t="n"/>
      <c r="E67" s="15" t="n"/>
    </row>
    <row r="68">
      <c r="A68" s="57" t="inlineStr">
        <is>
          <t xml:space="preserve">    88  :PREFIX:-PLANPAGPC                      VALUE 'PPPA'.</t>
        </is>
      </c>
      <c r="B68" s="58" t="inlineStr">
        <is>
          <t xml:space="preserve">     Plano Pagamento - Registo tipo Lista - Prémio Alteração</t>
        </is>
      </c>
      <c r="C68" s="48" t="n"/>
      <c r="D68" s="48" t="n"/>
      <c r="E68" s="15" t="n"/>
    </row>
    <row r="69">
      <c r="A69" s="57" t="inlineStr">
        <is>
          <t xml:space="preserve">    88  :PREFIX:-PLANPAGZZ                      VALUE 'PPZZ'.</t>
        </is>
      </c>
      <c r="B69" s="58" t="inlineStr">
        <is>
          <t xml:space="preserve">     Plano Pagamento - Registo tipo único - FIM</t>
        </is>
      </c>
      <c r="C69" s="48" t="n"/>
      <c r="D69" s="48" t="n"/>
      <c r="E69" s="18" t="n"/>
    </row>
    <row r="70">
      <c r="A70" s="46" t="inlineStr">
        <is>
          <t xml:space="preserve">  07  FILLER                            PIC X(01).</t>
        </is>
      </c>
      <c r="B70" s="47" t="inlineStr">
        <is>
          <t>Marca de reimpressão</t>
        </is>
      </c>
      <c r="C70" s="48">
        <f>C49+D49</f>
        <v/>
      </c>
      <c r="D70" s="48" t="n">
        <v>1</v>
      </c>
      <c r="E70" s="21" t="inlineStr">
        <is>
          <t>Opcional</t>
        </is>
      </c>
    </row>
    <row r="71">
      <c r="A71" s="49" t="inlineStr">
        <is>
          <t xml:space="preserve">    88  :PREFIX:-ESPACO                         VALUE ' '.</t>
        </is>
      </c>
      <c r="B71" s="50" t="inlineStr">
        <is>
          <t xml:space="preserve">     ' ' - Espaço</t>
        </is>
      </c>
      <c r="C71" s="51" t="n"/>
      <c r="D71" s="51" t="n"/>
      <c r="E71" s="15" t="n"/>
      <c r="F71" s="52" t="inlineStr">
        <is>
          <t>Valores não considerados</t>
        </is>
      </c>
    </row>
    <row r="72">
      <c r="A72" s="49" t="inlineStr">
        <is>
          <t xml:space="preserve">    88  :PREFIX:-ONLINE                         VALUE '1'.</t>
        </is>
      </c>
      <c r="B72" s="50" t="inlineStr">
        <is>
          <t xml:space="preserve">     '1' - Impressão ONLINE</t>
        </is>
      </c>
      <c r="C72" s="51" t="n"/>
      <c r="D72" s="51" t="n"/>
      <c r="E72" s="15" t="n"/>
      <c r="F72" s="15" t="n"/>
    </row>
    <row r="73">
      <c r="A73" s="49" t="inlineStr">
        <is>
          <t xml:space="preserve">    88  :PREFIX:-SEG-VIA                        VALUE '2'.</t>
        </is>
      </c>
      <c r="B73" s="50" t="inlineStr">
        <is>
          <t xml:space="preserve">     '2' - 2ª Via</t>
        </is>
      </c>
      <c r="C73" s="51" t="n"/>
      <c r="D73" s="51" t="n"/>
      <c r="E73" s="15" t="n"/>
      <c r="F73" s="15" t="n"/>
    </row>
    <row r="74">
      <c r="A74" s="49" t="inlineStr">
        <is>
          <t xml:space="preserve">    88  :PREFIX:-REGISTADA                      VALUE '3'.</t>
        </is>
      </c>
      <c r="B74" s="50" t="inlineStr">
        <is>
          <t xml:space="preserve">     '3' - Registada</t>
        </is>
      </c>
      <c r="C74" s="51" t="n"/>
      <c r="D74" s="51" t="n"/>
      <c r="E74" s="18" t="n"/>
      <c r="F74" s="18" t="n"/>
    </row>
    <row r="75">
      <c r="A75" s="46" t="inlineStr">
        <is>
          <t xml:space="preserve">  07  FILLER                            PIC X(06).</t>
        </is>
      </c>
      <c r="B75" s="47" t="inlineStr">
        <is>
          <t>Capa</t>
        </is>
      </c>
      <c r="C75" s="48">
        <f>C70+D70</f>
        <v/>
      </c>
      <c r="D75" s="48" t="n">
        <v>6</v>
      </c>
      <c r="E75" s="56" t="inlineStr">
        <is>
          <t>Espaços</t>
        </is>
      </c>
    </row>
    <row r="76">
      <c r="A76" s="46" t="inlineStr">
        <is>
          <t xml:space="preserve">  07  :PREFIX:-DOC-ID                   PIC X(03).</t>
        </is>
      </c>
      <c r="B76" s="47" t="inlineStr">
        <is>
          <t>Código para separar os movimentos conforme tipo de documento</t>
        </is>
      </c>
      <c r="C76" s="48">
        <f>C75+D75</f>
        <v/>
      </c>
      <c r="D76" s="48" t="n">
        <v>3</v>
      </c>
      <c r="E76" s="17" t="inlineStr">
        <is>
          <t>Obrigatório</t>
        </is>
      </c>
    </row>
    <row r="77">
      <c r="A77" s="49" t="inlineStr">
        <is>
          <t xml:space="preserve">    88  :PREFIX:-DOCID-CART                     VALUE '   '.</t>
        </is>
      </c>
      <c r="B77" s="50" t="inlineStr">
        <is>
          <t xml:space="preserve">     Espaços - Cartas 1ª fase</t>
        </is>
      </c>
      <c r="C77" s="51" t="n"/>
      <c r="D77" s="51" t="n"/>
      <c r="E77" s="15" t="n"/>
      <c r="F77" s="52" t="inlineStr">
        <is>
          <t>Valores não considerados</t>
        </is>
      </c>
    </row>
    <row r="78">
      <c r="A78" s="49" t="inlineStr">
        <is>
          <t xml:space="preserve">    88  :PREFIX:-DOCID-CART1                    VALUE '001'.</t>
        </is>
      </c>
      <c r="B78" s="50" t="inlineStr">
        <is>
          <t xml:space="preserve">     '001' - Cartas 1ª fase</t>
        </is>
      </c>
      <c r="C78" s="51" t="n"/>
      <c r="D78" s="51" t="n"/>
      <c r="E78" s="15" t="n"/>
      <c r="F78" s="15" t="n"/>
    </row>
    <row r="79">
      <c r="A79" s="49" t="inlineStr">
        <is>
          <t xml:space="preserve">    88  :PREFIX:-DOCID-CP                       VALUE '002'.</t>
        </is>
      </c>
      <c r="B79" s="50" t="inlineStr">
        <is>
          <t xml:space="preserve">     '002' - Condições Particulares</t>
        </is>
      </c>
      <c r="C79" s="51" t="n"/>
      <c r="D79" s="51" t="n"/>
      <c r="E79" s="15" t="n"/>
      <c r="F79" s="15" t="n"/>
    </row>
    <row r="80">
      <c r="A80" s="49" t="inlineStr">
        <is>
          <t xml:space="preserve">    88  :PREFIX:-DOCID-CR                       VALUE '003'.</t>
        </is>
      </c>
      <c r="B80" s="50" t="inlineStr">
        <is>
          <t xml:space="preserve">     '003' - Cartas de Reinvestimento</t>
        </is>
      </c>
      <c r="C80" s="51" t="n"/>
      <c r="D80" s="51" t="n"/>
      <c r="E80" s="15" t="n"/>
      <c r="F80" s="15" t="n"/>
    </row>
    <row r="81">
      <c r="A81" s="49" t="inlineStr">
        <is>
          <t xml:space="preserve">    88  :PREFIX:-DOCID-CERT                     VALUE '004'.</t>
        </is>
      </c>
      <c r="B81" s="50" t="inlineStr">
        <is>
          <t xml:space="preserve">     '004' - certificados</t>
        </is>
      </c>
      <c r="C81" s="51" t="n"/>
      <c r="D81" s="51" t="n"/>
      <c r="E81" s="15" t="n"/>
      <c r="F81" s="15" t="n"/>
    </row>
    <row r="82">
      <c r="A82" s="49" t="inlineStr">
        <is>
          <t xml:space="preserve">    88  :PREFIX:-DOCID-EXTR                     VALUE '005'.</t>
        </is>
      </c>
      <c r="B82" s="50" t="inlineStr">
        <is>
          <t xml:space="preserve">     '005' - Extractos</t>
        </is>
      </c>
      <c r="C82" s="51" t="n"/>
      <c r="D82" s="51" t="n"/>
      <c r="E82" s="15" t="n"/>
      <c r="F82" s="15" t="n"/>
    </row>
    <row r="83">
      <c r="A83" s="49" t="inlineStr">
        <is>
          <t xml:space="preserve">    88  :PREFIX:-DOCID-TRF-CART                 VALUE '006'.</t>
        </is>
      </c>
      <c r="B83" s="50" t="inlineStr">
        <is>
          <t xml:space="preserve">     '006' - Cartas Transferencia de Carteira</t>
        </is>
      </c>
      <c r="C83" s="51" t="n"/>
      <c r="D83" s="51" t="n"/>
      <c r="E83" s="15" t="n"/>
      <c r="F83" s="15" t="n"/>
    </row>
    <row r="84">
      <c r="A84" s="49" t="inlineStr">
        <is>
          <t xml:space="preserve">    88  :PREFIX:-DOCID-REC-SINIS                VALUE '007'.</t>
        </is>
      </c>
      <c r="B84" s="50" t="inlineStr">
        <is>
          <t xml:space="preserve">     '007' - Recibos de Sinistros</t>
        </is>
      </c>
      <c r="C84" s="51" t="n"/>
      <c r="D84" s="51" t="n"/>
      <c r="E84" s="15" t="n"/>
      <c r="F84" s="15" t="n"/>
    </row>
    <row r="85">
      <c r="A85" s="49" t="inlineStr">
        <is>
          <t xml:space="preserve">    88  :PREFIX:-DOCID-LISTA                    VALUE '008'.</t>
        </is>
      </c>
      <c r="B85" s="50" t="inlineStr">
        <is>
          <t xml:space="preserve">     '008' - Recibos de prémio/estorno</t>
        </is>
      </c>
      <c r="C85" s="51" t="n"/>
      <c r="D85" s="51" t="n"/>
      <c r="E85" s="15" t="n"/>
      <c r="F85" s="15" t="n"/>
    </row>
    <row r="86">
      <c r="A86" s="49" t="inlineStr">
        <is>
          <t xml:space="preserve">    88  :PREFIX:-DOCID-LISTAH                   VALUE '009'.</t>
        </is>
      </c>
      <c r="B86" s="50" t="inlineStr">
        <is>
          <t xml:space="preserve">     '009' - Listas Paxus Horizontais</t>
        </is>
      </c>
      <c r="C86" s="51" t="n"/>
      <c r="D86" s="51" t="n"/>
      <c r="E86" s="15" t="n"/>
      <c r="F86" s="15" t="n"/>
    </row>
    <row r="87">
      <c r="A87" s="49" t="inlineStr">
        <is>
          <t xml:space="preserve">    88  :PREFIX:-DOCID-TRFAPOL                  VALUE '010'.</t>
        </is>
      </c>
      <c r="B87" s="50" t="inlineStr">
        <is>
          <t xml:space="preserve">     '010' - Cessação de contrato extrato final</t>
        </is>
      </c>
      <c r="C87" s="51" t="n"/>
      <c r="D87" s="51" t="n"/>
      <c r="E87" s="15" t="n"/>
      <c r="F87" s="15" t="n"/>
    </row>
    <row r="88">
      <c r="A88" s="49" t="inlineStr">
        <is>
          <t xml:space="preserve">    88  :PREFIX:-DOCID-EXTINT                   VALUE '011'.</t>
        </is>
      </c>
      <c r="B88" s="50" t="inlineStr">
        <is>
          <t xml:space="preserve">     '011' - Extrato integrado</t>
        </is>
      </c>
      <c r="C88" s="51" t="n"/>
      <c r="D88" s="51" t="n"/>
      <c r="E88" s="15" t="n"/>
      <c r="F88" s="18" t="n"/>
    </row>
    <row r="89">
      <c r="A89" s="57" t="inlineStr">
        <is>
          <t xml:space="preserve">    88  :PREFIX:-DOCID-PLANOPAG                 VALUE '012'.</t>
        </is>
      </c>
      <c r="B89" s="58" t="inlineStr">
        <is>
          <t xml:space="preserve">     '012' - Plano Pagamento Anual</t>
        </is>
      </c>
      <c r="C89" s="48" t="n"/>
      <c r="D89" s="48" t="n"/>
      <c r="E89" s="18" t="n"/>
    </row>
    <row r="90">
      <c r="A90" s="46" t="inlineStr">
        <is>
          <t xml:space="preserve">  07  :PREFIX:-USER-ID                  PIC X(08).</t>
        </is>
      </c>
      <c r="B90" s="47" t="inlineStr">
        <is>
          <t>User Id</t>
        </is>
      </c>
      <c r="C90" s="48">
        <f>C76+D76</f>
        <v/>
      </c>
      <c r="D90" s="48" t="n">
        <v>8</v>
      </c>
      <c r="E90" s="21" t="inlineStr">
        <is>
          <t>Opcional</t>
        </is>
      </c>
    </row>
    <row r="91">
      <c r="A91" s="46" t="inlineStr">
        <is>
          <t xml:space="preserve">  07  :PREFIX:-ADERENTE                 PIC X(08).</t>
        </is>
      </c>
      <c r="B91" s="47" t="inlineStr">
        <is>
          <t>Número de Aderente</t>
        </is>
      </c>
      <c r="C91" s="48">
        <f>C90+D90</f>
        <v/>
      </c>
      <c r="D91" s="48" t="n">
        <v>8</v>
      </c>
      <c r="E91" s="21" t="inlineStr">
        <is>
          <t>Opcional</t>
        </is>
      </c>
    </row>
    <row r="92">
      <c r="A92" s="46" t="inlineStr">
        <is>
          <t xml:space="preserve">  07  FILLER                            PIC X(08).</t>
        </is>
      </c>
      <c r="B92" s="47" t="inlineStr">
        <is>
          <t>Número de apólice NCR: Espaços (:PREFIX:-APOLICE-NCR)</t>
        </is>
      </c>
      <c r="C92" s="48">
        <f>C91+D91</f>
        <v/>
      </c>
      <c r="D92" s="48" t="n">
        <v>8</v>
      </c>
      <c r="E92" s="56" t="inlineStr">
        <is>
          <t>Espaços</t>
        </is>
      </c>
    </row>
    <row r="93">
      <c r="A93" s="46" t="inlineStr">
        <is>
          <t xml:space="preserve">  07  FILLER                            PIC X(134).</t>
        </is>
      </c>
      <c r="B93" s="47" t="inlineStr">
        <is>
          <t>Filler</t>
        </is>
      </c>
      <c r="C93" s="48">
        <f>C92+D92</f>
        <v/>
      </c>
      <c r="D93" s="48" t="n">
        <v>134</v>
      </c>
      <c r="E93" s="56" t="inlineStr">
        <is>
          <t>Espaços</t>
        </is>
      </c>
    </row>
    <row r="94">
      <c r="A94" s="5" t="inlineStr">
        <is>
          <t>05  :PREFIX:-DADOS-DOCUMENTO            PIC X(3797).</t>
        </is>
      </c>
      <c r="B94" s="7" t="n"/>
      <c r="C94" s="8">
        <f>C93+D93</f>
        <v/>
      </c>
      <c r="D94" s="8">
        <f>4096-C94</f>
        <v/>
      </c>
      <c r="E94" s="27" t="n"/>
    </row>
    <row r="95">
      <c r="A95" s="28" t="n"/>
      <c r="B95" s="12" t="n"/>
      <c r="C95" s="13" t="n"/>
      <c r="D95" s="13" t="n"/>
      <c r="E95" s="27" t="n"/>
    </row>
    <row r="96">
      <c r="A96" s="5" t="inlineStr">
        <is>
          <t>05  FILLER                        REDEFINES :PREFIX:-DADOS-DOCUMENTO.</t>
        </is>
      </c>
      <c r="B96" s="7" t="n"/>
      <c r="C96" s="8">
        <f>C94</f>
        <v/>
      </c>
      <c r="D96" s="8" t="n">
        <v>0</v>
      </c>
      <c r="E96" s="27" t="n"/>
    </row>
    <row r="97">
      <c r="A97" s="30" t="inlineStr">
        <is>
          <t xml:space="preserve">  07  :PREFIX:-DADOS-TOMADOR.</t>
        </is>
      </c>
      <c r="B97" s="32" t="inlineStr">
        <is>
          <t>Dados de Endereçamento e Assunto (Registo do tipo PPEA)</t>
        </is>
      </c>
      <c r="C97" s="33">
        <f>C96+D96</f>
        <v/>
      </c>
      <c r="D97" s="32" t="n">
        <v>0</v>
      </c>
      <c r="E97" s="16" t="n"/>
    </row>
    <row r="98">
      <c r="A98" s="10" t="inlineStr">
        <is>
          <t xml:space="preserve">    09  :PREFIX:-TM-NOME                PIC X(40).</t>
        </is>
      </c>
      <c r="B98" s="16" t="inlineStr">
        <is>
          <t>Nome</t>
        </is>
      </c>
      <c r="C98" s="25">
        <f>C97+D97</f>
        <v/>
      </c>
      <c r="D98" s="16" t="n">
        <v>40</v>
      </c>
      <c r="E98" s="17" t="inlineStr">
        <is>
          <t>Obrigatório</t>
        </is>
      </c>
    </row>
    <row r="99">
      <c r="A99" s="10" t="inlineStr">
        <is>
          <t xml:space="preserve">    09  :PREFIX:-TM-LOCATION-REF        PIC X(04).</t>
        </is>
      </c>
      <c r="B99" s="16" t="inlineStr">
        <is>
          <t>Referência da morada</t>
        </is>
      </c>
      <c r="C99" s="25">
        <f>C98+D98</f>
        <v/>
      </c>
      <c r="D99" s="16" t="n">
        <v>4</v>
      </c>
      <c r="E99" s="17" t="inlineStr">
        <is>
          <t>Obrigatório</t>
        </is>
      </c>
    </row>
    <row r="100">
      <c r="A100" s="10" t="inlineStr">
        <is>
          <t xml:space="preserve">    09  :PREFIX:-TM-MORADA1             PIC X(40).</t>
        </is>
      </c>
      <c r="B100" s="16" t="inlineStr">
        <is>
          <t>Dados de morada 1</t>
        </is>
      </c>
      <c r="C100" s="25">
        <f>C99+D99</f>
        <v/>
      </c>
      <c r="D100" s="16" t="n">
        <v>40</v>
      </c>
      <c r="E100" s="17" t="inlineStr">
        <is>
          <t>Obrigatório</t>
        </is>
      </c>
    </row>
    <row r="101">
      <c r="A101" s="10" t="inlineStr">
        <is>
          <t xml:space="preserve">    09  :PREFIX:-TM-MORADA2             PIC X(40).</t>
        </is>
      </c>
      <c r="B101" s="16" t="inlineStr">
        <is>
          <t>Dados de morada 2</t>
        </is>
      </c>
      <c r="C101" s="25">
        <f>C100+D100</f>
        <v/>
      </c>
      <c r="D101" s="16" t="n">
        <v>40</v>
      </c>
      <c r="E101" s="21" t="inlineStr">
        <is>
          <t>Opcional</t>
        </is>
      </c>
    </row>
    <row r="102">
      <c r="A102" s="10" t="inlineStr">
        <is>
          <t xml:space="preserve">    09  :PREFIX:-TM-LOCALIDADE          PIC X(40).</t>
        </is>
      </c>
      <c r="B102" s="16" t="inlineStr">
        <is>
          <t>Localidade</t>
        </is>
      </c>
      <c r="C102" s="25">
        <f>C101+D101</f>
        <v/>
      </c>
      <c r="D102" s="16" t="n">
        <v>40</v>
      </c>
      <c r="E102" s="21" t="inlineStr">
        <is>
          <t>Opcional</t>
        </is>
      </c>
    </row>
    <row r="103">
      <c r="A103" s="10" t="inlineStr">
        <is>
          <t xml:space="preserve">    09  :PREFIX:-TM-CPOSTAL             PIC X(09).</t>
        </is>
      </c>
      <c r="B103" s="16" t="inlineStr">
        <is>
          <t>Código postal (Se estrangeiro deverá vir a zeros) [9999-999]</t>
        </is>
      </c>
      <c r="C103" s="25">
        <f>C102+D102</f>
        <v/>
      </c>
      <c r="D103" s="16" t="n">
        <v>9</v>
      </c>
      <c r="E103" s="17" t="inlineStr">
        <is>
          <t>Obrigatório</t>
        </is>
      </c>
    </row>
    <row r="104">
      <c r="A104" s="10" t="inlineStr">
        <is>
          <t xml:space="preserve">    09  :PREFIX:-TM-CPOSTAL-DESC        PIC X(40).</t>
        </is>
      </c>
      <c r="B104" s="16" t="inlineStr">
        <is>
          <t>Descritivo do código postal</t>
        </is>
      </c>
      <c r="C104" s="25">
        <f>C103+D103</f>
        <v/>
      </c>
      <c r="D104" s="16" t="n">
        <v>40</v>
      </c>
      <c r="E104" s="17" t="inlineStr">
        <is>
          <t>Obrigatório</t>
        </is>
      </c>
    </row>
    <row r="105">
      <c r="A105" s="10" t="inlineStr">
        <is>
          <t xml:space="preserve">    09  :PREFIX:-TM-CPAIS               PIC X(03).</t>
        </is>
      </c>
      <c r="B105" s="16" t="inlineStr">
        <is>
          <t>Código do País (Se estrangeiro, diferente de 620)</t>
        </is>
      </c>
      <c r="C105" s="25">
        <f>C104+D104</f>
        <v/>
      </c>
      <c r="D105" s="16" t="n">
        <v>3</v>
      </c>
      <c r="E105" s="17" t="inlineStr">
        <is>
          <t>Obrigatório</t>
        </is>
      </c>
    </row>
    <row r="106">
      <c r="A106" s="10" t="inlineStr">
        <is>
          <t xml:space="preserve">    09  :PREFIX:-TM-CPAIS-DESC          PIC X(40).</t>
        </is>
      </c>
      <c r="B106" s="16" t="inlineStr">
        <is>
          <t>Descritivo do País</t>
        </is>
      </c>
      <c r="C106" s="25">
        <f>C105+D105</f>
        <v/>
      </c>
      <c r="D106" s="16" t="n">
        <v>40</v>
      </c>
      <c r="E106" s="17" t="inlineStr">
        <is>
          <t>Obrigatório</t>
        </is>
      </c>
    </row>
    <row r="107">
      <c r="A107" s="22" t="inlineStr">
        <is>
          <t xml:space="preserve">    09  :PREFIX:-TM-IDP                 PIC X(04).</t>
        </is>
      </c>
      <c r="B107" s="25" t="inlineStr">
        <is>
          <t>Identificação da Porta (no CBC)</t>
        </is>
      </c>
      <c r="C107" s="25">
        <f>C106+D106</f>
        <v/>
      </c>
      <c r="D107" s="25" t="n">
        <v>4</v>
      </c>
      <c r="E107" s="17" t="inlineStr">
        <is>
          <t>Obrigatório</t>
        </is>
      </c>
    </row>
    <row r="108">
      <c r="A108" s="22" t="inlineStr">
        <is>
          <t xml:space="preserve">    09  :PREFIX:-TM-NIF                 PIC X(22).</t>
        </is>
      </c>
      <c r="B108" s="25" t="inlineStr">
        <is>
          <t>Número de Identificação Fiscal do Tomador (No caso de Portugal será PT999999999)</t>
        </is>
      </c>
      <c r="C108" s="25">
        <f>C107+D107</f>
        <v/>
      </c>
      <c r="D108" s="25" t="n">
        <v>22</v>
      </c>
      <c r="E108" s="17" t="inlineStr">
        <is>
          <t>Obrigatório</t>
        </is>
      </c>
    </row>
    <row r="109">
      <c r="A109" s="22" t="inlineStr">
        <is>
          <t xml:space="preserve">    09  :PREFIX:-TM-TIPO-ENTIDADE       PIC X(01).</t>
        </is>
      </c>
      <c r="B109" s="16" t="inlineStr">
        <is>
          <t>Tipo Entidade</t>
        </is>
      </c>
      <c r="C109" s="25">
        <f>C108+D108</f>
        <v/>
      </c>
      <c r="D109" s="25" t="n">
        <v>1</v>
      </c>
      <c r="E109" s="34" t="inlineStr">
        <is>
          <t>Opcional</t>
        </is>
      </c>
    </row>
    <row r="110">
      <c r="A110" s="22" t="inlineStr">
        <is>
          <t xml:space="preserve">      88  :PREFIX:-TM-ENT-PARTICUL              VALUE '1'.</t>
        </is>
      </c>
      <c r="B110" s="16" t="inlineStr">
        <is>
          <t xml:space="preserve">     '1' - Pessoa / Particular</t>
        </is>
      </c>
      <c r="C110" s="25" t="n"/>
      <c r="D110" s="25" t="n"/>
      <c r="E110" s="15" t="n"/>
    </row>
    <row r="111">
      <c r="A111" s="22" t="inlineStr">
        <is>
          <t xml:space="preserve">      88  :PREFIX:-TM-ENT-COLETIVA              VALUE '2'.</t>
        </is>
      </c>
      <c r="B111" s="16" t="inlineStr">
        <is>
          <t xml:space="preserve">     '2' - Colectivo/Conta Interna</t>
        </is>
      </c>
      <c r="C111" s="25" t="n"/>
      <c r="D111" s="25" t="n"/>
      <c r="E111" s="18" t="n"/>
    </row>
    <row r="112">
      <c r="A112" s="30" t="inlineStr">
        <is>
          <t xml:space="preserve">  07  :PREFIX:-DADOS-ASSUNTO.</t>
        </is>
      </c>
      <c r="B112" s="33" t="n"/>
      <c r="C112" s="33">
        <f>C109+D109</f>
        <v/>
      </c>
      <c r="D112" s="33" t="n">
        <v>0</v>
      </c>
      <c r="E112" s="9" t="n"/>
    </row>
    <row r="113">
      <c r="A113" s="10" t="inlineStr">
        <is>
          <t xml:space="preserve">    09  :PREFIX:-DA-DT-EMISSAO          PIC X(08).</t>
        </is>
      </c>
      <c r="B113" s="16" t="inlineStr">
        <is>
          <t>Data de emissão [aaaammdd]</t>
        </is>
      </c>
      <c r="C113" s="25">
        <f>C112+D112</f>
        <v/>
      </c>
      <c r="D113" s="25" t="n">
        <v>8</v>
      </c>
      <c r="E113" s="17" t="inlineStr">
        <is>
          <t>Obrigatório</t>
        </is>
      </c>
    </row>
    <row r="114">
      <c r="A114" s="35" t="inlineStr">
        <is>
          <t xml:space="preserve">    09  :PREFIX:-DA-PRODUTO-DESC        PIC X(40).</t>
        </is>
      </c>
      <c r="B114" s="36" t="inlineStr">
        <is>
          <t>Descritivo do Produto</t>
        </is>
      </c>
      <c r="C114" s="25">
        <f>C113+D113</f>
        <v/>
      </c>
      <c r="D114" s="36" t="n">
        <v>40</v>
      </c>
      <c r="E114" s="17" t="inlineStr">
        <is>
          <t>Obrigatório</t>
        </is>
      </c>
    </row>
    <row r="115">
      <c r="A115" s="35" t="inlineStr">
        <is>
          <t xml:space="preserve">    09  FILLER                          PIC X(02).</t>
        </is>
      </c>
      <c r="B115" s="36" t="inlineStr">
        <is>
          <t>Código do Ramo</t>
        </is>
      </c>
      <c r="C115" s="25">
        <f>C114+D114</f>
        <v/>
      </c>
      <c r="D115" s="36" t="n">
        <v>2</v>
      </c>
      <c r="E115" s="17" t="inlineStr">
        <is>
          <t>Obrigatório</t>
        </is>
      </c>
    </row>
    <row r="116">
      <c r="A116" s="35" t="inlineStr">
        <is>
          <t xml:space="preserve">    09  :PREFIX:-DA-DT-VENCIMENTO       PIC X(08).</t>
        </is>
      </c>
      <c r="B116" s="36" t="inlineStr">
        <is>
          <t>Data de Vencimento [aaaammdd]</t>
        </is>
      </c>
      <c r="C116" s="25">
        <f>C115+D115</f>
        <v/>
      </c>
      <c r="D116" s="36" t="n">
        <v>8</v>
      </c>
      <c r="E116" s="17" t="inlineStr">
        <is>
          <t>Obrigatório</t>
        </is>
      </c>
    </row>
    <row r="117">
      <c r="A117" s="35" t="inlineStr">
        <is>
          <t xml:space="preserve">    09  :PREFIX:-DA-DT-INI-PERIODO      PIC X(08).</t>
        </is>
      </c>
      <c r="B117" s="36" t="inlineStr">
        <is>
          <t>Data Início do período de Vigência [aaaammdd]</t>
        </is>
      </c>
      <c r="C117" s="25">
        <f>C116+D116</f>
        <v/>
      </c>
      <c r="D117" s="36" t="n">
        <v>8</v>
      </c>
      <c r="E117" s="17" t="inlineStr">
        <is>
          <t>Obrigatório</t>
        </is>
      </c>
    </row>
    <row r="118">
      <c r="A118" s="35" t="inlineStr">
        <is>
          <t xml:space="preserve">    09  :PREFIX:-DA-DT-FIM-PERIODO      PIC X(08).</t>
        </is>
      </c>
      <c r="B118" s="36" t="inlineStr">
        <is>
          <t>Data Fim do período de Vigência [aaaammdd]</t>
        </is>
      </c>
      <c r="C118" s="25">
        <f>C117+D117</f>
        <v/>
      </c>
      <c r="D118" s="36" t="n">
        <v>8</v>
      </c>
      <c r="E118" s="17" t="inlineStr">
        <is>
          <t>Obrigatório</t>
        </is>
      </c>
    </row>
    <row r="119">
      <c r="A119" s="59" t="inlineStr">
        <is>
          <t xml:space="preserve">    09  :PREFIX:-DA-TIPO-FRACCIONA      PIC X(01).</t>
        </is>
      </c>
      <c r="B119" s="60" t="inlineStr">
        <is>
          <t>Fraccionamento (à semelhança do FSCD):</t>
        </is>
      </c>
      <c r="C119" s="25">
        <f>C118+D118</f>
        <v/>
      </c>
      <c r="D119" s="36" t="n">
        <v>1</v>
      </c>
      <c r="E119" s="17" t="inlineStr">
        <is>
          <t>Obrigatório</t>
        </is>
      </c>
    </row>
    <row r="120">
      <c r="A120" s="22" t="inlineStr">
        <is>
          <t xml:space="preserve">      88  :PREFIX:-DA-FRAC-ANUAL                VALUE 'A'.</t>
        </is>
      </c>
      <c r="B120" s="16" t="inlineStr">
        <is>
          <t xml:space="preserve">     'A' - Anual</t>
        </is>
      </c>
      <c r="C120" s="25" t="n"/>
      <c r="D120" s="25" t="n"/>
      <c r="E120" s="15" t="n"/>
    </row>
    <row r="121">
      <c r="A121" s="22" t="inlineStr">
        <is>
          <t xml:space="preserve">      88  :PREFIX:-DA-FRAC-MENSAL               VALUE 'M'.</t>
        </is>
      </c>
      <c r="B121" s="16" t="inlineStr">
        <is>
          <t xml:space="preserve">     'M' - Mensal</t>
        </is>
      </c>
      <c r="C121" s="25" t="n"/>
      <c r="D121" s="25" t="n"/>
      <c r="E121" s="15" t="n"/>
    </row>
    <row r="122">
      <c r="A122" s="22" t="inlineStr">
        <is>
          <t xml:space="preserve">      88  :PREFIX:-DA-FRAC-SEMESTRAL            VALUE 'S'.</t>
        </is>
      </c>
      <c r="B122" s="16" t="inlineStr">
        <is>
          <t xml:space="preserve">     'S' - Semestral</t>
        </is>
      </c>
      <c r="C122" s="25" t="n"/>
      <c r="D122" s="25" t="n"/>
      <c r="E122" s="15" t="n"/>
    </row>
    <row r="123">
      <c r="A123" s="22" t="inlineStr">
        <is>
          <t xml:space="preserve">      88  :PREFIX:-DA-FRAC-TRIMESTRAL           VALUE 'T'.</t>
        </is>
      </c>
      <c r="B123" s="16" t="inlineStr">
        <is>
          <t xml:space="preserve">     'T' - Trimestral</t>
        </is>
      </c>
      <c r="C123" s="25" t="n"/>
      <c r="D123" s="25" t="n"/>
      <c r="E123" s="15" t="n"/>
    </row>
    <row r="124">
      <c r="A124" s="22" t="inlineStr">
        <is>
          <t xml:space="preserve">      88  :PREFIX:-DA-FRAC-UNICO                VALUE 'U'.</t>
        </is>
      </c>
      <c r="B124" s="16" t="inlineStr">
        <is>
          <t xml:space="preserve">     'U' - Único</t>
        </is>
      </c>
      <c r="C124" s="25" t="n"/>
      <c r="D124" s="25" t="n"/>
      <c r="E124" s="18" t="n"/>
    </row>
    <row r="125">
      <c r="A125" s="59" t="inlineStr">
        <is>
          <t xml:space="preserve">    09  :PREFIX:-DA-TIPO-TRANSACAO      PIC X(01).</t>
        </is>
      </c>
      <c r="B125" s="60" t="inlineStr">
        <is>
          <t>Tipo Transação (à semelhança do FSCD):</t>
        </is>
      </c>
      <c r="C125" s="25">
        <f>C124+D124</f>
        <v/>
      </c>
      <c r="D125" s="36" t="n">
        <v>1</v>
      </c>
      <c r="E125" s="61" t="n"/>
    </row>
    <row r="126">
      <c r="A126" s="22" t="inlineStr">
        <is>
          <t xml:space="preserve">      88  :PREFIX:-DA-TRANS-NOVO                VALUE 'N'.</t>
        </is>
      </c>
      <c r="B126" s="16" t="inlineStr">
        <is>
          <t xml:space="preserve">     'N' - Novo</t>
        </is>
      </c>
      <c r="C126" s="25" t="n"/>
      <c r="D126" s="25" t="n"/>
      <c r="E126" s="61" t="n"/>
    </row>
    <row r="127">
      <c r="A127" s="22" t="inlineStr">
        <is>
          <t xml:space="preserve">      88  :PREFIX:-DA-TRANS-RENOVACAO           VALUE 'R'.</t>
        </is>
      </c>
      <c r="B127" s="16" t="inlineStr">
        <is>
          <t xml:space="preserve">     'R ' - Renovação</t>
        </is>
      </c>
      <c r="C127" s="25" t="n"/>
      <c r="D127" s="25" t="n"/>
      <c r="E127" s="61" t="n"/>
    </row>
    <row r="128">
      <c r="A128" s="22" t="inlineStr">
        <is>
          <t xml:space="preserve">      88  :PREFIX:-DA-TRANS-ALTERACAO           VALUE 'A'.</t>
        </is>
      </c>
      <c r="B128" s="16" t="inlineStr">
        <is>
          <t xml:space="preserve">     'A ' - Alteração</t>
        </is>
      </c>
      <c r="C128" s="25" t="n"/>
      <c r="D128" s="25" t="n"/>
      <c r="E128" s="61" t="n"/>
    </row>
    <row r="129">
      <c r="A129" s="35" t="inlineStr">
        <is>
          <t xml:space="preserve">    09  :PREFIX:-DA-TIPO-PAGAMENTO      PIC X(30).</t>
        </is>
      </c>
      <c r="B129" s="60" t="inlineStr">
        <is>
          <t>Tipo de Pagamento (Débito em Conta, ATM,…)</t>
        </is>
      </c>
      <c r="C129" s="25">
        <f>C128+D128</f>
        <v/>
      </c>
      <c r="D129" s="36" t="n">
        <v>30</v>
      </c>
      <c r="E129" s="14" t="inlineStr">
        <is>
          <t>Obrigatório</t>
        </is>
      </c>
    </row>
    <row r="130">
      <c r="A130" s="30" t="inlineStr">
        <is>
          <t xml:space="preserve">  07  FILLER                            PIC X(3408).</t>
        </is>
      </c>
      <c r="B130" s="32" t="inlineStr">
        <is>
          <t>Espaços</t>
        </is>
      </c>
      <c r="C130" s="33">
        <f>C129+D129</f>
        <v/>
      </c>
      <c r="D130" s="32">
        <f>4096-C130</f>
        <v/>
      </c>
      <c r="E130" s="16" t="n"/>
      <c r="F130" s="62" t="n"/>
    </row>
    <row r="131">
      <c r="A131" s="10" t="n"/>
      <c r="B131" s="16" t="n"/>
      <c r="C131" s="13" t="n"/>
      <c r="D131" s="16" t="n"/>
      <c r="E131" s="16" t="n"/>
      <c r="F131" s="62" t="n"/>
    </row>
    <row r="132">
      <c r="A132" s="5" t="inlineStr">
        <is>
          <t>05  FILLER                        REDEFINES :PREFIX:-DADOS-DOCUMENTO.</t>
        </is>
      </c>
      <c r="B132" s="37" t="inlineStr">
        <is>
          <t>Este bloco repete ZERO a N vezes</t>
        </is>
      </c>
      <c r="C132" s="8" t="n">
        <v>299</v>
      </c>
      <c r="D132" s="8" t="n">
        <v>0</v>
      </c>
      <c r="E132" s="13" t="n"/>
      <c r="F132" s="62" t="n"/>
    </row>
    <row r="133">
      <c r="A133" s="30" t="inlineStr">
        <is>
          <t xml:space="preserve">  07  :PREFIX:-PESSOAS-SEGURAS.</t>
        </is>
      </c>
      <c r="B133" s="32" t="inlineStr">
        <is>
          <t>Lista das Pessoas Seguras (Registo do tipo PPPS)</t>
        </is>
      </c>
      <c r="C133" s="38">
        <f>C132+D132</f>
        <v/>
      </c>
      <c r="D133" s="32" t="n">
        <v>0</v>
      </c>
      <c r="E133" s="16" t="n"/>
      <c r="F133" s="62" t="n"/>
    </row>
    <row r="134">
      <c r="A134" s="40" t="inlineStr">
        <is>
          <t xml:space="preserve">    09  :PREFIX:-PS-NOME                PIC X(50).</t>
        </is>
      </c>
      <c r="B134" s="25" t="inlineStr">
        <is>
          <t>Nome da Pessoa Segura</t>
        </is>
      </c>
      <c r="C134" s="13">
        <f>C133+D133</f>
        <v/>
      </c>
      <c r="D134" s="25" t="n">
        <v>50</v>
      </c>
      <c r="E134" s="21" t="inlineStr">
        <is>
          <t>Opcional</t>
        </is>
      </c>
      <c r="F134" s="62" t="n"/>
    </row>
    <row r="135">
      <c r="A135" s="30" t="inlineStr">
        <is>
          <t xml:space="preserve">  07  FILLER                            PIC X(3747).</t>
        </is>
      </c>
      <c r="B135" s="32" t="inlineStr">
        <is>
          <t>Espaços</t>
        </is>
      </c>
      <c r="C135" s="38">
        <f>C134+D134</f>
        <v/>
      </c>
      <c r="D135" s="32">
        <f>4096-C135</f>
        <v/>
      </c>
      <c r="E135" s="16" t="n"/>
      <c r="F135" s="62" t="n"/>
    </row>
    <row r="136">
      <c r="A136" s="10" t="n"/>
      <c r="B136" s="16" t="n"/>
      <c r="C136" s="25" t="n"/>
      <c r="D136" s="16" t="n"/>
      <c r="E136" s="16" t="n"/>
      <c r="F136" s="62" t="n"/>
    </row>
    <row r="137">
      <c r="A137" s="5" t="inlineStr">
        <is>
          <t>05  FILLER                        REDEFINES :PREFIX:-DADOS-DOCUMENTO.</t>
        </is>
      </c>
      <c r="B137" s="37" t="inlineStr">
        <is>
          <t>Este bloco repete ZERO a N vezes</t>
        </is>
      </c>
      <c r="C137" s="8" t="n">
        <v>299</v>
      </c>
      <c r="D137" s="8" t="n">
        <v>0</v>
      </c>
      <c r="E137" s="13" t="n"/>
      <c r="F137" s="62" t="n"/>
    </row>
    <row r="138">
      <c r="A138" s="30" t="inlineStr">
        <is>
          <t xml:space="preserve">  07  :PREFIX:-FILHOS.</t>
        </is>
      </c>
      <c r="B138" s="32" t="inlineStr">
        <is>
          <t>Lista dos Filhos (Registo do tipo PPFL)</t>
        </is>
      </c>
      <c r="C138" s="38">
        <f>C137+D137</f>
        <v/>
      </c>
      <c r="D138" s="32" t="n">
        <v>0</v>
      </c>
      <c r="E138" s="16" t="n"/>
      <c r="F138" s="62" t="n"/>
    </row>
    <row r="139">
      <c r="A139" s="40" t="inlineStr">
        <is>
          <t xml:space="preserve">    09  :PREFIX:-FL-NOME                PIC X(50).</t>
        </is>
      </c>
      <c r="B139" s="25" t="inlineStr">
        <is>
          <t>Nome do Filho</t>
        </is>
      </c>
      <c r="C139" s="13">
        <f>C138+D138</f>
        <v/>
      </c>
      <c r="D139" s="25" t="n">
        <v>50</v>
      </c>
      <c r="E139" s="21" t="inlineStr">
        <is>
          <t>Opcional</t>
        </is>
      </c>
      <c r="F139" s="62" t="n"/>
    </row>
    <row r="140">
      <c r="A140" s="30" t="inlineStr">
        <is>
          <t xml:space="preserve">  07  FILLER                            PIC X(3747).</t>
        </is>
      </c>
      <c r="B140" s="32" t="inlineStr">
        <is>
          <t>Espaços</t>
        </is>
      </c>
      <c r="C140" s="38">
        <f>C139+D139</f>
        <v/>
      </c>
      <c r="D140" s="32">
        <f>4096-C140</f>
        <v/>
      </c>
      <c r="E140" s="16" t="n"/>
      <c r="F140" s="62" t="n"/>
    </row>
    <row r="141">
      <c r="A141" s="10" t="n"/>
      <c r="B141" s="16" t="n"/>
      <c r="C141" s="13" t="n"/>
      <c r="D141" s="16" t="n"/>
      <c r="E141" s="16" t="n"/>
      <c r="F141" s="62" t="n"/>
    </row>
    <row r="142">
      <c r="A142" s="5" t="inlineStr">
        <is>
          <t>05  FILLER                        REDEFINES :PREFIX:-DADOS-DOCUMENTO.</t>
        </is>
      </c>
      <c r="B142" s="37" t="inlineStr">
        <is>
          <t>Este bloco repete ZERO a N vezes</t>
        </is>
      </c>
      <c r="C142" s="8" t="n">
        <v>299</v>
      </c>
      <c r="D142" s="8" t="n">
        <v>0</v>
      </c>
      <c r="E142" s="13" t="n"/>
      <c r="F142" s="62" t="n"/>
    </row>
    <row r="143">
      <c r="A143" s="30" t="inlineStr">
        <is>
          <t xml:space="preserve">  07  :PREFIX:-PREMIO-CONTRATO.</t>
        </is>
      </c>
      <c r="B143" s="32" t="inlineStr">
        <is>
          <t>Lista do Prémio Total do Contracto (Registo do tipo PPPC)</t>
        </is>
      </c>
      <c r="C143" s="38">
        <f>C142+D142</f>
        <v/>
      </c>
      <c r="D143" s="32" t="n">
        <v>0</v>
      </c>
      <c r="E143" s="16" t="n"/>
      <c r="F143" s="62" t="n"/>
    </row>
    <row r="144">
      <c r="A144" s="40" t="inlineStr">
        <is>
          <t xml:space="preserve">    09  :PREFIX:-PC-PARCELA-DESC        PIC X(100).</t>
        </is>
      </c>
      <c r="B144" s="25" t="inlineStr">
        <is>
          <t>Descritivo da Parcela relativa ao Prémio Total do Contracto</t>
        </is>
      </c>
      <c r="C144" s="13">
        <f>C143+D143</f>
        <v/>
      </c>
      <c r="D144" s="25" t="n">
        <v>100</v>
      </c>
      <c r="E144" s="21" t="inlineStr">
        <is>
          <t>Opcional</t>
        </is>
      </c>
      <c r="F144" s="62" t="n"/>
    </row>
    <row r="145">
      <c r="A145" s="40" t="inlineStr">
        <is>
          <t xml:space="preserve">    09  :PREFIX:-PC-PARCELA-VALOR       PIC S9(12)V9(02)  SIGN LEADING SEPARATE.</t>
        </is>
      </c>
      <c r="B145" s="25" t="inlineStr">
        <is>
          <t>Valor da Parcela relativa ao Prémio Total do Contracto</t>
        </is>
      </c>
      <c r="C145" s="13">
        <f>C144+D144</f>
        <v/>
      </c>
      <c r="D145" s="25" t="n">
        <v>15</v>
      </c>
      <c r="E145" s="21" t="inlineStr">
        <is>
          <t>Opcional</t>
        </is>
      </c>
      <c r="F145" s="62" t="n"/>
    </row>
    <row r="146">
      <c r="A146" s="30" t="inlineStr">
        <is>
          <t xml:space="preserve">  07  FILLER                            PIC X(3682).</t>
        </is>
      </c>
      <c r="B146" s="32" t="inlineStr">
        <is>
          <t>Espaços</t>
        </is>
      </c>
      <c r="C146" s="38">
        <f>C145+D145</f>
        <v/>
      </c>
      <c r="D146" s="32">
        <f>4096-C146</f>
        <v/>
      </c>
      <c r="E146" s="16" t="n"/>
      <c r="F146" s="62" t="n"/>
    </row>
    <row r="147">
      <c r="A147" s="10" t="n"/>
      <c r="B147" s="16" t="n"/>
      <c r="C147" s="13" t="n"/>
      <c r="D147" s="16" t="n"/>
      <c r="E147" s="16" t="n"/>
      <c r="F147" s="62" t="n"/>
    </row>
    <row r="148">
      <c r="A148" s="5" t="inlineStr">
        <is>
          <t>05  FILLER                        REDEFINES :PREFIX:-DADOS-DOCUMENTO.</t>
        </is>
      </c>
      <c r="B148" s="37" t="inlineStr">
        <is>
          <t>Este bloco repete ZERO a N vezes</t>
        </is>
      </c>
      <c r="C148" s="8" t="n">
        <v>299</v>
      </c>
      <c r="D148" s="8" t="n">
        <v>0</v>
      </c>
      <c r="E148" s="13" t="n"/>
      <c r="F148" s="62" t="n"/>
    </row>
    <row r="149">
      <c r="A149" s="30" t="inlineStr">
        <is>
          <t xml:space="preserve">  07  :PREFIX:-PREMIO-ALTERACAO.</t>
        </is>
      </c>
      <c r="B149" s="32" t="inlineStr">
        <is>
          <t>Lista do Prémio da Alteração (Registo do tipo PPPA)</t>
        </is>
      </c>
      <c r="C149" s="38">
        <f>C148+D148</f>
        <v/>
      </c>
      <c r="D149" s="32" t="n">
        <v>0</v>
      </c>
      <c r="E149" s="16" t="n"/>
      <c r="F149" s="62" t="n"/>
    </row>
    <row r="150">
      <c r="A150" s="40" t="inlineStr">
        <is>
          <t xml:space="preserve">    09  :PREFIX:-PA-PARCELA-DESC        PIC X(100).</t>
        </is>
      </c>
      <c r="B150" s="25" t="inlineStr">
        <is>
          <t>Descritivo da Parcela relativa ao Prémio da Alteração</t>
        </is>
      </c>
      <c r="C150" s="13">
        <f>C149+D149</f>
        <v/>
      </c>
      <c r="D150" s="25" t="n">
        <v>100</v>
      </c>
      <c r="E150" s="21" t="inlineStr">
        <is>
          <t>Opcional</t>
        </is>
      </c>
      <c r="F150" s="62" t="n"/>
    </row>
    <row r="151">
      <c r="A151" s="40" t="inlineStr">
        <is>
          <t xml:space="preserve">    09  :PREFIX:-PA-PARCELA-VALOR       PIC S9(12)V9(02)  SIGN LEADING SEPARATE.</t>
        </is>
      </c>
      <c r="B151" s="25" t="inlineStr">
        <is>
          <t>Valor da Parcela relativa ao Prémio da Alteração</t>
        </is>
      </c>
      <c r="C151" s="13">
        <f>C150+D150</f>
        <v/>
      </c>
      <c r="D151" s="25" t="n">
        <v>15</v>
      </c>
      <c r="E151" s="21" t="inlineStr">
        <is>
          <t>Opcional</t>
        </is>
      </c>
      <c r="F151" s="62" t="n"/>
    </row>
    <row r="152">
      <c r="A152" s="30" t="inlineStr">
        <is>
          <t xml:space="preserve">  07  FILLER                            PIC X(3682).</t>
        </is>
      </c>
      <c r="B152" s="32" t="inlineStr">
        <is>
          <t>Espaços</t>
        </is>
      </c>
      <c r="C152" s="38">
        <f>C151+D151</f>
        <v/>
      </c>
      <c r="D152" s="32">
        <f>4096-C152</f>
        <v/>
      </c>
      <c r="E152" s="16" t="n"/>
      <c r="F152" s="62" t="n"/>
    </row>
    <row r="153">
      <c r="A153" s="10" t="n"/>
      <c r="B153" s="16" t="n"/>
      <c r="C153" s="13" t="n"/>
      <c r="D153" s="16" t="n"/>
      <c r="E153" s="16" t="n"/>
      <c r="F153" s="62" t="n"/>
    </row>
    <row r="154">
      <c r="A154" s="5" t="inlineStr">
        <is>
          <t>05  FILLER                        REDEFINES :PREFIX:-DADOS-DOCUMENTO.</t>
        </is>
      </c>
      <c r="B154" s="37" t="inlineStr">
        <is>
          <t>Fim do Documento (Registo do tipo PPZZ)</t>
        </is>
      </c>
      <c r="C154" s="8" t="n">
        <v>299</v>
      </c>
      <c r="D154" s="8" t="n">
        <v>0</v>
      </c>
      <c r="E154" s="13" t="n"/>
      <c r="F154" s="62" t="n"/>
    </row>
    <row r="155">
      <c r="A155" s="30" t="inlineStr">
        <is>
          <t xml:space="preserve">  07  :PREFIX:-INDICADORES-FIM.</t>
        </is>
      </c>
      <c r="B155" s="32" t="inlineStr">
        <is>
          <t>Indicadores (Registo do tipo PPZZ)</t>
        </is>
      </c>
      <c r="C155" s="38">
        <f>C154+D154</f>
        <v/>
      </c>
      <c r="D155" s="32" t="n">
        <v>0</v>
      </c>
      <c r="E155" s="16" t="n"/>
      <c r="F155" s="62" t="n"/>
    </row>
    <row r="156">
      <c r="A156" s="40" t="inlineStr">
        <is>
          <t xml:space="preserve">    09  :PREFIX:-IF-IND-NOVA-COB        PIC X(01).</t>
        </is>
      </c>
      <c r="B156" s="25" t="inlineStr">
        <is>
          <t>Indicador de existência de nova Cobertura (S / N, espaços)</t>
        </is>
      </c>
      <c r="C156" s="13">
        <f>C155+D155</f>
        <v/>
      </c>
      <c r="D156" s="25" t="n">
        <v>1</v>
      </c>
      <c r="E156" s="21" t="inlineStr">
        <is>
          <t>Opcional</t>
        </is>
      </c>
      <c r="F156" s="62" t="n"/>
    </row>
    <row r="157">
      <c r="A157" s="40" t="inlineStr">
        <is>
          <t xml:space="preserve">    09  :PREFIX:-IF-IND-ALT-TARIF       PIC X(01).</t>
        </is>
      </c>
      <c r="B157" s="25" t="inlineStr">
        <is>
          <t>Indicador de Alteração de tarifa  (S / N, espaços)</t>
        </is>
      </c>
      <c r="C157" s="13">
        <f>C156+D156</f>
        <v/>
      </c>
      <c r="D157" s="25" t="n">
        <v>1</v>
      </c>
      <c r="E157" s="21" t="inlineStr">
        <is>
          <t>Opcional</t>
        </is>
      </c>
      <c r="F157" s="62" t="n"/>
    </row>
    <row r="158">
      <c r="A158" s="30" t="inlineStr">
        <is>
          <t xml:space="preserve">  07  :PREFIX:-FIM-DOCUMENTO            PIC X(3795).</t>
        </is>
      </c>
      <c r="B158" s="32" t="inlineStr">
        <is>
          <t>Espaços</t>
        </is>
      </c>
      <c r="C158" s="38">
        <f>C157+D157</f>
        <v/>
      </c>
      <c r="D158" s="32">
        <f>4096-C158</f>
        <v/>
      </c>
      <c r="E158" s="17" t="inlineStr">
        <is>
          <t>Obrigatório</t>
        </is>
      </c>
    </row>
  </sheetData>
  <mergeCells count="16">
    <mergeCell ref="F18:F25"/>
    <mergeCell ref="F14:F16"/>
    <mergeCell ref="E17:E26"/>
    <mergeCell ref="E76:E89"/>
    <mergeCell ref="E109:E111"/>
    <mergeCell ref="F50:F62"/>
    <mergeCell ref="E8:E16"/>
    <mergeCell ref="E38:E46"/>
    <mergeCell ref="E49:E69"/>
    <mergeCell ref="F39:F44"/>
    <mergeCell ref="E119:E124"/>
    <mergeCell ref="E3:E7"/>
    <mergeCell ref="F77:F88"/>
    <mergeCell ref="F6:F7"/>
    <mergeCell ref="E70:E74"/>
    <mergeCell ref="F71:F74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65"/>
  <sheetViews>
    <sheetView workbookViewId="0">
      <selection activeCell="A1" sqref="A1"/>
    </sheetView>
  </sheetViews>
  <sheetFormatPr baseColWidth="8" defaultRowHeight="15"/>
  <cols>
    <col width="103.42578125" customWidth="1" min="1" max="1"/>
    <col width="70.28515625" customWidth="1" min="2" max="2"/>
    <col width="7.7109375" customWidth="1" min="3" max="3"/>
    <col width="9.140625" customWidth="1" min="4" max="4"/>
    <col width="11.28515625" customWidth="1" min="5" max="5"/>
  </cols>
  <sheetData>
    <row r="1" ht="15.75" customHeight="1">
      <c r="A1" s="1" t="inlineStr">
        <is>
          <t>Copybook</t>
        </is>
      </c>
      <c r="B1" s="63" t="inlineStr">
        <is>
          <t>Descrição / 'Valores Possiveis' / (Notas) / [Formato]</t>
        </is>
      </c>
      <c r="C1" s="3" t="inlineStr">
        <is>
          <t>Posição</t>
        </is>
      </c>
      <c r="D1" s="3" t="inlineStr">
        <is>
          <t>Tamanho</t>
        </is>
      </c>
      <c r="E1" s="4" t="inlineStr">
        <is>
          <t>Observação</t>
        </is>
      </c>
    </row>
    <row r="2">
      <c r="A2" s="5" t="inlineStr">
        <is>
          <t>05  :PREFIX:-DADOS-REGISTO.</t>
        </is>
      </c>
      <c r="B2" s="7" t="n"/>
      <c r="C2" s="8" t="n">
        <v>1</v>
      </c>
      <c r="D2" s="8" t="n">
        <v>0</v>
      </c>
      <c r="E2" s="64" t="n"/>
    </row>
    <row r="3">
      <c r="A3" s="46" t="inlineStr">
        <is>
          <t xml:space="preserve">  07  :PREFIX:-COD-COMPANHIA          PIC X(03).</t>
        </is>
      </c>
      <c r="B3" s="47" t="inlineStr">
        <is>
          <t>Código de identificação da Companhia</t>
        </is>
      </c>
      <c r="C3" s="48">
        <f>C2+D2</f>
        <v/>
      </c>
      <c r="D3" s="48" t="n">
        <v>3</v>
      </c>
      <c r="E3" s="17" t="inlineStr">
        <is>
          <t>Obrigatório</t>
        </is>
      </c>
    </row>
    <row r="4">
      <c r="A4" s="46" t="inlineStr">
        <is>
          <t xml:space="preserve">    88  :PREFIX:-COM-VIADIRECTA                 VALUE '111'.</t>
        </is>
      </c>
      <c r="B4" s="47" t="inlineStr">
        <is>
          <t xml:space="preserve">     '111' - Via Directa</t>
        </is>
      </c>
      <c r="C4" s="48" t="n"/>
      <c r="D4" s="48" t="n"/>
      <c r="E4" s="15" t="n"/>
    </row>
    <row r="5">
      <c r="A5" s="46" t="inlineStr">
        <is>
          <t xml:space="preserve">    88  :PREFIX:-COM-FIDELIDADE                 VALUE '128'.</t>
        </is>
      </c>
      <c r="B5" s="47" t="inlineStr">
        <is>
          <t xml:space="preserve">     '128' - Fidelidade</t>
        </is>
      </c>
      <c r="C5" s="48" t="n"/>
      <c r="D5" s="48" t="n"/>
      <c r="E5" s="15" t="n"/>
    </row>
    <row r="6">
      <c r="A6" s="46" t="inlineStr">
        <is>
          <t xml:space="preserve">    88  :PREFIX:-COM-IMPERIO                    VALUE '138'.</t>
        </is>
      </c>
      <c r="B6" s="47" t="inlineStr">
        <is>
          <t xml:space="preserve">     '138' - Império</t>
        </is>
      </c>
      <c r="C6" s="48" t="n"/>
      <c r="D6" s="48" t="n"/>
      <c r="E6" s="15" t="n"/>
    </row>
    <row r="7">
      <c r="A7" s="46" t="inlineStr">
        <is>
          <t xml:space="preserve">    88  :PREFIX:-COM-MULTICARE                  VALUE '148'.</t>
        </is>
      </c>
      <c r="B7" s="47" t="inlineStr">
        <is>
          <t xml:space="preserve">     '148' - Multicare</t>
        </is>
      </c>
      <c r="C7" s="54" t="n"/>
      <c r="D7" s="54" t="n"/>
      <c r="E7" s="18" t="n"/>
    </row>
    <row r="8">
      <c r="A8" s="46" t="inlineStr">
        <is>
          <t xml:space="preserve">  07  :PREFIX:-COD-MARCA              PIC X(03).</t>
        </is>
      </c>
      <c r="B8" s="47" t="inlineStr">
        <is>
          <t>Código de identificação da Marca</t>
        </is>
      </c>
      <c r="C8" s="48">
        <f>C3+D3</f>
        <v/>
      </c>
      <c r="D8" s="54" t="n">
        <v>3</v>
      </c>
      <c r="E8" s="17" t="inlineStr">
        <is>
          <t>Obrigatório</t>
        </is>
      </c>
    </row>
    <row r="9">
      <c r="A9" s="46" t="inlineStr">
        <is>
          <t xml:space="preserve">    88  :PREFIX:-MAR-OK-TELESEGURO              VALUE '001'.</t>
        </is>
      </c>
      <c r="B9" s="47" t="inlineStr">
        <is>
          <t xml:space="preserve">     '001' - OK Teleseguro</t>
        </is>
      </c>
      <c r="C9" s="54" t="n"/>
      <c r="D9" s="54" t="n"/>
      <c r="E9" s="15" t="n"/>
    </row>
    <row r="10">
      <c r="A10" s="46" t="inlineStr">
        <is>
          <t xml:space="preserve">    88  :PREFIX:-MAR-FIDELIDADE                 VALUE '002'.</t>
        </is>
      </c>
      <c r="B10" s="47" t="inlineStr">
        <is>
          <t xml:space="preserve">     '002' - Fidelidade</t>
        </is>
      </c>
      <c r="C10" s="54" t="n"/>
      <c r="D10" s="54" t="n"/>
      <c r="E10" s="15" t="n"/>
    </row>
    <row r="11">
      <c r="A11" s="46" t="inlineStr">
        <is>
          <t xml:space="preserve">    88  :PREFIX:-MAR-FIDELIDADE-LEVE            VALUE 'L02'.</t>
        </is>
      </c>
      <c r="B11" s="47" t="inlineStr">
        <is>
          <t xml:space="preserve">     'L02' - Fidelidade Leve</t>
        </is>
      </c>
      <c r="C11" s="54" t="n"/>
      <c r="D11" s="54" t="n"/>
      <c r="E11" s="15" t="n"/>
    </row>
    <row r="12">
      <c r="A12" s="46" t="inlineStr">
        <is>
          <t xml:space="preserve">    88  :PREFIX:-MAR-IMPERIO                    VALUE '003'.</t>
        </is>
      </c>
      <c r="B12" s="47" t="inlineStr">
        <is>
          <t xml:space="preserve">     '003' - Império</t>
        </is>
      </c>
      <c r="C12" s="54" t="n"/>
      <c r="D12" s="54" t="n"/>
      <c r="E12" s="15" t="n"/>
    </row>
    <row r="13">
      <c r="A13" s="46" t="inlineStr">
        <is>
          <t xml:space="preserve">    88  :PREFIX:-MAR-IMPERIO-LEVE               VALUE 'L03'.</t>
        </is>
      </c>
      <c r="B13" s="47" t="inlineStr">
        <is>
          <t xml:space="preserve">     'L03' - Império Leve</t>
        </is>
      </c>
      <c r="C13" s="54" t="n"/>
      <c r="D13" s="54" t="n"/>
      <c r="E13" s="15" t="n"/>
    </row>
    <row r="14">
      <c r="A14" s="46" t="inlineStr">
        <is>
          <t xml:space="preserve">    88  :PREFIX:-MAR-ICI                        VALUE '004'.</t>
        </is>
      </c>
      <c r="B14" s="47" t="inlineStr">
        <is>
          <t xml:space="preserve">     '004' - ICI</t>
        </is>
      </c>
      <c r="C14" s="54" t="n"/>
      <c r="D14" s="54" t="n"/>
      <c r="E14" s="15" t="n"/>
    </row>
    <row r="15">
      <c r="A15" s="46" t="inlineStr">
        <is>
          <t xml:space="preserve">    88  :PREFIX:-MAR-SONAE                      VALUE '005'.</t>
        </is>
      </c>
      <c r="B15" s="47" t="inlineStr">
        <is>
          <t xml:space="preserve">     '005' - Continente</t>
        </is>
      </c>
      <c r="C15" s="54" t="n"/>
      <c r="D15" s="54" t="n"/>
      <c r="E15" s="15" t="n"/>
    </row>
    <row r="16">
      <c r="A16" s="46" t="inlineStr">
        <is>
          <t xml:space="preserve">    88  :PREFIX:-MAR-MULTICARE                  VALUE '006'.</t>
        </is>
      </c>
      <c r="B16" s="47" t="inlineStr">
        <is>
          <t xml:space="preserve">     '006' - Multicare</t>
        </is>
      </c>
      <c r="C16" s="54" t="n"/>
      <c r="D16" s="54" t="n"/>
      <c r="E16" s="18" t="n"/>
    </row>
    <row r="17">
      <c r="A17" s="46" t="inlineStr">
        <is>
          <t xml:space="preserve">  07  :PREFIX:-COD-ORIGEM             PIC X(03).</t>
        </is>
      </c>
      <c r="B17" s="47" t="inlineStr">
        <is>
          <t>Código de identificação do Sistema Origem</t>
        </is>
      </c>
      <c r="C17" s="48">
        <f>C8+D8</f>
        <v/>
      </c>
      <c r="D17" s="54" t="n">
        <v>3</v>
      </c>
      <c r="E17" s="17" t="inlineStr">
        <is>
          <t>Obrigatório</t>
        </is>
      </c>
    </row>
    <row r="18">
      <c r="A18" s="46" t="inlineStr">
        <is>
          <t xml:space="preserve">    88  :PREFIX:-ORI-COGEN22                    VALUE 'C22'.</t>
        </is>
      </c>
      <c r="B18" s="54" t="inlineStr">
        <is>
          <t xml:space="preserve">     'C22' - Cogen 2.2</t>
        </is>
      </c>
      <c r="C18" s="54" t="n"/>
      <c r="D18" s="54" t="n"/>
      <c r="E18" s="15" t="n"/>
    </row>
    <row r="19">
      <c r="A19" s="46" t="inlineStr">
        <is>
          <t xml:space="preserve">    88  :PREFIX:-ORI-COGEN33                    VALUE 'C33'.</t>
        </is>
      </c>
      <c r="B19" s="54" t="inlineStr">
        <is>
          <t xml:space="preserve">     'C33' - Cogen 3.3</t>
        </is>
      </c>
      <c r="C19" s="54" t="n"/>
      <c r="D19" s="54" t="n"/>
      <c r="E19" s="15" t="n"/>
    </row>
    <row r="20">
      <c r="A20" s="46" t="inlineStr">
        <is>
          <t xml:space="preserve">    88  :PREFIX:-ORI-COGEN41                    VALUE 'C41'.</t>
        </is>
      </c>
      <c r="B20" s="54" t="inlineStr">
        <is>
          <t xml:space="preserve">     'C41' - Cogen 4.1</t>
        </is>
      </c>
      <c r="C20" s="54" t="n"/>
      <c r="D20" s="54" t="n"/>
      <c r="E20" s="15" t="n"/>
    </row>
    <row r="21">
      <c r="A21" s="46" t="inlineStr">
        <is>
          <t xml:space="preserve">    88  :PREFIX:-ORI-PRIC41                     VALUE 'P41'.</t>
        </is>
      </c>
      <c r="B21" s="54" t="inlineStr">
        <is>
          <t xml:space="preserve">     'P41' - PRIC</t>
        </is>
      </c>
      <c r="C21" s="54" t="n"/>
      <c r="D21" s="54" t="n"/>
      <c r="E21" s="15" t="n"/>
    </row>
    <row r="22">
      <c r="A22" s="46" t="inlineStr">
        <is>
          <t xml:space="preserve">    88  :PREFIX:-ORI-GIS                        VALUE 'GIS'.</t>
        </is>
      </c>
      <c r="B22" s="54" t="inlineStr">
        <is>
          <t xml:space="preserve">     'GIS' - GIS</t>
        </is>
      </c>
      <c r="C22" s="54" t="n"/>
      <c r="D22" s="54" t="n"/>
      <c r="E22" s="15" t="n"/>
    </row>
    <row r="23">
      <c r="A23" s="46" t="inlineStr">
        <is>
          <t xml:space="preserve">    88  :PREFIX:-ORI-COLHEITAS                  VALUE 'CLH'.</t>
        </is>
      </c>
      <c r="B23" s="54" t="inlineStr">
        <is>
          <t xml:space="preserve">     'CLH' - Colheitas (GIC)</t>
        </is>
      </c>
      <c r="C23" s="54" t="n"/>
      <c r="D23" s="54" t="n"/>
      <c r="E23" s="15" t="n"/>
    </row>
    <row r="24">
      <c r="A24" s="46" t="inlineStr">
        <is>
          <t xml:space="preserve">    88  :PREFIX:-ORI-PAXUS                      VALUE 'PXS'.</t>
        </is>
      </c>
      <c r="B24" s="54" t="inlineStr">
        <is>
          <t xml:space="preserve">     'PXS' - Paxus</t>
        </is>
      </c>
      <c r="C24" s="54" t="n"/>
      <c r="D24" s="54" t="n"/>
      <c r="E24" s="15" t="n"/>
    </row>
    <row r="25">
      <c r="A25" s="46" t="inlineStr">
        <is>
          <t xml:space="preserve">    88  :PREFIX:-ORI-VIDA-GRUPO                 VALUE 'FGS'.</t>
        </is>
      </c>
      <c r="B25" s="54" t="inlineStr">
        <is>
          <t xml:space="preserve">     'FGS' - FGS</t>
        </is>
      </c>
      <c r="C25" s="54" t="n"/>
      <c r="D25" s="54" t="n"/>
      <c r="E25" s="15" t="n"/>
    </row>
    <row r="26">
      <c r="A26" s="46" t="inlineStr">
        <is>
          <t xml:space="preserve">    88  :PREFIX:-ORI-VIDA-IND                   VALUE 'RVI'.</t>
        </is>
      </c>
      <c r="B26" s="54" t="inlineStr">
        <is>
          <t xml:space="preserve">     'RVI' - RVI</t>
        </is>
      </c>
      <c r="C26" s="54" t="n"/>
      <c r="D26" s="54" t="n"/>
      <c r="E26" s="18" t="n"/>
    </row>
    <row r="27">
      <c r="A27" s="46" t="inlineStr">
        <is>
          <t xml:space="preserve">  07  :PREFIX:-COD-POSTALM            PIC X(09).</t>
        </is>
      </c>
      <c r="B27" s="54" t="inlineStr">
        <is>
          <t>Código postal do Mediador (Se estrangeiro deverá vir a zeros) [99990999]</t>
        </is>
      </c>
      <c r="C27" s="54">
        <f>C17+D17</f>
        <v/>
      </c>
      <c r="D27" s="54" t="n">
        <v>9</v>
      </c>
      <c r="E27" s="21" t="inlineStr">
        <is>
          <t>Opcional</t>
        </is>
      </c>
    </row>
    <row r="28">
      <c r="A28" s="46" t="inlineStr">
        <is>
          <t xml:space="preserve">  07  :PREFIX:-NR-MEDIADOR            PIC X(10).</t>
        </is>
      </c>
      <c r="B28" s="54" t="inlineStr">
        <is>
          <t>Número do Mediador (se existir Mediador, espaços para restantes casos)</t>
        </is>
      </c>
      <c r="C28" s="48">
        <f>C27+D27</f>
        <v/>
      </c>
      <c r="D28" s="54" t="n">
        <v>10</v>
      </c>
      <c r="E28" s="21" t="inlineStr">
        <is>
          <t>Opcional</t>
        </is>
      </c>
    </row>
    <row r="29">
      <c r="A29" s="46" t="inlineStr">
        <is>
          <t xml:space="preserve">  07  :PREFIX:-COD-POSTALC            PIC X(09).</t>
        </is>
      </c>
      <c r="B29" s="54" t="inlineStr">
        <is>
          <t>Código postal do Cliente (Se estrangeiro deverá vir a zeros) [99990999]</t>
        </is>
      </c>
      <c r="C29" s="55">
        <f>C28+D28</f>
        <v/>
      </c>
      <c r="D29" s="54" t="n">
        <v>9</v>
      </c>
      <c r="E29" s="17" t="inlineStr">
        <is>
          <t>Obrigatório</t>
        </is>
      </c>
    </row>
    <row r="30">
      <c r="A30" s="46" t="inlineStr">
        <is>
          <t xml:space="preserve">  07  :PREFIX:-NR-CLIENTE             PIC X(10).</t>
        </is>
      </c>
      <c r="B30" s="54" t="inlineStr">
        <is>
          <t>Número do Cliente</t>
        </is>
      </c>
      <c r="C30" s="48">
        <f>C29+D29</f>
        <v/>
      </c>
      <c r="D30" s="54" t="n">
        <v>10</v>
      </c>
      <c r="E30" s="17" t="inlineStr">
        <is>
          <t>Obrigatório</t>
        </is>
      </c>
    </row>
    <row r="31">
      <c r="A31" s="46" t="inlineStr">
        <is>
          <t xml:space="preserve">  07  :PREFIX:-NR-APOLICE             PIC X(16).</t>
        </is>
      </c>
      <c r="B31" s="54" t="inlineStr">
        <is>
          <t>Número da Apólice</t>
        </is>
      </c>
      <c r="C31" s="48">
        <f>C30+D30</f>
        <v/>
      </c>
      <c r="D31" s="54" t="n">
        <v>16</v>
      </c>
      <c r="E31" s="17" t="inlineStr">
        <is>
          <t>Obrigatório</t>
        </is>
      </c>
    </row>
    <row r="32">
      <c r="A32" s="46" t="inlineStr">
        <is>
          <t xml:space="preserve">  07  :PREFIX:-COD-PRODUTO            PIC X(06).</t>
        </is>
      </c>
      <c r="B32" s="47" t="inlineStr">
        <is>
          <t>Código do Produto (modalidade 2, versão 2, spaces 2)</t>
        </is>
      </c>
      <c r="C32" s="48">
        <f>C31+D31</f>
        <v/>
      </c>
      <c r="D32" s="48" t="n">
        <v>6</v>
      </c>
      <c r="E32" s="17" t="inlineStr">
        <is>
          <t>Obrigatório</t>
        </is>
      </c>
    </row>
    <row r="33">
      <c r="A33" s="46" t="inlineStr">
        <is>
          <t xml:space="preserve">  07  :PREFIX:-DATA-HORA              PIC X(14).</t>
        </is>
      </c>
      <c r="B33" s="47" t="inlineStr">
        <is>
          <t>Data e hora da emissão do documento</t>
        </is>
      </c>
      <c r="C33" s="48">
        <f>C32+D32</f>
        <v/>
      </c>
      <c r="D33" s="48" t="n">
        <v>14</v>
      </c>
      <c r="E33" s="17" t="inlineStr">
        <is>
          <t>Obrigatório</t>
        </is>
      </c>
    </row>
    <row r="34">
      <c r="A34" s="46" t="inlineStr">
        <is>
          <t xml:space="preserve">  07  :PREFIX:-NUM-DOC                PIC 9(07).</t>
        </is>
      </c>
      <c r="B34" s="47" t="inlineStr">
        <is>
          <t>Número de ordem do documento</t>
        </is>
      </c>
      <c r="C34" s="48">
        <f>C33+D33</f>
        <v/>
      </c>
      <c r="D34" s="48" t="n">
        <v>7</v>
      </c>
      <c r="E34" s="19" t="inlineStr">
        <is>
          <t>Espaços</t>
        </is>
      </c>
    </row>
    <row r="35">
      <c r="A35" s="46" t="inlineStr">
        <is>
          <t xml:space="preserve">  07  :PREFIX:-NUM-REGISTO            PIC 9(07).</t>
        </is>
      </c>
      <c r="B35" s="47" t="inlineStr">
        <is>
          <t>Número de ordem do registo</t>
        </is>
      </c>
      <c r="C35" s="48">
        <f>C34+D34</f>
        <v/>
      </c>
      <c r="D35" s="48" t="n">
        <v>7</v>
      </c>
      <c r="E35" s="19" t="inlineStr">
        <is>
          <t>Espaços</t>
        </is>
      </c>
    </row>
    <row r="36">
      <c r="A36" s="46" t="inlineStr">
        <is>
          <t xml:space="preserve">  07  :PREFIX:-COD-ASSINATURA         PIC X(04).</t>
        </is>
      </c>
      <c r="B36" s="47" t="inlineStr">
        <is>
          <t>Código da assinatura do documento</t>
        </is>
      </c>
      <c r="C36" s="48">
        <f>C35+D35</f>
        <v/>
      </c>
      <c r="D36" s="48" t="n">
        <v>4</v>
      </c>
      <c r="E36" s="19" t="inlineStr">
        <is>
          <t>Espaços</t>
        </is>
      </c>
    </row>
    <row r="37">
      <c r="A37" s="46" t="inlineStr">
        <is>
          <t xml:space="preserve">  07  :PREFIX:-TIPO-DOCUMENTO         PIC X(04).</t>
        </is>
      </c>
      <c r="B37" s="47" t="inlineStr">
        <is>
          <t>Código de identificação do Tipo de Documento</t>
        </is>
      </c>
      <c r="C37" s="48">
        <f>C36+D36</f>
        <v/>
      </c>
      <c r="D37" s="48" t="n">
        <v>4</v>
      </c>
      <c r="E37" s="19" t="inlineStr">
        <is>
          <t>Espaços</t>
        </is>
      </c>
    </row>
    <row r="38">
      <c r="A38" s="46" t="inlineStr">
        <is>
          <t xml:space="preserve">  07  :PREFIX:-TIPO-IMPRESSAO         PIC X(03).</t>
        </is>
      </c>
      <c r="B38" s="47" t="inlineStr">
        <is>
          <t>Código de identificação do tipo de impressão [espaços para DOC-ID = '006']</t>
        </is>
      </c>
      <c r="C38" s="48">
        <f>C37+D37</f>
        <v/>
      </c>
      <c r="D38" s="48" t="n">
        <v>3</v>
      </c>
      <c r="E38" s="17" t="inlineStr">
        <is>
          <t>Obrigatório</t>
        </is>
      </c>
    </row>
    <row r="39">
      <c r="A39" s="57" t="inlineStr">
        <is>
          <t xml:space="preserve">    88  :PREFIX:-IMP-ONLINE                     VALUE 'ONL'.</t>
        </is>
      </c>
      <c r="B39" s="58" t="inlineStr">
        <is>
          <t xml:space="preserve">     'ONL' - Impressão Online (Não Expedir)</t>
        </is>
      </c>
      <c r="C39" s="48" t="n"/>
      <c r="D39" s="48" t="n"/>
      <c r="E39" s="15" t="n"/>
    </row>
    <row r="40">
      <c r="A40" s="57" t="inlineStr">
        <is>
          <t xml:space="preserve">    88  :PREFIX:-IMP-EXPEDIR                    VALUE 'EXP'.</t>
        </is>
      </c>
      <c r="B40" s="58" t="inlineStr">
        <is>
          <t xml:space="preserve">     'EXP' - Impressão Batch (Expedir)</t>
        </is>
      </c>
      <c r="C40" s="48" t="n"/>
      <c r="D40" s="48" t="n"/>
      <c r="E40" s="18" t="n"/>
    </row>
    <row r="41">
      <c r="A41" s="46" t="inlineStr">
        <is>
          <t xml:space="preserve">  07  :PREFIX:-COD-IMPRESSORA         PIC X(08).</t>
        </is>
      </c>
      <c r="B41" s="47" t="inlineStr">
        <is>
          <t>Código da impressora (se impressão online, espaços para os restantes)</t>
        </is>
      </c>
      <c r="C41" s="48">
        <f>C38+D38</f>
        <v/>
      </c>
      <c r="D41" s="48" t="n">
        <v>8</v>
      </c>
      <c r="E41" s="21" t="inlineStr">
        <is>
          <t>Opcional</t>
        </is>
      </c>
    </row>
    <row r="42">
      <c r="A42" s="46" t="inlineStr">
        <is>
          <t xml:space="preserve">  07  :PREFIX:-COD-DOC-ORIGEM         PIC X(10).</t>
        </is>
      </c>
      <c r="B42" s="47" t="inlineStr">
        <is>
          <t>Código do documento de origem</t>
        </is>
      </c>
      <c r="C42" s="48">
        <f>C41+D41</f>
        <v/>
      </c>
      <c r="D42" s="48" t="n">
        <v>10</v>
      </c>
      <c r="E42" s="17" t="inlineStr">
        <is>
          <t>Obrigatório</t>
        </is>
      </c>
    </row>
    <row r="43">
      <c r="A43" s="46" t="inlineStr">
        <is>
          <t xml:space="preserve">  07  :PREFIX:-TIPO-REG               PIC X(04).</t>
        </is>
      </c>
      <c r="B43" s="47" t="inlineStr">
        <is>
          <t>Tipo de Registo</t>
        </is>
      </c>
      <c r="C43" s="48">
        <f>C42+D42</f>
        <v/>
      </c>
      <c r="D43" s="48" t="n">
        <v>4</v>
      </c>
      <c r="E43" s="17" t="inlineStr">
        <is>
          <t>Obrigatório</t>
        </is>
      </c>
    </row>
    <row r="44">
      <c r="A44" s="65" t="inlineStr">
        <is>
          <t xml:space="preserve">    88  :PREFIX:-CPARTEA                        VALUE 'CPEA'.</t>
        </is>
      </c>
      <c r="B44" s="66" t="inlineStr">
        <is>
          <t xml:space="preserve">     Condição Particular - Registo tipo único - Endereçamento e Assunto</t>
        </is>
      </c>
      <c r="C44" s="67" t="n"/>
      <c r="D44" s="67" t="n"/>
      <c r="E44" s="15" t="n"/>
    </row>
    <row r="45">
      <c r="A45" s="65" t="inlineStr">
        <is>
          <t xml:space="preserve">    88  :PREFIX:-CPARTG1                        VALUE 'CPG1'.</t>
        </is>
      </c>
      <c r="B45" s="66" t="inlineStr">
        <is>
          <t xml:space="preserve">     Condição Particular - Registo tipo Lista - Garantias da Apolice (pessoa segura)</t>
        </is>
      </c>
      <c r="C45" s="67" t="n"/>
      <c r="D45" s="67" t="n"/>
      <c r="E45" s="15" t="n"/>
    </row>
    <row r="46">
      <c r="A46" s="65" t="inlineStr">
        <is>
          <t xml:space="preserve">    88  :PREFIX:-CPARTG2                        VALUE 'CPG2'.</t>
        </is>
      </c>
      <c r="B46" s="66" t="inlineStr">
        <is>
          <t xml:space="preserve">     Condição Particular - Registo tipo Lista - Garantias da Apolice (filhos)</t>
        </is>
      </c>
      <c r="C46" s="67" t="n"/>
      <c r="D46" s="67" t="n"/>
      <c r="E46" s="15" t="n"/>
    </row>
    <row r="47">
      <c r="A47" s="65" t="inlineStr">
        <is>
          <t xml:space="preserve">    88  :PREFIX:-CPARTGN                        VALUE 'CPGN'.</t>
        </is>
      </c>
      <c r="B47" s="66" t="inlineStr">
        <is>
          <t xml:space="preserve">     Condição Particular - Registo tipo Lista - Garantias da Apolice (notas)</t>
        </is>
      </c>
      <c r="C47" s="67" t="n"/>
      <c r="D47" s="67" t="n"/>
      <c r="E47" s="15" t="n"/>
    </row>
    <row r="48">
      <c r="A48" s="65" t="inlineStr">
        <is>
          <t xml:space="preserve">    88  :PREFIX:-CPARTPS                        VALUE 'CPPS'.</t>
        </is>
      </c>
      <c r="B48" s="66" t="inlineStr">
        <is>
          <t xml:space="preserve">     Condição Particular - Registo tipo Lista - Pessoas Seguras</t>
        </is>
      </c>
      <c r="C48" s="67" t="n"/>
      <c r="D48" s="67" t="n"/>
      <c r="E48" s="15" t="n"/>
    </row>
    <row r="49">
      <c r="A49" s="65" t="inlineStr">
        <is>
          <t xml:space="preserve">    88  :PREFIX:-CPARTRC                        VALUE 'CPRC'.</t>
        </is>
      </c>
      <c r="B49" s="66" t="inlineStr">
        <is>
          <t xml:space="preserve">     Condição Particular - Registo tipo Lista - Riscos Cobertos</t>
        </is>
      </c>
      <c r="C49" s="67" t="n"/>
      <c r="D49" s="67" t="n"/>
      <c r="E49" s="15" t="n"/>
    </row>
    <row r="50">
      <c r="A50" s="65" t="inlineStr">
        <is>
          <t xml:space="preserve">    88  :PREFIX:-CPARTPR                        VALUE 'CPPR'.</t>
        </is>
      </c>
      <c r="B50" s="66" t="inlineStr">
        <is>
          <t xml:space="preserve">     Condição Particular - Registo tipo Lista - Prémios</t>
        </is>
      </c>
      <c r="C50" s="67" t="n"/>
      <c r="D50" s="67" t="n"/>
      <c r="E50" s="15" t="n"/>
    </row>
    <row r="51">
      <c r="A51" s="65" t="inlineStr">
        <is>
          <t xml:space="preserve">    88  :PREFIX:-CPARTVR                        VALUE 'CPVR'.</t>
        </is>
      </c>
      <c r="B51" s="66" t="inlineStr">
        <is>
          <t xml:space="preserve">     Condição Particular - Registo tipo Lista - Valores de Resgate</t>
        </is>
      </c>
      <c r="C51" s="67" t="n"/>
      <c r="D51" s="67" t="n"/>
      <c r="E51" s="15" t="n"/>
    </row>
    <row r="52">
      <c r="A52" s="65" t="inlineStr">
        <is>
          <t xml:space="preserve">    88  :PREFIX:-CPARTGA                        VALUE 'CPG0'.</t>
        </is>
      </c>
      <c r="B52" s="66" t="inlineStr">
        <is>
          <t xml:space="preserve">     Condição Particular - Registo tipo Lista - Garantias (pessoa segura)</t>
        </is>
      </c>
      <c r="C52" s="67" t="n"/>
      <c r="D52" s="67" t="n"/>
      <c r="E52" s="15" t="n"/>
    </row>
    <row r="53">
      <c r="A53" s="65" t="inlineStr">
        <is>
          <t xml:space="preserve">    88  :PREFIX:-CPARTEX                        VALUE 'CPEX'.</t>
        </is>
      </c>
      <c r="B53" s="66" t="inlineStr">
        <is>
          <t xml:space="preserve">     Condição Particular - Registo tipo Lista - Exclusões / Agravamentos</t>
        </is>
      </c>
      <c r="C53" s="67" t="n"/>
      <c r="D53" s="67" t="n"/>
      <c r="E53" s="15" t="n"/>
    </row>
    <row r="54">
      <c r="A54" s="65" t="inlineStr">
        <is>
          <t xml:space="preserve">    88  :PREFIX:-CPARTBE                        VALUE 'CPBE'.</t>
        </is>
      </c>
      <c r="B54" s="66" t="inlineStr">
        <is>
          <t xml:space="preserve">     Condição Particular - Registo tipo Lista - Benefeciarios</t>
        </is>
      </c>
      <c r="C54" s="67" t="n"/>
      <c r="D54" s="67" t="n"/>
      <c r="E54" s="15" t="n"/>
    </row>
    <row r="55">
      <c r="A55" s="65" t="inlineStr">
        <is>
          <t xml:space="preserve">    88  :PREFIX:-CPARTFS                        VALUE 'CPFS'.</t>
        </is>
      </c>
      <c r="B55" s="66" t="inlineStr">
        <is>
          <t xml:space="preserve">     Condição Particular - Registo tipo Lista - Filhos</t>
        </is>
      </c>
      <c r="C55" s="67" t="n"/>
      <c r="D55" s="67" t="n"/>
      <c r="E55" s="15" t="n"/>
    </row>
    <row r="56">
      <c r="A56" s="65" t="inlineStr">
        <is>
          <t xml:space="preserve">    88  :PREFIX:-CPARTG9                        VALUE 'CPG9'.</t>
        </is>
      </c>
      <c r="B56" s="66" t="inlineStr">
        <is>
          <t xml:space="preserve">     Condição Particular - Registo tipo Lista - Garantias (filhos)</t>
        </is>
      </c>
      <c r="C56" s="67" t="n"/>
      <c r="D56" s="67" t="n"/>
      <c r="E56" s="15" t="n"/>
    </row>
    <row r="57">
      <c r="A57" s="65" t="inlineStr">
        <is>
          <t xml:space="preserve">    88  :PREFIX:-CPARTCB                        VALUE 'CPCB'.</t>
        </is>
      </c>
      <c r="B57" s="66" t="inlineStr">
        <is>
          <t xml:space="preserve">     Condição Particular - Registo tipo Lista - Coberturas</t>
        </is>
      </c>
      <c r="C57" s="67" t="n"/>
      <c r="D57" s="67" t="n"/>
      <c r="E57" s="15" t="n"/>
    </row>
    <row r="58">
      <c r="A58" s="65" t="inlineStr">
        <is>
          <t xml:space="preserve">    88  :PREFIX:-CPARTTL                        VALUE 'CPTL'.</t>
        </is>
      </c>
      <c r="B58" s="66" t="inlineStr">
        <is>
          <t xml:space="preserve">     Condição Particular - Registo tipo Lista - Texto Livre</t>
        </is>
      </c>
      <c r="C58" s="67" t="n"/>
      <c r="D58" s="67" t="n"/>
      <c r="E58" s="15" t="n"/>
    </row>
    <row r="59">
      <c r="A59" s="65" t="inlineStr">
        <is>
          <t xml:space="preserve">    88  :PREFIX:-CPARTPT                        VALUE 'CPPT'.</t>
        </is>
      </c>
      <c r="B59" s="66" t="inlineStr">
        <is>
          <t xml:space="preserve">     Condição Particular - Registo tipo Lista - Prémios Totais da Apólice</t>
        </is>
      </c>
      <c r="C59" s="67" t="n"/>
      <c r="D59" s="67" t="n"/>
      <c r="E59" s="15" t="n"/>
    </row>
    <row r="60">
      <c r="A60" s="65" t="inlineStr">
        <is>
          <t xml:space="preserve">    88  :PREFIX:-CPARTIF                        VALUE 'CPIF'.</t>
        </is>
      </c>
      <c r="B60" s="66" t="inlineStr">
        <is>
          <t xml:space="preserve">     Condição Particular - Registo tipo Lista - Informações finais</t>
        </is>
      </c>
      <c r="C60" s="67" t="n"/>
      <c r="D60" s="67" t="n"/>
      <c r="E60" s="15" t="n"/>
    </row>
    <row r="61">
      <c r="A61" s="65" t="inlineStr">
        <is>
          <t xml:space="preserve">    88  :PREFIX:-CPARTZZ                        VALUE 'CPZZ'.</t>
        </is>
      </c>
      <c r="B61" s="66" t="inlineStr">
        <is>
          <t xml:space="preserve">     Condição Particular - Registo tipo único - Fim do documento</t>
        </is>
      </c>
      <c r="C61" s="67" t="n"/>
      <c r="D61" s="67" t="n"/>
      <c r="E61" s="18" t="n"/>
    </row>
    <row r="62">
      <c r="A62" s="46" t="inlineStr">
        <is>
          <t xml:space="preserve">  07  :PREFIX:-MARCA-REIMPRESSAO      PIC X(01).</t>
        </is>
      </c>
      <c r="B62" s="47" t="inlineStr">
        <is>
          <t>Marca de reimpressão</t>
        </is>
      </c>
      <c r="C62" s="48">
        <f>C43+D43</f>
        <v/>
      </c>
      <c r="D62" s="48" t="n">
        <v>1</v>
      </c>
      <c r="E62" s="21" t="inlineStr">
        <is>
          <t>Opcional</t>
        </is>
      </c>
    </row>
    <row r="63">
      <c r="A63" s="46" t="inlineStr">
        <is>
          <t xml:space="preserve">    88  :PREFIX:-ESPACO                         VALUE ' '.</t>
        </is>
      </c>
      <c r="B63" s="47" t="inlineStr">
        <is>
          <t xml:space="preserve">     ' ' - Espaço</t>
        </is>
      </c>
      <c r="C63" s="48" t="n"/>
      <c r="D63" s="48" t="n"/>
      <c r="E63" s="15" t="n"/>
    </row>
    <row r="64">
      <c r="A64" s="46" t="inlineStr">
        <is>
          <t xml:space="preserve">    88  :PREFIX:-ONLINE                         VALUE '1'.</t>
        </is>
      </c>
      <c r="B64" s="47" t="inlineStr">
        <is>
          <t xml:space="preserve">     '1' - Impressão ONLINE</t>
        </is>
      </c>
      <c r="C64" s="48" t="n"/>
      <c r="D64" s="48" t="n"/>
      <c r="E64" s="15" t="n"/>
    </row>
    <row r="65">
      <c r="A65" s="46" t="inlineStr">
        <is>
          <t xml:space="preserve">    88  :PREFIX:-SEG-VIA                        VALUE '2'.</t>
        </is>
      </c>
      <c r="B65" s="47" t="inlineStr">
        <is>
          <t xml:space="preserve">     '2' - 2ª Via</t>
        </is>
      </c>
      <c r="C65" s="48" t="n"/>
      <c r="D65" s="48" t="n"/>
      <c r="E65" s="15" t="n"/>
    </row>
    <row r="66">
      <c r="A66" s="46" t="inlineStr">
        <is>
          <t xml:space="preserve">    88  :PREFIX:-REGISTADA                      VALUE '3'.</t>
        </is>
      </c>
      <c r="B66" s="47" t="inlineStr">
        <is>
          <t xml:space="preserve">     '3' - Registada</t>
        </is>
      </c>
      <c r="C66" s="48" t="n"/>
      <c r="D66" s="48" t="n"/>
      <c r="E66" s="18" t="n"/>
    </row>
    <row r="67">
      <c r="A67" s="46" t="inlineStr">
        <is>
          <t xml:space="preserve">  07  :PREFIX:-COD-CAPA               PIC X(06).</t>
        </is>
      </c>
      <c r="B67" s="47" t="inlineStr">
        <is>
          <t>Capa</t>
        </is>
      </c>
      <c r="C67" s="48">
        <f>C62+D62</f>
        <v/>
      </c>
      <c r="D67" s="48" t="n">
        <v>6</v>
      </c>
      <c r="E67" s="19" t="inlineStr">
        <is>
          <t>Espaços</t>
        </is>
      </c>
    </row>
    <row r="68">
      <c r="A68" s="46" t="inlineStr">
        <is>
          <t xml:space="preserve">  07  :PREFIX:-DOC-ID                 PIC X(03).</t>
        </is>
      </c>
      <c r="B68" s="47" t="inlineStr">
        <is>
          <t>Código para separar os movimentos conforme tipo de documento</t>
        </is>
      </c>
      <c r="C68" s="48">
        <f>C67+D67</f>
        <v/>
      </c>
      <c r="D68" s="48" t="n">
        <v>3</v>
      </c>
      <c r="E68" s="68" t="inlineStr">
        <is>
          <t>Obrigatório</t>
        </is>
      </c>
    </row>
    <row r="69">
      <c r="A69" s="46" t="inlineStr">
        <is>
          <t xml:space="preserve">    88  :PREFIX:-DOCID-CART                     VALUE '   '.</t>
        </is>
      </c>
      <c r="B69" s="47" t="inlineStr">
        <is>
          <t xml:space="preserve">     Espaços - Cartas 1ª fase</t>
        </is>
      </c>
      <c r="C69" s="48" t="n"/>
      <c r="D69" s="48" t="n"/>
      <c r="E69" s="15" t="n"/>
    </row>
    <row r="70">
      <c r="A70" s="46" t="inlineStr">
        <is>
          <t xml:space="preserve">    88  :PREFIX:-DOCID-CART1                    VALUE '001'.</t>
        </is>
      </c>
      <c r="B70" s="47" t="inlineStr">
        <is>
          <t xml:space="preserve">     '001' - Cartas 1ª fase</t>
        </is>
      </c>
      <c r="C70" s="48" t="n"/>
      <c r="D70" s="48" t="n"/>
      <c r="E70" s="15" t="n"/>
    </row>
    <row r="71">
      <c r="A71" s="46" t="inlineStr">
        <is>
          <t xml:space="preserve">    88  :PREFIX:-DOCID-CP                       VALUE '002'.</t>
        </is>
      </c>
      <c r="B71" s="47" t="inlineStr">
        <is>
          <t xml:space="preserve">     '002' - Condições Particulares</t>
        </is>
      </c>
      <c r="C71" s="48" t="n"/>
      <c r="D71" s="48" t="n"/>
      <c r="E71" s="15" t="n"/>
    </row>
    <row r="72">
      <c r="A72" s="46" t="inlineStr">
        <is>
          <t xml:space="preserve">    88  :PREFIX:-DOCID-CR                       VALUE '003'.</t>
        </is>
      </c>
      <c r="B72" s="47" t="inlineStr">
        <is>
          <t xml:space="preserve">     '003' - Cartas de Reinvestimento</t>
        </is>
      </c>
      <c r="C72" s="48" t="n"/>
      <c r="D72" s="48" t="n"/>
      <c r="E72" s="15" t="n"/>
    </row>
    <row r="73">
      <c r="A73" s="46" t="inlineStr">
        <is>
          <t xml:space="preserve">    88  :PREFIX:-DOCID-CERT                     VALUE '004'.</t>
        </is>
      </c>
      <c r="B73" s="47" t="inlineStr">
        <is>
          <t xml:space="preserve">     '004' - certificados</t>
        </is>
      </c>
      <c r="C73" s="48" t="n"/>
      <c r="D73" s="48" t="n"/>
      <c r="E73" s="15" t="n"/>
    </row>
    <row r="74">
      <c r="A74" s="46" t="inlineStr">
        <is>
          <t xml:space="preserve">    88  :PREFIX:-DOCID-EXTR                     VALUE '005'.</t>
        </is>
      </c>
      <c r="B74" s="47" t="inlineStr">
        <is>
          <t xml:space="preserve">     '005' - Extractos</t>
        </is>
      </c>
      <c r="C74" s="48" t="n"/>
      <c r="D74" s="48" t="n"/>
      <c r="E74" s="15" t="n"/>
    </row>
    <row r="75">
      <c r="A75" s="46" t="inlineStr">
        <is>
          <t xml:space="preserve">    88  :PREFIX:-DOCID-TRF-CART                 VALUE '006'.</t>
        </is>
      </c>
      <c r="B75" s="47" t="inlineStr">
        <is>
          <t xml:space="preserve">     '006' - Cartas Transferencia de Carteira</t>
        </is>
      </c>
      <c r="C75" s="48" t="n"/>
      <c r="D75" s="48" t="n"/>
      <c r="E75" s="15" t="n"/>
    </row>
    <row r="76">
      <c r="A76" s="46" t="inlineStr">
        <is>
          <t xml:space="preserve">    88  :PREFIX:-DOCID-REC-SINIS                VALUE '007'.</t>
        </is>
      </c>
      <c r="B76" s="47" t="inlineStr">
        <is>
          <t xml:space="preserve">     '007' - Recibos de Sinistros</t>
        </is>
      </c>
      <c r="C76" s="48" t="n"/>
      <c r="D76" s="48" t="n"/>
      <c r="E76" s="15" t="n"/>
    </row>
    <row r="77">
      <c r="A77" s="46" t="inlineStr">
        <is>
          <t xml:space="preserve">    88  :PREFIX:-DOCID-LISTA                    VALUE '008'.</t>
        </is>
      </c>
      <c r="B77" s="47" t="inlineStr">
        <is>
          <t xml:space="preserve">     '008' - Recibos de prémio/estorno</t>
        </is>
      </c>
      <c r="C77" s="48" t="n"/>
      <c r="D77" s="48" t="n"/>
      <c r="E77" s="15" t="n"/>
    </row>
    <row r="78">
      <c r="A78" s="46" t="inlineStr">
        <is>
          <t xml:space="preserve">    88  :PREFIX:-DOCID-LISTAH                   VALUE '009'.</t>
        </is>
      </c>
      <c r="B78" s="47" t="inlineStr">
        <is>
          <t xml:space="preserve">     '009' - Listas Paxus Horizontais</t>
        </is>
      </c>
      <c r="C78" s="48" t="n"/>
      <c r="D78" s="48" t="n"/>
      <c r="E78" s="15" t="n"/>
    </row>
    <row r="79">
      <c r="A79" s="46" t="inlineStr">
        <is>
          <t xml:space="preserve">    88  :PREFIX:-DOCID-TRFAPOL                  VALUE '010'.</t>
        </is>
      </c>
      <c r="B79" s="47" t="inlineStr">
        <is>
          <t xml:space="preserve">     '010' - Cessação de contrato extrato final</t>
        </is>
      </c>
      <c r="C79" s="48" t="n"/>
      <c r="D79" s="48" t="n"/>
      <c r="E79" s="15" t="n"/>
    </row>
    <row r="80">
      <c r="A80" s="46" t="inlineStr">
        <is>
          <t xml:space="preserve">    88  :PREFIX:-DOCID-EXTINT                   VALUE '011'.</t>
        </is>
      </c>
      <c r="B80" s="47" t="inlineStr">
        <is>
          <t xml:space="preserve">     '011' - Extrato integrado</t>
        </is>
      </c>
      <c r="C80" s="48" t="n"/>
      <c r="D80" s="48" t="n"/>
      <c r="E80" s="15" t="n"/>
    </row>
    <row r="81">
      <c r="A81" s="57" t="inlineStr">
        <is>
          <t xml:space="preserve">    88  :PREFIX:-DOCID-PLANOPAG                 VALUE '012'.</t>
        </is>
      </c>
      <c r="B81" s="58" t="inlineStr">
        <is>
          <t xml:space="preserve">     '012' - Plano Pagamento Anual</t>
        </is>
      </c>
      <c r="C81" s="48" t="n"/>
      <c r="D81" s="48" t="n"/>
      <c r="E81" s="15" t="n"/>
    </row>
    <row r="82">
      <c r="A82" s="65" t="inlineStr">
        <is>
          <t xml:space="preserve">    88  :PREFIX:-DOCID-CONDPART                 VALUE '013'.</t>
        </is>
      </c>
      <c r="B82" s="66" t="inlineStr">
        <is>
          <t xml:space="preserve">     '013' - Condições Particulares</t>
        </is>
      </c>
      <c r="C82" s="67" t="n"/>
      <c r="D82" s="67" t="n"/>
      <c r="E82" s="18" t="n"/>
    </row>
    <row r="83">
      <c r="A83" s="46" t="inlineStr">
        <is>
          <t xml:space="preserve">  07  :PREFIX:-USER-ID                PIC X(08).</t>
        </is>
      </c>
      <c r="B83" s="47" t="inlineStr">
        <is>
          <t>User Id (se impressão online, espaços para os restantes casos)</t>
        </is>
      </c>
      <c r="C83" s="48">
        <f>C68+D68</f>
        <v/>
      </c>
      <c r="D83" s="48" t="n">
        <v>8</v>
      </c>
      <c r="E83" s="21" t="inlineStr">
        <is>
          <t>Opcional</t>
        </is>
      </c>
    </row>
    <row r="84">
      <c r="A84" s="46" t="inlineStr">
        <is>
          <t xml:space="preserve">  07  :PREFIX:-ADERENTE               PIC X(08).</t>
        </is>
      </c>
      <c r="B84" s="47" t="inlineStr">
        <is>
          <t>Número de Aderente</t>
        </is>
      </c>
      <c r="C84" s="48">
        <f>C83+D83</f>
        <v/>
      </c>
      <c r="D84" s="48" t="n">
        <v>8</v>
      </c>
      <c r="E84" s="21" t="inlineStr">
        <is>
          <t>Opcional</t>
        </is>
      </c>
    </row>
    <row r="85">
      <c r="A85" s="46" t="inlineStr">
        <is>
          <t xml:space="preserve">  07  :PREFIX:-APOLICE-NCR            PIC X(08).</t>
        </is>
      </c>
      <c r="B85" s="47" t="inlineStr">
        <is>
          <t>Número de apólice NCR</t>
        </is>
      </c>
      <c r="C85" s="48">
        <f>C84+D84</f>
        <v/>
      </c>
      <c r="D85" s="48" t="n">
        <v>8</v>
      </c>
      <c r="E85" s="19" t="inlineStr">
        <is>
          <t>Espaços</t>
        </is>
      </c>
    </row>
    <row r="86">
      <c r="A86" s="46" t="inlineStr">
        <is>
          <t xml:space="preserve">  07  FILLER                          PIC X(134).</t>
        </is>
      </c>
      <c r="B86" s="47" t="inlineStr">
        <is>
          <t>Filler</t>
        </is>
      </c>
      <c r="C86" s="48">
        <f>C85+D85</f>
        <v/>
      </c>
      <c r="D86" s="48" t="n">
        <v>134</v>
      </c>
      <c r="E86" s="19" t="inlineStr">
        <is>
          <t>Espaços</t>
        </is>
      </c>
    </row>
    <row r="87">
      <c r="A87" s="5" t="inlineStr">
        <is>
          <t>05  :PREFIX:-DADOS-DOCUMENTO          PIC X(3797).</t>
        </is>
      </c>
      <c r="B87" s="7" t="n"/>
      <c r="C87" s="8">
        <f>C86+D86</f>
        <v/>
      </c>
      <c r="D87" s="8">
        <f>4096-C87</f>
        <v/>
      </c>
      <c r="E87" s="64" t="n"/>
    </row>
    <row r="88">
      <c r="A88" s="28" t="n"/>
      <c r="B88" s="12" t="n"/>
      <c r="C88" s="13" t="n"/>
      <c r="D88" s="13" t="n"/>
      <c r="E88" s="27" t="n"/>
    </row>
    <row r="89">
      <c r="A89" s="5" t="inlineStr">
        <is>
          <t>05  FILLER              REDEFINES :PREFIX:-DADOS-DOCUMENTO.</t>
        </is>
      </c>
      <c r="B89" s="7" t="inlineStr">
        <is>
          <t>Dados de Endereçamento e Assunto (Registo do tipo CPEA)</t>
        </is>
      </c>
      <c r="C89" s="8">
        <f>C87</f>
        <v/>
      </c>
      <c r="D89" s="8" t="n">
        <v>0</v>
      </c>
      <c r="E89" s="64" t="n"/>
    </row>
    <row r="90">
      <c r="A90" s="30" t="inlineStr">
        <is>
          <t xml:space="preserve">  07  :PREFIX:-DADOS-TOMADOR.</t>
        </is>
      </c>
      <c r="B90" s="32" t="n"/>
      <c r="C90" s="33">
        <f>C89+D89</f>
        <v/>
      </c>
      <c r="D90" s="32" t="n">
        <v>0</v>
      </c>
      <c r="E90" s="69" t="n"/>
    </row>
    <row r="91">
      <c r="A91" s="10" t="inlineStr">
        <is>
          <t xml:space="preserve">    09  :PREFIX:-TM-NOME              PIC X(40).</t>
        </is>
      </c>
      <c r="B91" s="16" t="inlineStr">
        <is>
          <t xml:space="preserve">Nome </t>
        </is>
      </c>
      <c r="C91" s="25">
        <f>C90+D90</f>
        <v/>
      </c>
      <c r="D91" s="16" t="n">
        <v>40</v>
      </c>
      <c r="E91" s="17" t="inlineStr">
        <is>
          <t>Obrigatório</t>
        </is>
      </c>
    </row>
    <row r="92">
      <c r="A92" s="10" t="inlineStr">
        <is>
          <t xml:space="preserve">    09  :PREFIX:-TM-LOCATION-REF      PIC X(04).</t>
        </is>
      </c>
      <c r="B92" s="16" t="inlineStr">
        <is>
          <t>Referência da morada</t>
        </is>
      </c>
      <c r="C92" s="25">
        <f>C91+D91</f>
        <v/>
      </c>
      <c r="D92" s="16" t="n">
        <v>4</v>
      </c>
      <c r="E92" s="21" t="inlineStr">
        <is>
          <t>Opcional</t>
        </is>
      </c>
    </row>
    <row r="93">
      <c r="A93" s="10" t="inlineStr">
        <is>
          <t xml:space="preserve">    09  :PREFIX:-TM-MORADA1           PIC X(40).</t>
        </is>
      </c>
      <c r="B93" s="16" t="inlineStr">
        <is>
          <t>Dados de morada 1</t>
        </is>
      </c>
      <c r="C93" s="25">
        <f>C92+D92</f>
        <v/>
      </c>
      <c r="D93" s="16" t="n">
        <v>40</v>
      </c>
      <c r="E93" s="17" t="inlineStr">
        <is>
          <t>Obrigatório</t>
        </is>
      </c>
    </row>
    <row r="94">
      <c r="A94" s="10" t="inlineStr">
        <is>
          <t xml:space="preserve">    09  :PREFIX:-TM-MORADA2           PIC X(40).</t>
        </is>
      </c>
      <c r="B94" s="16" t="inlineStr">
        <is>
          <t>Dados de morada 2</t>
        </is>
      </c>
      <c r="C94" s="25">
        <f>C93+D93</f>
        <v/>
      </c>
      <c r="D94" s="16" t="n">
        <v>40</v>
      </c>
      <c r="E94" s="21" t="inlineStr">
        <is>
          <t>Opcional</t>
        </is>
      </c>
    </row>
    <row r="95">
      <c r="A95" s="10" t="inlineStr">
        <is>
          <t xml:space="preserve">    09  :PREFIX:-TM-LOCALIDADE        PIC X(40).</t>
        </is>
      </c>
      <c r="B95" s="16" t="inlineStr">
        <is>
          <t>Localidade</t>
        </is>
      </c>
      <c r="C95" s="25">
        <f>C94+D94</f>
        <v/>
      </c>
      <c r="D95" s="16" t="n">
        <v>40</v>
      </c>
      <c r="E95" s="21" t="inlineStr">
        <is>
          <t>Opcional</t>
        </is>
      </c>
    </row>
    <row r="96">
      <c r="A96" s="10" t="inlineStr">
        <is>
          <t xml:space="preserve">    09  :PREFIX:-TM-CPOSTAL           PIC X(09).</t>
        </is>
      </c>
      <c r="B96" s="16" t="inlineStr">
        <is>
          <t>Código postal (Se estrangeiro deverá vir a zeros) [99990999]</t>
        </is>
      </c>
      <c r="C96" s="25">
        <f>C95+D95</f>
        <v/>
      </c>
      <c r="D96" s="16" t="n">
        <v>9</v>
      </c>
      <c r="E96" s="17" t="inlineStr">
        <is>
          <t>Obrigatório</t>
        </is>
      </c>
    </row>
    <row r="97">
      <c r="A97" s="10" t="inlineStr">
        <is>
          <t xml:space="preserve">    09  :PREFIX:-TM-CPOSTAL-DESC      PIC X(40).</t>
        </is>
      </c>
      <c r="B97" s="16" t="inlineStr">
        <is>
          <t>Descritivo do código postal</t>
        </is>
      </c>
      <c r="C97" s="25">
        <f>C96+D96</f>
        <v/>
      </c>
      <c r="D97" s="16" t="n">
        <v>40</v>
      </c>
      <c r="E97" s="17" t="inlineStr">
        <is>
          <t>Obrigatório</t>
        </is>
      </c>
    </row>
    <row r="98">
      <c r="A98" s="10" t="inlineStr">
        <is>
          <t xml:space="preserve">    09  :PREFIX:-TM-CPAIS             PIC X(03).</t>
        </is>
      </c>
      <c r="B98" s="16" t="inlineStr">
        <is>
          <t>Código do País (Se estrangeiro, diferente de 620) - Se estrangeiro vai " "</t>
        </is>
      </c>
      <c r="C98" s="25">
        <f>C97+D97</f>
        <v/>
      </c>
      <c r="D98" s="16" t="n">
        <v>3</v>
      </c>
      <c r="E98" s="17" t="inlineStr">
        <is>
          <t>Obrigatório</t>
        </is>
      </c>
    </row>
    <row r="99">
      <c r="A99" s="10" t="inlineStr">
        <is>
          <t xml:space="preserve">    09  :PREFIX:-TM-CPAIS-DESC        PIC X(40).</t>
        </is>
      </c>
      <c r="B99" s="16" t="inlineStr">
        <is>
          <t>Descritivo do País (se Portugal vem vazio)</t>
        </is>
      </c>
      <c r="C99" s="25">
        <f>C98+D98</f>
        <v/>
      </c>
      <c r="D99" s="16" t="n">
        <v>40</v>
      </c>
      <c r="E99" s="17" t="inlineStr">
        <is>
          <t>Obrigatório</t>
        </is>
      </c>
    </row>
    <row r="100">
      <c r="A100" s="22" t="inlineStr">
        <is>
          <t xml:space="preserve">    09  :PREFIX:-TM-IDP               PIC X(04).</t>
        </is>
      </c>
      <c r="B100" s="36" t="inlineStr">
        <is>
          <t>Identificação da Porta (no CBC)</t>
        </is>
      </c>
      <c r="C100" s="25">
        <f>C99+D99</f>
        <v/>
      </c>
      <c r="D100" s="25" t="n">
        <v>4</v>
      </c>
      <c r="E100" s="70" t="inlineStr">
        <is>
          <t>Obrigatório</t>
        </is>
      </c>
    </row>
    <row r="101">
      <c r="A101" s="22" t="inlineStr">
        <is>
          <t xml:space="preserve">    09  :PREFIX:-TM-NIF               PIC X(22).</t>
        </is>
      </c>
      <c r="B101" s="16" t="inlineStr">
        <is>
          <t>Número de Identificação Fiscal do Tomador (se Portugal PT999999999)</t>
        </is>
      </c>
      <c r="C101" s="25">
        <f>C100+D100</f>
        <v/>
      </c>
      <c r="D101" s="25" t="n">
        <v>22</v>
      </c>
      <c r="E101" s="17" t="inlineStr">
        <is>
          <t>Obrigatório</t>
        </is>
      </c>
    </row>
    <row r="102">
      <c r="A102" s="22" t="inlineStr">
        <is>
          <t xml:space="preserve">    09  :PREFIX:-TM-TIPO-ENTIDADE     PIC X(01).</t>
        </is>
      </c>
      <c r="B102" s="16" t="inlineStr">
        <is>
          <t>Tipo Entidade</t>
        </is>
      </c>
      <c r="C102" s="25">
        <f>C101+D101</f>
        <v/>
      </c>
      <c r="D102" s="25" t="n">
        <v>1</v>
      </c>
      <c r="E102" s="34" t="inlineStr">
        <is>
          <t>Opcional</t>
        </is>
      </c>
    </row>
    <row r="103">
      <c r="A103" s="22" t="inlineStr">
        <is>
          <t xml:space="preserve">      88  :PREFIX:-TM-ENT-PARTICUL              VALUE '1'.</t>
        </is>
      </c>
      <c r="B103" s="16" t="inlineStr">
        <is>
          <t xml:space="preserve">     '1' - Pessoa / Particular</t>
        </is>
      </c>
      <c r="C103" s="25" t="n"/>
      <c r="D103" s="25" t="n"/>
      <c r="E103" s="15" t="n"/>
    </row>
    <row r="104">
      <c r="A104" s="22" t="inlineStr">
        <is>
          <t xml:space="preserve">      88  :PREFIX:-TM-ENT-COLETIVA              VALUE '2'.</t>
        </is>
      </c>
      <c r="B104" s="16" t="inlineStr">
        <is>
          <t xml:space="preserve">     '2' - Colectivo/Conta Interna</t>
        </is>
      </c>
      <c r="C104" s="25" t="n"/>
      <c r="D104" s="25" t="n"/>
      <c r="E104" s="18" t="n"/>
    </row>
    <row r="105">
      <c r="A105" s="30" t="inlineStr">
        <is>
          <t xml:space="preserve">  07  :PREFIX:-DADOS-GERAIS.</t>
        </is>
      </c>
      <c r="B105" s="33" t="n"/>
      <c r="C105" s="33">
        <f>C102+D102</f>
        <v/>
      </c>
      <c r="D105" s="33" t="n">
        <v>0</v>
      </c>
      <c r="E105" s="71" t="n"/>
    </row>
    <row r="106">
      <c r="A106" s="10" t="inlineStr">
        <is>
          <t xml:space="preserve">    09  :PREFIX:-DG-DT-EMISSAO        PIC X(08).</t>
        </is>
      </c>
      <c r="B106" s="16" t="inlineStr">
        <is>
          <t>Data de emissão [aaaammdd]</t>
        </is>
      </c>
      <c r="C106" s="25">
        <f>C105+D105</f>
        <v/>
      </c>
      <c r="D106" s="25" t="n">
        <v>8</v>
      </c>
      <c r="E106" s="17" t="inlineStr">
        <is>
          <t>Obrigatório</t>
        </is>
      </c>
    </row>
    <row r="107">
      <c r="A107" s="35" t="inlineStr">
        <is>
          <t xml:space="preserve">    09  :PREFIX:-DG-PRODUTO-DESC      PIC X(40).</t>
        </is>
      </c>
      <c r="B107" s="16" t="inlineStr">
        <is>
          <t>Descritivo do Produto</t>
        </is>
      </c>
      <c r="C107" s="25">
        <f>C106+D106</f>
        <v/>
      </c>
      <c r="D107" s="36" t="n">
        <v>40</v>
      </c>
      <c r="E107" s="17" t="inlineStr">
        <is>
          <t>Obrigatório</t>
        </is>
      </c>
    </row>
    <row r="108">
      <c r="A108" s="35" t="inlineStr">
        <is>
          <t xml:space="preserve">    09  :PREFIX:-DG-COD-RAMO          PIC X(02).</t>
        </is>
      </c>
      <c r="B108" s="36" t="inlineStr">
        <is>
          <t>Filler</t>
        </is>
      </c>
      <c r="C108" s="25">
        <f>C107+D107</f>
        <v/>
      </c>
      <c r="D108" s="36" t="n">
        <v>2</v>
      </c>
      <c r="E108" s="70" t="inlineStr">
        <is>
          <t>Obrigatório</t>
        </is>
      </c>
    </row>
    <row r="109">
      <c r="A109" s="35" t="inlineStr">
        <is>
          <t xml:space="preserve">    09  :PREFIX:-DG-DT-VENCIMENTO     PIC X(08).</t>
        </is>
      </c>
      <c r="B109" s="16" t="inlineStr">
        <is>
          <t xml:space="preserve">Data de Vencimento [aaaammdd] </t>
        </is>
      </c>
      <c r="C109" s="25">
        <f>C108+D108</f>
        <v/>
      </c>
      <c r="D109" s="36" t="n">
        <v>8</v>
      </c>
      <c r="E109" s="17" t="inlineStr">
        <is>
          <t>Obrigatório</t>
        </is>
      </c>
    </row>
    <row r="110">
      <c r="A110" s="35" t="inlineStr">
        <is>
          <t xml:space="preserve">    09  :PREFIX:-DG-DT-INI-PERIODO    PIC X(08).</t>
        </is>
      </c>
      <c r="B110" s="16" t="inlineStr">
        <is>
          <t>Data Início do período de Vigência [aaaammdd]</t>
        </is>
      </c>
      <c r="C110" s="25">
        <f>C109+D109</f>
        <v/>
      </c>
      <c r="D110" s="36" t="n">
        <v>8</v>
      </c>
      <c r="E110" s="17" t="inlineStr">
        <is>
          <t>Obrigatório</t>
        </is>
      </c>
    </row>
    <row r="111">
      <c r="A111" s="35" t="inlineStr">
        <is>
          <t xml:space="preserve">    09  :PREFIX:-DG-DT-FIM-PERIODO    PIC X(08).</t>
        </is>
      </c>
      <c r="B111" s="16" t="inlineStr">
        <is>
          <t>Data Fim do período de Vigência [aaaammdd]</t>
        </is>
      </c>
      <c r="C111" s="25">
        <f>C110+D110</f>
        <v/>
      </c>
      <c r="D111" s="36" t="n">
        <v>8</v>
      </c>
      <c r="E111" s="17" t="inlineStr">
        <is>
          <t>Obrigatório</t>
        </is>
      </c>
    </row>
    <row r="112">
      <c r="A112" s="59" t="inlineStr">
        <is>
          <t xml:space="preserve">    09  :PREFIX:-DG-TIPO-FRACCIONA    PIC X(01).</t>
        </is>
      </c>
      <c r="B112" s="16" t="inlineStr">
        <is>
          <t>Fraccionamento (à semelhança do FSCD):</t>
        </is>
      </c>
      <c r="C112" s="25">
        <f>C111+D111</f>
        <v/>
      </c>
      <c r="D112" s="36" t="n">
        <v>1</v>
      </c>
      <c r="E112" s="17" t="inlineStr">
        <is>
          <t>Obrigatório</t>
        </is>
      </c>
    </row>
    <row r="113">
      <c r="A113" s="22" t="inlineStr">
        <is>
          <t xml:space="preserve">      88  :PREFIX:-DG-FRAC-ANUAL                VALUE 'A'.</t>
        </is>
      </c>
      <c r="B113" s="16" t="inlineStr">
        <is>
          <t xml:space="preserve">     'A' - Anual</t>
        </is>
      </c>
      <c r="C113" s="25" t="n"/>
      <c r="D113" s="25" t="n"/>
      <c r="E113" s="15" t="n"/>
    </row>
    <row r="114">
      <c r="A114" s="22" t="inlineStr">
        <is>
          <t xml:space="preserve">      88  :PREFIX:-DG-FRAC-MENSAL               VALUE 'M'.</t>
        </is>
      </c>
      <c r="B114" s="16" t="inlineStr">
        <is>
          <t xml:space="preserve">     'M' - Mensal</t>
        </is>
      </c>
      <c r="C114" s="25" t="n"/>
      <c r="D114" s="25" t="n"/>
      <c r="E114" s="15" t="n"/>
    </row>
    <row r="115">
      <c r="A115" s="22" t="inlineStr">
        <is>
          <t xml:space="preserve">      88  :PREFIX:-DG-FRAC-SEMESTRAL            VALUE 'S'.</t>
        </is>
      </c>
      <c r="B115" s="16" t="inlineStr">
        <is>
          <t xml:space="preserve">     'S' - Semestral</t>
        </is>
      </c>
      <c r="C115" s="25" t="n"/>
      <c r="D115" s="25" t="n"/>
      <c r="E115" s="15" t="n"/>
    </row>
    <row r="116">
      <c r="A116" s="22" t="inlineStr">
        <is>
          <t xml:space="preserve">      88  :PREFIX:-DG-FRAC-TRIMESTRAL           VALUE 'T'.</t>
        </is>
      </c>
      <c r="B116" s="16" t="inlineStr">
        <is>
          <t xml:space="preserve">     'T' - Trimestral</t>
        </is>
      </c>
      <c r="C116" s="25" t="n"/>
      <c r="D116" s="25" t="n"/>
      <c r="E116" s="15" t="n"/>
    </row>
    <row r="117">
      <c r="A117" s="22" t="inlineStr">
        <is>
          <t xml:space="preserve">      88  :PREFIX:-DG-FRAC-UNICO                VALUE 'U'.</t>
        </is>
      </c>
      <c r="B117" s="16" t="inlineStr">
        <is>
          <t xml:space="preserve">     'U' - Único</t>
        </is>
      </c>
      <c r="C117" s="25" t="n"/>
      <c r="D117" s="25" t="n"/>
      <c r="E117" s="18" t="n"/>
    </row>
    <row r="118">
      <c r="A118" s="59" t="inlineStr">
        <is>
          <t xml:space="preserve">    09  :PREFIX:-DG-TIPO-TRANSACAO    PIC X(01).</t>
        </is>
      </c>
      <c r="B118" s="16" t="inlineStr">
        <is>
          <t>Tipo da Transacção do Movimento:</t>
        </is>
      </c>
      <c r="C118" s="25">
        <f>C112+D112</f>
        <v/>
      </c>
      <c r="D118" s="36" t="n">
        <v>1</v>
      </c>
      <c r="E118" s="17" t="inlineStr">
        <is>
          <t>Obrigatório</t>
        </is>
      </c>
    </row>
    <row r="119">
      <c r="A119" s="22" t="inlineStr">
        <is>
          <t xml:space="preserve">      88  :PREFIX:-DG-TRANS-NOVO                VALUE 'N'.</t>
        </is>
      </c>
      <c r="B119" s="16" t="inlineStr">
        <is>
          <t xml:space="preserve">     'N' - Novo Negócio</t>
        </is>
      </c>
      <c r="C119" s="25" t="n"/>
      <c r="D119" s="25" t="n"/>
      <c r="E119" s="15" t="n"/>
    </row>
    <row r="120">
      <c r="A120" s="22" t="inlineStr">
        <is>
          <t xml:space="preserve">      88  :PREFIX:-DG-TRANS-RENOVACAO           VALUE 'R'.</t>
        </is>
      </c>
      <c r="B120" s="16" t="inlineStr">
        <is>
          <t xml:space="preserve">     'R' - Renovação</t>
        </is>
      </c>
      <c r="C120" s="25" t="n"/>
      <c r="D120" s="25" t="n"/>
      <c r="E120" s="15" t="n"/>
    </row>
    <row r="121">
      <c r="A121" s="22" t="inlineStr">
        <is>
          <t xml:space="preserve">      88  :PREFIX:-DG-TRANS-ALTERACAO           VALUE 'A'.</t>
        </is>
      </c>
      <c r="B121" s="16" t="inlineStr">
        <is>
          <t xml:space="preserve">     'A' - Alteração</t>
        </is>
      </c>
      <c r="C121" s="25" t="n"/>
      <c r="D121" s="25" t="n"/>
      <c r="E121" s="18" t="n"/>
    </row>
    <row r="122">
      <c r="A122" s="35" t="inlineStr">
        <is>
          <t xml:space="preserve">    09  :PREFIX:-DG-TIPO-PAGAMENTO    PIC X(30).</t>
        </is>
      </c>
      <c r="B122" s="60" t="inlineStr">
        <is>
          <t>Tipo de Pagamento (Débito em Conta, ATM,…)</t>
        </is>
      </c>
      <c r="C122" s="25">
        <f>C118+D118</f>
        <v/>
      </c>
      <c r="D122" s="36" t="n">
        <v>30</v>
      </c>
      <c r="E122" s="72" t="inlineStr">
        <is>
          <t>Obrigatório</t>
        </is>
      </c>
    </row>
    <row r="123">
      <c r="A123" s="35" t="inlineStr">
        <is>
          <t xml:space="preserve">    09  :PREFIX:-DG-COND-GERAIS       PIC X(03).</t>
        </is>
      </c>
      <c r="B123" s="60" t="inlineStr">
        <is>
          <t>Condições Gerais</t>
        </is>
      </c>
      <c r="C123" s="25">
        <f>C122+D122</f>
        <v/>
      </c>
      <c r="D123" s="36" t="n">
        <v>3</v>
      </c>
      <c r="E123" s="72" t="inlineStr">
        <is>
          <t>Obrigatório</t>
        </is>
      </c>
    </row>
    <row r="124">
      <c r="A124" s="35" t="inlineStr">
        <is>
          <t xml:space="preserve">    09  :PREFIX:-DG-IDADE-MEDIA       PIC X(02).</t>
        </is>
      </c>
      <c r="B124" s="60" t="inlineStr">
        <is>
          <t>Idade Média</t>
        </is>
      </c>
      <c r="C124" s="25">
        <f>C123+D123</f>
        <v/>
      </c>
      <c r="D124" s="36" t="n">
        <v>2</v>
      </c>
      <c r="E124" s="72" t="inlineStr">
        <is>
          <t>Obrigatório</t>
        </is>
      </c>
    </row>
    <row r="125">
      <c r="A125" s="35" t="inlineStr">
        <is>
          <t xml:space="preserve">    09  :PREFIX:-DG-CAPITAL-SEG       PIC S9(12)V9(02) SIGN LEADING SEPARATE.</t>
        </is>
      </c>
      <c r="B125" s="60" t="inlineStr">
        <is>
          <t>Capital Seguro</t>
        </is>
      </c>
      <c r="C125" s="25">
        <f>C124+D124</f>
        <v/>
      </c>
      <c r="D125" s="36" t="n">
        <v>15</v>
      </c>
      <c r="E125" s="72" t="inlineStr">
        <is>
          <t>Obrigatório</t>
        </is>
      </c>
    </row>
    <row r="126">
      <c r="A126" s="35" t="inlineStr">
        <is>
          <t xml:space="preserve">    09  :PREFIX:-DG-PREMIO-ANUAL      PIC S9(12)V9(02) SIGN LEADING SEPARATE.</t>
        </is>
      </c>
      <c r="B126" s="60" t="inlineStr">
        <is>
          <t>Prémio Anual</t>
        </is>
      </c>
      <c r="C126" s="25">
        <f>C125+D125</f>
        <v/>
      </c>
      <c r="D126" s="36" t="n">
        <v>15</v>
      </c>
      <c r="E126" s="72" t="inlineStr">
        <is>
          <t>Obrigatório</t>
        </is>
      </c>
    </row>
    <row r="127">
      <c r="A127" s="35" t="inlineStr">
        <is>
          <t xml:space="preserve">    09  :PREFIX:-DG-MODELO            PIC X(06).</t>
        </is>
      </c>
      <c r="B127" s="60" t="inlineStr">
        <is>
          <t>Modelo</t>
        </is>
      </c>
      <c r="C127" s="25">
        <f>C126+D126</f>
        <v/>
      </c>
      <c r="D127" s="36" t="n">
        <v>6</v>
      </c>
      <c r="E127" s="72" t="inlineStr">
        <is>
          <t>Obrigatório</t>
        </is>
      </c>
    </row>
    <row r="128">
      <c r="A128" s="35" t="inlineStr">
        <is>
          <t xml:space="preserve">    09  :PREFIX:-DG-NR-PESSOAS-SEG    PIC X(05).</t>
        </is>
      </c>
      <c r="B128" s="60" t="inlineStr">
        <is>
          <t>Número de Pessoas Seguras</t>
        </is>
      </c>
      <c r="C128" s="25">
        <f>C127+D127</f>
        <v/>
      </c>
      <c r="D128" s="36" t="n">
        <v>5</v>
      </c>
      <c r="E128" s="72" t="inlineStr">
        <is>
          <t>Obrigatório</t>
        </is>
      </c>
    </row>
    <row r="129">
      <c r="A129" s="40" t="inlineStr">
        <is>
          <t xml:space="preserve">    09  :PREFIX:-DG-DT-RENOV          PIC X(08).</t>
        </is>
      </c>
      <c r="B129" s="16" t="inlineStr">
        <is>
          <t>Data de Renovação [aaaammdd]</t>
        </is>
      </c>
      <c r="C129" s="13">
        <f>C128+D128</f>
        <v/>
      </c>
      <c r="D129" s="25" t="n">
        <v>8</v>
      </c>
      <c r="E129" s="72" t="inlineStr">
        <is>
          <t>Obrigatório</t>
        </is>
      </c>
    </row>
    <row r="130">
      <c r="A130" s="35" t="inlineStr">
        <is>
          <t xml:space="preserve">    09  :PREFIX:-DG-TIPO-MOV          PIC X(20).</t>
        </is>
      </c>
      <c r="B130" s="60" t="inlineStr">
        <is>
          <t>Tipo de Movimento (ex: Acta nº 00006…)</t>
        </is>
      </c>
      <c r="C130" s="25">
        <f>C129+D129</f>
        <v/>
      </c>
      <c r="D130" s="36" t="n">
        <v>20</v>
      </c>
      <c r="E130" s="72" t="inlineStr">
        <is>
          <t>Obrigatório</t>
        </is>
      </c>
    </row>
    <row r="131">
      <c r="A131" s="40" t="inlineStr">
        <is>
          <t xml:space="preserve">    09  :PREFIX:-DG-DT-INICIO         PIC X(08).</t>
        </is>
      </c>
      <c r="B131" s="16" t="inlineStr">
        <is>
          <t>Data de Inicio [aaaammdd]</t>
        </is>
      </c>
      <c r="C131" s="13">
        <f>C130+D130</f>
        <v/>
      </c>
      <c r="D131" s="25" t="n">
        <v>8</v>
      </c>
      <c r="E131" s="72" t="inlineStr">
        <is>
          <t>Obrigatório</t>
        </is>
      </c>
    </row>
    <row r="132">
      <c r="A132" s="30" t="inlineStr">
        <is>
          <t xml:space="preserve">  07  FILLER                          PIC X(3326).</t>
        </is>
      </c>
      <c r="B132" s="32" t="inlineStr">
        <is>
          <t>Espaços</t>
        </is>
      </c>
      <c r="C132" s="33">
        <f>C131+D131</f>
        <v/>
      </c>
      <c r="D132" s="32">
        <f>4096-C132</f>
        <v/>
      </c>
      <c r="E132" s="69" t="n"/>
    </row>
    <row r="133">
      <c r="A133" s="10" t="n"/>
      <c r="B133" s="16" t="n"/>
      <c r="C133" s="13" t="n"/>
      <c r="D133" s="16" t="n"/>
      <c r="E133" s="73" t="n"/>
    </row>
    <row r="134">
      <c r="A134" s="5" t="inlineStr">
        <is>
          <t xml:space="preserve">05  FILLER              REDEFINES :PREFIX:-DADOS-DOCUMENTO.    </t>
        </is>
      </c>
      <c r="B134" s="6" t="inlineStr">
        <is>
          <t>Lista das Garantias da Apolice (Registo do tipo CPG1) repete-se de 0 a N</t>
        </is>
      </c>
      <c r="C134" s="8">
        <f>C87</f>
        <v/>
      </c>
      <c r="D134" s="8" t="n">
        <v>0</v>
      </c>
      <c r="E134" s="64" t="n"/>
    </row>
    <row r="135">
      <c r="A135" s="30" t="inlineStr">
        <is>
          <t xml:space="preserve">  07  :PREFIX:-GARANTIA1.                                      </t>
        </is>
      </c>
      <c r="B135" s="32" t="n"/>
      <c r="C135" s="38">
        <f>C134+D134</f>
        <v/>
      </c>
      <c r="D135" s="32" t="n">
        <v>0</v>
      </c>
      <c r="E135" s="69" t="n"/>
    </row>
    <row r="136">
      <c r="A136" s="40" t="inlineStr">
        <is>
          <t xml:space="preserve">    09  :PREFIX:-G1-DESC-COB          PIC X(60).               </t>
        </is>
      </c>
      <c r="B136" s="25" t="inlineStr">
        <is>
          <t>Descritivo da Garantia (pessoas seguras)</t>
        </is>
      </c>
      <c r="C136" s="13">
        <f>C135+D135</f>
        <v/>
      </c>
      <c r="D136" s="25" t="n">
        <v>60</v>
      </c>
      <c r="E136" s="21" t="inlineStr">
        <is>
          <t>Opcional</t>
        </is>
      </c>
    </row>
    <row r="137">
      <c r="A137" s="40" t="inlineStr">
        <is>
          <t xml:space="preserve">    09  :PREFIX:-G1-CAPITAL-SEG       PIC S9(12)V9(02) SIGN LEADING SEPARATE.</t>
        </is>
      </c>
      <c r="B137" s="16" t="inlineStr">
        <is>
          <t>Capital Seguro</t>
        </is>
      </c>
      <c r="C137" s="13">
        <f>C136+D136</f>
        <v/>
      </c>
      <c r="D137" s="25" t="n">
        <v>15</v>
      </c>
      <c r="E137" s="21" t="inlineStr">
        <is>
          <t>Opcional</t>
        </is>
      </c>
    </row>
    <row r="138">
      <c r="A138" s="40" t="inlineStr">
        <is>
          <t xml:space="preserve">    09  :PREFIX:-G1-NOTA              PIC X(25).</t>
        </is>
      </c>
      <c r="B138" s="25" t="inlineStr">
        <is>
          <t>Nota</t>
        </is>
      </c>
      <c r="C138" s="13">
        <f>C137+D137</f>
        <v/>
      </c>
      <c r="D138" s="25" t="n">
        <v>25</v>
      </c>
      <c r="E138" s="21" t="inlineStr">
        <is>
          <t>Opcional</t>
        </is>
      </c>
    </row>
    <row r="139">
      <c r="A139" s="30" t="inlineStr">
        <is>
          <t xml:space="preserve">  07  FILLER                          PIC X(3697).             </t>
        </is>
      </c>
      <c r="B139" s="32" t="inlineStr">
        <is>
          <t>Espaços</t>
        </is>
      </c>
      <c r="C139" s="38">
        <f>C138+D138</f>
        <v/>
      </c>
      <c r="D139" s="32">
        <f>4096-C139</f>
        <v/>
      </c>
      <c r="E139" s="69" t="n"/>
    </row>
    <row r="140">
      <c r="A140" s="10" t="n"/>
      <c r="B140" s="16" t="n"/>
      <c r="C140" s="13" t="n"/>
      <c r="D140" s="16" t="n"/>
      <c r="E140" s="73" t="n"/>
    </row>
    <row r="141">
      <c r="A141" s="5" t="inlineStr">
        <is>
          <t>05  FILLER              REDEFINES :PREFIX:-DADOS-DOCUMENTO.</t>
        </is>
      </c>
      <c r="B141" s="6" t="inlineStr">
        <is>
          <t>Lista das Garantias da Apolice (Registo do tipo CPG2) repete-se de 0 a N</t>
        </is>
      </c>
      <c r="C141" s="8">
        <f>C87</f>
        <v/>
      </c>
      <c r="D141" s="8" t="n">
        <v>0</v>
      </c>
      <c r="E141" s="64" t="n"/>
    </row>
    <row r="142">
      <c r="A142" s="30" t="inlineStr">
        <is>
          <t xml:space="preserve">  07  :PREFIX:-GARANTIA2.                                      </t>
        </is>
      </c>
      <c r="B142" s="32" t="n"/>
      <c r="C142" s="38">
        <f>C141+D141</f>
        <v/>
      </c>
      <c r="D142" s="32" t="n">
        <v>0</v>
      </c>
      <c r="E142" s="69" t="n"/>
    </row>
    <row r="143">
      <c r="A143" s="40" t="inlineStr">
        <is>
          <t xml:space="preserve">    09  :PREFIX:-G2-DESC-COB          PIC X(60).               </t>
        </is>
      </c>
      <c r="B143" s="25" t="inlineStr">
        <is>
          <t>Descritivo da Garantia (filhos)</t>
        </is>
      </c>
      <c r="C143" s="13">
        <f>C142+D142</f>
        <v/>
      </c>
      <c r="D143" s="25" t="n">
        <v>60</v>
      </c>
      <c r="E143" s="21" t="inlineStr">
        <is>
          <t>Opcional</t>
        </is>
      </c>
    </row>
    <row r="144">
      <c r="A144" s="40" t="inlineStr">
        <is>
          <t xml:space="preserve">    09  :PREFIX:-G2-CAPITAL-SEG       PIC S9(12)V9(02) SIGN LEADING SEPARATE.</t>
        </is>
      </c>
      <c r="B144" s="16" t="inlineStr">
        <is>
          <t>Capital Seguro</t>
        </is>
      </c>
      <c r="C144" s="13">
        <f>C143+D143</f>
        <v/>
      </c>
      <c r="D144" s="25" t="n">
        <v>15</v>
      </c>
      <c r="E144" s="21" t="inlineStr">
        <is>
          <t>Opcional</t>
        </is>
      </c>
    </row>
    <row r="145">
      <c r="A145" s="40" t="inlineStr">
        <is>
          <t xml:space="preserve">    09  :PREFIX:-G2-NOTA              PIC X(25).</t>
        </is>
      </c>
      <c r="B145" s="25" t="inlineStr">
        <is>
          <t>Nota</t>
        </is>
      </c>
      <c r="C145" s="13">
        <f>C144+D144</f>
        <v/>
      </c>
      <c r="D145" s="25" t="n">
        <v>25</v>
      </c>
      <c r="E145" s="21" t="inlineStr">
        <is>
          <t>Opcional</t>
        </is>
      </c>
    </row>
    <row r="146">
      <c r="A146" s="30" t="inlineStr">
        <is>
          <t xml:space="preserve">  07  FILLER                          PIC X(3697).             </t>
        </is>
      </c>
      <c r="B146" s="32" t="inlineStr">
        <is>
          <t>Espaços</t>
        </is>
      </c>
      <c r="C146" s="38">
        <f>C145+D145</f>
        <v/>
      </c>
      <c r="D146" s="32">
        <f>4096-C146</f>
        <v/>
      </c>
      <c r="E146" s="69" t="n"/>
    </row>
    <row r="147">
      <c r="A147" s="10" t="n"/>
      <c r="B147" s="16" t="n"/>
      <c r="C147" s="13" t="n"/>
      <c r="D147" s="16" t="n"/>
      <c r="E147" s="73" t="n"/>
    </row>
    <row r="148">
      <c r="A148" s="5" t="inlineStr">
        <is>
          <t>05  FILLER              REDEFINES :PREFIX:-DADOS-DOCUMENTO.</t>
        </is>
      </c>
      <c r="B148" s="6" t="inlineStr">
        <is>
          <t>Lista das Garantias da Apolice (Registo do tipo CPGN) repete-se de 0 a N</t>
        </is>
      </c>
      <c r="C148" s="8">
        <f>C87</f>
        <v/>
      </c>
      <c r="D148" s="8" t="n">
        <v>0</v>
      </c>
      <c r="E148" s="64" t="n"/>
    </row>
    <row r="149">
      <c r="A149" s="30" t="inlineStr">
        <is>
          <t xml:space="preserve">  07  :PREFIX:-GARANTIAN.                                      </t>
        </is>
      </c>
      <c r="B149" s="32" t="n"/>
      <c r="C149" s="38">
        <f>C148+D148</f>
        <v/>
      </c>
      <c r="D149" s="32" t="n">
        <v>0</v>
      </c>
      <c r="E149" s="69" t="n"/>
    </row>
    <row r="150">
      <c r="A150" s="40" t="inlineStr">
        <is>
          <t xml:space="preserve">    09  :PREFIX:-GN-NOTA              PIC X(3000).               </t>
        </is>
      </c>
      <c r="B150" s="25" t="inlineStr">
        <is>
          <t>Texto (notas)</t>
        </is>
      </c>
      <c r="C150" s="13">
        <f>C149+D149</f>
        <v/>
      </c>
      <c r="D150" s="25" t="n">
        <v>3000</v>
      </c>
      <c r="E150" s="21" t="inlineStr">
        <is>
          <t>Opcional</t>
        </is>
      </c>
    </row>
    <row r="151">
      <c r="A151" s="30" t="inlineStr">
        <is>
          <t xml:space="preserve">  07  FILLER                          PIC X(797).</t>
        </is>
      </c>
      <c r="B151" s="32" t="inlineStr">
        <is>
          <t>Espaços</t>
        </is>
      </c>
      <c r="C151" s="38">
        <f>C150+D150</f>
        <v/>
      </c>
      <c r="D151" s="32">
        <f>4096-C151</f>
        <v/>
      </c>
      <c r="E151" s="69" t="n"/>
    </row>
    <row r="152">
      <c r="A152" s="10" t="n"/>
      <c r="B152" s="16" t="n"/>
      <c r="C152" s="13" t="n"/>
      <c r="D152" s="16" t="n"/>
      <c r="E152" s="73" t="n"/>
    </row>
    <row r="153">
      <c r="A153" s="5" t="inlineStr">
        <is>
          <t>05  FILLER              REDEFINES :PREFIX:-DADOS-DOCUMENTO.</t>
        </is>
      </c>
      <c r="B153" s="6" t="inlineStr">
        <is>
          <t>Lista das Pessoas Seguras (Registo do tipo CPPS) repete-se de 0 a N</t>
        </is>
      </c>
      <c r="C153" s="8">
        <f>C87</f>
        <v/>
      </c>
      <c r="D153" s="8" t="n">
        <v>0</v>
      </c>
      <c r="E153" s="64" t="n"/>
    </row>
    <row r="154">
      <c r="A154" s="30" t="inlineStr">
        <is>
          <t xml:space="preserve">  07  :PREFIX:-PESSOAS-SEGURAS.</t>
        </is>
      </c>
      <c r="B154" s="32" t="n"/>
      <c r="C154" s="38">
        <f>C153+D153</f>
        <v/>
      </c>
      <c r="D154" s="32" t="n">
        <v>0</v>
      </c>
      <c r="E154" s="69" t="n"/>
    </row>
    <row r="155">
      <c r="A155" s="40" t="inlineStr">
        <is>
          <t xml:space="preserve">    09  :PREFIX:-PS-NR-ADESAO         PIC X(05).</t>
        </is>
      </c>
      <c r="B155" s="16" t="inlineStr">
        <is>
          <t>Número de Adesão</t>
        </is>
      </c>
      <c r="C155" s="13">
        <f>C154+D154</f>
        <v/>
      </c>
      <c r="D155" s="25" t="n">
        <v>5</v>
      </c>
      <c r="E155" s="21" t="inlineStr">
        <is>
          <t>Opcional</t>
        </is>
      </c>
    </row>
    <row r="156">
      <c r="A156" s="40" t="inlineStr">
        <is>
          <t xml:space="preserve">    09  :PREFIX:-PS-NOME              PIC X(40).</t>
        </is>
      </c>
      <c r="B156" s="16" t="inlineStr">
        <is>
          <t>Nome da Pessoa Segura</t>
        </is>
      </c>
      <c r="C156" s="13">
        <f>C155+D155</f>
        <v/>
      </c>
      <c r="D156" s="25" t="n">
        <v>40</v>
      </c>
      <c r="E156" s="21" t="inlineStr">
        <is>
          <t>Opcional</t>
        </is>
      </c>
    </row>
    <row r="157">
      <c r="A157" s="40" t="inlineStr">
        <is>
          <t xml:space="preserve">    09  :PREFIX:-PS-DT-ADESAO         PIC X(08).</t>
        </is>
      </c>
      <c r="B157" s="16" t="inlineStr">
        <is>
          <t>Data de Adesão [aaaammdd]</t>
        </is>
      </c>
      <c r="C157" s="13">
        <f>C156+D156</f>
        <v/>
      </c>
      <c r="D157" s="25" t="n">
        <v>8</v>
      </c>
      <c r="E157" s="21" t="inlineStr">
        <is>
          <t>Opcional</t>
        </is>
      </c>
    </row>
    <row r="158">
      <c r="A158" s="40" t="inlineStr">
        <is>
          <t xml:space="preserve">    09  :PREFIX:-PS-DT-NASC           PIC X(08).</t>
        </is>
      </c>
      <c r="B158" s="16" t="inlineStr">
        <is>
          <t>Data de Nascimento [aaaammdd]</t>
        </is>
      </c>
      <c r="C158" s="13">
        <f>C157+D157</f>
        <v/>
      </c>
      <c r="D158" s="25" t="n">
        <v>8</v>
      </c>
      <c r="E158" s="21" t="inlineStr">
        <is>
          <t>Opcional</t>
        </is>
      </c>
    </row>
    <row r="159">
      <c r="A159" s="40" t="inlineStr">
        <is>
          <t xml:space="preserve">    09  :PREFIX:-PS-MORADA            PIC X(40).</t>
        </is>
      </c>
      <c r="B159" s="16" t="inlineStr">
        <is>
          <t>Morada</t>
        </is>
      </c>
      <c r="C159" s="13">
        <f>C158+D158</f>
        <v/>
      </c>
      <c r="D159" s="25" t="n">
        <v>40</v>
      </c>
      <c r="E159" s="21" t="inlineStr">
        <is>
          <t>Opcional</t>
        </is>
      </c>
    </row>
    <row r="160">
      <c r="A160" s="40" t="inlineStr">
        <is>
          <t xml:space="preserve">    09  :PREFIX:-PS-LOCALIDADE        PIC X(40).</t>
        </is>
      </c>
      <c r="B160" s="16" t="inlineStr">
        <is>
          <t>Localidade</t>
        </is>
      </c>
      <c r="C160" s="13">
        <f>C159+D159</f>
        <v/>
      </c>
      <c r="D160" s="25" t="n">
        <v>40</v>
      </c>
      <c r="E160" s="21" t="inlineStr">
        <is>
          <t>Opcional</t>
        </is>
      </c>
    </row>
    <row r="161">
      <c r="A161" s="40" t="inlineStr">
        <is>
          <t xml:space="preserve">    09  :PREFIX:-PS-COD-POST          PIC X(08).</t>
        </is>
      </c>
      <c r="B161" s="16" t="inlineStr">
        <is>
          <t>Código Postal</t>
        </is>
      </c>
      <c r="C161" s="13">
        <f>C160+D160</f>
        <v/>
      </c>
      <c r="D161" s="25" t="n">
        <v>8</v>
      </c>
      <c r="E161" s="21" t="inlineStr">
        <is>
          <t>Opcional</t>
        </is>
      </c>
    </row>
    <row r="162">
      <c r="A162" s="40" t="inlineStr">
        <is>
          <t xml:space="preserve">    09  :PREFIX:-PS-DESC-CP           PIC X(40).</t>
        </is>
      </c>
      <c r="B162" s="16" t="inlineStr">
        <is>
          <t>Descritivo do Código Postal</t>
        </is>
      </c>
      <c r="C162" s="13">
        <f>C161+D161</f>
        <v/>
      </c>
      <c r="D162" s="25" t="n">
        <v>40</v>
      </c>
      <c r="E162" s="21" t="inlineStr">
        <is>
          <t>Opcional</t>
        </is>
      </c>
    </row>
    <row r="163">
      <c r="A163" s="40" t="inlineStr">
        <is>
          <t xml:space="preserve">    09  :PREFIX:-PS-CONC-PREST        PIC X(40).</t>
        </is>
      </c>
      <c r="B163" s="16" t="inlineStr">
        <is>
          <t>Concelho da Prestação</t>
        </is>
      </c>
      <c r="C163" s="13">
        <f>C162+D162</f>
        <v/>
      </c>
      <c r="D163" s="25" t="n">
        <v>40</v>
      </c>
      <c r="E163" s="21" t="inlineStr">
        <is>
          <t>Opcional</t>
        </is>
      </c>
    </row>
    <row r="164">
      <c r="A164" s="30" t="inlineStr">
        <is>
          <t xml:space="preserve">  07  FILLER                          PIC X(3568).</t>
        </is>
      </c>
      <c r="B164" s="32" t="inlineStr">
        <is>
          <t>Espaços</t>
        </is>
      </c>
      <c r="C164" s="38">
        <f>C163+D163</f>
        <v/>
      </c>
      <c r="D164" s="32">
        <f>4096-C164</f>
        <v/>
      </c>
      <c r="E164" s="69" t="n"/>
    </row>
    <row r="165">
      <c r="A165" s="10" t="n"/>
      <c r="B165" s="16" t="n"/>
      <c r="C165" s="25" t="n"/>
      <c r="D165" s="16" t="n"/>
      <c r="E165" s="73" t="n"/>
    </row>
    <row r="166">
      <c r="A166" s="5" t="inlineStr">
        <is>
          <t>05  FILLER              REDEFINES :PREFIX:-DADOS-DOCUMENTO.</t>
        </is>
      </c>
      <c r="B166" s="6" t="inlineStr">
        <is>
          <t>Lista dos Riscos Cobertos (Registo do tipo CPRC) repete-se de 0 a N</t>
        </is>
      </c>
      <c r="C166" s="8">
        <f>C87</f>
        <v/>
      </c>
      <c r="D166" s="8" t="n">
        <v>0</v>
      </c>
      <c r="E166" s="64" t="n"/>
    </row>
    <row r="167">
      <c r="A167" s="30" t="inlineStr">
        <is>
          <t xml:space="preserve">  07  :PREFIX:-RISCOS-COBERTOS.</t>
        </is>
      </c>
      <c r="B167" s="32" t="n"/>
      <c r="C167" s="38">
        <f>C166+D166</f>
        <v/>
      </c>
      <c r="D167" s="32" t="n">
        <v>0</v>
      </c>
      <c r="E167" s="69" t="n"/>
    </row>
    <row r="168">
      <c r="A168" s="40" t="inlineStr">
        <is>
          <t xml:space="preserve">    09  :PREFIX:-RC-NIVEL             PIC X(01).</t>
        </is>
      </c>
      <c r="B168" s="16" t="inlineStr">
        <is>
          <t>Nível da Cobertura</t>
        </is>
      </c>
      <c r="C168" s="13">
        <f>C167+D167</f>
        <v/>
      </c>
      <c r="D168" s="25" t="n">
        <v>1</v>
      </c>
      <c r="E168" s="21" t="inlineStr">
        <is>
          <t>Opcional</t>
        </is>
      </c>
    </row>
    <row r="169">
      <c r="A169" s="40" t="inlineStr">
        <is>
          <t xml:space="preserve">    09  :PREFIX:-RC-DESC              PIC X(60).</t>
        </is>
      </c>
      <c r="B169" s="16" t="inlineStr">
        <is>
          <t>Descritivo da Cobertura</t>
        </is>
      </c>
      <c r="C169" s="13">
        <f>C168+D168</f>
        <v/>
      </c>
      <c r="D169" s="25" t="n">
        <v>60</v>
      </c>
      <c r="E169" s="21" t="inlineStr">
        <is>
          <t>Opcional</t>
        </is>
      </c>
    </row>
    <row r="170">
      <c r="A170" s="40" t="inlineStr">
        <is>
          <t xml:space="preserve">    09  :PREFIX:-RC-DT-INICIO         PIC X(08).</t>
        </is>
      </c>
      <c r="B170" s="16" t="inlineStr">
        <is>
          <t>Data Início [aaaammdd]</t>
        </is>
      </c>
      <c r="C170" s="13">
        <f>C169+D169</f>
        <v/>
      </c>
      <c r="D170" s="25" t="n">
        <v>8</v>
      </c>
      <c r="E170" s="21" t="inlineStr">
        <is>
          <t>Opcional</t>
        </is>
      </c>
    </row>
    <row r="171">
      <c r="A171" s="40" t="inlineStr">
        <is>
          <t xml:space="preserve">    09  :PREFIX:-RC-DT-RENOV          PIC X(08).</t>
        </is>
      </c>
      <c r="B171" s="16" t="inlineStr">
        <is>
          <t>Data de Renovação [aaaammdd]</t>
        </is>
      </c>
      <c r="C171" s="13">
        <f>C170+D170</f>
        <v/>
      </c>
      <c r="D171" s="25" t="n">
        <v>8</v>
      </c>
      <c r="E171" s="21" t="inlineStr">
        <is>
          <t>Opcional</t>
        </is>
      </c>
    </row>
    <row r="172">
      <c r="A172" s="40" t="inlineStr">
        <is>
          <t xml:space="preserve">    09  :PREFIX:-RC-DT-TERMO          PIC X(08).</t>
        </is>
      </c>
      <c r="B172" s="16" t="inlineStr">
        <is>
          <t>Data Termo [aaaammdd]</t>
        </is>
      </c>
      <c r="C172" s="13">
        <f>C171+D171</f>
        <v/>
      </c>
      <c r="D172" s="25" t="n">
        <v>8</v>
      </c>
      <c r="E172" s="21" t="inlineStr">
        <is>
          <t>Opcional</t>
        </is>
      </c>
    </row>
    <row r="173">
      <c r="A173" s="30" t="inlineStr">
        <is>
          <t xml:space="preserve">  07  FILLER                          PIC X(3712).</t>
        </is>
      </c>
      <c r="B173" s="32" t="inlineStr">
        <is>
          <t>Espaços</t>
        </is>
      </c>
      <c r="C173" s="38">
        <f>C172+D172</f>
        <v/>
      </c>
      <c r="D173" s="32">
        <f>4096-C173</f>
        <v/>
      </c>
      <c r="E173" s="69" t="n"/>
    </row>
    <row r="174">
      <c r="A174" s="10" t="n"/>
      <c r="B174" s="16" t="n"/>
      <c r="C174" s="13" t="n"/>
      <c r="D174" s="16" t="n"/>
      <c r="E174" s="73" t="n"/>
    </row>
    <row r="175">
      <c r="A175" s="5" t="inlineStr">
        <is>
          <t>05  FILLER              REDEFINES :PREFIX:-DADOS-DOCUMENTO.</t>
        </is>
      </c>
      <c r="B175" s="6" t="inlineStr">
        <is>
          <t>Lista de Prémios Pessoa Segura (Registo do tipo CPPR) repete-se de 0 a N</t>
        </is>
      </c>
      <c r="C175" s="8">
        <f>C87</f>
        <v/>
      </c>
      <c r="D175" s="8" t="n">
        <v>0</v>
      </c>
      <c r="E175" s="64" t="n"/>
    </row>
    <row r="176">
      <c r="A176" s="30" t="inlineStr">
        <is>
          <t xml:space="preserve">  07  :PREFIX:-PREMIOS.</t>
        </is>
      </c>
      <c r="B176" s="32" t="n"/>
      <c r="C176" s="38">
        <f>C175+D175</f>
        <v/>
      </c>
      <c r="D176" s="32" t="n">
        <v>0</v>
      </c>
      <c r="E176" s="69" t="n"/>
    </row>
    <row r="177">
      <c r="A177" s="40" t="inlineStr">
        <is>
          <t xml:space="preserve">    09  :PREFIX:-PR-DESC              PIC X(20).</t>
        </is>
      </c>
      <c r="B177" s="25" t="inlineStr">
        <is>
          <t>Descritivo da Cobertura</t>
        </is>
      </c>
      <c r="C177" s="13">
        <f>C176+D176</f>
        <v/>
      </c>
      <c r="D177" s="25" t="n">
        <v>20</v>
      </c>
      <c r="E177" s="21" t="inlineStr">
        <is>
          <t>Opcional</t>
        </is>
      </c>
    </row>
    <row r="178">
      <c r="A178" s="40" t="inlineStr">
        <is>
          <t xml:space="preserve">    09  :PREFIX:-PR-PREMIO-COM        PIC S9(12)V9(02) SIGN LEADING SEPARATE.</t>
        </is>
      </c>
      <c r="B178" s="60" t="inlineStr">
        <is>
          <t>Prémio Comercial</t>
        </is>
      </c>
      <c r="C178" s="13">
        <f>C177+D177</f>
        <v/>
      </c>
      <c r="D178" s="25" t="n">
        <v>15</v>
      </c>
      <c r="E178" s="21" t="inlineStr">
        <is>
          <t>Opcional</t>
        </is>
      </c>
    </row>
    <row r="179">
      <c r="A179" s="40" t="inlineStr">
        <is>
          <t xml:space="preserve">    09  :PREFIX:-PR-ENCARGOS          PIC S9(12)V9(02) SIGN LEADING SEPARATE.</t>
        </is>
      </c>
      <c r="B179" s="16" t="inlineStr">
        <is>
          <t>Encargos Fiscais e Parafiscais</t>
        </is>
      </c>
      <c r="C179" s="13">
        <f>C178+D178</f>
        <v/>
      </c>
      <c r="D179" s="25" t="n">
        <v>15</v>
      </c>
      <c r="E179" s="21" t="inlineStr">
        <is>
          <t>Opcional</t>
        </is>
      </c>
    </row>
    <row r="180">
      <c r="A180" s="40" t="inlineStr">
        <is>
          <t xml:space="preserve">    09  :PREFIX:-PR-PREMIO-TOT        PIC S9(12)V9(02) SIGN LEADING SEPARATE.</t>
        </is>
      </c>
      <c r="B180" s="60" t="inlineStr">
        <is>
          <t>Prémio Total</t>
        </is>
      </c>
      <c r="C180" s="13">
        <f>C179+D179</f>
        <v/>
      </c>
      <c r="D180" s="25" t="n">
        <v>15</v>
      </c>
      <c r="E180" s="21" t="inlineStr">
        <is>
          <t>Opcional</t>
        </is>
      </c>
    </row>
    <row r="181">
      <c r="A181" s="40" t="inlineStr">
        <is>
          <t xml:space="preserve">    09  :PREFIX:-PR-CAPITAL-BASE      PIC S9(12)V9(02) SIGN LEADING SEPARATE.</t>
        </is>
      </c>
      <c r="B181" s="60" t="inlineStr">
        <is>
          <t>Prémio Comercial - Adicional</t>
        </is>
      </c>
      <c r="C181" s="13">
        <f>C180+D180</f>
        <v/>
      </c>
      <c r="D181" s="25" t="n">
        <v>15</v>
      </c>
      <c r="E181" s="21" t="inlineStr">
        <is>
          <t>Opcional</t>
        </is>
      </c>
    </row>
    <row r="182">
      <c r="A182" s="30" t="inlineStr">
        <is>
          <t xml:space="preserve">  07  FILLER                          PIC X(3717).</t>
        </is>
      </c>
      <c r="B182" s="32" t="inlineStr">
        <is>
          <t>Espaços</t>
        </is>
      </c>
      <c r="C182" s="38">
        <f>C181+D181</f>
        <v/>
      </c>
      <c r="D182" s="32">
        <f>4096-C182</f>
        <v/>
      </c>
      <c r="E182" s="69" t="n"/>
    </row>
    <row r="183">
      <c r="A183" s="10" t="n"/>
      <c r="B183" s="16" t="n"/>
      <c r="C183" s="13" t="n"/>
      <c r="D183" s="16" t="n"/>
      <c r="E183" s="73" t="n"/>
    </row>
    <row r="184">
      <c r="A184" s="5" t="inlineStr">
        <is>
          <t>05  FILLER              REDEFINES :PREFIX:-DADOS-DOCUMENTO.</t>
        </is>
      </c>
      <c r="B184" s="6" t="inlineStr">
        <is>
          <t>Lista das Garantias da Pessoa Segura (Registo do tipo CPGA) repete-se de 0 a N</t>
        </is>
      </c>
      <c r="C184" s="8">
        <f>C87</f>
        <v/>
      </c>
      <c r="D184" s="8" t="n">
        <v>0</v>
      </c>
      <c r="E184" s="64" t="n"/>
    </row>
    <row r="185">
      <c r="A185" s="30" t="inlineStr">
        <is>
          <t xml:space="preserve">  07  :PREFIX:-GARANTIAS.</t>
        </is>
      </c>
      <c r="B185" s="32" t="n"/>
      <c r="C185" s="38">
        <f>C184+D184</f>
        <v/>
      </c>
      <c r="D185" s="32" t="n">
        <v>0</v>
      </c>
      <c r="E185" s="69" t="n"/>
    </row>
    <row r="186">
      <c r="A186" s="10" t="inlineStr">
        <is>
          <t xml:space="preserve">    09  :PREFIX:-GARANTIA-NORMAL.</t>
        </is>
      </c>
      <c r="B186" s="16" t="n"/>
      <c r="C186" s="13" t="n"/>
      <c r="D186" s="16" t="n"/>
      <c r="E186" s="21" t="inlineStr">
        <is>
          <t>Opcional</t>
        </is>
      </c>
    </row>
    <row r="187">
      <c r="A187" s="59" t="inlineStr">
        <is>
          <t xml:space="preserve">      11  :PREFIX:-DG-TIPO-FRACCIONA  PIC X(01).</t>
        </is>
      </c>
      <c r="B187" s="16" t="inlineStr">
        <is>
          <t>Fraccionamento (à semelhança do FSCD):</t>
        </is>
      </c>
      <c r="C187" s="25">
        <f>C185+D185</f>
        <v/>
      </c>
      <c r="D187" s="36" t="n">
        <v>1</v>
      </c>
      <c r="E187" s="21" t="inlineStr">
        <is>
          <t>Opcional</t>
        </is>
      </c>
    </row>
    <row r="188">
      <c r="A188" s="22" t="inlineStr">
        <is>
          <t xml:space="preserve">        88  :PREFIX:-DG-FRAC-ANUAL                VALUE 'A'.</t>
        </is>
      </c>
      <c r="B188" s="16" t="inlineStr">
        <is>
          <t xml:space="preserve">     'A' - Anual</t>
        </is>
      </c>
      <c r="C188" s="25" t="n"/>
      <c r="D188" s="25" t="n"/>
      <c r="E188" s="15" t="n"/>
    </row>
    <row r="189">
      <c r="A189" s="22" t="inlineStr">
        <is>
          <t xml:space="preserve">        88  :PREFIX:-DG-FRAC-MENSAL               VALUE 'M'.</t>
        </is>
      </c>
      <c r="B189" s="16" t="inlineStr">
        <is>
          <t xml:space="preserve">     'M' - Mensal</t>
        </is>
      </c>
      <c r="C189" s="25" t="n"/>
      <c r="D189" s="25" t="n"/>
      <c r="E189" s="15" t="n"/>
    </row>
    <row r="190">
      <c r="A190" s="22" t="inlineStr">
        <is>
          <t xml:space="preserve">        88  :PREFIX:-DG-FRAC-SEMESTRAL            VALUE 'S'.</t>
        </is>
      </c>
      <c r="B190" s="16" t="inlineStr">
        <is>
          <t xml:space="preserve">     'S' - Semestral</t>
        </is>
      </c>
      <c r="C190" s="25" t="n"/>
      <c r="D190" s="25" t="n"/>
      <c r="E190" s="15" t="n"/>
    </row>
    <row r="191">
      <c r="A191" s="22" t="inlineStr">
        <is>
          <t xml:space="preserve">        88  :PREFIX:-DG-FRAC-TRIMESTRAL           VALUE 'T'.</t>
        </is>
      </c>
      <c r="B191" s="16" t="inlineStr">
        <is>
          <t xml:space="preserve">     'T' - Trimestral</t>
        </is>
      </c>
      <c r="C191" s="25" t="n"/>
      <c r="D191" s="25" t="n"/>
      <c r="E191" s="15" t="n"/>
    </row>
    <row r="192">
      <c r="A192" s="22" t="inlineStr">
        <is>
          <t xml:space="preserve">        88  :PREFIX:-DG-FRAC-UNICO                VALUE 'U'.</t>
        </is>
      </c>
      <c r="B192" s="16" t="inlineStr">
        <is>
          <t xml:space="preserve">     'U' - Único</t>
        </is>
      </c>
      <c r="C192" s="25" t="n"/>
      <c r="D192" s="25" t="n"/>
      <c r="E192" s="18" t="n"/>
    </row>
    <row r="193">
      <c r="A193" s="10" t="inlineStr">
        <is>
          <t xml:space="preserve">      11  :PREFIX:-GA-DESC-COB        PIC X(60).</t>
        </is>
      </c>
      <c r="B193" s="16" t="inlineStr">
        <is>
          <t>Descritivo da Garantia</t>
        </is>
      </c>
      <c r="C193" s="13">
        <f>C187+D187</f>
        <v/>
      </c>
      <c r="D193" s="16" t="n">
        <v>60</v>
      </c>
      <c r="E193" s="21" t="inlineStr">
        <is>
          <t>Opcional</t>
        </is>
      </c>
    </row>
    <row r="194">
      <c r="A194" s="10" t="inlineStr">
        <is>
          <t xml:space="preserve">      11  :PREFIX:-GA-PREMIO-ANUAL    PIC S9(12)V9(02) SIGN LEADING SEPARATE.</t>
        </is>
      </c>
      <c r="B194" s="16" t="inlineStr">
        <is>
          <t>Prémio Anual</t>
        </is>
      </c>
      <c r="C194" s="13">
        <f>C193+D193</f>
        <v/>
      </c>
      <c r="D194" s="16" t="n">
        <v>15</v>
      </c>
      <c r="E194" s="21" t="inlineStr">
        <is>
          <t>Opcional</t>
        </is>
      </c>
    </row>
    <row r="195">
      <c r="A195" s="10" t="inlineStr">
        <is>
          <t xml:space="preserve">      11  :PREFIX:-GA-PREMIO-FRAC     PIC S9(12)V9(02) SIGN LEADING SEPARATE.</t>
        </is>
      </c>
      <c r="B195" s="16" t="inlineStr">
        <is>
          <t>Prémio Fraccionado</t>
        </is>
      </c>
      <c r="C195" s="13">
        <f>C194+D194</f>
        <v/>
      </c>
      <c r="D195" s="16" t="n">
        <v>15</v>
      </c>
      <c r="E195" s="21" t="inlineStr">
        <is>
          <t>Opcional</t>
        </is>
      </c>
    </row>
    <row r="196">
      <c r="A196" s="10" t="inlineStr">
        <is>
          <t xml:space="preserve">      11  :PREFIX:-GA-CAPITAL-SEG     PIC S9(12)V9(02) SIGN LEADING SEPARATE.</t>
        </is>
      </c>
      <c r="B196" s="16" t="inlineStr">
        <is>
          <t>Capital Seguro</t>
        </is>
      </c>
      <c r="C196" s="13">
        <f>C195+D195</f>
        <v/>
      </c>
      <c r="D196" s="16" t="n">
        <v>15</v>
      </c>
      <c r="E196" s="21" t="inlineStr">
        <is>
          <t>Opcional</t>
        </is>
      </c>
    </row>
    <row r="197">
      <c r="A197" s="30" t="inlineStr">
        <is>
          <t xml:space="preserve">    09  FILLER                        PIC X(3691).</t>
        </is>
      </c>
      <c r="B197" s="32" t="inlineStr">
        <is>
          <t>Espaços</t>
        </is>
      </c>
      <c r="C197" s="38">
        <f>C196+D196</f>
        <v/>
      </c>
      <c r="D197" s="32">
        <f>4096-C197</f>
        <v/>
      </c>
      <c r="E197" s="69" t="n"/>
    </row>
    <row r="198">
      <c r="A198" s="30" t="inlineStr">
        <is>
          <t xml:space="preserve">  07  :PREFIX:-GARANTIAS.</t>
        </is>
      </c>
      <c r="B198" s="32" t="n"/>
      <c r="C198" s="38">
        <f>C184+D184</f>
        <v/>
      </c>
      <c r="D198" s="32" t="n">
        <v>0</v>
      </c>
      <c r="E198" s="69" t="n"/>
    </row>
    <row r="199">
      <c r="A199" s="10" t="inlineStr">
        <is>
          <t xml:space="preserve">    09  :PREFIX:-GARANTIA-NOTA.</t>
        </is>
      </c>
      <c r="B199" s="16" t="n"/>
      <c r="C199" s="13" t="n"/>
      <c r="D199" s="16" t="n"/>
      <c r="E199" s="21" t="inlineStr">
        <is>
          <t>Opcional</t>
        </is>
      </c>
    </row>
    <row r="200">
      <c r="A200" s="10" t="inlineStr">
        <is>
          <t xml:space="preserve">      11  :PREFIX:-GA-NOTA            PIC X(3000).</t>
        </is>
      </c>
      <c r="B200" s="16" t="inlineStr">
        <is>
          <t>Notas</t>
        </is>
      </c>
      <c r="C200" s="13">
        <f>C198+D198</f>
        <v/>
      </c>
      <c r="D200" s="16" t="n">
        <v>3000</v>
      </c>
      <c r="E200" s="21" t="inlineStr">
        <is>
          <t>Opcional</t>
        </is>
      </c>
    </row>
    <row r="201">
      <c r="A201" s="30" t="inlineStr">
        <is>
          <t xml:space="preserve">    09  FILLER                        PIC X(797).</t>
        </is>
      </c>
      <c r="B201" s="32" t="inlineStr">
        <is>
          <t>Espaços</t>
        </is>
      </c>
      <c r="C201" s="38">
        <f>C200+D200</f>
        <v/>
      </c>
      <c r="D201" s="32">
        <f>4096-C201</f>
        <v/>
      </c>
      <c r="E201" s="69" t="n"/>
    </row>
    <row r="202">
      <c r="A202" s="10" t="n"/>
      <c r="B202" s="16" t="n"/>
      <c r="C202" s="13" t="n"/>
      <c r="D202" s="16" t="n"/>
      <c r="E202" s="73" t="n"/>
    </row>
    <row r="203">
      <c r="A203" s="5" t="inlineStr">
        <is>
          <t>05  FILLER              REDEFINES :PREFIX:-DADOS-DOCUMENTO.</t>
        </is>
      </c>
      <c r="B203" s="6" t="inlineStr">
        <is>
          <t>Lista dos Valores de Resgate (Registo do tipo CPVR) repete-se de 0 a N</t>
        </is>
      </c>
      <c r="C203" s="8">
        <f>C87</f>
        <v/>
      </c>
      <c r="D203" s="8" t="n">
        <v>0</v>
      </c>
      <c r="E203" s="64" t="n"/>
    </row>
    <row r="204">
      <c r="A204" s="30" t="inlineStr">
        <is>
          <t xml:space="preserve">  07  :PREFIX:-VALORES-RESGATE.</t>
        </is>
      </c>
      <c r="B204" s="32" t="n"/>
      <c r="C204" s="38">
        <f>C203+D203</f>
        <v/>
      </c>
      <c r="D204" s="32" t="n">
        <v>0</v>
      </c>
      <c r="E204" s="69" t="n"/>
    </row>
    <row r="205">
      <c r="A205" s="40" t="inlineStr">
        <is>
          <t xml:space="preserve">    09  :PREFIX:-VR-ANO               PIC X(02).</t>
        </is>
      </c>
      <c r="B205" s="25" t="inlineStr">
        <is>
          <t>Ano</t>
        </is>
      </c>
      <c r="C205" s="13">
        <f>C204+D204</f>
        <v/>
      </c>
      <c r="D205" s="25" t="n">
        <v>2</v>
      </c>
      <c r="E205" s="21" t="inlineStr">
        <is>
          <t>Opcional</t>
        </is>
      </c>
    </row>
    <row r="206">
      <c r="A206" s="40" t="inlineStr">
        <is>
          <t xml:space="preserve">    09  :PREFIX:-VR-COB-DESC          PIC X(60).</t>
        </is>
      </c>
      <c r="B206" s="16" t="inlineStr">
        <is>
          <t>Descritivo da Cobertura</t>
        </is>
      </c>
      <c r="C206" s="13">
        <f>C205+D205</f>
        <v/>
      </c>
      <c r="D206" s="25" t="n">
        <v>60</v>
      </c>
      <c r="E206" s="21" t="inlineStr">
        <is>
          <t>Opcional</t>
        </is>
      </c>
    </row>
    <row r="207">
      <c r="A207" s="40" t="inlineStr">
        <is>
          <t xml:space="preserve">    09  :PREFIX:-VR-VALOR-RESG        PIC S9(12)V9(02) SIGN LEADING SEPARATE.</t>
        </is>
      </c>
      <c r="B207" s="25" t="inlineStr">
        <is>
          <t>Valor de Resgate</t>
        </is>
      </c>
      <c r="C207" s="13">
        <f>C206+D206</f>
        <v/>
      </c>
      <c r="D207" s="25" t="n">
        <v>15</v>
      </c>
      <c r="E207" s="21" t="inlineStr">
        <is>
          <t>Opcional</t>
        </is>
      </c>
    </row>
    <row r="208">
      <c r="A208" s="30" t="inlineStr">
        <is>
          <t xml:space="preserve">  07  FILLER                          PIC X(3720).</t>
        </is>
      </c>
      <c r="B208" s="32" t="inlineStr">
        <is>
          <t>Espaços</t>
        </is>
      </c>
      <c r="C208" s="38">
        <f>C207+D207</f>
        <v/>
      </c>
      <c r="D208" s="32">
        <f>4096-C208</f>
        <v/>
      </c>
      <c r="E208" s="69" t="n"/>
    </row>
    <row r="209">
      <c r="A209" s="10" t="n"/>
      <c r="B209" s="16" t="n"/>
      <c r="C209" s="13" t="n"/>
      <c r="D209" s="16" t="n"/>
      <c r="E209" s="73" t="n"/>
    </row>
    <row r="210">
      <c r="A210" s="5" t="inlineStr">
        <is>
          <t>05  FILLER              REDEFINES :PREFIX:-DADOS-DOCUMENTO.</t>
        </is>
      </c>
      <c r="B210" s="6" t="inlineStr">
        <is>
          <t>Lista de Exclusões / Agravamentos (Registo do tipo CPEX) repete-se de 0 a N</t>
        </is>
      </c>
      <c r="C210" s="8">
        <f>C87</f>
        <v/>
      </c>
      <c r="D210" s="8" t="n">
        <v>0</v>
      </c>
      <c r="E210" s="64" t="n"/>
    </row>
    <row r="211">
      <c r="A211" s="30" t="inlineStr">
        <is>
          <t xml:space="preserve">  07  :PREFIX:-EXCLU-AGRAV.</t>
        </is>
      </c>
      <c r="B211" s="32" t="n"/>
      <c r="C211" s="38">
        <f>C210+D210</f>
        <v/>
      </c>
      <c r="D211" s="32" t="n">
        <v>0</v>
      </c>
      <c r="E211" s="69" t="n"/>
    </row>
    <row r="212">
      <c r="A212" s="40" t="inlineStr">
        <is>
          <t xml:space="preserve">    09  :PREFIX:-EX-TEXT              PIC X(75).</t>
        </is>
      </c>
      <c r="B212" s="25" t="inlineStr">
        <is>
          <t>Texto</t>
        </is>
      </c>
      <c r="C212" s="13">
        <f>C211+D211</f>
        <v/>
      </c>
      <c r="D212" s="25" t="n">
        <v>75</v>
      </c>
      <c r="E212" s="21" t="inlineStr">
        <is>
          <t>Opcional</t>
        </is>
      </c>
    </row>
    <row r="213">
      <c r="A213" s="30" t="inlineStr">
        <is>
          <t xml:space="preserve">  07  FILLER                          PIC X(3722).</t>
        </is>
      </c>
      <c r="B213" s="32" t="inlineStr">
        <is>
          <t>Espaços</t>
        </is>
      </c>
      <c r="C213" s="38">
        <f>C212+D212</f>
        <v/>
      </c>
      <c r="D213" s="32">
        <f>4096-C213</f>
        <v/>
      </c>
      <c r="E213" s="69" t="n"/>
    </row>
    <row r="214">
      <c r="A214" s="10" t="n"/>
      <c r="B214" s="16" t="n"/>
      <c r="C214" s="13" t="n"/>
      <c r="D214" s="16" t="n"/>
      <c r="E214" s="73" t="n"/>
    </row>
    <row r="215">
      <c r="A215" s="5" t="inlineStr">
        <is>
          <t>05  FILLER              REDEFINES :PREFIX:-DADOS-DOCUMENTO.</t>
        </is>
      </c>
      <c r="B215" s="6" t="inlineStr">
        <is>
          <t>Lista dos Beneficiários (Registo do tipo CPBE) repete-se de 0 a N</t>
        </is>
      </c>
      <c r="C215" s="8">
        <f>C87</f>
        <v/>
      </c>
      <c r="D215" s="8" t="n">
        <v>0</v>
      </c>
      <c r="E215" s="64" t="n"/>
    </row>
    <row r="216">
      <c r="A216" s="30" t="inlineStr">
        <is>
          <t xml:space="preserve">  07  :PREFIX:-BENEFICIARIOS.</t>
        </is>
      </c>
      <c r="B216" s="32" t="n"/>
      <c r="C216" s="38">
        <f>C215+D215</f>
        <v/>
      </c>
      <c r="D216" s="32" t="n">
        <v>0</v>
      </c>
      <c r="E216" s="69" t="n"/>
    </row>
    <row r="217">
      <c r="A217" s="40" t="inlineStr">
        <is>
          <t xml:space="preserve">    09  :PREFIX:-BE-TIPO              PIC X(10).</t>
        </is>
      </c>
      <c r="B217" s="25" t="inlineStr">
        <is>
          <t>Tipo (morte/invalidez)</t>
        </is>
      </c>
      <c r="C217" s="13">
        <f>C216+D216</f>
        <v/>
      </c>
      <c r="D217" s="25" t="n">
        <v>10</v>
      </c>
      <c r="E217" s="21" t="inlineStr">
        <is>
          <t>Opcional</t>
        </is>
      </c>
    </row>
    <row r="218">
      <c r="A218" s="40" t="inlineStr">
        <is>
          <t xml:space="preserve">    09  :PREFIX:-BE-NOME              PIC X(40).</t>
        </is>
      </c>
      <c r="B218" s="16" t="inlineStr">
        <is>
          <t>Nome do beneficiário</t>
        </is>
      </c>
      <c r="C218" s="13">
        <f>C217+D217</f>
        <v/>
      </c>
      <c r="D218" s="25" t="n">
        <v>40</v>
      </c>
      <c r="E218" s="21" t="inlineStr">
        <is>
          <t>Opcional</t>
        </is>
      </c>
    </row>
    <row r="219">
      <c r="A219" s="40" t="inlineStr">
        <is>
          <t xml:space="preserve">    09  :PREFIX:-BE-NUMERO            PIC X(04).</t>
        </is>
      </c>
      <c r="B219" s="25" t="inlineStr">
        <is>
          <t>Número</t>
        </is>
      </c>
      <c r="C219" s="13">
        <f>C218+D218</f>
        <v/>
      </c>
      <c r="D219" s="25" t="n">
        <v>4</v>
      </c>
      <c r="E219" s="21" t="inlineStr">
        <is>
          <t>Opcional</t>
        </is>
      </c>
    </row>
    <row r="220">
      <c r="A220" s="30" t="inlineStr">
        <is>
          <t xml:space="preserve">  07  FILLER                          PIC X(3743).</t>
        </is>
      </c>
      <c r="B220" s="32" t="inlineStr">
        <is>
          <t>Espaços</t>
        </is>
      </c>
      <c r="C220" s="38">
        <f>C219+D219</f>
        <v/>
      </c>
      <c r="D220" s="32">
        <f>4096-C220</f>
        <v/>
      </c>
      <c r="E220" s="69" t="n"/>
    </row>
    <row r="221">
      <c r="A221" s="10" t="n"/>
      <c r="B221" s="16" t="n"/>
      <c r="C221" s="13" t="n"/>
      <c r="D221" s="16" t="n"/>
      <c r="E221" s="73" t="n"/>
    </row>
    <row r="222">
      <c r="A222" s="5" t="inlineStr">
        <is>
          <t>05  FILLER              REDEFINES :PREFIX:-DADOS-DOCUMENTO.</t>
        </is>
      </c>
      <c r="B222" s="6" t="inlineStr">
        <is>
          <t>Lista dos Filhos (Registo do tipo CPFS) repete-se de 0 a N</t>
        </is>
      </c>
      <c r="C222" s="8">
        <f>C87</f>
        <v/>
      </c>
      <c r="D222" s="8" t="n">
        <v>0</v>
      </c>
      <c r="E222" s="64" t="n"/>
    </row>
    <row r="223">
      <c r="A223" s="30" t="inlineStr">
        <is>
          <t xml:space="preserve">  07  :PREFIX:-FILHOS.</t>
        </is>
      </c>
      <c r="B223" s="32" t="n"/>
      <c r="C223" s="38">
        <f>C222+D222</f>
        <v/>
      </c>
      <c r="D223" s="32" t="n">
        <v>0</v>
      </c>
      <c r="E223" s="69" t="n"/>
    </row>
    <row r="224">
      <c r="A224" s="40" t="inlineStr">
        <is>
          <t xml:space="preserve">    09  :PREFIX:-FS-NR-ADESAO         PIC X(05).</t>
        </is>
      </c>
      <c r="B224" s="16" t="inlineStr">
        <is>
          <t>Número de Adesão</t>
        </is>
      </c>
      <c r="C224" s="13">
        <f>C223+D223</f>
        <v/>
      </c>
      <c r="D224" s="25" t="n">
        <v>5</v>
      </c>
      <c r="E224" s="21" t="inlineStr">
        <is>
          <t>Opcional</t>
        </is>
      </c>
    </row>
    <row r="225">
      <c r="A225" s="40" t="inlineStr">
        <is>
          <t xml:space="preserve">    09  :PREFIX:-FS-NOME              PIC X(40).</t>
        </is>
      </c>
      <c r="B225" s="16" t="inlineStr">
        <is>
          <t>Nome Do Filho</t>
        </is>
      </c>
      <c r="C225" s="13">
        <f>C224+D224</f>
        <v/>
      </c>
      <c r="D225" s="25" t="n">
        <v>40</v>
      </c>
      <c r="E225" s="21" t="inlineStr">
        <is>
          <t>Opcional</t>
        </is>
      </c>
    </row>
    <row r="226">
      <c r="A226" s="40" t="inlineStr">
        <is>
          <t xml:space="preserve">    09  :PREFIX:-FS-DT-ADESAO         PIC X(08).</t>
        </is>
      </c>
      <c r="B226" s="16" t="inlineStr">
        <is>
          <t>Data de Adesão [aaaammdd]</t>
        </is>
      </c>
      <c r="C226" s="13">
        <f>C225+D225</f>
        <v/>
      </c>
      <c r="D226" s="25" t="n">
        <v>8</v>
      </c>
      <c r="E226" s="21" t="inlineStr">
        <is>
          <t>Opcional</t>
        </is>
      </c>
    </row>
    <row r="227">
      <c r="A227" s="40" t="inlineStr">
        <is>
          <t xml:space="preserve">    09  :PREFIX:-FS-DT-NASC           PIC X(08).</t>
        </is>
      </c>
      <c r="B227" s="16" t="inlineStr">
        <is>
          <t>Data de Nascimento [aaaammdd]</t>
        </is>
      </c>
      <c r="C227" s="13">
        <f>C226+D226</f>
        <v/>
      </c>
      <c r="D227" s="25" t="n">
        <v>8</v>
      </c>
      <c r="E227" s="21" t="inlineStr">
        <is>
          <t>Opcional</t>
        </is>
      </c>
    </row>
    <row r="228">
      <c r="A228" s="40" t="inlineStr">
        <is>
          <t xml:space="preserve">    09  :PREFIX:-FS-MORADA            PIC X(40).</t>
        </is>
      </c>
      <c r="B228" s="16" t="inlineStr">
        <is>
          <t>Morada</t>
        </is>
      </c>
      <c r="C228" s="13">
        <f>C227+D227</f>
        <v/>
      </c>
      <c r="D228" s="25" t="n">
        <v>40</v>
      </c>
      <c r="E228" s="21" t="inlineStr">
        <is>
          <t>Opcional</t>
        </is>
      </c>
    </row>
    <row r="229">
      <c r="A229" s="40" t="inlineStr">
        <is>
          <t xml:space="preserve">    09  :PREFIX:-FS-LOCALIDADE        PIC X(40).</t>
        </is>
      </c>
      <c r="B229" s="16" t="inlineStr">
        <is>
          <t>Localidade</t>
        </is>
      </c>
      <c r="C229" s="13">
        <f>C228+D228</f>
        <v/>
      </c>
      <c r="D229" s="25" t="n">
        <v>40</v>
      </c>
      <c r="E229" s="21" t="inlineStr">
        <is>
          <t>Opcional</t>
        </is>
      </c>
    </row>
    <row r="230">
      <c r="A230" s="40" t="inlineStr">
        <is>
          <t xml:space="preserve">    09  :PREFIX:-FS-COD-POST          PIC X(08).</t>
        </is>
      </c>
      <c r="B230" s="16" t="inlineStr">
        <is>
          <t>Código Postal</t>
        </is>
      </c>
      <c r="C230" s="13">
        <f>C229+D229</f>
        <v/>
      </c>
      <c r="D230" s="25" t="n">
        <v>8</v>
      </c>
      <c r="E230" s="21" t="inlineStr">
        <is>
          <t>Opcional</t>
        </is>
      </c>
    </row>
    <row r="231">
      <c r="A231" s="40" t="inlineStr">
        <is>
          <t xml:space="preserve">    09  :PREFIX:-FS-DESC-CP           PIC X(40).</t>
        </is>
      </c>
      <c r="B231" s="16" t="inlineStr">
        <is>
          <t>Descritivo do Código Postal</t>
        </is>
      </c>
      <c r="C231" s="13">
        <f>C230+D230</f>
        <v/>
      </c>
      <c r="D231" s="25" t="n">
        <v>40</v>
      </c>
      <c r="E231" s="21" t="inlineStr">
        <is>
          <t>Opcional</t>
        </is>
      </c>
    </row>
    <row r="232">
      <c r="A232" s="40" t="inlineStr">
        <is>
          <t xml:space="preserve">    09  :PREFIX:-FS-CONC-PREST        PIC X(40).</t>
        </is>
      </c>
      <c r="B232" s="16" t="inlineStr">
        <is>
          <t>Concelho da Prestação</t>
        </is>
      </c>
      <c r="C232" s="13">
        <f>C231+D231</f>
        <v/>
      </c>
      <c r="D232" s="25" t="n">
        <v>40</v>
      </c>
      <c r="E232" s="21" t="inlineStr">
        <is>
          <t>Opcional</t>
        </is>
      </c>
    </row>
    <row r="233">
      <c r="A233" s="30" t="inlineStr">
        <is>
          <t xml:space="preserve">  07  FILLER                          PIC X(3568).</t>
        </is>
      </c>
      <c r="B233" s="32" t="inlineStr">
        <is>
          <t>Espaços</t>
        </is>
      </c>
      <c r="C233" s="38">
        <f>C232+D232</f>
        <v/>
      </c>
      <c r="D233" s="32">
        <f>4096-C233</f>
        <v/>
      </c>
      <c r="E233" s="69" t="n"/>
    </row>
    <row r="234">
      <c r="A234" s="10" t="n"/>
      <c r="B234" s="16" t="n"/>
      <c r="C234" s="25" t="n"/>
      <c r="D234" s="16" t="n"/>
      <c r="E234" s="73" t="n"/>
    </row>
    <row r="235">
      <c r="A235" s="5" t="inlineStr">
        <is>
          <t>05  FILLER              REDEFINES :PREFIX:-DADOS-DOCUMENTO.</t>
        </is>
      </c>
      <c r="B235" s="6" t="inlineStr">
        <is>
          <t>Lista das Coberturas (Registo do tipo CPCB) repete-se de 0 a N</t>
        </is>
      </c>
      <c r="C235" s="8">
        <f>C87</f>
        <v/>
      </c>
      <c r="D235" s="8" t="n">
        <v>0</v>
      </c>
      <c r="E235" s="64" t="n"/>
    </row>
    <row r="236">
      <c r="A236" s="30" t="inlineStr">
        <is>
          <t xml:space="preserve">  07  :PREFIX:-COBERTURAS.</t>
        </is>
      </c>
      <c r="B236" s="32" t="n"/>
      <c r="C236" s="38">
        <f>C235+D235</f>
        <v/>
      </c>
      <c r="D236" s="32" t="n">
        <v>0</v>
      </c>
      <c r="E236" s="69" t="n"/>
    </row>
    <row r="237">
      <c r="A237" s="40" t="inlineStr">
        <is>
          <t xml:space="preserve">    09  :PREFIX:-CB-CODE.</t>
        </is>
      </c>
      <c r="B237" s="16" t="inlineStr">
        <is>
          <t>Código do texto</t>
        </is>
      </c>
      <c r="C237" s="13">
        <f>C236+D236</f>
        <v/>
      </c>
      <c r="D237" s="25" t="n">
        <v>14</v>
      </c>
      <c r="E237" s="21" t="inlineStr">
        <is>
          <t>Opcional</t>
        </is>
      </c>
    </row>
    <row r="238">
      <c r="A238" s="40" t="inlineStr">
        <is>
          <t xml:space="preserve">      11  :PREFIX:-CB-MODALIDADE      PIC X(02).</t>
        </is>
      </c>
      <c r="B238" s="16" t="inlineStr">
        <is>
          <t>Modalidade</t>
        </is>
      </c>
      <c r="C238" s="13" t="n"/>
      <c r="D238" s="25" t="n"/>
      <c r="E238" s="21" t="inlineStr">
        <is>
          <t>Opcional</t>
        </is>
      </c>
    </row>
    <row r="239">
      <c r="A239" s="40" t="inlineStr">
        <is>
          <t xml:space="preserve">      11  :PREFIX:-CB-VERSAO          PIC X(02).</t>
        </is>
      </c>
      <c r="B239" s="16" t="inlineStr">
        <is>
          <t>Versão</t>
        </is>
      </c>
      <c r="C239" s="13" t="n"/>
      <c r="D239" s="25" t="n"/>
      <c r="E239" s="21" t="inlineStr">
        <is>
          <t>Opcional</t>
        </is>
      </c>
    </row>
    <row r="240">
      <c r="A240" s="40" t="inlineStr">
        <is>
          <t xml:space="preserve">      11  :PREFIX:-CB-CODIGO          PIC X(10).</t>
        </is>
      </c>
      <c r="B240" s="16" t="inlineStr">
        <is>
          <t>Código</t>
        </is>
      </c>
      <c r="C240" s="13" t="n"/>
      <c r="D240" s="25" t="n"/>
      <c r="E240" s="21" t="inlineStr">
        <is>
          <t>Opcional</t>
        </is>
      </c>
    </row>
    <row r="241">
      <c r="A241" s="40" t="inlineStr">
        <is>
          <t xml:space="preserve">    09  :PREFIX:-CB-CAPS              PIC S9(12)V9(02) SIGN LEADING SEPARATE.</t>
        </is>
      </c>
      <c r="B241" s="16" t="inlineStr">
        <is>
          <t>Capital Seguro</t>
        </is>
      </c>
      <c r="C241" s="13">
        <f>C237+D237</f>
        <v/>
      </c>
      <c r="D241" s="25" t="n">
        <v>15</v>
      </c>
      <c r="E241" s="21" t="inlineStr">
        <is>
          <t>Opcional</t>
        </is>
      </c>
    </row>
    <row r="242">
      <c r="A242" s="40" t="inlineStr">
        <is>
          <t xml:space="preserve">    09  :PREFIX:-CB-TAXA              PIC X(06).</t>
        </is>
      </c>
      <c r="B242" s="16" t="inlineStr">
        <is>
          <t>Taxa</t>
        </is>
      </c>
      <c r="C242" s="13">
        <f>C241+D241</f>
        <v/>
      </c>
      <c r="D242" s="25" t="n">
        <v>6</v>
      </c>
      <c r="E242" s="21" t="inlineStr">
        <is>
          <t>Opcional</t>
        </is>
      </c>
    </row>
    <row r="243">
      <c r="A243" s="40" t="inlineStr">
        <is>
          <t xml:space="preserve">    09  :PREFIX:-CB-VARI              PIC X(77).</t>
        </is>
      </c>
      <c r="B243" s="16" t="inlineStr">
        <is>
          <t>Código de Texto</t>
        </is>
      </c>
      <c r="C243" s="13">
        <f>C242+D242</f>
        <v/>
      </c>
      <c r="D243" s="25" t="n">
        <v>77</v>
      </c>
      <c r="E243" s="21" t="inlineStr">
        <is>
          <t>Opcional</t>
        </is>
      </c>
    </row>
    <row r="244">
      <c r="A244" s="30" t="inlineStr">
        <is>
          <t xml:space="preserve">  07  FILLER                          PIC X(3685).</t>
        </is>
      </c>
      <c r="B244" s="32" t="inlineStr">
        <is>
          <t>Espaços</t>
        </is>
      </c>
      <c r="C244" s="38">
        <f>C243+D243</f>
        <v/>
      </c>
      <c r="D244" s="32">
        <f>4096-C244</f>
        <v/>
      </c>
      <c r="E244" s="69" t="n"/>
    </row>
    <row r="245">
      <c r="A245" s="10" t="n"/>
      <c r="B245" s="16" t="n"/>
      <c r="C245" s="13" t="n"/>
      <c r="D245" s="16" t="n"/>
      <c r="E245" s="73" t="n"/>
    </row>
    <row r="246">
      <c r="A246" s="5" t="inlineStr">
        <is>
          <t>05  FILLER              REDEFINES :PREFIX:-DADOS-DOCUMENTO.</t>
        </is>
      </c>
      <c r="B246" s="74" t="inlineStr">
        <is>
          <t>Lista dos Textos Livres (Registo do tipo CPTL) repete-se de 0 a N</t>
        </is>
      </c>
      <c r="C246" s="8">
        <f>C87</f>
        <v/>
      </c>
      <c r="D246" s="8" t="n">
        <v>0</v>
      </c>
      <c r="E246" s="64" t="n"/>
    </row>
    <row r="247">
      <c r="A247" s="30" t="inlineStr">
        <is>
          <t xml:space="preserve">  07  :PREFIX:-TEXTO-LIVRE.</t>
        </is>
      </c>
      <c r="B247" s="32" t="n"/>
      <c r="C247" s="38">
        <f>C246+D246</f>
        <v/>
      </c>
      <c r="D247" s="32" t="n">
        <v>0</v>
      </c>
      <c r="E247" s="69" t="n"/>
    </row>
    <row r="248">
      <c r="A248" s="40" t="inlineStr">
        <is>
          <t xml:space="preserve">    09  :PREFIX:-TL-BOLD              PIC X(400).</t>
        </is>
      </c>
      <c r="B248" s="25" t="inlineStr">
        <is>
          <t>Texto livre com caracteres a bold/negrito</t>
        </is>
      </c>
      <c r="C248" s="13">
        <f>C247+D247</f>
        <v/>
      </c>
      <c r="D248" s="25" t="n">
        <v>400</v>
      </c>
      <c r="E248" s="21" t="inlineStr">
        <is>
          <t>Opcional</t>
        </is>
      </c>
    </row>
    <row r="249">
      <c r="A249" s="40" t="inlineStr">
        <is>
          <t xml:space="preserve">    09  :PREFIX:-TL-NORMAL            PIC X(3000).</t>
        </is>
      </c>
      <c r="B249" s="25" t="inlineStr">
        <is>
          <t>Texto livre com caracteres a normal</t>
        </is>
      </c>
      <c r="C249" s="13">
        <f>C248+D248</f>
        <v/>
      </c>
      <c r="D249" s="25" t="n">
        <v>3000</v>
      </c>
      <c r="E249" s="21" t="inlineStr">
        <is>
          <t>Opcional</t>
        </is>
      </c>
    </row>
    <row r="250">
      <c r="A250" s="30" t="inlineStr">
        <is>
          <t xml:space="preserve">  07  FILLER                          PIC X(397).</t>
        </is>
      </c>
      <c r="B250" s="32" t="inlineStr">
        <is>
          <t>Espaços</t>
        </is>
      </c>
      <c r="C250" s="38">
        <f>C249+D249</f>
        <v/>
      </c>
      <c r="D250" s="32">
        <f>4096-C250</f>
        <v/>
      </c>
      <c r="E250" s="69" t="n"/>
    </row>
    <row r="251">
      <c r="A251" s="10" t="n"/>
      <c r="B251" s="16" t="n"/>
      <c r="C251" s="13" t="n"/>
      <c r="D251" s="16" t="n"/>
      <c r="E251" s="73" t="n"/>
    </row>
    <row r="252">
      <c r="A252" s="5" t="inlineStr">
        <is>
          <t>05  FILLER              REDEFINES :PREFIX:-DADOS-DOCUMENTO.</t>
        </is>
      </c>
      <c r="B252" s="74" t="inlineStr">
        <is>
          <t>Lista dos Prémios Totais da Apólice (Registo do tipo CPPT) repete-se de 0 a N</t>
        </is>
      </c>
      <c r="C252" s="8">
        <f>C87</f>
        <v/>
      </c>
      <c r="D252" s="8" t="n">
        <v>0</v>
      </c>
      <c r="E252" s="64" t="n"/>
    </row>
    <row r="253">
      <c r="A253" s="30" t="inlineStr">
        <is>
          <t xml:space="preserve">  07  :PREFIX:-PREMIOS-TOTAIS.</t>
        </is>
      </c>
      <c r="B253" s="32" t="n"/>
      <c r="C253" s="38">
        <f>C252+D252</f>
        <v/>
      </c>
      <c r="D253" s="32" t="n">
        <v>0</v>
      </c>
      <c r="E253" s="69" t="n"/>
    </row>
    <row r="254">
      <c r="A254" s="40" t="inlineStr">
        <is>
          <t xml:space="preserve">    09  :PREFIX:-PT-DESC              PIC X(60).</t>
        </is>
      </c>
      <c r="B254" s="25" t="inlineStr">
        <is>
          <t>Descritivo do Prémio da Apólice / Contrato</t>
        </is>
      </c>
      <c r="C254" s="13">
        <f>C253+D253</f>
        <v/>
      </c>
      <c r="D254" s="25" t="n">
        <v>60</v>
      </c>
      <c r="E254" s="21" t="inlineStr">
        <is>
          <t>Opcional</t>
        </is>
      </c>
    </row>
    <row r="255">
      <c r="A255" s="40" t="inlineStr">
        <is>
          <t xml:space="preserve">    09  :PREFIX:-PT-PREMIO            PIC S9(12)V9(02) SIGN LEADING SEPARATE.</t>
        </is>
      </c>
      <c r="B255" s="25" t="inlineStr">
        <is>
          <t>Valor Prémio da Apólice</t>
        </is>
      </c>
      <c r="C255" s="13">
        <f>C254+D254</f>
        <v/>
      </c>
      <c r="D255" s="25" t="n">
        <v>15</v>
      </c>
      <c r="E255" s="21" t="inlineStr">
        <is>
          <t>Opcional</t>
        </is>
      </c>
    </row>
    <row r="256">
      <c r="A256" s="30" t="inlineStr">
        <is>
          <t xml:space="preserve">  07  FILLER                          PIC X(3722).</t>
        </is>
      </c>
      <c r="B256" s="32" t="inlineStr">
        <is>
          <t>Espaços</t>
        </is>
      </c>
      <c r="C256" s="38">
        <f>C255+D255</f>
        <v/>
      </c>
      <c r="D256" s="32">
        <f>4096-C256</f>
        <v/>
      </c>
      <c r="E256" s="69" t="n"/>
    </row>
    <row r="257">
      <c r="A257" s="10" t="n"/>
      <c r="B257" s="16" t="n"/>
      <c r="C257" s="13" t="n"/>
      <c r="D257" s="16" t="n"/>
      <c r="E257" s="73" t="n"/>
    </row>
    <row r="258">
      <c r="A258" s="5" t="inlineStr">
        <is>
          <t>05  FILLER              REDEFINES :PREFIX:-DADOS-DOCUMENTO.</t>
        </is>
      </c>
      <c r="B258" s="74" t="inlineStr">
        <is>
          <t>Lista de Informações Finais (Registo do tipo CPIF) repete-se de 0 a N</t>
        </is>
      </c>
      <c r="C258" s="8">
        <f>C87</f>
        <v/>
      </c>
      <c r="D258" s="8" t="n">
        <v>0</v>
      </c>
      <c r="E258" s="64" t="n"/>
    </row>
    <row r="259">
      <c r="A259" s="30" t="inlineStr">
        <is>
          <t xml:space="preserve">  07  :PREFIX:-INFO-FINAL.</t>
        </is>
      </c>
      <c r="B259" s="32" t="n"/>
      <c r="C259" s="38">
        <f>C258+D258</f>
        <v/>
      </c>
      <c r="D259" s="32" t="n">
        <v>0</v>
      </c>
      <c r="E259" s="69" t="n"/>
    </row>
    <row r="260">
      <c r="A260" s="40" t="inlineStr">
        <is>
          <t xml:space="preserve">    09  :PREFIX:-IF-BOLD              PIC X(400).</t>
        </is>
      </c>
      <c r="B260" s="25" t="inlineStr">
        <is>
          <t>Informação Final com caracteres a bold/negrito</t>
        </is>
      </c>
      <c r="C260" s="13">
        <f>C259+D259</f>
        <v/>
      </c>
      <c r="D260" s="25" t="n">
        <v>400</v>
      </c>
      <c r="E260" s="21" t="inlineStr">
        <is>
          <t>Opcional</t>
        </is>
      </c>
    </row>
    <row r="261">
      <c r="A261" s="40" t="inlineStr">
        <is>
          <t xml:space="preserve">    09  :PREFIX:-IF-NORMAL            PIC X(3000).</t>
        </is>
      </c>
      <c r="B261" s="25" t="inlineStr">
        <is>
          <t>Informação Final com caracteres a normal</t>
        </is>
      </c>
      <c r="C261" s="13">
        <f>C260+D260</f>
        <v/>
      </c>
      <c r="D261" s="25" t="n">
        <v>3000</v>
      </c>
      <c r="E261" s="21" t="inlineStr">
        <is>
          <t>Opcional</t>
        </is>
      </c>
    </row>
    <row r="262">
      <c r="A262" s="30" t="inlineStr">
        <is>
          <t xml:space="preserve">  07  FILLER                          PIC X(397).</t>
        </is>
      </c>
      <c r="B262" s="32" t="inlineStr">
        <is>
          <t>Espaços</t>
        </is>
      </c>
      <c r="C262" s="38">
        <f>C261+D261</f>
        <v/>
      </c>
      <c r="D262" s="32">
        <f>4096-C262</f>
        <v/>
      </c>
      <c r="E262" s="69" t="n"/>
    </row>
    <row r="263">
      <c r="A263" s="10" t="n"/>
      <c r="B263" s="16" t="n"/>
      <c r="C263" s="13" t="n"/>
      <c r="D263" s="16" t="n"/>
      <c r="E263" s="73" t="n"/>
    </row>
    <row r="264">
      <c r="A264" s="5" t="inlineStr">
        <is>
          <t>05  FILLER              REDEFINES :PREFIX:-DADOS-DOCUMENTO.</t>
        </is>
      </c>
      <c r="B264" s="74" t="inlineStr">
        <is>
          <t>Fim do Documento (Registo do tipo CPZZ)</t>
        </is>
      </c>
      <c r="C264" s="8">
        <f>C87</f>
        <v/>
      </c>
      <c r="D264" s="8" t="n">
        <v>0</v>
      </c>
      <c r="E264" s="64" t="n"/>
    </row>
    <row r="265">
      <c r="A265" s="30" t="inlineStr">
        <is>
          <t xml:space="preserve">  07  :PREFIX:-FIM-DOCUMENTO          PIC X(3797).</t>
        </is>
      </c>
      <c r="B265" s="32" t="inlineStr">
        <is>
          <t>Espaços</t>
        </is>
      </c>
      <c r="C265" s="38">
        <f>C264+D264</f>
        <v/>
      </c>
      <c r="D265" s="32">
        <f>4096-C265</f>
        <v/>
      </c>
      <c r="E265" s="17" t="inlineStr">
        <is>
          <t>Obrigatório</t>
        </is>
      </c>
    </row>
  </sheetData>
  <mergeCells count="11">
    <mergeCell ref="E17:E26"/>
    <mergeCell ref="E62:E66"/>
    <mergeCell ref="E68:E82"/>
    <mergeCell ref="E8:E16"/>
    <mergeCell ref="E187:E192"/>
    <mergeCell ref="E38:E40"/>
    <mergeCell ref="E3:E7"/>
    <mergeCell ref="E102:E104"/>
    <mergeCell ref="E112:E117"/>
    <mergeCell ref="E118:E121"/>
    <mergeCell ref="E43:E61"/>
  </mergeCells>
  <pageMargins left="0.2362204724409449" right="0.2362204724409449" top="0.7480314960629921" bottom="0.7480314960629921" header="0.3149606299212598" footer="0.3149606299212598"/>
  <pageSetup orientation="landscape" paperSize="9" scale="74" fitToHeight="6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84"/>
  <sheetViews>
    <sheetView workbookViewId="0">
      <selection activeCell="A1" sqref="A1"/>
    </sheetView>
  </sheetViews>
  <sheetFormatPr baseColWidth="8" defaultRowHeight="14.4"/>
  <cols>
    <col width="98.77734375" customWidth="1" min="1" max="1"/>
    <col width="72.109375" customWidth="1" min="2" max="2"/>
    <col width="7.21875" customWidth="1" min="3" max="3"/>
    <col width="8.77734375" customWidth="1" min="4" max="4"/>
    <col width="11.109375" customWidth="1" min="5" max="5"/>
    <col width="11.77734375" customWidth="1" min="7" max="7"/>
  </cols>
  <sheetData>
    <row r="1">
      <c r="A1" s="63" t="inlineStr">
        <is>
          <t>Copybook</t>
        </is>
      </c>
      <c r="B1" s="63" t="inlineStr">
        <is>
          <t>Descrição / 'Valores Possiveis' / (Notas) / [Formato]</t>
        </is>
      </c>
      <c r="C1" s="3" t="inlineStr">
        <is>
          <t>Posição</t>
        </is>
      </c>
      <c r="D1" s="3" t="inlineStr">
        <is>
          <t>Tamanho</t>
        </is>
      </c>
      <c r="E1" s="4" t="inlineStr">
        <is>
          <t>Observação</t>
        </is>
      </c>
    </row>
    <row r="2">
      <c r="A2" s="5" t="inlineStr">
        <is>
          <t>05  :PREFIX:-DADOS-REGISTO.</t>
        </is>
      </c>
      <c r="B2" s="7" t="n"/>
      <c r="C2" s="75" t="n">
        <v>1</v>
      </c>
      <c r="D2" s="75" t="n">
        <v>0</v>
      </c>
      <c r="E2" s="64" t="n"/>
    </row>
    <row r="3">
      <c r="A3" s="10" t="inlineStr">
        <is>
          <t xml:space="preserve">  07  :PREFIX:-COD-DOCUMENTO          PIC X(04).</t>
        </is>
      </c>
      <c r="B3" s="12" t="inlineStr">
        <is>
          <t>Código de documento</t>
        </is>
      </c>
      <c r="C3" s="76">
        <f>C2+D2</f>
        <v/>
      </c>
      <c r="D3" s="76" t="n">
        <v>4</v>
      </c>
      <c r="E3" s="17" t="inlineStr">
        <is>
          <t>Obrigatório</t>
        </is>
      </c>
    </row>
    <row r="4">
      <c r="A4" s="10" t="inlineStr">
        <is>
          <t xml:space="preserve">    88  :PREFIX:-DOC-PAGR                       VALUE 'PAGR'.</t>
        </is>
      </c>
      <c r="B4" s="77" t="inlineStr">
        <is>
          <t xml:space="preserve">     'PAGR' - Plano Agregado Tailor</t>
        </is>
      </c>
      <c r="C4" s="78" t="n"/>
      <c r="D4" s="79" t="n"/>
      <c r="E4" s="18" t="n"/>
    </row>
    <row r="5">
      <c r="A5" s="80" t="inlineStr">
        <is>
          <t xml:space="preserve">  07  :PREFIX:-TIPO-REGISTO           PIC X(04).</t>
        </is>
      </c>
      <c r="B5" s="39" t="inlineStr">
        <is>
          <t>Tipo de registo</t>
        </is>
      </c>
      <c r="C5" s="81">
        <f>C3+D3</f>
        <v/>
      </c>
      <c r="D5" s="82" t="n">
        <v>4</v>
      </c>
      <c r="E5" s="17" t="inlineStr">
        <is>
          <t>Obrigatório</t>
        </is>
      </c>
    </row>
    <row r="6">
      <c r="A6" s="80" t="inlineStr">
        <is>
          <t xml:space="preserve">    88  :PREFIX:-MOR                            VALUE 'MOR '.</t>
        </is>
      </c>
      <c r="B6" s="83" t="inlineStr">
        <is>
          <t xml:space="preserve">     Morada (Registo Único)</t>
        </is>
      </c>
      <c r="C6" s="84" t="n"/>
      <c r="D6" s="85" t="n"/>
      <c r="E6" s="15" t="n"/>
    </row>
    <row r="7">
      <c r="A7" s="80" t="inlineStr">
        <is>
          <t xml:space="preserve">    88  :PREFIX:-CAB                            VALUE 'CAB '.</t>
        </is>
      </c>
      <c r="B7" s="83" t="inlineStr">
        <is>
          <t xml:space="preserve">     Cabeçalho (Registo Único)</t>
        </is>
      </c>
      <c r="C7" s="86" t="n"/>
      <c r="D7" s="87" t="n"/>
      <c r="E7" s="15" t="n"/>
    </row>
    <row r="8">
      <c r="A8" s="80" t="inlineStr">
        <is>
          <t xml:space="preserve">    88  :PREFIX:-OBJ                            VALUE 'OBJ '.</t>
        </is>
      </c>
      <c r="B8" s="83" t="inlineStr">
        <is>
          <t xml:space="preserve">     Objecto Seguro (Registo Bloco)</t>
        </is>
      </c>
      <c r="C8" s="86" t="n"/>
      <c r="D8" s="87" t="n"/>
      <c r="E8" s="15" t="n"/>
    </row>
    <row r="9">
      <c r="A9" s="80" t="inlineStr">
        <is>
          <t xml:space="preserve">    88  :PREFIX:-PRD                            VALUE 'PRD '.</t>
        </is>
      </c>
      <c r="B9" s="83" t="inlineStr">
        <is>
          <t xml:space="preserve">     Produtos (Registo Lista)</t>
        </is>
      </c>
      <c r="C9" s="86" t="n"/>
      <c r="D9" s="87" t="n"/>
      <c r="E9" s="15" t="n"/>
    </row>
    <row r="10">
      <c r="A10" s="80" t="inlineStr">
        <is>
          <t xml:space="preserve">    88  :PREFIX:-DOB1                           VALUE 'DOB1'.</t>
        </is>
      </c>
      <c r="B10" s="83" t="inlineStr">
        <is>
          <t xml:space="preserve">     Detalhe Objecto Seguro 1 (Registo Bloco)</t>
        </is>
      </c>
      <c r="C10" s="86" t="n"/>
      <c r="D10" s="87" t="n"/>
      <c r="E10" s="15" t="n"/>
    </row>
    <row r="11">
      <c r="A11" s="80" t="inlineStr">
        <is>
          <t xml:space="preserve">    88  :PREFIX:-DOB2                           VALUE 'DOB2'.</t>
        </is>
      </c>
      <c r="B11" s="83" t="inlineStr">
        <is>
          <t xml:space="preserve">     Detalhe Objecto Seguro 2 (Registo Bloco)</t>
        </is>
      </c>
      <c r="C11" s="86" t="n"/>
      <c r="D11" s="87" t="n"/>
      <c r="E11" s="15" t="n"/>
    </row>
    <row r="12">
      <c r="A12" s="80" t="inlineStr">
        <is>
          <t xml:space="preserve">    88  :PREFIX:-TRA                            VALUE 'TRA '.</t>
        </is>
      </c>
      <c r="B12" s="83" t="inlineStr">
        <is>
          <t xml:space="preserve">     Trabalhadores (Registo Lista)</t>
        </is>
      </c>
      <c r="C12" s="86" t="n"/>
      <c r="D12" s="87" t="n"/>
      <c r="E12" s="15" t="n"/>
    </row>
    <row r="13">
      <c r="A13" s="80" t="inlineStr">
        <is>
          <t xml:space="preserve">    88  :PREFIX:-RUB                            VALUE 'RUB '.</t>
        </is>
      </c>
      <c r="B13" s="83" t="inlineStr">
        <is>
          <t xml:space="preserve">     Rubricas (Registo Lista)</t>
        </is>
      </c>
      <c r="C13" s="86" t="n"/>
      <c r="D13" s="87" t="n"/>
      <c r="E13" s="15" t="n"/>
    </row>
    <row r="14">
      <c r="A14" s="80" t="inlineStr">
        <is>
          <t xml:space="preserve">    88  :PREFIX:-COB                            VALUE 'COB '.</t>
        </is>
      </c>
      <c r="B14" s="83" t="inlineStr">
        <is>
          <t xml:space="preserve">     Coberturas (Registo Lista)</t>
        </is>
      </c>
      <c r="C14" s="86" t="n"/>
      <c r="D14" s="87" t="n"/>
      <c r="E14" s="15" t="n"/>
    </row>
    <row r="15">
      <c r="A15" s="80" t="inlineStr">
        <is>
          <t xml:space="preserve">    88  :PREFIX:-NCO                            VALUE 'NCO '.</t>
        </is>
      </c>
      <c r="B15" s="83" t="inlineStr">
        <is>
          <t xml:space="preserve">     Notas das Coberturas (Registo Bloco)</t>
        </is>
      </c>
      <c r="C15" s="86" t="n"/>
      <c r="D15" s="87" t="n"/>
      <c r="E15" s="15" t="n"/>
    </row>
    <row r="16">
      <c r="A16" s="80" t="inlineStr">
        <is>
          <t xml:space="preserve">    88  :PREFIX:-CGE                            VALUE 'CGE '.</t>
        </is>
      </c>
      <c r="B16" s="83" t="inlineStr">
        <is>
          <t xml:space="preserve">     Detalhe Condições Gerais (Registo Bloco)</t>
        </is>
      </c>
      <c r="C16" s="86" t="n"/>
      <c r="D16" s="87" t="n"/>
      <c r="E16" s="15" t="n"/>
    </row>
    <row r="17">
      <c r="A17" s="80" t="inlineStr">
        <is>
          <t xml:space="preserve">    88  :PREFIX:-DCL                            VALUE 'DCL '.</t>
        </is>
      </c>
      <c r="B17" s="83" t="inlineStr">
        <is>
          <t xml:space="preserve">     Declarações e Cláusulas (Registo Bloco)</t>
        </is>
      </c>
      <c r="C17" s="86" t="n"/>
      <c r="D17" s="87" t="n"/>
      <c r="E17" s="15" t="n"/>
    </row>
    <row r="18">
      <c r="A18" s="80" t="inlineStr">
        <is>
          <t xml:space="preserve">    88  :PREFIX:-ZZZ                            VALUE 'ZZZ '.</t>
        </is>
      </c>
      <c r="B18" s="83" t="inlineStr">
        <is>
          <t xml:space="preserve">     Fim do documento (Registo Único)</t>
        </is>
      </c>
      <c r="C18" s="88" t="n"/>
      <c r="D18" s="89" t="n"/>
      <c r="E18" s="18" t="n"/>
    </row>
    <row r="19">
      <c r="A19" s="10" t="inlineStr">
        <is>
          <t xml:space="preserve">  07  :PREFIX:-TIPO-IMPRESSAO         PIC X(01).</t>
        </is>
      </c>
      <c r="B19" s="12" t="inlineStr">
        <is>
          <t>Tipo de impressão</t>
        </is>
      </c>
      <c r="C19" s="90">
        <f>C5+D5</f>
        <v/>
      </c>
      <c r="D19" s="90" t="n">
        <v>1</v>
      </c>
      <c r="E19" s="17" t="inlineStr">
        <is>
          <t>Obrigatório</t>
        </is>
      </c>
    </row>
    <row r="20">
      <c r="A20" s="10" t="inlineStr">
        <is>
          <t xml:space="preserve">    88  :PREFIX:-IMP-ONLINE                     VALUE 'I'.</t>
        </is>
      </c>
      <c r="B20" s="12" t="inlineStr">
        <is>
          <t xml:space="preserve">     'I' - Impressão OnLine (Immediate)</t>
        </is>
      </c>
      <c r="C20" s="84" t="n"/>
      <c r="D20" s="85" t="n"/>
      <c r="E20" s="15" t="n"/>
    </row>
    <row r="21">
      <c r="A21" s="10" t="inlineStr">
        <is>
          <t xml:space="preserve">    88  :PREFIX:-IMP-BATCH                      VALUE 'O'.</t>
        </is>
      </c>
      <c r="B21" s="12" t="inlineStr">
        <is>
          <t xml:space="preserve">     'O' - Impressão via batch (Overnight)</t>
        </is>
      </c>
      <c r="C21" s="88" t="n"/>
      <c r="D21" s="89" t="n"/>
      <c r="E21" s="18" t="n"/>
    </row>
    <row r="22">
      <c r="A22" s="10" t="inlineStr">
        <is>
          <t xml:space="preserve">  07  :PREFIX:-USERID                 PIC X(08).</t>
        </is>
      </c>
      <c r="B22" s="16" t="inlineStr">
        <is>
          <t>User Id da impressão OnLine</t>
        </is>
      </c>
      <c r="C22" s="90">
        <f>C19+D19</f>
        <v/>
      </c>
      <c r="D22" s="91" t="n">
        <v>8</v>
      </c>
      <c r="E22" s="19" t="inlineStr">
        <is>
          <t>Condicional</t>
        </is>
      </c>
    </row>
    <row r="23">
      <c r="A23" s="10" t="inlineStr">
        <is>
          <t xml:space="preserve">  07  :PREFIX:-COD-COMPANHIA          PIC X(03).</t>
        </is>
      </c>
      <c r="B23" s="12" t="inlineStr">
        <is>
          <t>Código de identificação da Companhia</t>
        </is>
      </c>
      <c r="C23" s="90">
        <f>C22+D22</f>
        <v/>
      </c>
      <c r="D23" s="90" t="n">
        <v>3</v>
      </c>
      <c r="E23" s="14" t="inlineStr">
        <is>
          <t>Obrigatório</t>
        </is>
      </c>
    </row>
    <row r="24">
      <c r="A24" s="10" t="inlineStr">
        <is>
          <t xml:space="preserve">    88  :PREFIX:-COM-FIDELIDADE                 VALUE '128'.</t>
        </is>
      </c>
      <c r="B24" s="12" t="inlineStr">
        <is>
          <t xml:space="preserve">     '128' - Fidelidade</t>
        </is>
      </c>
      <c r="C24" s="84" t="n"/>
      <c r="D24" s="85" t="n"/>
      <c r="E24" s="15" t="n"/>
    </row>
    <row r="25">
      <c r="A25" s="10" t="inlineStr">
        <is>
          <t xml:space="preserve">    88  :PREFIX:-COM-IMPERIO                    VALUE '138'.</t>
        </is>
      </c>
      <c r="B25" s="12" t="inlineStr">
        <is>
          <t xml:space="preserve">     '138' - Império</t>
        </is>
      </c>
      <c r="C25" s="88" t="n"/>
      <c r="D25" s="89" t="n"/>
      <c r="E25" s="15" t="n"/>
    </row>
    <row r="26">
      <c r="A26" s="10" t="inlineStr">
        <is>
          <t xml:space="preserve">  07  :PREFIX:-COD-MARCA              PIC X(03).</t>
        </is>
      </c>
      <c r="B26" s="12" t="inlineStr">
        <is>
          <t>Código de identificação da Marca</t>
        </is>
      </c>
      <c r="C26" s="90">
        <f>C23+D23</f>
        <v/>
      </c>
      <c r="D26" s="91" t="n">
        <v>3</v>
      </c>
      <c r="E26" s="14" t="inlineStr">
        <is>
          <t>Obrigatório</t>
        </is>
      </c>
    </row>
    <row r="27">
      <c r="A27" s="10" t="inlineStr">
        <is>
          <t xml:space="preserve">    88  :PREFIX:-MAR-FIDELIDADE                 VALUE '002'.</t>
        </is>
      </c>
      <c r="B27" s="12" t="inlineStr">
        <is>
          <t xml:space="preserve">     '002' - Fidelidade</t>
        </is>
      </c>
      <c r="C27" s="84" t="n"/>
      <c r="D27" s="85" t="n"/>
      <c r="E27" s="15" t="n"/>
    </row>
    <row r="28">
      <c r="A28" s="10" t="inlineStr">
        <is>
          <t xml:space="preserve">    88  :PREFIX:-MAR-IMPERIO                    VALUE '003'.</t>
        </is>
      </c>
      <c r="B28" s="12" t="inlineStr">
        <is>
          <t xml:space="preserve">     '003' - Império</t>
        </is>
      </c>
      <c r="C28" s="86" t="n"/>
      <c r="D28" s="87" t="n"/>
      <c r="E28" s="15" t="n"/>
    </row>
    <row r="29">
      <c r="A29" s="10" t="inlineStr">
        <is>
          <t xml:space="preserve">    88  :PREFIX:-MAR-ICI                        VALUE '004'.</t>
        </is>
      </c>
      <c r="B29" s="12" t="inlineStr">
        <is>
          <t xml:space="preserve">     '004' - ICI</t>
        </is>
      </c>
      <c r="C29" s="88" t="n"/>
      <c r="D29" s="89" t="n"/>
      <c r="E29" s="15" t="n"/>
    </row>
    <row r="30">
      <c r="A30" s="10" t="inlineStr">
        <is>
          <t xml:space="preserve">  07  FILLER                          PIC X(01).</t>
        </is>
      </c>
      <c r="B30" s="12" t="n"/>
      <c r="C30" s="91">
        <f>C26+D26</f>
        <v/>
      </c>
      <c r="D30" s="91" t="n">
        <v>1</v>
      </c>
      <c r="E30" s="71" t="n"/>
    </row>
    <row r="31">
      <c r="A31" s="10" t="inlineStr">
        <is>
          <t xml:space="preserve">  07  :PREFIX:-NR-AGENTE              PIC X(10).</t>
        </is>
      </c>
      <c r="B31" s="16" t="inlineStr">
        <is>
          <t>Número do Mediador</t>
        </is>
      </c>
      <c r="C31" s="90">
        <f>C30+D30</f>
        <v/>
      </c>
      <c r="D31" s="91" t="n">
        <v>10</v>
      </c>
      <c r="E31" s="19" t="inlineStr">
        <is>
          <t>Condicional</t>
        </is>
      </c>
    </row>
    <row r="32">
      <c r="A32" s="10" t="inlineStr">
        <is>
          <t xml:space="preserve">  07  :PREFIX:-NR-CLIENTE             PIC X(10).</t>
        </is>
      </c>
      <c r="B32" s="16" t="inlineStr">
        <is>
          <t>Número do Cliente</t>
        </is>
      </c>
      <c r="C32" s="90">
        <f>C31+D31</f>
        <v/>
      </c>
      <c r="D32" s="91" t="n">
        <v>10</v>
      </c>
      <c r="E32" s="17" t="inlineStr">
        <is>
          <t>Obrigatório</t>
        </is>
      </c>
    </row>
    <row r="33">
      <c r="A33" s="10" t="inlineStr">
        <is>
          <t xml:space="preserve">  07  :PREFIX:-NR-APOLICE             PIC X(16).</t>
        </is>
      </c>
      <c r="B33" s="16" t="inlineStr">
        <is>
          <t>Número da Apólice</t>
        </is>
      </c>
      <c r="C33" s="90">
        <f>C32+D32</f>
        <v/>
      </c>
      <c r="D33" s="91" t="n">
        <v>16</v>
      </c>
      <c r="E33" s="17" t="inlineStr">
        <is>
          <t>Obrigatório</t>
        </is>
      </c>
    </row>
    <row r="34">
      <c r="A34" s="10" t="inlineStr">
        <is>
          <t xml:space="preserve">  07  :PREFIX:-ORI-ORDER.</t>
        </is>
      </c>
      <c r="B34" s="16" t="n"/>
      <c r="C34" s="90">
        <f>C33+D33</f>
        <v/>
      </c>
      <c r="D34" s="91" t="n">
        <v>0</v>
      </c>
      <c r="E34" s="71" t="n"/>
    </row>
    <row r="35">
      <c r="A35" s="10" t="inlineStr">
        <is>
          <t xml:space="preserve">    09  :PREFIX:-DOC-NR               PIC X(10).</t>
        </is>
      </c>
      <c r="B35" s="16" t="inlineStr">
        <is>
          <t>Ordenação do Sistema Origem - Número do documento</t>
        </is>
      </c>
      <c r="C35" s="90">
        <f>C34+D34</f>
        <v/>
      </c>
      <c r="D35" s="91" t="n">
        <v>10</v>
      </c>
      <c r="E35" s="17" t="inlineStr">
        <is>
          <t>Obrigatório</t>
        </is>
      </c>
    </row>
    <row r="36">
      <c r="A36" s="10" t="inlineStr">
        <is>
          <t xml:space="preserve">    09  :PREFIX:-DOC-SEQREG-NR        PIC X(05).</t>
        </is>
      </c>
      <c r="B36" s="16" t="inlineStr">
        <is>
          <t>Ordenação do Sistema Origem - Número de sequência do registo</t>
        </is>
      </c>
      <c r="C36" s="90">
        <f>C35+D35</f>
        <v/>
      </c>
      <c r="D36" s="91" t="n">
        <v>5</v>
      </c>
      <c r="E36" s="17" t="inlineStr">
        <is>
          <t>Obrigatório</t>
        </is>
      </c>
    </row>
    <row r="37">
      <c r="A37" s="10" t="inlineStr">
        <is>
          <t xml:space="preserve">  07  :PREFIX:-COD-ORIGEM             PIC X(03).</t>
        </is>
      </c>
      <c r="B37" s="12" t="inlineStr">
        <is>
          <t>Código de identificação do Sistema Origem</t>
        </is>
      </c>
      <c r="C37" s="90">
        <f>C36+D36</f>
        <v/>
      </c>
      <c r="D37" s="91" t="n">
        <v>3</v>
      </c>
      <c r="E37" s="14" t="inlineStr">
        <is>
          <t>Obrigatório</t>
        </is>
      </c>
    </row>
    <row r="38">
      <c r="A38" s="10" t="inlineStr">
        <is>
          <t xml:space="preserve">    88  :PREFIX:-ORI-COGEN22                    VALUE 'CG2'.</t>
        </is>
      </c>
      <c r="B38" s="16" t="inlineStr">
        <is>
          <t xml:space="preserve">     'CG2' - Cogen 22</t>
        </is>
      </c>
      <c r="C38" s="78" t="n"/>
      <c r="D38" s="79" t="n"/>
      <c r="E38" s="15" t="n"/>
    </row>
    <row r="39">
      <c r="A39" s="10" t="inlineStr">
        <is>
          <t xml:space="preserve">  07  :PREFIX:-IND-FLYER              PIC X(01).</t>
        </is>
      </c>
      <c r="B39" s="16" t="inlineStr">
        <is>
          <t>Indicador de inclusão de Flyer</t>
        </is>
      </c>
      <c r="C39" s="90">
        <f>C37+D37</f>
        <v/>
      </c>
      <c r="D39" s="91" t="n">
        <v>1</v>
      </c>
      <c r="E39" s="21" t="inlineStr">
        <is>
          <t>Opcional</t>
        </is>
      </c>
    </row>
    <row r="40">
      <c r="A40" s="92" t="inlineStr">
        <is>
          <t>05  :PREFIX:-DADOS-DOCUMENTO          PIC X(421).</t>
        </is>
      </c>
      <c r="B40" s="7" t="n"/>
      <c r="C40" s="93">
        <f>C39+D39</f>
        <v/>
      </c>
      <c r="D40" s="93">
        <f>500-C40+1</f>
        <v/>
      </c>
      <c r="E40" s="45" t="n"/>
    </row>
    <row r="41">
      <c r="A41" s="94" t="n"/>
      <c r="B41" s="95" t="n"/>
      <c r="C41" s="95" t="n"/>
      <c r="D41" s="95" t="n"/>
      <c r="E41" s="96" t="n"/>
    </row>
    <row r="42">
      <c r="A42" s="5" t="inlineStr">
        <is>
          <t>05  FILLER              REDEFINES :PREFIX:-DADOS-DOCUMENTO.</t>
        </is>
      </c>
      <c r="B42" s="6" t="inlineStr">
        <is>
          <t xml:space="preserve">Informação de Cabeçalho (Registo do tipo MOR) </t>
        </is>
      </c>
      <c r="C42" s="75">
        <f>$C$40</f>
        <v/>
      </c>
      <c r="D42" s="75" t="n">
        <v>0</v>
      </c>
      <c r="E42" s="64" t="n"/>
    </row>
    <row r="43">
      <c r="A43" s="30" t="inlineStr">
        <is>
          <t xml:space="preserve">  07  :PREFIX:-DADOS-MORADA.</t>
        </is>
      </c>
      <c r="B43" s="33" t="n"/>
      <c r="C43" s="97">
        <f>C42+D42</f>
        <v/>
      </c>
      <c r="D43" s="97" t="n">
        <v>0</v>
      </c>
      <c r="E43" s="71" t="n"/>
    </row>
    <row r="44">
      <c r="A44" s="10" t="inlineStr">
        <is>
          <t xml:space="preserve">    09  :PREFIX:-MR-NOME              PIC X(40).</t>
        </is>
      </c>
      <c r="B44" s="16" t="inlineStr">
        <is>
          <t>Nome</t>
        </is>
      </c>
      <c r="C44" s="98">
        <f>C43+D43</f>
        <v/>
      </c>
      <c r="D44" s="39" t="n">
        <v>40</v>
      </c>
      <c r="E44" s="17" t="inlineStr">
        <is>
          <t>Obrigatório</t>
        </is>
      </c>
    </row>
    <row r="45">
      <c r="A45" s="10" t="inlineStr">
        <is>
          <t xml:space="preserve">    09  :PREFIX:-MR-LOCATION-REF      PIC X(04).</t>
        </is>
      </c>
      <c r="B45" s="16" t="inlineStr">
        <is>
          <t>Referência da morada</t>
        </is>
      </c>
      <c r="C45" s="98">
        <f>C44+D44</f>
        <v/>
      </c>
      <c r="D45" s="39" t="n">
        <v>4</v>
      </c>
      <c r="E45" s="21" t="inlineStr">
        <is>
          <t>Opcional</t>
        </is>
      </c>
    </row>
    <row r="46">
      <c r="A46" s="10" t="inlineStr">
        <is>
          <t xml:space="preserve">    09  :PREFIX:-MR-MORADA1           PIC X(40).</t>
        </is>
      </c>
      <c r="B46" s="16" t="inlineStr">
        <is>
          <t>Dados de morada 1</t>
        </is>
      </c>
      <c r="C46" s="98">
        <f>C45+D45</f>
        <v/>
      </c>
      <c r="D46" s="39" t="n">
        <v>40</v>
      </c>
      <c r="E46" s="17" t="inlineStr">
        <is>
          <t>Obrigatório</t>
        </is>
      </c>
    </row>
    <row r="47">
      <c r="A47" s="10" t="inlineStr">
        <is>
          <t xml:space="preserve">    09  :PREFIX:-MR-MORADA2           PIC X(40).</t>
        </is>
      </c>
      <c r="B47" s="16" t="inlineStr">
        <is>
          <t>Dados de morada 2</t>
        </is>
      </c>
      <c r="C47" s="98">
        <f>C46+D46</f>
        <v/>
      </c>
      <c r="D47" s="39" t="n">
        <v>40</v>
      </c>
      <c r="E47" s="21" t="inlineStr">
        <is>
          <t>Opcional</t>
        </is>
      </c>
    </row>
    <row r="48">
      <c r="A48" s="10" t="inlineStr">
        <is>
          <t xml:space="preserve">    09  :PREFIX:-MR-LOCALIDADE        PIC X(40).</t>
        </is>
      </c>
      <c r="B48" s="16" t="inlineStr">
        <is>
          <t>Localidade</t>
        </is>
      </c>
      <c r="C48" s="98">
        <f>C47+D47</f>
        <v/>
      </c>
      <c r="D48" s="39" t="n">
        <v>40</v>
      </c>
      <c r="E48" s="21" t="inlineStr">
        <is>
          <t>Opcional</t>
        </is>
      </c>
    </row>
    <row r="49">
      <c r="A49" s="10" t="inlineStr">
        <is>
          <t xml:space="preserve">    09  :PREFIX:-MR-CPOSTAL           PIC X(09).</t>
        </is>
      </c>
      <c r="B49" s="16" t="inlineStr">
        <is>
          <t>Código postal (Se estrangeiro deverá vir a zeros) [99990999]</t>
        </is>
      </c>
      <c r="C49" s="98">
        <f>C48+D48</f>
        <v/>
      </c>
      <c r="D49" s="39" t="n">
        <v>9</v>
      </c>
      <c r="E49" s="17" t="inlineStr">
        <is>
          <t>Obrigatório</t>
        </is>
      </c>
    </row>
    <row r="50">
      <c r="A50" s="10" t="inlineStr">
        <is>
          <t xml:space="preserve">    09  :PREFIX:-MR-CPOSTAL-DESC      PIC X(40).</t>
        </is>
      </c>
      <c r="B50" s="16" t="inlineStr">
        <is>
          <t>Descritivo do código postal</t>
        </is>
      </c>
      <c r="C50" s="98">
        <f>C49+D49</f>
        <v/>
      </c>
      <c r="D50" s="39" t="n">
        <v>40</v>
      </c>
      <c r="E50" s="17" t="inlineStr">
        <is>
          <t>Obrigatório</t>
        </is>
      </c>
    </row>
    <row r="51">
      <c r="A51" s="10" t="inlineStr">
        <is>
          <t xml:space="preserve">    09  :PREFIX:-MR-CPAIS             PIC X(03).</t>
        </is>
      </c>
      <c r="B51" s="16" t="inlineStr">
        <is>
          <t>Código do País (Se estrangeiro, diferente de 620) - Se estrangeiro vai " "</t>
        </is>
      </c>
      <c r="C51" s="98">
        <f>C50+D50</f>
        <v/>
      </c>
      <c r="D51" s="39" t="n">
        <v>3</v>
      </c>
      <c r="E51" s="17" t="inlineStr">
        <is>
          <t>Obrigatório</t>
        </is>
      </c>
    </row>
    <row r="52">
      <c r="A52" s="10" t="inlineStr">
        <is>
          <t xml:space="preserve">    09  :PREFIX:-MR-CPAIS-DESC        PIC X(40).</t>
        </is>
      </c>
      <c r="B52" s="16" t="inlineStr">
        <is>
          <t>Descritivo do País (se Portugal vem vazio)</t>
        </is>
      </c>
      <c r="C52" s="98">
        <f>C51+D51</f>
        <v/>
      </c>
      <c r="D52" s="39" t="n">
        <v>40</v>
      </c>
      <c r="E52" s="17" t="inlineStr">
        <is>
          <t>Obrigatório</t>
        </is>
      </c>
    </row>
    <row r="53">
      <c r="A53" s="22" t="inlineStr">
        <is>
          <t xml:space="preserve">    09  :PREFIX:-MR-IDP               PIC X(04).</t>
        </is>
      </c>
      <c r="B53" s="36" t="inlineStr">
        <is>
          <t>Identificação da Porta (no CBC)</t>
        </is>
      </c>
      <c r="C53" s="98">
        <f>C52+D52</f>
        <v/>
      </c>
      <c r="D53" s="98" t="n">
        <v>4</v>
      </c>
      <c r="E53" s="21" t="inlineStr">
        <is>
          <t>Opcional</t>
        </is>
      </c>
    </row>
    <row r="54">
      <c r="A54" s="99" t="inlineStr">
        <is>
          <t xml:space="preserve">  07  FILLER                          PIC X(161).</t>
        </is>
      </c>
      <c r="B54" s="32" t="inlineStr">
        <is>
          <t>Espaços</t>
        </is>
      </c>
      <c r="C54" s="97">
        <f>C53+D53</f>
        <v/>
      </c>
      <c r="D54" s="100">
        <f>500-C54+1</f>
        <v/>
      </c>
      <c r="E54" s="69" t="n"/>
    </row>
    <row r="55">
      <c r="A55" s="94" t="n"/>
      <c r="B55" s="95" t="n"/>
      <c r="C55" s="95" t="n"/>
      <c r="D55" s="95" t="n"/>
      <c r="E55" s="96" t="n"/>
    </row>
    <row r="56">
      <c r="A56" s="5" t="inlineStr">
        <is>
          <t>05  FILLER              REDEFINES :PREFIX:-DADOS-DOCUMENTO.</t>
        </is>
      </c>
      <c r="B56" s="6" t="inlineStr">
        <is>
          <t xml:space="preserve">Informação de Cabeçalho (Registo do tipo CAB) </t>
        </is>
      </c>
      <c r="C56" s="75">
        <f>$C$40</f>
        <v/>
      </c>
      <c r="D56" s="75" t="n">
        <v>0</v>
      </c>
      <c r="E56" s="64" t="n"/>
    </row>
    <row r="57">
      <c r="A57" s="30" t="inlineStr">
        <is>
          <t xml:space="preserve">  07  :PREFIX:-DADOS-CLIENTE.</t>
        </is>
      </c>
      <c r="B57" s="33" t="n"/>
      <c r="C57" s="97">
        <f>C56+D56</f>
        <v/>
      </c>
      <c r="D57" s="97" t="n">
        <v>0</v>
      </c>
      <c r="E57" s="71" t="n"/>
    </row>
    <row r="58">
      <c r="A58" s="101" t="inlineStr">
        <is>
          <t xml:space="preserve">    09  :PREFIX:-CL-NOME              PIC X(40).</t>
        </is>
      </c>
      <c r="B58" s="60" t="inlineStr">
        <is>
          <t>Nome do cliente (no corpo do documento)</t>
        </is>
      </c>
      <c r="C58" s="98">
        <f>C57+D57</f>
        <v/>
      </c>
      <c r="D58" s="102" t="n">
        <v>40</v>
      </c>
      <c r="E58" s="17" t="inlineStr">
        <is>
          <t>Obrigatório</t>
        </is>
      </c>
    </row>
    <row r="59">
      <c r="A59" s="22" t="inlineStr">
        <is>
          <t xml:space="preserve">    09  :PREFIX:-CL-NIF               PIC X(22).</t>
        </is>
      </c>
      <c r="B59" s="16" t="inlineStr">
        <is>
          <t>Número de Identificação Fiscal do Tomador (se Portugal PT999999999)</t>
        </is>
      </c>
      <c r="C59" s="98">
        <f>C58+D58</f>
        <v/>
      </c>
      <c r="D59" s="98" t="n">
        <v>22</v>
      </c>
      <c r="E59" s="17" t="inlineStr">
        <is>
          <t>Obrigatório</t>
        </is>
      </c>
    </row>
    <row r="60">
      <c r="A60" s="22" t="inlineStr">
        <is>
          <t xml:space="preserve">    09  :PREFIX:-CL-TIPO-ENTIDADE     PIC X(01).</t>
        </is>
      </c>
      <c r="B60" s="16" t="inlineStr">
        <is>
          <t>Tipo Entidade</t>
        </is>
      </c>
      <c r="C60" s="98">
        <f>C59+D59</f>
        <v/>
      </c>
      <c r="D60" s="98" t="n">
        <v>1</v>
      </c>
      <c r="E60" s="34" t="inlineStr">
        <is>
          <t>Opcional</t>
        </is>
      </c>
    </row>
    <row r="61">
      <c r="A61" s="22" t="inlineStr">
        <is>
          <t xml:space="preserve">      88  :PREFIX:-CL-ENT-PARTICUL              VALUE '1'.</t>
        </is>
      </c>
      <c r="B61" s="16" t="inlineStr">
        <is>
          <t xml:space="preserve">     '1' - Pessoa / Particular</t>
        </is>
      </c>
      <c r="C61" s="103" t="n"/>
      <c r="D61" s="104" t="n"/>
      <c r="E61" s="15" t="n"/>
    </row>
    <row r="62">
      <c r="A62" s="22" t="inlineStr">
        <is>
          <t xml:space="preserve">      88  :PREFIX:-CL-ENT-COLETIVA              VALUE '2'.</t>
        </is>
      </c>
      <c r="B62" s="16" t="inlineStr">
        <is>
          <t xml:space="preserve">     '2' - Colectivo/Conta Interna</t>
        </is>
      </c>
      <c r="C62" s="105" t="n"/>
      <c r="D62" s="106" t="n"/>
      <c r="E62" s="18" t="n"/>
    </row>
    <row r="63">
      <c r="A63" s="30" t="inlineStr">
        <is>
          <t xml:space="preserve">  07  :PREFIX:-DADOS-GERAIS.</t>
        </is>
      </c>
      <c r="B63" s="33" t="n"/>
      <c r="C63" s="97">
        <f>C60+D60</f>
        <v/>
      </c>
      <c r="D63" s="97" t="n">
        <v>0</v>
      </c>
      <c r="E63" s="71" t="n"/>
    </row>
    <row r="64">
      <c r="A64" s="10" t="inlineStr">
        <is>
          <t xml:space="preserve">    09  :PREFIX:-DG-DT-EMISSAO        PIC X(08).</t>
        </is>
      </c>
      <c r="B64" s="16" t="inlineStr">
        <is>
          <t>Data de emissão [aaaammdd]</t>
        </is>
      </c>
      <c r="C64" s="98">
        <f>C63+D63</f>
        <v/>
      </c>
      <c r="D64" s="98" t="n">
        <v>8</v>
      </c>
      <c r="E64" s="17" t="inlineStr">
        <is>
          <t>Obrigatório</t>
        </is>
      </c>
    </row>
    <row r="65">
      <c r="A65" s="35" t="inlineStr">
        <is>
          <t xml:space="preserve">    09  :PREFIX:-DG-PRODUTO-DESC      PIC X(40).</t>
        </is>
      </c>
      <c r="B65" s="16" t="inlineStr">
        <is>
          <t>Descritivo do Produto</t>
        </is>
      </c>
      <c r="C65" s="98">
        <f>C64+D64</f>
        <v/>
      </c>
      <c r="D65" s="102" t="n">
        <v>40</v>
      </c>
      <c r="E65" s="17" t="inlineStr">
        <is>
          <t>Obrigatório</t>
        </is>
      </c>
    </row>
    <row r="66">
      <c r="A66" s="35" t="inlineStr">
        <is>
          <t xml:space="preserve">    09  :PREFIX:-DG-COD-RAMO          PIC X(02).</t>
        </is>
      </c>
      <c r="B66" s="36" t="inlineStr">
        <is>
          <t>Código do Ramo</t>
        </is>
      </c>
      <c r="C66" s="98">
        <f>C65+D65</f>
        <v/>
      </c>
      <c r="D66" s="102" t="n">
        <v>2</v>
      </c>
      <c r="E66" s="21" t="inlineStr">
        <is>
          <t>Opcional</t>
        </is>
      </c>
    </row>
    <row r="67">
      <c r="A67" s="35" t="inlineStr">
        <is>
          <t xml:space="preserve">    09  :PREFIX:-DG-DT-VENCIMENTO     PIC X(08).</t>
        </is>
      </c>
      <c r="B67" s="16" t="inlineStr">
        <is>
          <t xml:space="preserve">Data de Vencimento [aaaammdd] </t>
        </is>
      </c>
      <c r="C67" s="98">
        <f>C66+D66</f>
        <v/>
      </c>
      <c r="D67" s="102" t="n">
        <v>8</v>
      </c>
      <c r="E67" s="21" t="inlineStr">
        <is>
          <t>Opcional</t>
        </is>
      </c>
    </row>
    <row r="68">
      <c r="A68" s="35" t="inlineStr">
        <is>
          <t xml:space="preserve">    09  :PREFIX:-DG-DT-INI-PERIODO    PIC X(08).</t>
        </is>
      </c>
      <c r="B68" s="16" t="inlineStr">
        <is>
          <t>Data Início do período de Vigência [aaaammdd]</t>
        </is>
      </c>
      <c r="C68" s="98">
        <f>C67+D67</f>
        <v/>
      </c>
      <c r="D68" s="102" t="n">
        <v>8</v>
      </c>
      <c r="E68" s="17" t="inlineStr">
        <is>
          <t>Obrigatório</t>
        </is>
      </c>
    </row>
    <row r="69">
      <c r="A69" s="35" t="inlineStr">
        <is>
          <t xml:space="preserve">    09  :PREFIX:-DG-DT-FIM-PERIODO    PIC X(08).</t>
        </is>
      </c>
      <c r="B69" s="16" t="inlineStr">
        <is>
          <t>Data Fim do período de Vigência [aaaammdd]</t>
        </is>
      </c>
      <c r="C69" s="98">
        <f>C68+D68</f>
        <v/>
      </c>
      <c r="D69" s="102" t="n">
        <v>8</v>
      </c>
      <c r="E69" s="17" t="inlineStr">
        <is>
          <t>Obrigatório</t>
        </is>
      </c>
    </row>
    <row r="70">
      <c r="A70" s="59" t="inlineStr">
        <is>
          <t xml:space="preserve">    09  :PREFIX:-DG-TIPO-FRACCIONA    PIC X(01).</t>
        </is>
      </c>
      <c r="B70" s="16" t="inlineStr">
        <is>
          <t>Fraccionamento (à semelhança do FSCD):</t>
        </is>
      </c>
      <c r="C70" s="98">
        <f>C69+D69</f>
        <v/>
      </c>
      <c r="D70" s="102" t="n">
        <v>1</v>
      </c>
      <c r="E70" s="17" t="inlineStr">
        <is>
          <t>Obrigatório</t>
        </is>
      </c>
    </row>
    <row r="71">
      <c r="A71" s="22" t="inlineStr">
        <is>
          <t xml:space="preserve">      88  :PREFIX:-DG-FRAC-ANUAL                VALUE 'A'.</t>
        </is>
      </c>
      <c r="B71" s="16" t="inlineStr">
        <is>
          <t xml:space="preserve">     'A' - Anual</t>
        </is>
      </c>
      <c r="C71" s="103" t="n"/>
      <c r="D71" s="104" t="n"/>
      <c r="E71" s="15" t="n"/>
    </row>
    <row r="72">
      <c r="A72" s="22" t="inlineStr">
        <is>
          <t xml:space="preserve">      88  :PREFIX:-DG-FRAC-MENSAL               VALUE 'M'.</t>
        </is>
      </c>
      <c r="B72" s="16" t="inlineStr">
        <is>
          <t xml:space="preserve">     'M' - Mensal</t>
        </is>
      </c>
      <c r="C72" s="107" t="n"/>
      <c r="D72" s="108" t="n"/>
      <c r="E72" s="15" t="n"/>
    </row>
    <row r="73">
      <c r="A73" s="22" t="inlineStr">
        <is>
          <t xml:space="preserve">      88  :PREFIX:-DG-FRAC-SEMESTRAL            VALUE 'S'.</t>
        </is>
      </c>
      <c r="B73" s="16" t="inlineStr">
        <is>
          <t xml:space="preserve">     'S' - Semestral</t>
        </is>
      </c>
      <c r="C73" s="107" t="n"/>
      <c r="D73" s="108" t="n"/>
      <c r="E73" s="15" t="n"/>
    </row>
    <row r="74">
      <c r="A74" s="22" t="inlineStr">
        <is>
          <t xml:space="preserve">      88  :PREFIX:-DG-FRAC-TRIMESTRAL           VALUE 'T'.</t>
        </is>
      </c>
      <c r="B74" s="16" t="inlineStr">
        <is>
          <t xml:space="preserve">     'T' - Trimestral</t>
        </is>
      </c>
      <c r="C74" s="107" t="n"/>
      <c r="D74" s="108" t="n"/>
      <c r="E74" s="15" t="n"/>
    </row>
    <row r="75">
      <c r="A75" s="22" t="inlineStr">
        <is>
          <t xml:space="preserve">      88  :PREFIX:-DG-FRAC-UNICO                VALUE 'U'.</t>
        </is>
      </c>
      <c r="B75" s="16" t="inlineStr">
        <is>
          <t xml:space="preserve">     'U' - Único</t>
        </is>
      </c>
      <c r="C75" s="105" t="n"/>
      <c r="D75" s="106" t="n"/>
      <c r="E75" s="18" t="n"/>
    </row>
    <row r="76">
      <c r="A76" s="59" t="inlineStr">
        <is>
          <t xml:space="preserve">    09  :PREFIX:-DG-TIPO-TRANSACAO    PIC X(01).</t>
        </is>
      </c>
      <c r="B76" s="16" t="inlineStr">
        <is>
          <t>Tipo da Transacção do Movimento:</t>
        </is>
      </c>
      <c r="C76" s="98">
        <f>C70+D70</f>
        <v/>
      </c>
      <c r="D76" s="102" t="n">
        <v>1</v>
      </c>
      <c r="E76" s="17" t="inlineStr">
        <is>
          <t>Obrigatório</t>
        </is>
      </c>
    </row>
    <row r="77">
      <c r="A77" s="22" t="inlineStr">
        <is>
          <t xml:space="preserve">      88  :PREFIX:-DG-TRANS-NOVO                VALUE 'N'.</t>
        </is>
      </c>
      <c r="B77" s="16" t="inlineStr">
        <is>
          <t xml:space="preserve">     'N' - Novo Negócio</t>
        </is>
      </c>
      <c r="C77" s="103" t="n"/>
      <c r="D77" s="104" t="n"/>
      <c r="E77" s="15" t="n"/>
    </row>
    <row r="78">
      <c r="A78" s="22" t="inlineStr">
        <is>
          <t xml:space="preserve">      88  :PREFIX:-DG-TRANS-RENOVACAO           VALUE 'R'.</t>
        </is>
      </c>
      <c r="B78" s="16" t="inlineStr">
        <is>
          <t xml:space="preserve">     'R' - Renovação</t>
        </is>
      </c>
      <c r="C78" s="107" t="n"/>
      <c r="D78" s="108" t="n"/>
      <c r="E78" s="15" t="n"/>
    </row>
    <row r="79">
      <c r="A79" s="22" t="inlineStr">
        <is>
          <t xml:space="preserve">      88  :PREFIX:-DG-TRANS-ALTERACAO           VALUE 'A'.</t>
        </is>
      </c>
      <c r="B79" s="16" t="inlineStr">
        <is>
          <t xml:space="preserve">     'A' - Alteração</t>
        </is>
      </c>
      <c r="C79" s="105" t="n"/>
      <c r="D79" s="106" t="n"/>
      <c r="E79" s="18" t="n"/>
    </row>
    <row r="80">
      <c r="A80" s="30" t="inlineStr">
        <is>
          <t xml:space="preserve">  07  :PREFIX:-DADOS-VALOR.</t>
        </is>
      </c>
      <c r="B80" s="33" t="n"/>
      <c r="C80" s="97">
        <f>C76+D76</f>
        <v/>
      </c>
      <c r="D80" s="97" t="n">
        <v>0</v>
      </c>
      <c r="E80" s="71" t="n"/>
    </row>
    <row r="81">
      <c r="A81" s="35" t="inlineStr">
        <is>
          <t xml:space="preserve">    09  :PREFIX:-DV-PREMIO-COM        PIC S9(12)V9(02) SIGN LEADING SEPARATE.</t>
        </is>
      </c>
      <c r="B81" s="60" t="inlineStr">
        <is>
          <t>Prémio Comercial</t>
        </is>
      </c>
      <c r="C81" s="98">
        <f>C80+D80</f>
        <v/>
      </c>
      <c r="D81" s="102" t="n">
        <v>15</v>
      </c>
      <c r="E81" s="17" t="inlineStr">
        <is>
          <t>Obrigatório</t>
        </is>
      </c>
    </row>
    <row r="82">
      <c r="A82" s="35" t="inlineStr">
        <is>
          <t xml:space="preserve">    09  :PREFIX:-DV-ENCARGOS          PIC S9(12)V9(02) SIGN LEADING SEPARATE.</t>
        </is>
      </c>
      <c r="B82" s="16" t="inlineStr">
        <is>
          <t>Encargos Fiscais e Parafiscais</t>
        </is>
      </c>
      <c r="C82" s="98">
        <f>C81+D81</f>
        <v/>
      </c>
      <c r="D82" s="98" t="n">
        <v>15</v>
      </c>
      <c r="E82" s="17" t="inlineStr">
        <is>
          <t>Obrigatório</t>
        </is>
      </c>
    </row>
    <row r="83">
      <c r="A83" s="35" t="inlineStr">
        <is>
          <t xml:space="preserve">    09  :PREFIX:-DV-PREMIO-TOT        PIC S9(12)V9(02) SIGN LEADING SEPARATE.</t>
        </is>
      </c>
      <c r="B83" s="60" t="inlineStr">
        <is>
          <t>Prémio Total</t>
        </is>
      </c>
      <c r="C83" s="98">
        <f>C82+D82</f>
        <v/>
      </c>
      <c r="D83" s="102" t="n">
        <v>15</v>
      </c>
      <c r="E83" s="17" t="inlineStr">
        <is>
          <t>Obrigatório</t>
        </is>
      </c>
    </row>
    <row r="84">
      <c r="A84" s="101" t="inlineStr">
        <is>
          <t xml:space="preserve">    09  :PREFIX:-DV-PREMIO-COM-AD     PIC S9(12)V9(02) SIGN LEADING SEPARATE.</t>
        </is>
      </c>
      <c r="B84" s="60" t="inlineStr">
        <is>
          <t>Prémio Comercial - Adicional</t>
        </is>
      </c>
      <c r="C84" s="98">
        <f>C83+D83</f>
        <v/>
      </c>
      <c r="D84" s="102" t="n">
        <v>15</v>
      </c>
      <c r="E84" s="19" t="inlineStr">
        <is>
          <t>Condicional</t>
        </is>
      </c>
    </row>
    <row r="85">
      <c r="A85" s="101" t="inlineStr">
        <is>
          <t xml:space="preserve">    09  :PREFIX:-DV-ENCARGOS-AD       PIC S9(12)V9(02) SIGN LEADING SEPARATE.</t>
        </is>
      </c>
      <c r="B85" s="16" t="inlineStr">
        <is>
          <t>Encargos Fiscais e Parafiscais - Adicional</t>
        </is>
      </c>
      <c r="C85" s="98">
        <f>C84+D84</f>
        <v/>
      </c>
      <c r="D85" s="98" t="n">
        <v>15</v>
      </c>
      <c r="E85" s="19" t="inlineStr">
        <is>
          <t>Condicional</t>
        </is>
      </c>
    </row>
    <row r="86">
      <c r="A86" s="101" t="inlineStr">
        <is>
          <t xml:space="preserve">    09  :PREFIX:-DV-PREMIO-TOT-AD     PIC S9(12)V9(02) SIGN LEADING SEPARATE.</t>
        </is>
      </c>
      <c r="B86" s="60" t="inlineStr">
        <is>
          <t>Prémio Total - Adicional</t>
        </is>
      </c>
      <c r="C86" s="98">
        <f>C85+D85</f>
        <v/>
      </c>
      <c r="D86" s="102" t="n">
        <v>15</v>
      </c>
      <c r="E86" s="19" t="inlineStr">
        <is>
          <t>Condicional</t>
        </is>
      </c>
    </row>
    <row r="87">
      <c r="A87" s="101" t="inlineStr">
        <is>
          <t xml:space="preserve">    09  :PREFIX:-DV-PREMIO-COM-1F     PIC S9(12)V9(02) SIGN LEADING SEPARATE.</t>
        </is>
      </c>
      <c r="B87" s="60" t="inlineStr">
        <is>
          <t>Prémio Comercial - 1 Fracção</t>
        </is>
      </c>
      <c r="C87" s="98">
        <f>C86+D86</f>
        <v/>
      </c>
      <c r="D87" s="102" t="n">
        <v>15</v>
      </c>
      <c r="E87" s="19" t="inlineStr">
        <is>
          <t>Condicional</t>
        </is>
      </c>
    </row>
    <row r="88">
      <c r="A88" s="101" t="inlineStr">
        <is>
          <t xml:space="preserve">    09  :PREFIX:-DV-ENCARGOS-1F       PIC S9(12)V9(02) SIGN LEADING SEPARATE.</t>
        </is>
      </c>
      <c r="B88" s="16" t="inlineStr">
        <is>
          <t>Encargos Fiscais e Parafiscais - 1 Fracção</t>
        </is>
      </c>
      <c r="C88" s="98">
        <f>C87+D87</f>
        <v/>
      </c>
      <c r="D88" s="98" t="n">
        <v>15</v>
      </c>
      <c r="E88" s="19" t="inlineStr">
        <is>
          <t>Condicional</t>
        </is>
      </c>
    </row>
    <row r="89">
      <c r="A89" s="101" t="inlineStr">
        <is>
          <t xml:space="preserve">    09  :PREFIX:-DV-PREMIO-TOT-1F     PIC S9(12)V9(02) SIGN LEADING SEPARATE.</t>
        </is>
      </c>
      <c r="B89" s="60" t="inlineStr">
        <is>
          <t>Prémio Total - 1 Fracção</t>
        </is>
      </c>
      <c r="C89" s="98">
        <f>C88+D88</f>
        <v/>
      </c>
      <c r="D89" s="102" t="n">
        <v>15</v>
      </c>
      <c r="E89" s="19" t="inlineStr">
        <is>
          <t>Condicional</t>
        </is>
      </c>
    </row>
    <row r="90">
      <c r="A90" s="101" t="inlineStr">
        <is>
          <t xml:space="preserve">    09  :PREFIX:-DV-PREMIO-COM-FS     PIC S9(12)V9(02) SIGN LEADING SEPARATE.</t>
        </is>
      </c>
      <c r="B90" s="60" t="inlineStr">
        <is>
          <t>Prémio Comercial - Fracções Seguintes</t>
        </is>
      </c>
      <c r="C90" s="98">
        <f>C89+D89</f>
        <v/>
      </c>
      <c r="D90" s="102" t="n">
        <v>15</v>
      </c>
      <c r="E90" s="19" t="inlineStr">
        <is>
          <t>Condicional</t>
        </is>
      </c>
    </row>
    <row r="91">
      <c r="A91" s="101" t="inlineStr">
        <is>
          <t xml:space="preserve">    09  :PREFIX:-DV-ENCARGOS-FS       PIC S9(12)V9(02) SIGN LEADING SEPARATE.</t>
        </is>
      </c>
      <c r="B91" s="16" t="inlineStr">
        <is>
          <t>Encargos Fiscais e Parafiscais - Fracções Seguintes</t>
        </is>
      </c>
      <c r="C91" s="98">
        <f>C90+D90</f>
        <v/>
      </c>
      <c r="D91" s="98" t="n">
        <v>15</v>
      </c>
      <c r="E91" s="19" t="inlineStr">
        <is>
          <t>Condicional</t>
        </is>
      </c>
    </row>
    <row r="92">
      <c r="A92" s="101" t="inlineStr">
        <is>
          <t xml:space="preserve">    09  :PREFIX:-DV-PREMIO-TOT-FS     PIC S9(12)V9(02) SIGN LEADING SEPARATE.</t>
        </is>
      </c>
      <c r="B92" s="60" t="inlineStr">
        <is>
          <t>Prémio Total - Fracções Seguintes</t>
        </is>
      </c>
      <c r="C92" s="98">
        <f>C91+D91</f>
        <v/>
      </c>
      <c r="D92" s="102" t="n">
        <v>15</v>
      </c>
      <c r="E92" s="19" t="inlineStr">
        <is>
          <t>Condicional</t>
        </is>
      </c>
    </row>
    <row r="93">
      <c r="A93" s="99" t="inlineStr">
        <is>
          <t xml:space="preserve">  07  FILLER                          PIC X(102).</t>
        </is>
      </c>
      <c r="B93" s="32" t="inlineStr">
        <is>
          <t>Espaços</t>
        </is>
      </c>
      <c r="C93" s="97">
        <f>C92+D92</f>
        <v/>
      </c>
      <c r="D93" s="100">
        <f>500-C93+1</f>
        <v/>
      </c>
      <c r="E93" s="69" t="n"/>
    </row>
    <row r="94">
      <c r="A94" s="94" t="n"/>
      <c r="B94" s="95" t="n"/>
      <c r="C94" s="95" t="n"/>
      <c r="D94" s="95" t="n"/>
      <c r="E94" s="96" t="n"/>
    </row>
    <row r="95">
      <c r="A95" s="5" t="inlineStr">
        <is>
          <t>05  FILLER              REDEFINES :PREFIX:-DADOS-DOCUMENTO.</t>
        </is>
      </c>
      <c r="B95" s="74" t="inlineStr">
        <is>
          <t>Objecto Seguro (Registo do tipo OBJ)</t>
        </is>
      </c>
      <c r="C95" s="75">
        <f>$C$40</f>
        <v/>
      </c>
      <c r="D95" s="75" t="n">
        <v>0</v>
      </c>
      <c r="E95" s="64" t="n"/>
    </row>
    <row r="96">
      <c r="A96" s="30" t="inlineStr">
        <is>
          <t xml:space="preserve">  07  :PREFIX:-OBJECTO-SEGURO.</t>
        </is>
      </c>
      <c r="B96" s="32" t="n"/>
      <c r="C96" s="109">
        <f>C95+D95</f>
        <v/>
      </c>
      <c r="D96" s="100" t="n">
        <v>0</v>
      </c>
      <c r="E96" s="69" t="n"/>
    </row>
    <row r="97">
      <c r="A97" s="40" t="inlineStr">
        <is>
          <t xml:space="preserve">    09  :PREFIX:-OS-OBJECTO-SEG       PIC X(20).</t>
        </is>
      </c>
      <c r="B97" s="16" t="inlineStr">
        <is>
          <t>Objecto Seguro</t>
        </is>
      </c>
      <c r="C97" s="110">
        <f>C96+D96</f>
        <v/>
      </c>
      <c r="D97" s="98" t="n">
        <v>20</v>
      </c>
      <c r="E97" s="21" t="inlineStr">
        <is>
          <t>Opcional</t>
        </is>
      </c>
    </row>
    <row r="98">
      <c r="A98" s="40" t="inlineStr">
        <is>
          <t xml:space="preserve">    09  :PREFIX:-OS-LOCAL-RISC1       PIC X(40).</t>
        </is>
      </c>
      <c r="B98" s="16" t="inlineStr">
        <is>
          <t>Local Risco 1</t>
        </is>
      </c>
      <c r="C98" s="110">
        <f>C97+D97</f>
        <v/>
      </c>
      <c r="D98" s="98" t="n">
        <v>40</v>
      </c>
      <c r="E98" s="21" t="inlineStr">
        <is>
          <t>Opcional</t>
        </is>
      </c>
    </row>
    <row r="99">
      <c r="A99" s="40" t="inlineStr">
        <is>
          <t xml:space="preserve">    09  :PREFIX:-OS-LOCAL-RISC2       PIC X(40).</t>
        </is>
      </c>
      <c r="B99" s="16" t="inlineStr">
        <is>
          <t>Local Risco 2</t>
        </is>
      </c>
      <c r="C99" s="110">
        <f>C98+D98</f>
        <v/>
      </c>
      <c r="D99" s="98" t="n">
        <v>40</v>
      </c>
      <c r="E99" s="21" t="inlineStr">
        <is>
          <t>Opcional</t>
        </is>
      </c>
    </row>
    <row r="100">
      <c r="A100" s="40" t="inlineStr">
        <is>
          <t xml:space="preserve">    09  :PREFIX:-OS-CAPITAL-SEG       PIC S9(12)V9(02) SIGN LEADING SEPARATE.</t>
        </is>
      </c>
      <c r="B100" s="16" t="inlineStr">
        <is>
          <t>Capital Seguro</t>
        </is>
      </c>
      <c r="C100" s="110">
        <f>C99+D99</f>
        <v/>
      </c>
      <c r="D100" s="98" t="n">
        <v>15</v>
      </c>
      <c r="E100" s="21" t="inlineStr">
        <is>
          <t>Opcional</t>
        </is>
      </c>
    </row>
    <row r="101">
      <c r="A101" s="99" t="inlineStr">
        <is>
          <t xml:space="preserve">  07  FILLER                          PIC X(306).</t>
        </is>
      </c>
      <c r="B101" s="32" t="inlineStr">
        <is>
          <t>Espaços</t>
        </is>
      </c>
      <c r="C101" s="109">
        <f>C100+D100</f>
        <v/>
      </c>
      <c r="D101" s="100">
        <f>500-C101+1</f>
        <v/>
      </c>
      <c r="E101" s="69" t="n"/>
    </row>
    <row r="102">
      <c r="A102" s="94" t="n"/>
      <c r="B102" s="95" t="n"/>
      <c r="C102" s="95" t="n"/>
      <c r="D102" s="95" t="n"/>
      <c r="E102" s="96" t="n"/>
    </row>
    <row r="103">
      <c r="A103" s="5" t="inlineStr">
        <is>
          <t>05  FILLER              REDEFINES :PREFIX:-DADOS-DOCUMENTO.</t>
        </is>
      </c>
      <c r="B103" s="74" t="inlineStr">
        <is>
          <t>Produtos (Registo do tipo PRD) repete-se de 0 a N</t>
        </is>
      </c>
      <c r="C103" s="75">
        <f>$C$40</f>
        <v/>
      </c>
      <c r="D103" s="75" t="n">
        <v>0</v>
      </c>
      <c r="E103" s="64" t="n"/>
    </row>
    <row r="104">
      <c r="A104" s="30" t="inlineStr">
        <is>
          <t xml:space="preserve">  07  :PREFIX:-PRODUTOS.</t>
        </is>
      </c>
      <c r="B104" s="32" t="n"/>
      <c r="C104" s="109">
        <f>C103+D103</f>
        <v/>
      </c>
      <c r="D104" s="100" t="n">
        <v>0</v>
      </c>
      <c r="E104" s="69" t="n"/>
    </row>
    <row r="105">
      <c r="A105" s="40" t="inlineStr">
        <is>
          <t xml:space="preserve">    09  :PREFIX:-PR-PRODUTO           PIC X(60).</t>
        </is>
      </c>
      <c r="B105" s="16" t="inlineStr">
        <is>
          <t>Descritivo do Produto</t>
        </is>
      </c>
      <c r="C105" s="110">
        <f>C104+D104</f>
        <v/>
      </c>
      <c r="D105" s="98" t="n">
        <v>60</v>
      </c>
      <c r="E105" s="21" t="inlineStr">
        <is>
          <t>Opcional</t>
        </is>
      </c>
    </row>
    <row r="106">
      <c r="A106" s="99" t="inlineStr">
        <is>
          <t xml:space="preserve">  07  FILLER                          PIC X(361).</t>
        </is>
      </c>
      <c r="B106" s="32" t="inlineStr">
        <is>
          <t>Espaços</t>
        </is>
      </c>
      <c r="C106" s="109">
        <f>C105+D105</f>
        <v/>
      </c>
      <c r="D106" s="100">
        <f>500-C106+1</f>
        <v/>
      </c>
      <c r="E106" s="69" t="n"/>
    </row>
    <row r="107">
      <c r="A107" s="94" t="n"/>
      <c r="B107" s="95" t="n"/>
      <c r="C107" s="95" t="n"/>
      <c r="D107" s="95" t="n"/>
      <c r="E107" s="96" t="n"/>
    </row>
    <row r="108">
      <c r="A108" s="5" t="inlineStr">
        <is>
          <t>05  FILLER              REDEFINES :PREFIX:-DADOS-DOCUMENTO.</t>
        </is>
      </c>
      <c r="B108" s="74" t="inlineStr">
        <is>
          <t>Detalhe do Objecto Seguro 1 (Registo do tipo DOB1)</t>
        </is>
      </c>
      <c r="C108" s="75">
        <f>$C$40</f>
        <v/>
      </c>
      <c r="D108" s="75" t="n">
        <v>0</v>
      </c>
      <c r="E108" s="64" t="n"/>
    </row>
    <row r="109">
      <c r="A109" s="30" t="inlineStr">
        <is>
          <t xml:space="preserve">  07  :PREFIX:-DET-OBJ-SEG1.</t>
        </is>
      </c>
      <c r="B109" s="32" t="n"/>
      <c r="C109" s="109">
        <f>C108+D108</f>
        <v/>
      </c>
      <c r="D109" s="100" t="n">
        <v>0</v>
      </c>
      <c r="E109" s="69" t="n"/>
    </row>
    <row r="110">
      <c r="A110" s="40" t="inlineStr">
        <is>
          <t xml:space="preserve">    09  :PREFIX:-DO-PRODUTO           PIC X(60).</t>
        </is>
      </c>
      <c r="B110" s="16" t="inlineStr">
        <is>
          <t>Descritivo do Produto</t>
        </is>
      </c>
      <c r="C110" s="110">
        <f>C109+D109</f>
        <v/>
      </c>
      <c r="D110" s="98" t="n">
        <v>60</v>
      </c>
      <c r="E110" s="21" t="inlineStr">
        <is>
          <t>Opcional</t>
        </is>
      </c>
    </row>
    <row r="111">
      <c r="A111" s="40" t="inlineStr">
        <is>
          <t xml:space="preserve">    09  :PREFIX:-DO-APOLICE           PIC X(16).</t>
        </is>
      </c>
      <c r="B111" s="16" t="inlineStr">
        <is>
          <t>Numero Apolice</t>
        </is>
      </c>
      <c r="C111" s="110">
        <f>C110+D110</f>
        <v/>
      </c>
      <c r="D111" s="98" t="n">
        <v>16</v>
      </c>
      <c r="E111" s="21" t="inlineStr">
        <is>
          <t>Opcional</t>
        </is>
      </c>
    </row>
    <row r="112">
      <c r="A112" s="40" t="inlineStr">
        <is>
          <t xml:space="preserve">    09  :PREFIX:-DO-OBJETO-SEG        PIC X(40).</t>
        </is>
      </c>
      <c r="B112" s="16" t="inlineStr">
        <is>
          <t>Descritivo do Objecto Seguro</t>
        </is>
      </c>
      <c r="C112" s="110">
        <f>C111+D111</f>
        <v/>
      </c>
      <c r="D112" s="98" t="n">
        <v>40</v>
      </c>
      <c r="E112" s="21" t="inlineStr">
        <is>
          <t>Opcional</t>
        </is>
      </c>
    </row>
    <row r="113">
      <c r="A113" s="111" t="inlineStr">
        <is>
          <t xml:space="preserve">    09  :PREFIX:-DO-ACTIVIDADE        PIC X(60).</t>
        </is>
      </c>
      <c r="B113" s="16" t="inlineStr">
        <is>
          <t>Descritivo da Actividade</t>
        </is>
      </c>
      <c r="C113" s="110">
        <f>C112+D112</f>
        <v/>
      </c>
      <c r="D113" s="98" t="n">
        <v>60</v>
      </c>
      <c r="E113" s="21" t="inlineStr">
        <is>
          <t>Opcional</t>
        </is>
      </c>
    </row>
    <row r="114">
      <c r="A114" s="40" t="inlineStr">
        <is>
          <t xml:space="preserve">    09  :PREFIX:-DO-MODALIDADE        PIC X(30).</t>
        </is>
      </c>
      <c r="B114" s="16" t="inlineStr">
        <is>
          <t>Descritivo da Modalidade</t>
        </is>
      </c>
      <c r="C114" s="110">
        <f>C113+D113</f>
        <v/>
      </c>
      <c r="D114" s="98" t="n">
        <v>30</v>
      </c>
      <c r="E114" s="21" t="inlineStr">
        <is>
          <t>Opcional</t>
        </is>
      </c>
    </row>
    <row r="115">
      <c r="A115" s="40" t="inlineStr">
        <is>
          <t xml:space="preserve">    09  :PREFIX:-DO-AMBITO-COB        PIC X(50).</t>
        </is>
      </c>
      <c r="B115" s="16" t="inlineStr">
        <is>
          <t>Descritivo do Ambito da Cobertura</t>
        </is>
      </c>
      <c r="C115" s="110">
        <f>C114+D114</f>
        <v/>
      </c>
      <c r="D115" s="98" t="n">
        <v>50</v>
      </c>
      <c r="E115" s="21" t="inlineStr">
        <is>
          <t>Opcional</t>
        </is>
      </c>
    </row>
    <row r="116">
      <c r="A116" s="99" t="inlineStr">
        <is>
          <t xml:space="preserve">  07  FILLER                          PIC X(165).</t>
        </is>
      </c>
      <c r="B116" s="32" t="inlineStr">
        <is>
          <t>Espaços</t>
        </is>
      </c>
      <c r="C116" s="109">
        <f>C115+D115</f>
        <v/>
      </c>
      <c r="D116" s="100">
        <f>500-C116+1</f>
        <v/>
      </c>
      <c r="E116" s="69" t="n"/>
    </row>
    <row r="117">
      <c r="A117" s="94" t="n"/>
      <c r="B117" s="95" t="n"/>
      <c r="C117" s="95" t="n"/>
      <c r="D117" s="95" t="n"/>
      <c r="E117" s="96" t="n"/>
    </row>
    <row r="118">
      <c r="A118" s="5" t="inlineStr">
        <is>
          <t>05  FILLER              REDEFINES :PREFIX:-DADOS-DOCUMENTO.</t>
        </is>
      </c>
      <c r="B118" s="74" t="inlineStr">
        <is>
          <t>Detalhe do Objecto Seguro 2 (Registo do tipo DOB2)</t>
        </is>
      </c>
      <c r="C118" s="75">
        <f>$C$40</f>
        <v/>
      </c>
      <c r="D118" s="75" t="n">
        <v>0</v>
      </c>
      <c r="E118" s="64" t="n"/>
    </row>
    <row r="119">
      <c r="A119" s="30" t="inlineStr">
        <is>
          <t xml:space="preserve">  07  :PREFIX:-DET-OBJ-SEG2.</t>
        </is>
      </c>
      <c r="B119" s="32" t="n"/>
      <c r="C119" s="109">
        <f>C118+D118</f>
        <v/>
      </c>
      <c r="D119" s="100" t="n">
        <v>0</v>
      </c>
      <c r="E119" s="69" t="n"/>
    </row>
    <row r="120">
      <c r="A120" s="40" t="inlineStr">
        <is>
          <t xml:space="preserve">    09  :PREFIX:-DO-LOCAL-RISC        PIC X(200).</t>
        </is>
      </c>
      <c r="B120" s="16" t="inlineStr">
        <is>
          <t>Descritivo do Local de Risco</t>
        </is>
      </c>
      <c r="C120" s="110">
        <f>C119+D119</f>
        <v/>
      </c>
      <c r="D120" s="98" t="n">
        <v>200</v>
      </c>
      <c r="E120" s="21" t="inlineStr">
        <is>
          <t>Opcional</t>
        </is>
      </c>
    </row>
    <row r="121">
      <c r="A121" s="40" t="inlineStr">
        <is>
          <t xml:space="preserve">    09  :PREFIX:-DO-NR-TRABALH        PIC X(05).</t>
        </is>
      </c>
      <c r="B121" s="16" t="inlineStr">
        <is>
          <t>Número de Trabalhadores</t>
        </is>
      </c>
      <c r="C121" s="110">
        <f>C120+D120</f>
        <v/>
      </c>
      <c r="D121" s="98" t="n">
        <v>5</v>
      </c>
      <c r="E121" s="21" t="inlineStr">
        <is>
          <t>Opcional</t>
        </is>
      </c>
    </row>
    <row r="122">
      <c r="A122" s="99" t="inlineStr">
        <is>
          <t xml:space="preserve">  07  FILLER                          PIC X(216).</t>
        </is>
      </c>
      <c r="B122" s="32" t="inlineStr">
        <is>
          <t>Espaços</t>
        </is>
      </c>
      <c r="C122" s="109">
        <f>C121+D121</f>
        <v/>
      </c>
      <c r="D122" s="100">
        <f>500-C122+1</f>
        <v/>
      </c>
      <c r="E122" s="69" t="n"/>
    </row>
    <row r="123">
      <c r="A123" s="94" t="n"/>
      <c r="B123" s="95" t="n"/>
      <c r="C123" s="95" t="n"/>
      <c r="D123" s="95" t="n"/>
      <c r="E123" s="96" t="n"/>
    </row>
    <row r="124">
      <c r="A124" s="5" t="inlineStr">
        <is>
          <t>05  FILLER              REDEFINES :PREFIX:-DADOS-DOCUMENTO.</t>
        </is>
      </c>
      <c r="B124" s="74" t="inlineStr">
        <is>
          <t>Trabalhadores (Registo do tipo TRA) repete-se de 0 a N</t>
        </is>
      </c>
      <c r="C124" s="75">
        <f>$C$40</f>
        <v/>
      </c>
      <c r="D124" s="75" t="n">
        <v>0</v>
      </c>
      <c r="E124" s="64" t="n"/>
    </row>
    <row r="125">
      <c r="A125" s="30" t="inlineStr">
        <is>
          <t xml:space="preserve">  07  :PREFIX:-TRABALHADORES.</t>
        </is>
      </c>
      <c r="B125" s="32" t="n"/>
      <c r="C125" s="109">
        <f>C124+D124</f>
        <v/>
      </c>
      <c r="D125" s="100" t="n">
        <v>0</v>
      </c>
      <c r="E125" s="69" t="n"/>
    </row>
    <row r="126">
      <c r="A126" s="111" t="inlineStr">
        <is>
          <t xml:space="preserve">    09  :PREFIX:-LT-NOME              PIC X(40).</t>
        </is>
      </c>
      <c r="B126" s="39" t="inlineStr">
        <is>
          <t>Nome Trabalhador</t>
        </is>
      </c>
      <c r="C126" s="110">
        <f>C125+D125</f>
        <v/>
      </c>
      <c r="D126" s="98" t="n">
        <v>40</v>
      </c>
      <c r="E126" s="21" t="inlineStr">
        <is>
          <t>Opcional</t>
        </is>
      </c>
    </row>
    <row r="127">
      <c r="A127" s="111" t="inlineStr">
        <is>
          <t xml:space="preserve">    09  :PREFIX:-LT-PROFISSAO         PIC X(20).</t>
        </is>
      </c>
      <c r="B127" s="39" t="inlineStr">
        <is>
          <t>Profissão Trabalhador</t>
        </is>
      </c>
      <c r="C127" s="110">
        <f>C126+D126</f>
        <v/>
      </c>
      <c r="D127" s="98" t="n">
        <v>20</v>
      </c>
      <c r="E127" s="21" t="inlineStr">
        <is>
          <t>Opcional</t>
        </is>
      </c>
    </row>
    <row r="128">
      <c r="A128" s="111" t="inlineStr">
        <is>
          <t xml:space="preserve">    09  :PREFIX:-LT-RETR-ANUAL        PIC S9(12)V9(02) SIGN LEADING SEPARATE.</t>
        </is>
      </c>
      <c r="B128" s="39" t="inlineStr">
        <is>
          <t>Retribuição Anual Trabalhador</t>
        </is>
      </c>
      <c r="C128" s="110">
        <f>C127+D127</f>
        <v/>
      </c>
      <c r="D128" s="98" t="n">
        <v>15</v>
      </c>
      <c r="E128" s="21" t="inlineStr">
        <is>
          <t>Opcional</t>
        </is>
      </c>
    </row>
    <row r="129">
      <c r="A129" s="111" t="inlineStr">
        <is>
          <t xml:space="preserve">    09  :PREFIX:-LT-DET-RETR          PIC X(75).</t>
        </is>
      </c>
      <c r="B129" s="39" t="inlineStr">
        <is>
          <t>Detalhe das Retribuições</t>
        </is>
      </c>
      <c r="C129" s="110">
        <f>C128+D128</f>
        <v/>
      </c>
      <c r="D129" s="98" t="n">
        <v>75</v>
      </c>
      <c r="E129" s="21" t="inlineStr">
        <is>
          <t>Opcional</t>
        </is>
      </c>
    </row>
    <row r="130">
      <c r="A130" s="99" t="inlineStr">
        <is>
          <t xml:space="preserve">  07  FILLER                          PIC X(271).</t>
        </is>
      </c>
      <c r="B130" s="100" t="inlineStr">
        <is>
          <t>Espaços</t>
        </is>
      </c>
      <c r="C130" s="109">
        <f>C129+D129</f>
        <v/>
      </c>
      <c r="D130" s="100">
        <f>500-C130+1</f>
        <v/>
      </c>
      <c r="E130" s="69" t="n"/>
    </row>
    <row r="131">
      <c r="A131" s="94" t="n"/>
      <c r="B131" s="95" t="n"/>
      <c r="C131" s="95" t="n"/>
      <c r="D131" s="95" t="n"/>
      <c r="E131" s="96" t="n"/>
    </row>
    <row r="132">
      <c r="A132" s="92" t="inlineStr">
        <is>
          <t>05  FILLER              REDEFINES :PREFIX:-DADOS-DOCUMENTO.</t>
        </is>
      </c>
      <c r="B132" s="74" t="inlineStr">
        <is>
          <t>Lista de Rubricas (Registo do tipo RUB) repete-se de 0 a N</t>
        </is>
      </c>
      <c r="C132" s="75">
        <f>$C$40</f>
        <v/>
      </c>
      <c r="D132" s="75" t="n">
        <v>0</v>
      </c>
      <c r="E132" s="64" t="n"/>
    </row>
    <row r="133">
      <c r="A133" s="99" t="inlineStr">
        <is>
          <t xml:space="preserve">  07  :PREFIX:-RUBRICAS.</t>
        </is>
      </c>
      <c r="B133" s="100" t="n"/>
      <c r="C133" s="109">
        <f>C132+D132</f>
        <v/>
      </c>
      <c r="D133" s="100" t="n">
        <v>0</v>
      </c>
      <c r="E133" s="69" t="n"/>
    </row>
    <row r="134">
      <c r="A134" s="111" t="inlineStr">
        <is>
          <t xml:space="preserve">    09  :PREFIX:-RU-DESCRITIVO        PIC X(60).</t>
        </is>
      </c>
      <c r="B134" s="98" t="inlineStr">
        <is>
          <t>Descritivo da Rubrica</t>
        </is>
      </c>
      <c r="C134" s="110">
        <f>C133+D133</f>
        <v/>
      </c>
      <c r="D134" s="98" t="n">
        <v>60</v>
      </c>
      <c r="E134" s="21" t="inlineStr">
        <is>
          <t>Opcional</t>
        </is>
      </c>
    </row>
    <row r="135">
      <c r="A135" s="111" t="inlineStr">
        <is>
          <t xml:space="preserve">    09  :PREFIX:-RU-VALOR             PIC S9(12)V9(02) SIGN LEADING SEPARATE.</t>
        </is>
      </c>
      <c r="B135" s="98" t="inlineStr">
        <is>
          <t>Valor Capital Seguro</t>
        </is>
      </c>
      <c r="C135" s="110">
        <f>C134+D134</f>
        <v/>
      </c>
      <c r="D135" s="98" t="n">
        <v>15</v>
      </c>
      <c r="E135" s="21" t="inlineStr">
        <is>
          <t>Opcional</t>
        </is>
      </c>
    </row>
    <row r="136">
      <c r="A136" s="99" t="inlineStr">
        <is>
          <t xml:space="preserve">  07  FILLER                          PIC X(346).</t>
        </is>
      </c>
      <c r="B136" s="100" t="inlineStr">
        <is>
          <t>Espaços</t>
        </is>
      </c>
      <c r="C136" s="109">
        <f>C135+D135</f>
        <v/>
      </c>
      <c r="D136" s="100">
        <f>500-C136+1</f>
        <v/>
      </c>
      <c r="E136" s="69" t="n"/>
    </row>
    <row r="137">
      <c r="A137" s="94" t="n"/>
      <c r="B137" s="95" t="n"/>
      <c r="C137" s="95" t="n"/>
      <c r="D137" s="95" t="n"/>
      <c r="E137" s="96" t="n"/>
    </row>
    <row r="138">
      <c r="A138" s="5" t="inlineStr">
        <is>
          <t>05  FILLER              REDEFINES :PREFIX:-DADOS-DOCUMENTO.</t>
        </is>
      </c>
      <c r="B138" s="74" t="inlineStr">
        <is>
          <t>Lista de Coberturas (Registo do tipo COB) repete-se de 0 a N</t>
        </is>
      </c>
      <c r="C138" s="75">
        <f>$C$40</f>
        <v/>
      </c>
      <c r="D138" s="75" t="n">
        <v>0</v>
      </c>
      <c r="E138" s="64" t="n"/>
    </row>
    <row r="139">
      <c r="A139" s="30" t="inlineStr">
        <is>
          <t xml:space="preserve">  07  :PREFIX:-COBERTURAS.</t>
        </is>
      </c>
      <c r="B139" s="32" t="n"/>
      <c r="C139" s="109">
        <f>C138+D138</f>
        <v/>
      </c>
      <c r="D139" s="100" t="n">
        <v>0</v>
      </c>
      <c r="E139" s="69" t="n"/>
    </row>
    <row r="140">
      <c r="A140" s="111" t="inlineStr">
        <is>
          <t xml:space="preserve">    09  :PREFIX:-CB-TIPO-COBERTURA    PIC X(03).</t>
        </is>
      </c>
      <c r="B140" s="98" t="inlineStr">
        <is>
          <t>Tipo de Cobertura:</t>
        </is>
      </c>
      <c r="C140" s="110">
        <f>C139+D139</f>
        <v/>
      </c>
      <c r="D140" s="98" t="n">
        <v>3</v>
      </c>
      <c r="E140" s="21" t="inlineStr">
        <is>
          <t>Opcional</t>
        </is>
      </c>
    </row>
    <row r="141">
      <c r="A141" s="112" t="inlineStr">
        <is>
          <t xml:space="preserve">      88  :PREFIX:-CB-TIPO-OBJ                  VALUE 'OBJ'.</t>
        </is>
      </c>
      <c r="B141" s="39" t="inlineStr">
        <is>
          <t xml:space="preserve">     'OBJ' - Cobertura ao nível do Objecto Seguro</t>
        </is>
      </c>
      <c r="C141" s="113" t="n"/>
      <c r="D141" s="114" t="n"/>
      <c r="E141" s="15" t="n"/>
    </row>
    <row r="142">
      <c r="A142" s="112" t="inlineStr">
        <is>
          <t xml:space="preserve">      88  :PREFIX:-CB-TIPO-APO                  VALUE 'APO'.</t>
        </is>
      </c>
      <c r="B142" s="39" t="inlineStr">
        <is>
          <t xml:space="preserve">     'APO' - Cobertura ao nível da Apólice</t>
        </is>
      </c>
      <c r="C142" s="115" t="n"/>
      <c r="D142" s="116" t="n"/>
      <c r="E142" s="15" t="n"/>
    </row>
    <row r="143">
      <c r="A143" s="112" t="inlineStr">
        <is>
          <t xml:space="preserve">      88  :PREFIX:-CB-TIPO-ADI                  VALUE 'ADI'.</t>
        </is>
      </c>
      <c r="B143" s="39" t="inlineStr">
        <is>
          <t xml:space="preserve">     'ADI' - Cobertura Adicional</t>
        </is>
      </c>
      <c r="C143" s="117" t="n"/>
      <c r="D143" s="118" t="n"/>
      <c r="E143" s="18" t="n"/>
    </row>
    <row r="144">
      <c r="A144" s="111" t="inlineStr">
        <is>
          <t xml:space="preserve">    09  :PREFIX:-CB-COD-COB           PIC X(05).</t>
        </is>
      </c>
      <c r="B144" s="98" t="inlineStr">
        <is>
          <t>Código da Cobertura</t>
        </is>
      </c>
      <c r="C144" s="110">
        <f>C140+D140</f>
        <v/>
      </c>
      <c r="D144" s="98" t="n">
        <v>5</v>
      </c>
      <c r="E144" s="21" t="inlineStr">
        <is>
          <t>Opcional</t>
        </is>
      </c>
    </row>
    <row r="145">
      <c r="A145" s="40" t="inlineStr">
        <is>
          <t xml:space="preserve">    09  :PREFIX:-CB-DESC-COB          PIC X(60).</t>
        </is>
      </c>
      <c r="B145" s="25" t="inlineStr">
        <is>
          <t>Descritivo da Cobertura</t>
        </is>
      </c>
      <c r="C145" s="110">
        <f>C144+D144</f>
        <v/>
      </c>
      <c r="D145" s="98" t="n">
        <v>60</v>
      </c>
      <c r="E145" s="21" t="inlineStr">
        <is>
          <t>Opcional</t>
        </is>
      </c>
    </row>
    <row r="146">
      <c r="A146" s="111" t="inlineStr">
        <is>
          <t xml:space="preserve">    09  :PREFIX:-CB-TIPO-TABELA       PIC X(02).</t>
        </is>
      </c>
      <c r="B146" s="98" t="inlineStr">
        <is>
          <t>Identificador de tipo de tabela a usar para listar as Coberturas:</t>
        </is>
      </c>
      <c r="C146" s="110">
        <f>C145+D145</f>
        <v/>
      </c>
      <c r="D146" s="98" t="n">
        <v>2</v>
      </c>
      <c r="E146" s="21" t="inlineStr">
        <is>
          <t>Opcional</t>
        </is>
      </c>
    </row>
    <row r="147">
      <c r="A147" s="112" t="inlineStr">
        <is>
          <t xml:space="preserve">      88  :PREFIX:-CB-TIPO-2F                   VALUE '2F'.</t>
        </is>
      </c>
      <c r="B147" s="39" t="inlineStr">
        <is>
          <t xml:space="preserve">     '2F' - Tabela com 2 colunas sendo a última referente à Franquia</t>
        </is>
      </c>
      <c r="C147" s="113" t="n"/>
      <c r="D147" s="114" t="n"/>
      <c r="E147" s="15" t="n"/>
    </row>
    <row r="148">
      <c r="A148" s="112" t="inlineStr">
        <is>
          <t xml:space="preserve">      88  :PREFIX:-CB-TIPO-3C                   VALUE '3C'.</t>
        </is>
      </c>
      <c r="B148" s="39" t="inlineStr">
        <is>
          <t xml:space="preserve">     '3C' - Tabela com 3 colunas sendo a última referente ao Capital</t>
        </is>
      </c>
      <c r="C148" s="115" t="n"/>
      <c r="D148" s="116" t="n"/>
      <c r="E148" s="15" t="n"/>
    </row>
    <row r="149">
      <c r="A149" s="112" t="inlineStr">
        <is>
          <t xml:space="preserve">      88  :PREFIX:-CB-TIPO-3I                   VALUE '3I'.</t>
        </is>
      </c>
      <c r="B149" s="39" t="inlineStr">
        <is>
          <t xml:space="preserve">     '3I' - Tabela com 3 colunas sendo a última referente ao Limite de Indemnização</t>
        </is>
      </c>
      <c r="C149" s="117" t="n"/>
      <c r="D149" s="118" t="n"/>
      <c r="E149" s="18" t="n"/>
    </row>
    <row r="150">
      <c r="A150" s="40" t="inlineStr">
        <is>
          <t xml:space="preserve">    09  :PREFIX:-CB-FRANQUIA.</t>
        </is>
      </c>
      <c r="B150" s="25" t="n"/>
      <c r="C150" s="110">
        <f>C146+D146</f>
        <v/>
      </c>
      <c r="D150" s="98" t="n">
        <v>0</v>
      </c>
      <c r="E150" s="71" t="n"/>
    </row>
    <row r="151">
      <c r="A151" s="111" t="inlineStr">
        <is>
          <t xml:space="preserve">      11  :PREFIX:-CB-COD-FRANQUIA    PIC X(02).</t>
        </is>
      </c>
      <c r="B151" s="98" t="inlineStr">
        <is>
          <t>Indicador do tipo de Franquia</t>
        </is>
      </c>
      <c r="C151" s="110">
        <f>C150+D150</f>
        <v/>
      </c>
      <c r="D151" s="98" t="n">
        <v>2</v>
      </c>
      <c r="E151" s="21" t="inlineStr">
        <is>
          <t>Opcional</t>
        </is>
      </c>
    </row>
    <row r="152">
      <c r="A152" s="111" t="inlineStr">
        <is>
          <t xml:space="preserve">      11  :PREFIX:-CB-VALOR-FRANQUIA  PIC S9(12)V9(02) SIGN LEADING SEPARATE.</t>
        </is>
      </c>
      <c r="B152" s="98" t="inlineStr">
        <is>
          <t>Valor de Franquia</t>
        </is>
      </c>
      <c r="C152" s="110">
        <f>C151+D151</f>
        <v/>
      </c>
      <c r="D152" s="98" t="n">
        <v>15</v>
      </c>
      <c r="E152" s="21" t="inlineStr">
        <is>
          <t>Opcional</t>
        </is>
      </c>
    </row>
    <row r="153">
      <c r="A153" s="111" t="inlineStr">
        <is>
          <t xml:space="preserve">      11  :PREFIX:-CB-VALOR-MAX-FRANQ PIC S9(12)V9(02) SIGN LEADING SEPARATE.</t>
        </is>
      </c>
      <c r="B153" s="98" t="inlineStr">
        <is>
          <t>Valor Máximo de Franquia</t>
        </is>
      </c>
      <c r="C153" s="110">
        <f>C152+D152</f>
        <v/>
      </c>
      <c r="D153" s="98" t="n">
        <v>15</v>
      </c>
      <c r="E153" s="21" t="inlineStr">
        <is>
          <t>Opcional</t>
        </is>
      </c>
    </row>
    <row r="154">
      <c r="A154" s="111" t="inlineStr">
        <is>
          <t xml:space="preserve">      11  :PREFIX:-CB-PERC-FRANQUIA   PIC 9(03)V9(02).</t>
        </is>
      </c>
      <c r="B154" s="98" t="inlineStr">
        <is>
          <t>Percentagem de Franquia</t>
        </is>
      </c>
      <c r="C154" s="110">
        <f>C153+D153</f>
        <v/>
      </c>
      <c r="D154" s="98" t="n">
        <v>5</v>
      </c>
      <c r="E154" s="21" t="inlineStr">
        <is>
          <t>Opcional</t>
        </is>
      </c>
    </row>
    <row r="155">
      <c r="A155" s="111" t="inlineStr">
        <is>
          <t xml:space="preserve">      11  :PREFIX:-CB-NUMERO-DIAS     PIC 9(03).</t>
        </is>
      </c>
      <c r="B155" s="98" t="inlineStr">
        <is>
          <t>Número de dias de Franquia</t>
        </is>
      </c>
      <c r="C155" s="110">
        <f>C154+D154</f>
        <v/>
      </c>
      <c r="D155" s="98" t="n">
        <v>3</v>
      </c>
      <c r="E155" s="21" t="inlineStr">
        <is>
          <t>Opcional</t>
        </is>
      </c>
    </row>
    <row r="156">
      <c r="A156" s="111" t="inlineStr">
        <is>
          <t xml:space="preserve">      11  :PREFIX:-CB-IND-LIM-INDMN   PIC X(02).</t>
        </is>
      </c>
      <c r="B156" s="98" t="inlineStr">
        <is>
          <t>Indicador do tipo de Limite de Indemnização</t>
        </is>
      </c>
      <c r="C156" s="110">
        <f>C155+D155</f>
        <v/>
      </c>
      <c r="D156" s="98" t="n">
        <v>2</v>
      </c>
      <c r="E156" s="21" t="inlineStr">
        <is>
          <t>Opcional</t>
        </is>
      </c>
    </row>
    <row r="157">
      <c r="A157" s="111" t="inlineStr">
        <is>
          <t xml:space="preserve">      11  :PREFIX:-CB-VALOR-LIM-INDMN PIC S9(12)V9(02) SIGN LEADING SEPARATE.</t>
        </is>
      </c>
      <c r="B157" s="98" t="inlineStr">
        <is>
          <t>Valor Limite de Indemnização</t>
        </is>
      </c>
      <c r="C157" s="110">
        <f>C156+D156</f>
        <v/>
      </c>
      <c r="D157" s="98" t="n">
        <v>15</v>
      </c>
      <c r="E157" s="21" t="inlineStr">
        <is>
          <t>Opcional</t>
        </is>
      </c>
    </row>
    <row r="158">
      <c r="A158" s="111" t="inlineStr">
        <is>
          <t xml:space="preserve">      11  :PREFIX:-CB-PERC-LIM-INDMN  PIC 9(02).</t>
        </is>
      </c>
      <c r="B158" s="98" t="inlineStr">
        <is>
          <t>Percentagem de Limite de Indemnização</t>
        </is>
      </c>
      <c r="C158" s="110">
        <f>C157+D157</f>
        <v/>
      </c>
      <c r="D158" s="98" t="n">
        <v>2</v>
      </c>
      <c r="E158" s="21" t="inlineStr">
        <is>
          <t>Opcional</t>
        </is>
      </c>
    </row>
    <row r="159">
      <c r="A159" s="111" t="inlineStr">
        <is>
          <t xml:space="preserve">      11  :PREFIX:-CB-DIAS-LIM-INDMN  PIC 9(02).</t>
        </is>
      </c>
      <c r="B159" s="98" t="inlineStr">
        <is>
          <t>Número de dias de Limite de indemnização</t>
        </is>
      </c>
      <c r="C159" s="110">
        <f>C158+D158</f>
        <v/>
      </c>
      <c r="D159" s="98" t="n">
        <v>2</v>
      </c>
      <c r="E159" s="21" t="inlineStr">
        <is>
          <t>Opcional</t>
        </is>
      </c>
    </row>
    <row r="160">
      <c r="A160" s="111" t="inlineStr">
        <is>
          <t xml:space="preserve">      11  :PREFIX:-CB-VLR1-LIM-INDMN  PIC S9(12)V9(02) SIGN LEADING SEPARATE.</t>
        </is>
      </c>
      <c r="B160" s="98" t="inlineStr">
        <is>
          <t>Valor Limite de Indemnização (Anuidade)</t>
        </is>
      </c>
      <c r="C160" s="110">
        <f>C159+D159</f>
        <v/>
      </c>
      <c r="D160" s="98" t="n">
        <v>15</v>
      </c>
      <c r="E160" s="21" t="inlineStr">
        <is>
          <t>Opcional</t>
        </is>
      </c>
    </row>
    <row r="161">
      <c r="A161" s="111" t="inlineStr">
        <is>
          <t xml:space="preserve">    09  :PREFIX:-CB-FRANQUIA-CHAR     PIC X(30).</t>
        </is>
      </c>
      <c r="B161" s="98" t="inlineStr">
        <is>
          <t>Literal com texto relativo à Franquia</t>
        </is>
      </c>
      <c r="C161" s="110">
        <f>C160+D160</f>
        <v/>
      </c>
      <c r="D161" s="98" t="n">
        <v>30</v>
      </c>
      <c r="E161" s="21" t="inlineStr">
        <is>
          <t>Opcional</t>
        </is>
      </c>
    </row>
    <row r="162">
      <c r="A162" s="111" t="inlineStr">
        <is>
          <t xml:space="preserve">    09  :PREFIX:-CB-VALOR-CAP-SEG     PIC S9(12)V9(02) SIGN LEADING SEPARATE.</t>
        </is>
      </c>
      <c r="B162" s="98" t="inlineStr">
        <is>
          <t>Valor Capital Seguro</t>
        </is>
      </c>
      <c r="C162" s="110">
        <f>C161+D161</f>
        <v/>
      </c>
      <c r="D162" s="98" t="n">
        <v>15</v>
      </c>
      <c r="E162" s="21" t="inlineStr">
        <is>
          <t>Opcional</t>
        </is>
      </c>
    </row>
    <row r="163">
      <c r="A163" s="99" t="inlineStr">
        <is>
          <t xml:space="preserve">  07  FILLER                          PIC X(230).</t>
        </is>
      </c>
      <c r="B163" s="100" t="inlineStr">
        <is>
          <t>Espaços</t>
        </is>
      </c>
      <c r="C163" s="109">
        <f>C162+D162</f>
        <v/>
      </c>
      <c r="D163" s="100">
        <f>500-C163+1</f>
        <v/>
      </c>
      <c r="E163" s="69" t="n"/>
    </row>
    <row r="164">
      <c r="A164" s="94" t="n"/>
      <c r="B164" s="95" t="n"/>
      <c r="C164" s="95" t="n"/>
      <c r="D164" s="95" t="n"/>
      <c r="E164" s="96" t="n"/>
    </row>
    <row r="165">
      <c r="A165" s="92" t="inlineStr">
        <is>
          <t>05  FILLER              REDEFINES :PREFIX:-DADOS-DOCUMENTO.</t>
        </is>
      </c>
      <c r="B165" s="74" t="inlineStr">
        <is>
          <t>Notas das Coberturas (Registo do tipo NCO)</t>
        </is>
      </c>
      <c r="C165" s="75">
        <f>$C$40</f>
        <v/>
      </c>
      <c r="D165" s="75" t="n">
        <v>0</v>
      </c>
      <c r="E165" s="64" t="n"/>
    </row>
    <row r="166">
      <c r="A166" s="99" t="inlineStr">
        <is>
          <t xml:space="preserve">  07  :PREFIX:-NOTAS-COBERTURA.</t>
        </is>
      </c>
      <c r="B166" s="100" t="n"/>
      <c r="C166" s="109">
        <f>C165+D165</f>
        <v/>
      </c>
      <c r="D166" s="100" t="n">
        <v>0</v>
      </c>
      <c r="E166" s="69" t="n"/>
    </row>
    <row r="167">
      <c r="A167" s="111" t="inlineStr">
        <is>
          <t xml:space="preserve">    09  :PREFIX:-NC-NOTAS-COB         PIC X(80).</t>
        </is>
      </c>
      <c r="B167" s="39" t="inlineStr">
        <is>
          <t xml:space="preserve">Notas relativas à Cobertura[(Ex: "(1) Conforme Condições Gerais…]"  </t>
        </is>
      </c>
      <c r="C167" s="110">
        <f>C166+D166</f>
        <v/>
      </c>
      <c r="D167" s="98" t="n">
        <v>80</v>
      </c>
      <c r="E167" s="21" t="inlineStr">
        <is>
          <t>Opcional</t>
        </is>
      </c>
    </row>
    <row r="168">
      <c r="A168" s="99" t="inlineStr">
        <is>
          <t xml:space="preserve">  07  FILLER                          PIC X(341).</t>
        </is>
      </c>
      <c r="B168" s="100" t="inlineStr">
        <is>
          <t>Espaços</t>
        </is>
      </c>
      <c r="C168" s="109">
        <f>C167+D167</f>
        <v/>
      </c>
      <c r="D168" s="100">
        <f>500-C168+1</f>
        <v/>
      </c>
      <c r="E168" s="69" t="n"/>
    </row>
    <row r="169">
      <c r="A169" s="94" t="n"/>
      <c r="B169" s="95" t="n"/>
      <c r="C169" s="95" t="n"/>
      <c r="D169" s="95" t="n"/>
      <c r="E169" s="96" t="n"/>
    </row>
    <row r="170">
      <c r="A170" s="5" t="inlineStr">
        <is>
          <t>05  FILLER              REDEFINES :PREFIX:-DADOS-DOCUMENTO.</t>
        </is>
      </c>
      <c r="B170" s="74" t="inlineStr">
        <is>
          <t>Detalhe das Condições Gerais (Registo do tipo CGE)</t>
        </is>
      </c>
      <c r="C170" s="75">
        <f>$C$40</f>
        <v/>
      </c>
      <c r="D170" s="8" t="n">
        <v>0</v>
      </c>
      <c r="E170" s="64" t="n"/>
    </row>
    <row r="171">
      <c r="A171" s="30" t="inlineStr">
        <is>
          <t xml:space="preserve">  07  :PREFIX:-COND-GERAIS.</t>
        </is>
      </c>
      <c r="B171" s="32" t="n"/>
      <c r="C171" s="38">
        <f>C170+D170</f>
        <v/>
      </c>
      <c r="D171" s="32" t="n">
        <v>0</v>
      </c>
      <c r="E171" s="69" t="n"/>
    </row>
    <row r="172">
      <c r="A172" s="111" t="inlineStr">
        <is>
          <t xml:space="preserve">    09  :PREFIX:-CG-CODIGO            PIC X(03).</t>
        </is>
      </c>
      <c r="B172" s="39" t="inlineStr">
        <is>
          <t>Código das Condições Gerais</t>
        </is>
      </c>
      <c r="C172" s="110">
        <f>C171+D171</f>
        <v/>
      </c>
      <c r="D172" s="98" t="n">
        <v>3</v>
      </c>
      <c r="E172" s="21" t="inlineStr">
        <is>
          <t>Opcional</t>
        </is>
      </c>
    </row>
    <row r="173">
      <c r="A173" s="111" t="inlineStr">
        <is>
          <t xml:space="preserve">    09  :PREFIX:-CG-DESCRITIVO        PIC X(80).</t>
        </is>
      </c>
      <c r="B173" s="39" t="inlineStr">
        <is>
          <t>Descritivo das Condições Gerais</t>
        </is>
      </c>
      <c r="C173" s="110">
        <f>C172+D172</f>
        <v/>
      </c>
      <c r="D173" s="98" t="n">
        <v>80</v>
      </c>
      <c r="E173" s="21" t="inlineStr">
        <is>
          <t>Opcional</t>
        </is>
      </c>
    </row>
    <row r="174">
      <c r="A174" s="99" t="inlineStr">
        <is>
          <t xml:space="preserve">  07  FILLER                          PIC X(338).</t>
        </is>
      </c>
      <c r="B174" s="100" t="inlineStr">
        <is>
          <t>Espaços</t>
        </is>
      </c>
      <c r="C174" s="109">
        <f>C173+D173</f>
        <v/>
      </c>
      <c r="D174" s="100">
        <f>500-C174+1</f>
        <v/>
      </c>
      <c r="E174" s="69" t="n"/>
    </row>
    <row r="175">
      <c r="A175" s="94" t="n"/>
      <c r="B175" s="95" t="n"/>
      <c r="C175" s="95" t="n"/>
      <c r="D175" s="95" t="n"/>
      <c r="E175" s="96" t="n"/>
    </row>
    <row r="176">
      <c r="A176" s="92" t="inlineStr">
        <is>
          <t>05  FILLER              REDEFINES :PREFIX:-DADOS-DOCUMENTO.</t>
        </is>
      </c>
      <c r="B176" s="74" t="inlineStr">
        <is>
          <t>Condições e Cláusulas Particulares (Registo do tipo DCL)</t>
        </is>
      </c>
      <c r="C176" s="75">
        <f>$C$40</f>
        <v/>
      </c>
      <c r="D176" s="75" t="n">
        <v>0</v>
      </c>
      <c r="E176" s="64" t="n"/>
    </row>
    <row r="177">
      <c r="A177" s="99" t="inlineStr">
        <is>
          <t xml:space="preserve">  07  :PREFIX:-DECLAR-CLAUSULAS.</t>
        </is>
      </c>
      <c r="B177" s="100" t="n"/>
      <c r="C177" s="109">
        <f>C176+D176</f>
        <v/>
      </c>
      <c r="D177" s="100" t="n">
        <v>0</v>
      </c>
      <c r="E177" s="69" t="n"/>
    </row>
    <row r="178">
      <c r="A178" s="111" t="inlineStr">
        <is>
          <t xml:space="preserve">    09  :PREFIX:-DC-TIPO-DEC-CLAUS    PIC X(03).</t>
        </is>
      </c>
      <c r="B178" s="98" t="inlineStr">
        <is>
          <t>Tipo de Declarações e Cláusulas:</t>
        </is>
      </c>
      <c r="C178" s="110">
        <f>C177+D177</f>
        <v/>
      </c>
      <c r="D178" s="98" t="n">
        <v>3</v>
      </c>
      <c r="E178" s="21" t="inlineStr">
        <is>
          <t>Opcional</t>
        </is>
      </c>
    </row>
    <row r="179">
      <c r="A179" s="112" t="inlineStr">
        <is>
          <t xml:space="preserve">      88  :PREFIX:-DC-TIPO-OBJ                  VALUE 'OBJ'.</t>
        </is>
      </c>
      <c r="B179" s="39" t="inlineStr">
        <is>
          <t xml:space="preserve">     'OBJ' - ao nível do Objecto Seguro</t>
        </is>
      </c>
      <c r="C179" s="103" t="n"/>
      <c r="D179" s="104" t="n"/>
      <c r="E179" s="15" t="n"/>
    </row>
    <row r="180">
      <c r="A180" s="112" t="inlineStr">
        <is>
          <t xml:space="preserve">      88  :PREFIX:-DC-TIPO-APO                  VALUE 'APO'.</t>
        </is>
      </c>
      <c r="B180" s="39" t="inlineStr">
        <is>
          <t xml:space="preserve">     'APO' - ao nível da Apólice</t>
        </is>
      </c>
      <c r="C180" s="105" t="n"/>
      <c r="D180" s="106" t="n"/>
      <c r="E180" s="18" t="n"/>
    </row>
    <row r="181">
      <c r="A181" s="111" t="inlineStr">
        <is>
          <t xml:space="preserve">    09  :PREFIX:-DC-DESCRITIVO        PIC X(418).</t>
        </is>
      </c>
      <c r="B181" s="39" t="inlineStr">
        <is>
          <t>Descrição das Declarações e Cláusulas Particulares</t>
        </is>
      </c>
      <c r="C181" s="110">
        <f>C178+D178</f>
        <v/>
      </c>
      <c r="D181" s="98" t="n">
        <v>418</v>
      </c>
      <c r="E181" s="21" t="inlineStr">
        <is>
          <t>Opcional</t>
        </is>
      </c>
    </row>
    <row r="182">
      <c r="A182" s="94" t="n"/>
      <c r="B182" s="95" t="n"/>
      <c r="C182" s="95" t="n"/>
      <c r="D182" s="95" t="n"/>
      <c r="E182" s="96" t="n"/>
    </row>
    <row r="183">
      <c r="A183" s="5" t="inlineStr">
        <is>
          <t>05  FILLER              REDEFINES :PREFIX:-DADOS-DOCUMENTO.</t>
        </is>
      </c>
      <c r="B183" s="74" t="inlineStr">
        <is>
          <t>Fim do Documento (Registo do tipo ZZZ)</t>
        </is>
      </c>
      <c r="C183" s="75">
        <f>$C$40</f>
        <v/>
      </c>
      <c r="D183" s="8" t="n">
        <v>0</v>
      </c>
      <c r="E183" s="64" t="n"/>
    </row>
    <row r="184">
      <c r="A184" s="99" t="inlineStr">
        <is>
          <t xml:space="preserve">  07  FILLER                          PIC X(421).</t>
        </is>
      </c>
      <c r="B184" s="100" t="inlineStr">
        <is>
          <t>Espaços</t>
        </is>
      </c>
      <c r="C184" s="109">
        <f>C183+D183</f>
        <v/>
      </c>
      <c r="D184" s="100">
        <f>500-C184+1</f>
        <v/>
      </c>
      <c r="E184" s="17" t="inlineStr">
        <is>
          <t>Obrigatório</t>
        </is>
      </c>
    </row>
  </sheetData>
  <mergeCells count="25">
    <mergeCell ref="A169:E169"/>
    <mergeCell ref="A182:E182"/>
    <mergeCell ref="A107:E107"/>
    <mergeCell ref="A94:E94"/>
    <mergeCell ref="A123:E123"/>
    <mergeCell ref="E178:E180"/>
    <mergeCell ref="E140:E143"/>
    <mergeCell ref="A41:E41"/>
    <mergeCell ref="A137:E137"/>
    <mergeCell ref="A164:E164"/>
    <mergeCell ref="A55:E55"/>
    <mergeCell ref="E5:E18"/>
    <mergeCell ref="A175:E175"/>
    <mergeCell ref="E60:E62"/>
    <mergeCell ref="E76:E79"/>
    <mergeCell ref="E23:E25"/>
    <mergeCell ref="E70:E75"/>
    <mergeCell ref="E26:E29"/>
    <mergeCell ref="A131:E131"/>
    <mergeCell ref="E3:E4"/>
    <mergeCell ref="E19:E21"/>
    <mergeCell ref="A102:E102"/>
    <mergeCell ref="E37:E38"/>
    <mergeCell ref="A117:E117"/>
    <mergeCell ref="E146:E149"/>
  </mergeCells>
  <pageMargins left="0.2362204724409449" right="0.2362204724409449" top="0.7480314960629921" bottom="0.7480314960629921" header="0.3149606299212598" footer="0.3149606299212598"/>
  <pageSetup orientation="landscape" paperSize="9" scale="74" fitToHeight="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69"/>
  <sheetViews>
    <sheetView workbookViewId="0">
      <selection activeCell="A1" sqref="A1"/>
    </sheetView>
  </sheetViews>
  <sheetFormatPr baseColWidth="8" defaultRowHeight="14.4"/>
  <cols>
    <col width="103.44140625" customWidth="1" min="1" max="1"/>
    <col width="69.6640625" customWidth="1" min="2" max="2"/>
    <col width="7.33203125" customWidth="1" min="3" max="3"/>
    <col width="8.6640625" customWidth="1" min="4" max="4"/>
    <col width="10.6640625" customWidth="1" min="5" max="5"/>
  </cols>
  <sheetData>
    <row r="1">
      <c r="A1" s="1" t="inlineStr">
        <is>
          <t>Copybook</t>
        </is>
      </c>
      <c r="B1" s="2" t="inlineStr">
        <is>
          <t>Descrição / 'Valores Possiveis' / (Notas) / [Formato]</t>
        </is>
      </c>
      <c r="C1" s="3" t="inlineStr">
        <is>
          <t>Posição</t>
        </is>
      </c>
      <c r="D1" s="3" t="inlineStr">
        <is>
          <t>Tamanho</t>
        </is>
      </c>
      <c r="E1" s="4" t="inlineStr">
        <is>
          <t>Observação</t>
        </is>
      </c>
    </row>
    <row r="2">
      <c r="A2" s="5" t="inlineStr">
        <is>
          <t>05  :PREFIX:-DADOS-REGISTO.</t>
        </is>
      </c>
      <c r="B2" s="7" t="n"/>
      <c r="C2" s="8" t="n">
        <v>1</v>
      </c>
      <c r="D2" s="8" t="n">
        <v>0</v>
      </c>
      <c r="E2" s="64" t="n"/>
    </row>
    <row r="3">
      <c r="A3" s="46" t="inlineStr">
        <is>
          <t xml:space="preserve">  07  :PREFIX:-COD-COMPANHIA          PIC X(03).</t>
        </is>
      </c>
      <c r="B3" s="47" t="inlineStr">
        <is>
          <t>Código de identificação da Companhia</t>
        </is>
      </c>
      <c r="C3" s="48">
        <f>C2+D2</f>
        <v/>
      </c>
      <c r="D3" s="48" t="n">
        <v>3</v>
      </c>
      <c r="E3" s="17" t="inlineStr">
        <is>
          <t>Obrigatório</t>
        </is>
      </c>
    </row>
    <row r="4">
      <c r="A4" s="46" t="inlineStr">
        <is>
          <t xml:space="preserve">    88  :PREFIX:-COM-FIDELIDADE                 VALUE '128'.</t>
        </is>
      </c>
      <c r="B4" s="47" t="inlineStr">
        <is>
          <t xml:space="preserve">     '128' - Fidelidade</t>
        </is>
      </c>
      <c r="C4" s="48" t="n"/>
      <c r="D4" s="48" t="n"/>
      <c r="E4" s="15" t="n"/>
    </row>
    <row r="5">
      <c r="A5" s="46" t="inlineStr">
        <is>
          <t xml:space="preserve">    88  :PREFIX:-COM-IMPERIO                    VALUE '138'.</t>
        </is>
      </c>
      <c r="B5" s="47" t="inlineStr">
        <is>
          <t xml:space="preserve">     '138' - Império</t>
        </is>
      </c>
      <c r="C5" s="48" t="n"/>
      <c r="D5" s="48" t="n"/>
      <c r="E5" s="18" t="n"/>
    </row>
    <row r="6">
      <c r="A6" s="46" t="inlineStr">
        <is>
          <t xml:space="preserve">  07  :PREFIX:-COD-MARCA              PIC X(03).</t>
        </is>
      </c>
      <c r="B6" s="47" t="inlineStr">
        <is>
          <t>Código de identificação da Marca</t>
        </is>
      </c>
      <c r="C6" s="48">
        <f>C3+D3</f>
        <v/>
      </c>
      <c r="D6" s="54" t="n">
        <v>3</v>
      </c>
      <c r="E6" s="17" t="inlineStr">
        <is>
          <t>Obrigatório</t>
        </is>
      </c>
    </row>
    <row r="7">
      <c r="A7" s="46" t="inlineStr">
        <is>
          <t xml:space="preserve">    88  :PREFIX:-MAR-FIDELIDADE                 VALUE '002'.</t>
        </is>
      </c>
      <c r="B7" s="47" t="inlineStr">
        <is>
          <t xml:space="preserve">     '002' - Fidelidade</t>
        </is>
      </c>
      <c r="C7" s="54" t="n"/>
      <c r="D7" s="54" t="n"/>
      <c r="E7" s="15" t="n"/>
    </row>
    <row r="8">
      <c r="A8" s="46" t="inlineStr">
        <is>
          <t xml:space="preserve">    88  :PREFIX:-MAR-FIDELIDADE-LEVE            VALUE 'L02'.</t>
        </is>
      </c>
      <c r="B8" s="47" t="inlineStr">
        <is>
          <t xml:space="preserve">     'L02' - Fidelidade Leve</t>
        </is>
      </c>
      <c r="C8" s="54" t="n"/>
      <c r="D8" s="54" t="n"/>
      <c r="E8" s="15" t="n"/>
    </row>
    <row r="9">
      <c r="A9" s="46" t="inlineStr">
        <is>
          <t xml:space="preserve">    88  :PREFIX:-MAR-IMPERIO                    VALUE '003'.</t>
        </is>
      </c>
      <c r="B9" s="47" t="inlineStr">
        <is>
          <t xml:space="preserve">     '003' - Império</t>
        </is>
      </c>
      <c r="C9" s="54" t="n"/>
      <c r="D9" s="54" t="n"/>
      <c r="E9" s="15" t="n"/>
    </row>
    <row r="10">
      <c r="A10" s="46" t="inlineStr">
        <is>
          <t xml:space="preserve">    88  :PREFIX:-MAR-IMPERIO-LEVE               VALUE 'L03'.</t>
        </is>
      </c>
      <c r="B10" s="47" t="inlineStr">
        <is>
          <t xml:space="preserve">     'L03' - Império Leve</t>
        </is>
      </c>
      <c r="C10" s="54" t="n"/>
      <c r="D10" s="54" t="n"/>
      <c r="E10" s="15" t="n"/>
    </row>
    <row r="11">
      <c r="A11" s="46" t="inlineStr">
        <is>
          <t xml:space="preserve">    88  :PREFIX:-MAR-ICI                        VALUE '004'.</t>
        </is>
      </c>
      <c r="B11" s="47" t="inlineStr">
        <is>
          <t xml:space="preserve">     '004' - ICI</t>
        </is>
      </c>
      <c r="C11" s="54" t="n"/>
      <c r="D11" s="54" t="n"/>
      <c r="E11" s="18" t="n"/>
    </row>
    <row r="12">
      <c r="A12" s="46" t="inlineStr">
        <is>
          <t xml:space="preserve">  07  :PREFIX:-COD-ORIGEM             PIC X(03).</t>
        </is>
      </c>
      <c r="B12" s="47" t="inlineStr">
        <is>
          <t>Código de identificação do Sistema Origem</t>
        </is>
      </c>
      <c r="C12" s="48">
        <f>C6+D6</f>
        <v/>
      </c>
      <c r="D12" s="54" t="n">
        <v>3</v>
      </c>
      <c r="E12" s="17" t="inlineStr">
        <is>
          <t>Obrigatório</t>
        </is>
      </c>
    </row>
    <row r="13">
      <c r="A13" s="46" t="inlineStr">
        <is>
          <t xml:space="preserve">    88  :PREFIX:-ORI-GIS                        VALUE 'GIS'.</t>
        </is>
      </c>
      <c r="B13" s="54" t="inlineStr">
        <is>
          <t xml:space="preserve">     'GIS' - GIS</t>
        </is>
      </c>
      <c r="C13" s="54" t="n"/>
      <c r="D13" s="54" t="n"/>
      <c r="E13" s="18" t="n"/>
    </row>
    <row r="14">
      <c r="A14" s="46" t="inlineStr">
        <is>
          <t xml:space="preserve">  07  :PREFIX:-COD-POSTALM            PIC X(09).</t>
        </is>
      </c>
      <c r="B14" s="54" t="inlineStr">
        <is>
          <t>Código postal do Mediador (Se estrangeiro deverá vir a zeros) [99990999]</t>
        </is>
      </c>
      <c r="C14" s="54">
        <f>C12+D12</f>
        <v/>
      </c>
      <c r="D14" s="54" t="n">
        <v>9</v>
      </c>
      <c r="E14" s="21" t="inlineStr">
        <is>
          <t>Opcional</t>
        </is>
      </c>
    </row>
    <row r="15">
      <c r="A15" s="46" t="inlineStr">
        <is>
          <t xml:space="preserve">  07  :PREFIX:-NR-MEDIADOR            PIC X(10).</t>
        </is>
      </c>
      <c r="B15" s="54" t="inlineStr">
        <is>
          <t>Número do Mediador (se existir Mediador, espaços para restantes casos)</t>
        </is>
      </c>
      <c r="C15" s="48">
        <f>C14+D14</f>
        <v/>
      </c>
      <c r="D15" s="54" t="n">
        <v>10</v>
      </c>
      <c r="E15" s="21" t="inlineStr">
        <is>
          <t>Opcional</t>
        </is>
      </c>
    </row>
    <row r="16">
      <c r="A16" s="46" t="inlineStr">
        <is>
          <t xml:space="preserve">  07  :PREFIX:-COD-POSTALC            PIC X(09).</t>
        </is>
      </c>
      <c r="B16" s="54" t="inlineStr">
        <is>
          <t>Código postal do Cliente (Se estrangeiro deverá vir a zeros) [99990999]</t>
        </is>
      </c>
      <c r="C16" s="55">
        <f>C15+D15</f>
        <v/>
      </c>
      <c r="D16" s="54" t="n">
        <v>9</v>
      </c>
      <c r="E16" s="17" t="inlineStr">
        <is>
          <t>Obrigatório</t>
        </is>
      </c>
    </row>
    <row r="17">
      <c r="A17" s="46" t="inlineStr">
        <is>
          <t xml:space="preserve">  07  :PREFIX:-NR-CLIENTE             PIC X(10).</t>
        </is>
      </c>
      <c r="B17" s="54" t="inlineStr">
        <is>
          <t>Número do Cliente</t>
        </is>
      </c>
      <c r="C17" s="48">
        <f>C16+D16</f>
        <v/>
      </c>
      <c r="D17" s="54" t="n">
        <v>10</v>
      </c>
      <c r="E17" s="17" t="inlineStr">
        <is>
          <t>Obrigatório</t>
        </is>
      </c>
    </row>
    <row r="18">
      <c r="A18" s="46" t="inlineStr">
        <is>
          <t xml:space="preserve">  07  :PREFIX:-NR-APOLICE             PIC X(16).</t>
        </is>
      </c>
      <c r="B18" s="54" t="inlineStr">
        <is>
          <t>Número da Apólice</t>
        </is>
      </c>
      <c r="C18" s="48">
        <f>C17+D17</f>
        <v/>
      </c>
      <c r="D18" s="54" t="n">
        <v>16</v>
      </c>
      <c r="E18" s="21" t="inlineStr">
        <is>
          <t>Opcional</t>
        </is>
      </c>
    </row>
    <row r="19">
      <c r="A19" s="46" t="inlineStr">
        <is>
          <t xml:space="preserve">  07  :PREFIX:-COD-PRODUTO            PIC X(06).</t>
        </is>
      </c>
      <c r="B19" s="47" t="inlineStr">
        <is>
          <t>Código do Produto (modalidade 2, versão 2, spaces 2)</t>
        </is>
      </c>
      <c r="C19" s="48">
        <f>C18+D18</f>
        <v/>
      </c>
      <c r="D19" s="48" t="n">
        <v>6</v>
      </c>
      <c r="E19" s="21" t="inlineStr">
        <is>
          <t>Opcional</t>
        </is>
      </c>
    </row>
    <row r="20">
      <c r="A20" s="46" t="inlineStr">
        <is>
          <t xml:space="preserve">  07  :PREFIX:-DATA-HORA              PIC X(14).</t>
        </is>
      </c>
      <c r="B20" s="47" t="inlineStr">
        <is>
          <t>Data e hora da emissão do documento</t>
        </is>
      </c>
      <c r="C20" s="48">
        <f>C19+D19</f>
        <v/>
      </c>
      <c r="D20" s="48" t="n">
        <v>14</v>
      </c>
      <c r="E20" s="17" t="inlineStr">
        <is>
          <t>Obrigatório</t>
        </is>
      </c>
    </row>
    <row r="21">
      <c r="A21" s="46" t="inlineStr">
        <is>
          <t xml:space="preserve">  07  FILLER                          PIC X(22).</t>
        </is>
      </c>
      <c r="B21" s="47" t="inlineStr">
        <is>
          <t>Filler</t>
        </is>
      </c>
      <c r="C21" s="48">
        <f>C20+D20</f>
        <v/>
      </c>
      <c r="D21" s="48" t="n">
        <v>22</v>
      </c>
      <c r="E21" s="19" t="inlineStr">
        <is>
          <t>Espaços</t>
        </is>
      </c>
    </row>
    <row r="22">
      <c r="A22" s="46" t="inlineStr">
        <is>
          <t xml:space="preserve">  07  :PREFIX:-TIPO-IMPRESSAO         PIC X(03).</t>
        </is>
      </c>
      <c r="B22" s="47" t="inlineStr">
        <is>
          <t>Código de identificação do tipo de impressão [espaços para DOC-ID = '006']</t>
        </is>
      </c>
      <c r="C22" s="48">
        <f>C21+D21</f>
        <v/>
      </c>
      <c r="D22" s="48" t="n">
        <v>3</v>
      </c>
      <c r="E22" s="17" t="inlineStr">
        <is>
          <t>Obrigatório</t>
        </is>
      </c>
    </row>
    <row r="23">
      <c r="A23" s="57" t="inlineStr">
        <is>
          <t xml:space="preserve">    88  :PREFIX:-IMP-ONLINE                     VALUE 'ONL'.</t>
        </is>
      </c>
      <c r="B23" s="58" t="inlineStr">
        <is>
          <t xml:space="preserve">     'ONL' - Impressão Online (Não Expedir)</t>
        </is>
      </c>
      <c r="C23" s="48" t="n"/>
      <c r="D23" s="48" t="n"/>
      <c r="E23" s="15" t="n"/>
    </row>
    <row r="24">
      <c r="A24" s="57" t="inlineStr">
        <is>
          <t xml:space="preserve">    88  :PREFIX:-IMP-EXPEDIR                    VALUE 'EXP'.</t>
        </is>
      </c>
      <c r="B24" s="58" t="inlineStr">
        <is>
          <t xml:space="preserve">     'EXP' - Impressão Batch (Expedir)</t>
        </is>
      </c>
      <c r="C24" s="48" t="n"/>
      <c r="D24" s="48" t="n"/>
      <c r="E24" s="18" t="n"/>
    </row>
    <row r="25">
      <c r="A25" s="46" t="inlineStr">
        <is>
          <t xml:space="preserve">  07  :PREFIX:-COD-IMPRESSORA         PIC X(08).</t>
        </is>
      </c>
      <c r="B25" s="47" t="inlineStr">
        <is>
          <t>Código da impressora (se impressão online, espaços para os restantes)</t>
        </is>
      </c>
      <c r="C25" s="48">
        <f>C22+D22</f>
        <v/>
      </c>
      <c r="D25" s="48" t="n">
        <v>8</v>
      </c>
      <c r="E25" s="21" t="inlineStr">
        <is>
          <t>Opcional</t>
        </is>
      </c>
    </row>
    <row r="26">
      <c r="A26" s="46" t="inlineStr">
        <is>
          <t xml:space="preserve">  07  :PREFIX:-COD-DOC-ORIGEM         PIC X(10).</t>
        </is>
      </c>
      <c r="B26" s="47" t="inlineStr">
        <is>
          <t>Código do documento de origem</t>
        </is>
      </c>
      <c r="C26" s="48">
        <f>C25+D25</f>
        <v/>
      </c>
      <c r="D26" s="48" t="n">
        <v>10</v>
      </c>
      <c r="E26" s="21" t="inlineStr">
        <is>
          <t>Opcional</t>
        </is>
      </c>
    </row>
    <row r="27">
      <c r="A27" s="46" t="inlineStr">
        <is>
          <t xml:space="preserve">  07  :PREFIX:-TIPO-REG               PIC X(04).</t>
        </is>
      </c>
      <c r="B27" s="47" t="inlineStr">
        <is>
          <t>Tipo de Registo</t>
        </is>
      </c>
      <c r="C27" s="48">
        <f>C26+D26</f>
        <v/>
      </c>
      <c r="D27" s="48" t="n">
        <v>4</v>
      </c>
      <c r="E27" s="17" t="inlineStr">
        <is>
          <t>Obrigatório</t>
        </is>
      </c>
    </row>
    <row r="28">
      <c r="A28" s="57" t="inlineStr">
        <is>
          <t xml:space="preserve">    88  :PREFIX:-EXTUNIEA                       VALUE 'EXEA'.</t>
        </is>
      </c>
      <c r="B28" s="58" t="inlineStr">
        <is>
          <t xml:space="preserve">     Extrato Único - Registo tipo único - Endereçamento e Assunto</t>
        </is>
      </c>
      <c r="C28" s="48" t="n"/>
      <c r="D28" s="48" t="n"/>
      <c r="E28" s="15" t="n"/>
    </row>
    <row r="29">
      <c r="A29" s="57" t="inlineStr">
        <is>
          <t xml:space="preserve">    88  :PREFIX:-EXTUNISI                       VALUE 'EXSI'.</t>
        </is>
      </c>
      <c r="B29" s="58" t="inlineStr">
        <is>
          <t xml:space="preserve">     Extrato Único - Registo tipo único - Saldo Integrado</t>
        </is>
      </c>
      <c r="C29" s="48" t="n"/>
      <c r="D29" s="48" t="n"/>
      <c r="E29" s="15" t="n"/>
    </row>
    <row r="30">
      <c r="A30" s="57" t="inlineStr">
        <is>
          <t xml:space="preserve">    88  :PREFIX:-EXTUNICR                       VALUE 'EXCR'.</t>
        </is>
      </c>
      <c r="B30" s="58" t="inlineStr">
        <is>
          <t xml:space="preserve">     Extrato Único - Registo tipo único - Capital a Receber</t>
        </is>
      </c>
      <c r="C30" s="48" t="n"/>
      <c r="D30" s="48" t="n"/>
      <c r="E30" s="15" t="n"/>
    </row>
    <row r="31">
      <c r="A31" s="57" t="inlineStr">
        <is>
          <t xml:space="preserve">    88  :PREFIX:-EXTUNIP1                       VALUE 'EXP1'.</t>
        </is>
      </c>
      <c r="B31" s="58" t="inlineStr">
        <is>
          <t xml:space="preserve">     Extrato Único - Registo tipo único - Resumo Poupança HDR </t>
        </is>
      </c>
      <c r="C31" s="48" t="n"/>
      <c r="D31" s="48" t="n"/>
      <c r="E31" s="15" t="n"/>
    </row>
    <row r="32">
      <c r="A32" s="57" t="inlineStr">
        <is>
          <t xml:space="preserve">    88  :PREFIX:-EXTUNIP2                       VALUE 'EXP2'.</t>
        </is>
      </c>
      <c r="B32" s="58" t="inlineStr">
        <is>
          <t xml:space="preserve">     Extrato Único - Registo tipo Lista - Resumo Poupança TIT</t>
        </is>
      </c>
      <c r="C32" s="48" t="n"/>
      <c r="D32" s="48" t="n"/>
      <c r="E32" s="15" t="n"/>
    </row>
    <row r="33">
      <c r="A33" s="57" t="inlineStr">
        <is>
          <t xml:space="preserve">    88  :PREFIX:-EXTUNIP3                       VALUE 'EXP3'.</t>
        </is>
      </c>
      <c r="B33" s="58" t="inlineStr">
        <is>
          <t xml:space="preserve">     Extrato Único - Registo tipo Lista - Resumo Poupança DET</t>
        </is>
      </c>
      <c r="C33" s="48" t="n"/>
      <c r="D33" s="48" t="n"/>
      <c r="E33" s="15" t="n"/>
    </row>
    <row r="34">
      <c r="A34" s="57" t="inlineStr">
        <is>
          <t xml:space="preserve">    88  :PREFIX:-EXTUNIP4                       VALUE 'EXP4'.</t>
        </is>
      </c>
      <c r="B34" s="58" t="inlineStr">
        <is>
          <t xml:space="preserve">     Extrato Único - Registo tipo único - Resumo Poupança FTR</t>
        </is>
      </c>
      <c r="C34" s="48" t="n"/>
      <c r="D34" s="48" t="n"/>
      <c r="E34" s="15" t="n"/>
    </row>
    <row r="35">
      <c r="A35" s="57" t="inlineStr">
        <is>
          <t xml:space="preserve">    88  :PREFIX:-EXTUNIR1                       VALUE 'EXR1'.</t>
        </is>
      </c>
      <c r="B35" s="58" t="inlineStr">
        <is>
          <t xml:space="preserve">     Extrato Único - Registo tipo único - Resumo Reforma HDR</t>
        </is>
      </c>
      <c r="C35" s="48" t="n"/>
      <c r="D35" s="48" t="n"/>
      <c r="E35" s="15" t="n"/>
    </row>
    <row r="36">
      <c r="A36" s="57" t="inlineStr">
        <is>
          <t xml:space="preserve">    88  :PREFIX:-EXTUNIR2                       VALUE 'EXR2'.</t>
        </is>
      </c>
      <c r="B36" s="58" t="inlineStr">
        <is>
          <t xml:space="preserve">     Extrato Único - Registo tipo Lista - Resumo Reforma TIT</t>
        </is>
      </c>
      <c r="C36" s="48" t="n"/>
      <c r="D36" s="48" t="n"/>
      <c r="E36" s="15" t="n"/>
    </row>
    <row r="37">
      <c r="A37" s="57" t="inlineStr">
        <is>
          <t xml:space="preserve">    88  :PREFIX:-EXTUNIR3                       VALUE 'EXR3'.</t>
        </is>
      </c>
      <c r="B37" s="58" t="inlineStr">
        <is>
          <t xml:space="preserve">     Extrato Único - Registo tipo Lista - Resumo Reforma DET</t>
        </is>
      </c>
      <c r="C37" s="48" t="n"/>
      <c r="D37" s="48" t="n"/>
      <c r="E37" s="15" t="n"/>
    </row>
    <row r="38">
      <c r="A38" s="57" t="inlineStr">
        <is>
          <t xml:space="preserve">    88  :PREFIX:-EXTUNIR4                       VALUE 'EXR4'.</t>
        </is>
      </c>
      <c r="B38" s="58" t="inlineStr">
        <is>
          <t xml:space="preserve">     Extrato Único - Registo tipo único - Resumo Reforma FTR</t>
        </is>
      </c>
      <c r="C38" s="48" t="n"/>
      <c r="D38" s="48" t="n"/>
      <c r="E38" s="15" t="n"/>
    </row>
    <row r="39">
      <c r="A39" s="57" t="inlineStr">
        <is>
          <t xml:space="preserve">    88  :PREFIX:-EXTUNID1                       VALUE 'EXD1'.</t>
        </is>
      </c>
      <c r="B39" s="58" t="inlineStr">
        <is>
          <t xml:space="preserve">     Extrato Único - Registo tipo único - Detalhes das Apólices HDR</t>
        </is>
      </c>
      <c r="C39" s="48" t="n"/>
      <c r="D39" s="48" t="n"/>
      <c r="E39" s="15" t="n"/>
    </row>
    <row r="40">
      <c r="A40" s="57" t="inlineStr">
        <is>
          <t xml:space="preserve">    88  :PREFIX:-EXTUNID2                       VALUE 'EXD2'.</t>
        </is>
      </c>
      <c r="B40" s="58" t="inlineStr">
        <is>
          <t xml:space="preserve">     Extrato Único - Registo tipo Lista - Detalhes das Apólices TIT</t>
        </is>
      </c>
      <c r="C40" s="48" t="n"/>
      <c r="D40" s="48" t="n"/>
      <c r="E40" s="15" t="n"/>
    </row>
    <row r="41">
      <c r="A41" s="57" t="inlineStr">
        <is>
          <t xml:space="preserve">    88  :PREFIX:-EXTUNID3                       VALUE 'EXD3'.</t>
        </is>
      </c>
      <c r="B41" s="58" t="inlineStr">
        <is>
          <t xml:space="preserve">     Extrato Único - Registo tipo Lista - Detalhes das Apólices SUB</t>
        </is>
      </c>
      <c r="C41" s="48" t="n"/>
      <c r="D41" s="48" t="n"/>
      <c r="E41" s="15" t="n"/>
    </row>
    <row r="42">
      <c r="A42" s="57" t="inlineStr">
        <is>
          <t xml:space="preserve">    88  :PREFIX:-EXTUNID4                       VALUE 'EXD4'.</t>
        </is>
      </c>
      <c r="B42" s="58" t="inlineStr">
        <is>
          <t xml:space="preserve">     Extrato Único - Registo tipo Lista - Detalhes das Apólices DET</t>
        </is>
      </c>
      <c r="C42" s="48" t="n"/>
      <c r="D42" s="48" t="n"/>
      <c r="E42" s="15" t="n"/>
    </row>
    <row r="43">
      <c r="A43" s="57" t="inlineStr">
        <is>
          <t xml:space="preserve">    88  :PREFIX:-EXTUNID5                       VALUE 'EXD5'.</t>
        </is>
      </c>
      <c r="B43" s="58" t="inlineStr">
        <is>
          <t xml:space="preserve">     Extrato Único - Registo tipo Lista - Detalhes das Apólices FTR</t>
        </is>
      </c>
      <c r="C43" s="48" t="n"/>
      <c r="D43" s="48" t="n"/>
      <c r="E43" s="15" t="n"/>
    </row>
    <row r="44">
      <c r="A44" s="57" t="inlineStr">
        <is>
          <t xml:space="preserve">    88  :PREFIX:-EXTUNID5                       VALUE 'EXD6'.</t>
        </is>
      </c>
      <c r="B44" s="58" t="inlineStr">
        <is>
          <t xml:space="preserve">     Extrato Único - Registo tipo Lista - Detalhes das Apólices NOT</t>
        </is>
      </c>
      <c r="C44" s="48" t="n"/>
      <c r="D44" s="48" t="n"/>
      <c r="E44" s="15" t="n"/>
    </row>
    <row r="45">
      <c r="A45" s="57" t="inlineStr">
        <is>
          <t xml:space="preserve">    88  :PREFIX:-EXTUNITR                       VALUE 'EXTR'.</t>
        </is>
      </c>
      <c r="B45" s="58" t="inlineStr">
        <is>
          <t xml:space="preserve">     Extrato Único - Registo tipo Lista - Taxas de Rendimento</t>
        </is>
      </c>
      <c r="C45" s="48" t="n"/>
      <c r="D45" s="48" t="n"/>
      <c r="E45" s="15" t="n"/>
    </row>
    <row r="46">
      <c r="A46" s="57" t="inlineStr">
        <is>
          <t xml:space="preserve">    88  :PREFIX:-EXTUNITA                       VALUE 'EXTA'.</t>
        </is>
      </c>
      <c r="B46" s="58" t="inlineStr">
        <is>
          <t xml:space="preserve">     Extrato Único - Registo tipo Lista - Taxas Anuais</t>
        </is>
      </c>
      <c r="C46" s="48" t="n"/>
      <c r="D46" s="48" t="n"/>
      <c r="E46" s="15" t="n"/>
    </row>
    <row r="47">
      <c r="A47" s="57" t="inlineStr">
        <is>
          <t xml:space="preserve">    88  :PREFIX:-EXTUNIAG                       VALUE 'EXAG'.</t>
        </is>
      </c>
      <c r="B47" s="58" t="inlineStr">
        <is>
          <t xml:space="preserve">     Extrato Único - Registo tipo Lista - Agendamentos</t>
        </is>
      </c>
      <c r="C47" s="48" t="n"/>
      <c r="D47" s="48" t="n"/>
      <c r="E47" s="15" t="n"/>
    </row>
    <row r="48">
      <c r="A48" s="57" t="inlineStr">
        <is>
          <t xml:space="preserve">    88  :PREFIX:-EXTUNIIL                       VALUE 'EXIL'.</t>
        </is>
      </c>
      <c r="B48" s="58" t="inlineStr">
        <is>
          <t xml:space="preserve">     Extrato Único - Registo tipo Lista - Informações Legais (texto livre)</t>
        </is>
      </c>
      <c r="C48" s="48" t="n"/>
      <c r="D48" s="48" t="n"/>
      <c r="E48" s="15" t="n"/>
    </row>
    <row r="49">
      <c r="A49" s="57" t="inlineStr">
        <is>
          <t xml:space="preserve">    88  :PREFIX:-EXTUNIII                       VALUE 'EXII'.</t>
        </is>
      </c>
      <c r="B49" s="58" t="inlineStr">
        <is>
          <t xml:space="preserve">     Extrato Único - Registo tipo Lista - Informações Importantes Apólices Vencer</t>
        </is>
      </c>
      <c r="C49" s="48" t="n"/>
      <c r="D49" s="48" t="n"/>
      <c r="E49" s="15" t="n"/>
    </row>
    <row r="50">
      <c r="A50" s="57" t="inlineStr">
        <is>
          <t xml:space="preserve">    88  :PREFIX:-EXTUNITL                       VALUE 'EXTL'.</t>
        </is>
      </c>
      <c r="B50" s="58" t="inlineStr">
        <is>
          <t xml:space="preserve">     Extrato Único - Registo tipo Lista - Informações Importantes (texto livre)</t>
        </is>
      </c>
      <c r="C50" s="48" t="n"/>
      <c r="D50" s="48" t="n"/>
      <c r="E50" s="15" t="n"/>
    </row>
    <row r="51">
      <c r="A51" s="57" t="inlineStr">
        <is>
          <t xml:space="preserve">    88  :PREFIX:-EXTUNIZZ                       VALUE 'EXZZ'.</t>
        </is>
      </c>
      <c r="B51" s="58" t="inlineStr">
        <is>
          <t xml:space="preserve">     Extrato Único - Registo tipo único - Fim do documento</t>
        </is>
      </c>
      <c r="C51" s="48" t="n"/>
      <c r="D51" s="48" t="n"/>
      <c r="E51" s="18" t="n"/>
    </row>
    <row r="52">
      <c r="A52" s="46" t="inlineStr">
        <is>
          <t xml:space="preserve">  07  FILLER                          PIC X(07).</t>
        </is>
      </c>
      <c r="B52" s="47" t="inlineStr">
        <is>
          <t>Filler</t>
        </is>
      </c>
      <c r="C52" s="48">
        <f>C27+D27</f>
        <v/>
      </c>
      <c r="D52" s="48" t="n">
        <v>7</v>
      </c>
      <c r="E52" s="19" t="inlineStr">
        <is>
          <t>Espaços</t>
        </is>
      </c>
    </row>
    <row r="53">
      <c r="A53" s="46" t="inlineStr">
        <is>
          <t xml:space="preserve">  07  :PREFIX:-DOC-ID                 PIC X(03).</t>
        </is>
      </c>
      <c r="B53" s="47" t="inlineStr">
        <is>
          <t>Código para separar os movimentos conforme tipo de documento</t>
        </is>
      </c>
      <c r="C53" s="48">
        <f>C52+D52</f>
        <v/>
      </c>
      <c r="D53" s="48" t="n">
        <v>3</v>
      </c>
      <c r="E53" s="17" t="inlineStr">
        <is>
          <t>Obrigatório</t>
        </is>
      </c>
    </row>
    <row r="54">
      <c r="A54" s="57" t="inlineStr">
        <is>
          <t xml:space="preserve">    88  :PREFIX:-DOCID-EXTUNI                   VALUE '014'.</t>
        </is>
      </c>
      <c r="B54" s="58" t="inlineStr">
        <is>
          <t xml:space="preserve">     '014' - Extrato Único</t>
        </is>
      </c>
      <c r="C54" s="48" t="n"/>
      <c r="D54" s="48" t="n"/>
      <c r="E54" s="18" t="n"/>
    </row>
    <row r="55">
      <c r="A55" s="46" t="inlineStr">
        <is>
          <t xml:space="preserve">  07  :PREFIX:-USER-ID                PIC X(08).</t>
        </is>
      </c>
      <c r="B55" s="47" t="inlineStr">
        <is>
          <t>User Id (se impressão online, espaços para os restantes casos)</t>
        </is>
      </c>
      <c r="C55" s="48">
        <f>C53+D53</f>
        <v/>
      </c>
      <c r="D55" s="48" t="n">
        <v>8</v>
      </c>
      <c r="E55" s="21" t="inlineStr">
        <is>
          <t>Opcional</t>
        </is>
      </c>
    </row>
    <row r="56">
      <c r="A56" s="46" t="inlineStr">
        <is>
          <t xml:space="preserve">  07  :PREFIX:-ADERENTE               PIC X(08).</t>
        </is>
      </c>
      <c r="B56" s="47" t="inlineStr">
        <is>
          <t>Número de Aderente</t>
        </is>
      </c>
      <c r="C56" s="48">
        <f>C55+D55</f>
        <v/>
      </c>
      <c r="D56" s="48" t="n">
        <v>8</v>
      </c>
      <c r="E56" s="21" t="inlineStr">
        <is>
          <t>Opcional</t>
        </is>
      </c>
    </row>
    <row r="57">
      <c r="A57" s="46" t="inlineStr">
        <is>
          <t xml:space="preserve">  07  FILLER                          PIC X(142).</t>
        </is>
      </c>
      <c r="B57" s="47" t="inlineStr">
        <is>
          <t>Filler</t>
        </is>
      </c>
      <c r="C57" s="48">
        <f>C56+D56</f>
        <v/>
      </c>
      <c r="D57" s="48" t="n">
        <v>142</v>
      </c>
      <c r="E57" s="19" t="inlineStr">
        <is>
          <t>Espaços</t>
        </is>
      </c>
    </row>
    <row r="58">
      <c r="A58" s="5" t="inlineStr">
        <is>
          <t>05  :PREFIX:-DADOS-DOCUMENTO          PIC X(3797).</t>
        </is>
      </c>
      <c r="B58" s="7" t="n"/>
      <c r="C58" s="8">
        <f>C57+D57</f>
        <v/>
      </c>
      <c r="D58" s="8">
        <f>4096-C58</f>
        <v/>
      </c>
      <c r="E58" s="64" t="n"/>
    </row>
    <row r="59">
      <c r="A59" s="28" t="n"/>
      <c r="B59" s="12" t="n"/>
      <c r="C59" s="13" t="n"/>
      <c r="D59" s="13" t="n"/>
      <c r="E59" s="27" t="n"/>
    </row>
    <row r="60">
      <c r="A60" s="5" t="inlineStr">
        <is>
          <t>05  FILLER              REDEFINES :PREFIX:-DADOS-DOCUMENTO.</t>
        </is>
      </c>
      <c r="B60" s="7" t="inlineStr">
        <is>
          <t>Dados de Endereçamento e Assunto (Registo do tipo EXEA)</t>
        </is>
      </c>
      <c r="C60" s="8">
        <f>C58</f>
        <v/>
      </c>
      <c r="D60" s="8" t="n">
        <v>0</v>
      </c>
      <c r="E60" s="64" t="n"/>
    </row>
    <row r="61">
      <c r="A61" s="30" t="inlineStr">
        <is>
          <t xml:space="preserve">  07  :PREFIX:-DADOS-TOMADOR.</t>
        </is>
      </c>
      <c r="B61" s="32" t="n"/>
      <c r="C61" s="33">
        <f>C60+D60</f>
        <v/>
      </c>
      <c r="D61" s="32" t="n">
        <v>0</v>
      </c>
      <c r="E61" s="69" t="n"/>
    </row>
    <row r="62">
      <c r="A62" s="10" t="inlineStr">
        <is>
          <t xml:space="preserve">    09  :PREFIX:-TM-NOME              PIC X(40).</t>
        </is>
      </c>
      <c r="B62" s="16" t="inlineStr">
        <is>
          <t xml:space="preserve">Nome </t>
        </is>
      </c>
      <c r="C62" s="25">
        <f>C61+D61</f>
        <v/>
      </c>
      <c r="D62" s="16" t="n">
        <v>40</v>
      </c>
      <c r="E62" s="17" t="inlineStr">
        <is>
          <t>Obrigatório</t>
        </is>
      </c>
    </row>
    <row r="63">
      <c r="A63" s="10" t="inlineStr">
        <is>
          <t xml:space="preserve">    09  :PREFIX:-TM-LOCATION-REF      PIC X(04).</t>
        </is>
      </c>
      <c r="B63" s="16" t="inlineStr">
        <is>
          <t>Referência da morada</t>
        </is>
      </c>
      <c r="C63" s="25">
        <f>C62+D62</f>
        <v/>
      </c>
      <c r="D63" s="16" t="n">
        <v>4</v>
      </c>
      <c r="E63" s="17" t="inlineStr">
        <is>
          <t>Obrigatório</t>
        </is>
      </c>
    </row>
    <row r="64">
      <c r="A64" s="10" t="inlineStr">
        <is>
          <t xml:space="preserve">    09  :PREFIX:-TM-MORADA1           PIC X(40).</t>
        </is>
      </c>
      <c r="B64" s="16" t="inlineStr">
        <is>
          <t>Dados de morada 1</t>
        </is>
      </c>
      <c r="C64" s="25">
        <f>C63+D63</f>
        <v/>
      </c>
      <c r="D64" s="16" t="n">
        <v>40</v>
      </c>
      <c r="E64" s="17" t="inlineStr">
        <is>
          <t>Obrigatório</t>
        </is>
      </c>
    </row>
    <row r="65">
      <c r="A65" s="10" t="inlineStr">
        <is>
          <t xml:space="preserve">    09  :PREFIX:-TM-MORADA2           PIC X(40).</t>
        </is>
      </c>
      <c r="B65" s="16" t="inlineStr">
        <is>
          <t>Dados de morada 2</t>
        </is>
      </c>
      <c r="C65" s="25">
        <f>C64+D64</f>
        <v/>
      </c>
      <c r="D65" s="16" t="n">
        <v>40</v>
      </c>
      <c r="E65" s="21" t="inlineStr">
        <is>
          <t>Opcional</t>
        </is>
      </c>
    </row>
    <row r="66">
      <c r="A66" s="10" t="inlineStr">
        <is>
          <t xml:space="preserve">    09  :PREFIX:-TM-LOCALIDADE        PIC X(40).</t>
        </is>
      </c>
      <c r="B66" s="16" t="inlineStr">
        <is>
          <t>Localidade</t>
        </is>
      </c>
      <c r="C66" s="25">
        <f>C65+D65</f>
        <v/>
      </c>
      <c r="D66" s="16" t="n">
        <v>40</v>
      </c>
      <c r="E66" s="21" t="inlineStr">
        <is>
          <t>Opcional</t>
        </is>
      </c>
    </row>
    <row r="67">
      <c r="A67" s="10" t="inlineStr">
        <is>
          <t xml:space="preserve">    09  :PREFIX:-TM-CPOSTAL           PIC X(09).</t>
        </is>
      </c>
      <c r="B67" s="16" t="inlineStr">
        <is>
          <t>Código postal (Se estrangeiro deverá vir a zeros) [99990999]</t>
        </is>
      </c>
      <c r="C67" s="25">
        <f>C66+D66</f>
        <v/>
      </c>
      <c r="D67" s="16" t="n">
        <v>9</v>
      </c>
      <c r="E67" s="17" t="inlineStr">
        <is>
          <t>Obrigatório</t>
        </is>
      </c>
    </row>
    <row r="68">
      <c r="A68" s="10" t="inlineStr">
        <is>
          <t xml:space="preserve">    09  :PREFIX:-TM-CPOSTAL-DESC      PIC X(40).</t>
        </is>
      </c>
      <c r="B68" s="16" t="inlineStr">
        <is>
          <t>Descritivo do código postal</t>
        </is>
      </c>
      <c r="C68" s="25">
        <f>C67+D67</f>
        <v/>
      </c>
      <c r="D68" s="16" t="n">
        <v>40</v>
      </c>
      <c r="E68" s="17" t="inlineStr">
        <is>
          <t>Obrigatório</t>
        </is>
      </c>
    </row>
    <row r="69">
      <c r="A69" s="10" t="inlineStr">
        <is>
          <t xml:space="preserve">    09  :PREFIX:-TM-CPAIS             PIC X(03).</t>
        </is>
      </c>
      <c r="B69" s="16" t="inlineStr">
        <is>
          <t>Código do País (Se estrangeiro, diferente de 620) - Se estrangeiro vai " "</t>
        </is>
      </c>
      <c r="C69" s="25">
        <f>C68+D68</f>
        <v/>
      </c>
      <c r="D69" s="16" t="n">
        <v>3</v>
      </c>
      <c r="E69" s="17" t="inlineStr">
        <is>
          <t>Obrigatório</t>
        </is>
      </c>
    </row>
    <row r="70">
      <c r="A70" s="10" t="inlineStr">
        <is>
          <t xml:space="preserve">    09  :PREFIX:-TM-CPAIS-DESC        PIC X(40).</t>
        </is>
      </c>
      <c r="B70" s="16" t="inlineStr">
        <is>
          <t>Descritivo do País (se Portugal vem vazio)</t>
        </is>
      </c>
      <c r="C70" s="25">
        <f>C69+D69</f>
        <v/>
      </c>
      <c r="D70" s="16" t="n">
        <v>40</v>
      </c>
      <c r="E70" s="17" t="inlineStr">
        <is>
          <t>Obrigatório</t>
        </is>
      </c>
    </row>
    <row r="71">
      <c r="A71" s="22" t="inlineStr">
        <is>
          <t xml:space="preserve">    09  :PREFIX:-TM-IDP               PIC X(04).</t>
        </is>
      </c>
      <c r="B71" s="36" t="inlineStr">
        <is>
          <t>Identificação da Porta (no CBC)</t>
        </is>
      </c>
      <c r="C71" s="25">
        <f>C70+D70</f>
        <v/>
      </c>
      <c r="D71" s="25" t="n">
        <v>4</v>
      </c>
      <c r="E71" s="17" t="inlineStr">
        <is>
          <t>Obrigatório</t>
        </is>
      </c>
    </row>
    <row r="72">
      <c r="A72" s="22" t="inlineStr">
        <is>
          <t xml:space="preserve">    09  :PREFIX:-TM-NIF               PIC X(22).</t>
        </is>
      </c>
      <c r="B72" s="16" t="inlineStr">
        <is>
          <t>Número de Identificação Fiscal do Tomador (se Portugal PT999999999)</t>
        </is>
      </c>
      <c r="C72" s="25">
        <f>C71+D71</f>
        <v/>
      </c>
      <c r="D72" s="25" t="n">
        <v>22</v>
      </c>
      <c r="E72" s="17" t="inlineStr">
        <is>
          <t>Obrigatório</t>
        </is>
      </c>
    </row>
    <row r="73">
      <c r="A73" s="22" t="inlineStr">
        <is>
          <t xml:space="preserve">    09  :PREFIX:-TM-TIPO-ENTIDADE     PIC X(01).</t>
        </is>
      </c>
      <c r="B73" s="16" t="inlineStr">
        <is>
          <t>Tipo Entidade</t>
        </is>
      </c>
      <c r="C73" s="25">
        <f>C72+D72</f>
        <v/>
      </c>
      <c r="D73" s="25" t="n">
        <v>1</v>
      </c>
      <c r="E73" s="34" t="inlineStr">
        <is>
          <t>Opcional</t>
        </is>
      </c>
    </row>
    <row r="74">
      <c r="A74" s="22" t="inlineStr">
        <is>
          <t xml:space="preserve">      88  :PREFIX:-TM-ENT-PARTICUL              VALUE '1'.</t>
        </is>
      </c>
      <c r="B74" s="16" t="inlineStr">
        <is>
          <t xml:space="preserve">     '1' - Pessoa / Particular</t>
        </is>
      </c>
      <c r="C74" s="25" t="n"/>
      <c r="D74" s="25" t="n"/>
      <c r="E74" s="15" t="n"/>
    </row>
    <row r="75">
      <c r="A75" s="22" t="inlineStr">
        <is>
          <t xml:space="preserve">      88  :PREFIX:-TM-ENT-COLETIVA              VALUE '2'.</t>
        </is>
      </c>
      <c r="B75" s="16" t="inlineStr">
        <is>
          <t xml:space="preserve">     '2' - Colectivo/Conta Interna</t>
        </is>
      </c>
      <c r="C75" s="25" t="n"/>
      <c r="D75" s="25" t="n"/>
      <c r="E75" s="18" t="n"/>
    </row>
    <row r="76">
      <c r="A76" s="30" t="inlineStr">
        <is>
          <t xml:space="preserve">  07  :PREFIX:-DADOS-GERAIS.</t>
        </is>
      </c>
      <c r="B76" s="33" t="n"/>
      <c r="C76" s="33">
        <f>C73+D73</f>
        <v/>
      </c>
      <c r="D76" s="33" t="n">
        <v>0</v>
      </c>
      <c r="E76" s="71" t="n"/>
    </row>
    <row r="77">
      <c r="A77" s="10" t="inlineStr">
        <is>
          <t xml:space="preserve">    09  :PREFIX:-DG-DT-EMISSAO        PIC X(08).</t>
        </is>
      </c>
      <c r="B77" s="16" t="inlineStr">
        <is>
          <t>Data de emissão [aaaammdd]</t>
        </is>
      </c>
      <c r="C77" s="25">
        <f>C76+D76</f>
        <v/>
      </c>
      <c r="D77" s="25" t="n">
        <v>8</v>
      </c>
      <c r="E77" s="17" t="inlineStr">
        <is>
          <t>Obrigatório</t>
        </is>
      </c>
    </row>
    <row r="78">
      <c r="A78" s="35" t="inlineStr">
        <is>
          <t xml:space="preserve">    09  FILLER                        PIC X(02).</t>
        </is>
      </c>
      <c r="B78" s="16" t="inlineStr">
        <is>
          <t>Filler</t>
        </is>
      </c>
      <c r="C78" s="25">
        <f>C77+D77</f>
        <v/>
      </c>
      <c r="D78" s="119" t="n">
        <v>2</v>
      </c>
      <c r="E78" s="19" t="inlineStr">
        <is>
          <t>Espaços</t>
        </is>
      </c>
    </row>
    <row r="79">
      <c r="A79" s="35" t="inlineStr">
        <is>
          <t xml:space="preserve">    09  :PREFIX:-DG-NOME-CLIENTE      PIC X(40).</t>
        </is>
      </c>
      <c r="B79" s="16" t="inlineStr">
        <is>
          <t>Nome do Cliente</t>
        </is>
      </c>
      <c r="C79" s="25">
        <f>C78+D78</f>
        <v/>
      </c>
      <c r="D79" s="36" t="n">
        <v>40</v>
      </c>
      <c r="E79" s="17" t="inlineStr">
        <is>
          <t>Obrigatório</t>
        </is>
      </c>
    </row>
    <row r="80">
      <c r="A80" s="10" t="inlineStr">
        <is>
          <t xml:space="preserve">    09  :PREFIX:-DG-NR-EXTRATO        PIC X(10).</t>
        </is>
      </c>
      <c r="B80" s="12" t="inlineStr">
        <is>
          <t>Número do Extrato</t>
        </is>
      </c>
      <c r="C80" s="25">
        <f>C79+D79</f>
        <v/>
      </c>
      <c r="D80" s="13" t="n">
        <v>10</v>
      </c>
      <c r="E80" s="17" t="inlineStr">
        <is>
          <t>Obrigatório</t>
        </is>
      </c>
    </row>
    <row r="81">
      <c r="A81" s="10" t="inlineStr">
        <is>
          <t xml:space="preserve">    09  :PREFIX:-DG-DT-INFORMACAO     PIC X(08).</t>
        </is>
      </c>
      <c r="B81" s="12" t="inlineStr">
        <is>
          <t>Data da Informação [aaaammdd]</t>
        </is>
      </c>
      <c r="C81" s="25">
        <f>C80+D80</f>
        <v/>
      </c>
      <c r="D81" s="13" t="n">
        <v>8</v>
      </c>
      <c r="E81" s="17" t="inlineStr">
        <is>
          <t>Obrigatório</t>
        </is>
      </c>
    </row>
    <row r="82">
      <c r="A82" s="35" t="inlineStr">
        <is>
          <t xml:space="preserve">    09  FILLER                        PIC X(02).</t>
        </is>
      </c>
      <c r="B82" s="16" t="inlineStr">
        <is>
          <t>Filler</t>
        </is>
      </c>
      <c r="C82" s="25">
        <f>C81+D81</f>
        <v/>
      </c>
      <c r="D82" s="13" t="n">
        <v>2</v>
      </c>
      <c r="E82" s="19" t="inlineStr">
        <is>
          <t>Espaços</t>
        </is>
      </c>
    </row>
    <row r="83">
      <c r="A83" s="30" t="inlineStr">
        <is>
          <t xml:space="preserve">  07  FILLER                          PIC X(3444).</t>
        </is>
      </c>
      <c r="B83" s="32" t="inlineStr">
        <is>
          <t>Espaços</t>
        </is>
      </c>
      <c r="C83" s="33">
        <f>C82+D82</f>
        <v/>
      </c>
      <c r="D83" s="32">
        <f>4096-C83</f>
        <v/>
      </c>
      <c r="E83" s="69" t="n"/>
    </row>
    <row r="84">
      <c r="A84" s="10" t="n"/>
      <c r="B84" s="16" t="n"/>
      <c r="C84" s="13" t="n"/>
      <c r="D84" s="16" t="n"/>
      <c r="E84" s="73" t="n"/>
    </row>
    <row r="85">
      <c r="A85" s="5" t="inlineStr">
        <is>
          <t>05  FILLER              REDEFINES :PREFIX:-DADOS-DOCUMENTO.</t>
        </is>
      </c>
      <c r="B85" s="74" t="inlineStr">
        <is>
          <t>Dados do Saldo Integrado (Registo do tipo EXSI)</t>
        </is>
      </c>
      <c r="C85" s="8">
        <f>C58</f>
        <v/>
      </c>
      <c r="D85" s="8" t="n">
        <v>0</v>
      </c>
      <c r="E85" s="64" t="n"/>
    </row>
    <row r="86">
      <c r="A86" s="30" t="inlineStr">
        <is>
          <t xml:space="preserve">  07  :PREFIX:-PERIODO-SALDO-INTEGRADO.</t>
        </is>
      </c>
      <c r="B86" s="32" t="n"/>
      <c r="C86" s="38">
        <f>C85+D85</f>
        <v/>
      </c>
      <c r="D86" s="32" t="n">
        <v>0</v>
      </c>
      <c r="E86" s="69" t="n"/>
    </row>
    <row r="87">
      <c r="A87" s="40" t="inlineStr">
        <is>
          <t xml:space="preserve">    09  :PREFIX:-SI-DT-INICIO         PIC X(08).</t>
        </is>
      </c>
      <c r="B87" s="16" t="inlineStr">
        <is>
          <t>Data Inicio [aaaammdd]</t>
        </is>
      </c>
      <c r="C87" s="13">
        <f>C86+D86</f>
        <v/>
      </c>
      <c r="D87" s="25" t="n">
        <v>8</v>
      </c>
      <c r="E87" s="17" t="inlineStr">
        <is>
          <t>Obrigatório</t>
        </is>
      </c>
    </row>
    <row r="88">
      <c r="A88" s="35" t="inlineStr">
        <is>
          <t xml:space="preserve">    09  FILLER                        PIC X(02).</t>
        </is>
      </c>
      <c r="B88" s="16" t="inlineStr">
        <is>
          <t>Filler</t>
        </is>
      </c>
      <c r="C88" s="13">
        <f>C87+D87</f>
        <v/>
      </c>
      <c r="D88" s="25" t="n">
        <v>2</v>
      </c>
      <c r="E88" s="19" t="inlineStr">
        <is>
          <t>Espaços</t>
        </is>
      </c>
    </row>
    <row r="89">
      <c r="A89" s="40" t="inlineStr">
        <is>
          <t xml:space="preserve">    09  :PREFIX:-SI-DT-FINAL          PIC X(08).</t>
        </is>
      </c>
      <c r="B89" s="16" t="inlineStr">
        <is>
          <t>Data Final [aaaammdd]</t>
        </is>
      </c>
      <c r="C89" s="13">
        <f>C88+D88</f>
        <v/>
      </c>
      <c r="D89" s="25" t="n">
        <v>8</v>
      </c>
      <c r="E89" s="17" t="inlineStr">
        <is>
          <t>Obrigatório</t>
        </is>
      </c>
    </row>
    <row r="90">
      <c r="A90" s="35" t="inlineStr">
        <is>
          <t xml:space="preserve">    09  FILLER                        PIC X(02).</t>
        </is>
      </c>
      <c r="B90" s="16" t="inlineStr">
        <is>
          <t>Filler</t>
        </is>
      </c>
      <c r="C90" s="13">
        <f>C89+D89</f>
        <v/>
      </c>
      <c r="D90" s="25" t="n">
        <v>2</v>
      </c>
      <c r="E90" s="19" t="inlineStr">
        <is>
          <t>Espaços</t>
        </is>
      </c>
    </row>
    <row r="91">
      <c r="A91" s="30" t="inlineStr">
        <is>
          <t xml:space="preserve">  07  :PREFIX:-SALDO-POUPANCA.</t>
        </is>
      </c>
      <c r="B91" s="32" t="n"/>
      <c r="C91" s="38">
        <f>C90+D90</f>
        <v/>
      </c>
      <c r="D91" s="32" t="n">
        <v>0</v>
      </c>
      <c r="E91" s="69" t="n"/>
    </row>
    <row r="92">
      <c r="A92" s="40" t="inlineStr">
        <is>
          <t xml:space="preserve">    09  :PREFIX:-SI-DESC-POUPANCA     PIC X(30).</t>
        </is>
      </c>
      <c r="B92" s="16" t="inlineStr">
        <is>
          <t>Descritivo da Poupança</t>
        </is>
      </c>
      <c r="C92" s="13">
        <f>C91+D91</f>
        <v/>
      </c>
      <c r="D92" s="25" t="n">
        <v>30</v>
      </c>
      <c r="E92" s="21" t="inlineStr">
        <is>
          <t>Opcional</t>
        </is>
      </c>
    </row>
    <row r="93">
      <c r="A93" s="40" t="inlineStr">
        <is>
          <t xml:space="preserve">    09  :PREFIX:-SI-VL-INICIAL-P      PIC S9(12)V9(02) SIGN LEADING SEPARATE.</t>
        </is>
      </c>
      <c r="B93" s="16" t="inlineStr">
        <is>
          <t>Valor Inicial da Poupança</t>
        </is>
      </c>
      <c r="C93" s="13">
        <f>C92+D92</f>
        <v/>
      </c>
      <c r="D93" s="25" t="n">
        <v>15</v>
      </c>
      <c r="E93" s="21" t="inlineStr">
        <is>
          <t>Opcional</t>
        </is>
      </c>
    </row>
    <row r="94">
      <c r="A94" s="40" t="inlineStr">
        <is>
          <t xml:space="preserve">    09  :PREFIX:-SI-VL-FINAL-P        PIC S9(12)V9(02) SIGN LEADING SEPARATE.</t>
        </is>
      </c>
      <c r="B94" s="16" t="inlineStr">
        <is>
          <t>Valor Final da Poupança</t>
        </is>
      </c>
      <c r="C94" s="13">
        <f>C93+D93</f>
        <v/>
      </c>
      <c r="D94" s="25" t="n">
        <v>15</v>
      </c>
      <c r="E94" s="21" t="inlineStr">
        <is>
          <t>Opcional</t>
        </is>
      </c>
    </row>
    <row r="95">
      <c r="A95" s="30" t="inlineStr">
        <is>
          <t xml:space="preserve">  07  :PREFIX:-SALDO-REFORMA.</t>
        </is>
      </c>
      <c r="B95" s="32" t="n"/>
      <c r="C95" s="38">
        <f>C94+D94</f>
        <v/>
      </c>
      <c r="D95" s="32" t="n">
        <v>0</v>
      </c>
      <c r="E95" s="69" t="n"/>
    </row>
    <row r="96">
      <c r="A96" s="40" t="inlineStr">
        <is>
          <t xml:space="preserve">    09  :PREFIX:-SI-DESC-REFORMA      PIC X(30).</t>
        </is>
      </c>
      <c r="B96" s="16" t="inlineStr">
        <is>
          <t>Descritivo da Reforma</t>
        </is>
      </c>
      <c r="C96" s="13">
        <f>C95+D95</f>
        <v/>
      </c>
      <c r="D96" s="25" t="n">
        <v>30</v>
      </c>
      <c r="E96" s="21" t="inlineStr">
        <is>
          <t>Opcional</t>
        </is>
      </c>
    </row>
    <row r="97">
      <c r="A97" s="40" t="inlineStr">
        <is>
          <t xml:space="preserve">    09  :PREFIX:-SI-VL-INICIAL-R      PIC S9(12)V9(02) SIGN LEADING SEPARATE.</t>
        </is>
      </c>
      <c r="B97" s="16" t="inlineStr">
        <is>
          <t>Valor Inicial da Reforma</t>
        </is>
      </c>
      <c r="C97" s="13">
        <f>C96+D96</f>
        <v/>
      </c>
      <c r="D97" s="25" t="n">
        <v>15</v>
      </c>
      <c r="E97" s="21" t="inlineStr">
        <is>
          <t>Opcional</t>
        </is>
      </c>
    </row>
    <row r="98">
      <c r="A98" s="40" t="inlineStr">
        <is>
          <t xml:space="preserve">    09  :PREFIX:-SI-VL-FINAL-R        PIC S9(12)V9(02) SIGN LEADING SEPARATE.</t>
        </is>
      </c>
      <c r="B98" s="16" t="inlineStr">
        <is>
          <t>Valor Final da Reforma</t>
        </is>
      </c>
      <c r="C98" s="13">
        <f>C97+D97</f>
        <v/>
      </c>
      <c r="D98" s="25" t="n">
        <v>15</v>
      </c>
      <c r="E98" s="21" t="inlineStr">
        <is>
          <t>Opcional</t>
        </is>
      </c>
    </row>
    <row r="99">
      <c r="A99" s="30" t="inlineStr">
        <is>
          <t xml:space="preserve">  07  :PREFIX:-SALDO-INTEGRADO.</t>
        </is>
      </c>
      <c r="B99" s="32" t="n"/>
      <c r="C99" s="38">
        <f>C98+D98</f>
        <v/>
      </c>
      <c r="D99" s="32" t="n">
        <v>0</v>
      </c>
      <c r="E99" s="69" t="n"/>
    </row>
    <row r="100">
      <c r="A100" s="40" t="inlineStr">
        <is>
          <t xml:space="preserve">    09  :PREFIX:-SI-VL-INICIAL-T      PIC S9(12)V9(02) SIGN LEADING SEPARATE.</t>
        </is>
      </c>
      <c r="B100" s="16" t="inlineStr">
        <is>
          <t>Valor Inicial Total</t>
        </is>
      </c>
      <c r="C100" s="13">
        <f>C99+D99</f>
        <v/>
      </c>
      <c r="D100" s="25" t="n">
        <v>15</v>
      </c>
      <c r="E100" s="17" t="inlineStr">
        <is>
          <t>Obrigatório</t>
        </is>
      </c>
    </row>
    <row r="101">
      <c r="A101" s="40" t="inlineStr">
        <is>
          <t xml:space="preserve">    09  :PREFIX:-SI-VL-FINAL-T        PIC S9(12)V9(02) SIGN LEADING SEPARATE.</t>
        </is>
      </c>
      <c r="B101" s="16" t="inlineStr">
        <is>
          <t>Valor Final Total</t>
        </is>
      </c>
      <c r="C101" s="13">
        <f>C100+D100</f>
        <v/>
      </c>
      <c r="D101" s="25" t="n">
        <v>15</v>
      </c>
      <c r="E101" s="17" t="inlineStr">
        <is>
          <t>Obrigatório</t>
        </is>
      </c>
    </row>
    <row r="102">
      <c r="A102" s="30" t="inlineStr">
        <is>
          <t xml:space="preserve">  07  FILLER                          PIC X(3627).</t>
        </is>
      </c>
      <c r="B102" s="32" t="inlineStr">
        <is>
          <t>Espaços</t>
        </is>
      </c>
      <c r="C102" s="38">
        <f>C101+D101</f>
        <v/>
      </c>
      <c r="D102" s="32">
        <f>4096-C102</f>
        <v/>
      </c>
      <c r="E102" s="69" t="n"/>
    </row>
    <row r="103">
      <c r="A103" s="10" t="n"/>
      <c r="B103" s="16" t="n"/>
      <c r="C103" s="25" t="n"/>
      <c r="D103" s="16" t="n"/>
      <c r="E103" s="73" t="n"/>
    </row>
    <row r="104">
      <c r="A104" s="5" t="inlineStr">
        <is>
          <t>05  FILLER              REDEFINES :PREFIX:-DADOS-DOCUMENTO.</t>
        </is>
      </c>
      <c r="B104" s="74" t="inlineStr">
        <is>
          <t>Dados do Capital a Receber (Registo do tipo EXCR)</t>
        </is>
      </c>
      <c r="C104" s="8">
        <f>C58</f>
        <v/>
      </c>
      <c r="D104" s="8" t="n">
        <v>0</v>
      </c>
      <c r="E104" s="64" t="n"/>
    </row>
    <row r="105">
      <c r="A105" s="30" t="inlineStr">
        <is>
          <t xml:space="preserve">  07  :PREFIX:-CAPITAL-RECEBER.</t>
        </is>
      </c>
      <c r="B105" s="32" t="n"/>
      <c r="C105" s="38">
        <f>C104+D104</f>
        <v/>
      </c>
      <c r="D105" s="32" t="n">
        <v>0</v>
      </c>
      <c r="E105" s="69" t="n"/>
    </row>
    <row r="106">
      <c r="A106" s="40" t="inlineStr">
        <is>
          <t xml:space="preserve">    09  :PREFIX:-CR-NR-CONTRATOS      PIC 9(03).</t>
        </is>
      </c>
      <c r="B106" s="16" t="inlineStr">
        <is>
          <t>Número de Contratos</t>
        </is>
      </c>
      <c r="C106" s="13">
        <f>C105+D105</f>
        <v/>
      </c>
      <c r="D106" s="25" t="n">
        <v>3</v>
      </c>
      <c r="E106" s="17" t="inlineStr">
        <is>
          <t>Obrigatório</t>
        </is>
      </c>
    </row>
    <row r="107">
      <c r="A107" s="40" t="inlineStr">
        <is>
          <t xml:space="preserve">    09  :PREFIX:-CR-APOLICE           PIC X(16).</t>
        </is>
      </c>
      <c r="B107" s="16" t="inlineStr">
        <is>
          <t>Apólice</t>
        </is>
      </c>
      <c r="C107" s="13">
        <f>C106+D106</f>
        <v/>
      </c>
      <c r="D107" s="25" t="n">
        <v>16</v>
      </c>
      <c r="E107" s="21" t="inlineStr">
        <is>
          <t>Opcional</t>
        </is>
      </c>
    </row>
    <row r="108">
      <c r="A108" s="40" t="inlineStr">
        <is>
          <t xml:space="preserve">    09  :PREFIX:-CR-DT-TERMINO        PIC X(08).</t>
        </is>
      </c>
      <c r="B108" s="16" t="inlineStr">
        <is>
          <t>Data Termino [aaaammdd]</t>
        </is>
      </c>
      <c r="C108" s="13">
        <f>C107+D107</f>
        <v/>
      </c>
      <c r="D108" s="25" t="n">
        <v>8</v>
      </c>
      <c r="E108" s="21" t="inlineStr">
        <is>
          <t>Opcional</t>
        </is>
      </c>
    </row>
    <row r="109">
      <c r="A109" s="35" t="inlineStr">
        <is>
          <t xml:space="preserve">    09  FILLER                        PIC X(02).</t>
        </is>
      </c>
      <c r="B109" s="16" t="inlineStr">
        <is>
          <t>Filler</t>
        </is>
      </c>
      <c r="C109" s="13">
        <f>C108+D108</f>
        <v/>
      </c>
      <c r="D109" s="25" t="n">
        <v>2</v>
      </c>
      <c r="E109" s="19" t="inlineStr">
        <is>
          <t>Espaços</t>
        </is>
      </c>
    </row>
    <row r="110">
      <c r="A110" s="40" t="inlineStr">
        <is>
          <t xml:space="preserve">    09  :PREFIX:-CR-VL-CAPITAL        PIC S9(12)V9(02) SIGN LEADING SEPARATE.</t>
        </is>
      </c>
      <c r="B110" s="16" t="inlineStr">
        <is>
          <t>Valor Capital</t>
        </is>
      </c>
      <c r="C110" s="13">
        <f>C109+D109</f>
        <v/>
      </c>
      <c r="D110" s="25" t="n">
        <v>15</v>
      </c>
      <c r="E110" s="21" t="inlineStr">
        <is>
          <t>Opcional</t>
        </is>
      </c>
    </row>
    <row r="111">
      <c r="A111" s="30" t="inlineStr">
        <is>
          <t xml:space="preserve">  07  FILLER                          PIC X(3753).</t>
        </is>
      </c>
      <c r="B111" s="32" t="inlineStr">
        <is>
          <t>Espaços</t>
        </is>
      </c>
      <c r="C111" s="38">
        <f>C110+D110</f>
        <v/>
      </c>
      <c r="D111" s="32">
        <f>4096-C111</f>
        <v/>
      </c>
      <c r="E111" s="69" t="n"/>
    </row>
    <row r="112">
      <c r="A112" s="10" t="n"/>
      <c r="B112" s="16" t="n"/>
      <c r="C112" s="13" t="n"/>
      <c r="D112" s="16" t="n"/>
      <c r="E112" s="73" t="n"/>
    </row>
    <row r="113">
      <c r="A113" s="5" t="inlineStr">
        <is>
          <t>05  FILLER              REDEFINES :PREFIX:-DADOS-DOCUMENTO.</t>
        </is>
      </c>
      <c r="B113" s="6" t="inlineStr">
        <is>
          <t>Lista do Resumo da Poupança (Registo do tipo EXP1) repete-se de 0 a 1</t>
        </is>
      </c>
      <c r="C113" s="8">
        <f>C58</f>
        <v/>
      </c>
      <c r="D113" s="8" t="n">
        <v>0</v>
      </c>
      <c r="E113" s="64" t="n"/>
    </row>
    <row r="114">
      <c r="A114" s="30" t="inlineStr">
        <is>
          <t xml:space="preserve">  07  :PREFIX:-QUADRO-RESUMO-POUPANCA-HDR.</t>
        </is>
      </c>
      <c r="B114" s="32" t="n"/>
      <c r="C114" s="38">
        <f>C113+D113</f>
        <v/>
      </c>
      <c r="D114" s="32" t="n">
        <v>0</v>
      </c>
      <c r="E114" s="69" t="n"/>
    </row>
    <row r="115">
      <c r="A115" s="40" t="inlineStr">
        <is>
          <t xml:space="preserve">    09  :PREFIX:-QR-POU-HDR-DT-INICIO PIC X(08).</t>
        </is>
      </c>
      <c r="B115" s="16" t="inlineStr">
        <is>
          <t>Data Inicio [aaaammdd]</t>
        </is>
      </c>
      <c r="C115" s="13">
        <f>C114+D114</f>
        <v/>
      </c>
      <c r="D115" s="25" t="n">
        <v>8</v>
      </c>
      <c r="E115" s="17" t="inlineStr">
        <is>
          <t>Obrigatório</t>
        </is>
      </c>
    </row>
    <row r="116">
      <c r="A116" s="35" t="inlineStr">
        <is>
          <t xml:space="preserve">    09  FILLER                        PIC X(02).</t>
        </is>
      </c>
      <c r="B116" s="16" t="inlineStr">
        <is>
          <t>Filler</t>
        </is>
      </c>
      <c r="C116" s="13">
        <f>C115+D115</f>
        <v/>
      </c>
      <c r="D116" s="25" t="n">
        <v>2</v>
      </c>
      <c r="E116" s="19" t="inlineStr">
        <is>
          <t>Espaços</t>
        </is>
      </c>
    </row>
    <row r="117">
      <c r="A117" s="40" t="inlineStr">
        <is>
          <t xml:space="preserve">    09  :PREFIX:-QR-POU-HDR-DT-TERMO  PIC X(08).</t>
        </is>
      </c>
      <c r="B117" s="16" t="inlineStr">
        <is>
          <t>Data Termo [aaaammdd]</t>
        </is>
      </c>
      <c r="C117" s="13">
        <f>C116+D116</f>
        <v/>
      </c>
      <c r="D117" s="25" t="n">
        <v>8</v>
      </c>
      <c r="E117" s="17" t="inlineStr">
        <is>
          <t>Obrigatório</t>
        </is>
      </c>
    </row>
    <row r="118">
      <c r="A118" s="35" t="inlineStr">
        <is>
          <t xml:space="preserve">    09  FILLER                        PIC X(02).</t>
        </is>
      </c>
      <c r="B118" s="16" t="inlineStr">
        <is>
          <t>Filler</t>
        </is>
      </c>
      <c r="C118" s="13">
        <f>C117+D117</f>
        <v/>
      </c>
      <c r="D118" s="25" t="n">
        <v>2</v>
      </c>
      <c r="E118" s="19" t="inlineStr">
        <is>
          <t>Espaços</t>
        </is>
      </c>
    </row>
    <row r="119">
      <c r="A119" s="30" t="inlineStr">
        <is>
          <t xml:space="preserve">  07  FILLER                          PIC X(3777).</t>
        </is>
      </c>
      <c r="B119" s="32" t="inlineStr">
        <is>
          <t>Espaços</t>
        </is>
      </c>
      <c r="C119" s="38">
        <f>C118+D118</f>
        <v/>
      </c>
      <c r="D119" s="32">
        <f>4096-C119</f>
        <v/>
      </c>
      <c r="E119" s="69" t="n"/>
    </row>
    <row r="120">
      <c r="A120" s="10" t="n"/>
      <c r="B120" s="16" t="n"/>
      <c r="C120" s="13" t="n"/>
      <c r="D120" s="16" t="n"/>
      <c r="E120" s="73" t="n"/>
    </row>
    <row r="121">
      <c r="A121" s="5" t="inlineStr">
        <is>
          <t>05  FILLER              REDEFINES :PREFIX:-DADOS-DOCUMENTO.</t>
        </is>
      </c>
      <c r="B121" s="6" t="inlineStr">
        <is>
          <t>Lista do Resumo da Poupança (Registo do tipo EXP2) repete-se de 0 a N</t>
        </is>
      </c>
      <c r="C121" s="8">
        <f>C58</f>
        <v/>
      </c>
      <c r="D121" s="8" t="n">
        <v>0</v>
      </c>
      <c r="E121" s="64" t="n"/>
    </row>
    <row r="122">
      <c r="A122" s="30" t="inlineStr">
        <is>
          <t xml:space="preserve">  07  :PREFIX:-QUADRO-RESUMO-POUPANCA-TIT.</t>
        </is>
      </c>
      <c r="B122" s="32" t="n"/>
      <c r="C122" s="38">
        <f>C121+D121</f>
        <v/>
      </c>
      <c r="D122" s="32" t="n">
        <v>0</v>
      </c>
      <c r="E122" s="69" t="n"/>
    </row>
    <row r="123">
      <c r="A123" s="40" t="inlineStr">
        <is>
          <t xml:space="preserve">    09  :PREFIX:-QR-POU-TIT-PRODUTO   PIC X(30).</t>
        </is>
      </c>
      <c r="B123" s="16" t="inlineStr">
        <is>
          <t>Produto</t>
        </is>
      </c>
      <c r="C123" s="13">
        <f>C122+D122</f>
        <v/>
      </c>
      <c r="D123" s="25" t="n">
        <v>30</v>
      </c>
      <c r="E123" s="17" t="inlineStr">
        <is>
          <t>Obrigatório</t>
        </is>
      </c>
    </row>
    <row r="124">
      <c r="A124" s="40" t="inlineStr">
        <is>
          <t xml:space="preserve">    09  :PREFIX:-QR-POU-TIT-APOLICE   PIC X(20).</t>
        </is>
      </c>
      <c r="B124" s="16" t="inlineStr">
        <is>
          <t>Apólice</t>
        </is>
      </c>
      <c r="C124" s="13">
        <f>C123+D123</f>
        <v/>
      </c>
      <c r="D124" s="25" t="n">
        <v>20</v>
      </c>
      <c r="E124" s="17" t="inlineStr">
        <is>
          <t>Obrigatório</t>
        </is>
      </c>
    </row>
    <row r="125">
      <c r="A125" s="30" t="inlineStr">
        <is>
          <t xml:space="preserve">  07  FILLER                          PIC X(3747).</t>
        </is>
      </c>
      <c r="B125" s="32" t="inlineStr">
        <is>
          <t>Espaços</t>
        </is>
      </c>
      <c r="C125" s="38">
        <f>C124+D124</f>
        <v/>
      </c>
      <c r="D125" s="32">
        <f>4096-C125</f>
        <v/>
      </c>
      <c r="E125" s="69" t="n"/>
    </row>
    <row r="126">
      <c r="A126" s="10" t="n"/>
      <c r="B126" s="16" t="n"/>
      <c r="C126" s="13" t="n"/>
      <c r="D126" s="16" t="n"/>
      <c r="E126" s="73" t="n"/>
    </row>
    <row r="127">
      <c r="A127" s="5" t="inlineStr">
        <is>
          <t>05  FILLER              REDEFINES :PREFIX:-DADOS-DOCUMENTO.</t>
        </is>
      </c>
      <c r="B127" s="6" t="inlineStr">
        <is>
          <t>Lista do Resumo da Poupança (Registo do tipo EXP3) repete-se de 0 a N</t>
        </is>
      </c>
      <c r="C127" s="8">
        <f>C58</f>
        <v/>
      </c>
      <c r="D127" s="8" t="n">
        <v>0</v>
      </c>
      <c r="E127" s="64" t="n"/>
    </row>
    <row r="128">
      <c r="A128" s="30" t="inlineStr">
        <is>
          <t xml:space="preserve">  07  :PREFIX:-QUADRO-RESUMO-POUPANCA-DET.</t>
        </is>
      </c>
      <c r="B128" s="32" t="n"/>
      <c r="C128" s="38">
        <f>C127+D127</f>
        <v/>
      </c>
      <c r="D128" s="32" t="n">
        <v>0</v>
      </c>
      <c r="E128" s="69" t="n"/>
    </row>
    <row r="129">
      <c r="A129" s="40" t="inlineStr">
        <is>
          <t xml:space="preserve">    09  :PREFIX:-QR-POU-DET-LEVEL     PIC X(01).</t>
        </is>
      </c>
      <c r="B129" s="16" t="inlineStr">
        <is>
          <t>Nível de apresentação</t>
        </is>
      </c>
      <c r="C129" s="13">
        <f>C128+D128</f>
        <v/>
      </c>
      <c r="D129" s="25" t="n">
        <v>1</v>
      </c>
      <c r="E129" s="17" t="inlineStr">
        <is>
          <t>Obrigatório</t>
        </is>
      </c>
    </row>
    <row r="130">
      <c r="A130" s="22" t="inlineStr">
        <is>
          <t xml:space="preserve">      88  :PREFIX:-QR-POU-DET-LEVEL1            VALUE '1'.</t>
        </is>
      </c>
      <c r="B130" s="16" t="inlineStr">
        <is>
          <t xml:space="preserve">     '1' - Posição original</t>
        </is>
      </c>
      <c r="C130" s="13" t="n"/>
      <c r="D130" s="25" t="n"/>
      <c r="E130" s="15" t="n"/>
    </row>
    <row r="131">
      <c r="A131" s="22" t="inlineStr">
        <is>
          <t xml:space="preserve">      88  :PREFIX:-QR-POU-DET-LEVEL2            VALUE '2'.</t>
        </is>
      </c>
      <c r="B131" s="16" t="inlineStr">
        <is>
          <t xml:space="preserve">     '2' - Posição indentada sobre o nivel anterior</t>
        </is>
      </c>
      <c r="C131" s="13" t="n"/>
      <c r="D131" s="25" t="n"/>
      <c r="E131" s="15" t="n"/>
    </row>
    <row r="132">
      <c r="A132" s="22" t="inlineStr">
        <is>
          <t xml:space="preserve">      88  :PREFIX:-QR-POU-DET-LEVEL3            VALUE '3'.</t>
        </is>
      </c>
      <c r="B132" s="16" t="inlineStr">
        <is>
          <t xml:space="preserve">     '3' - Posição indentada sobre o nivel anterior</t>
        </is>
      </c>
      <c r="C132" s="13" t="n"/>
      <c r="D132" s="25" t="n"/>
      <c r="E132" s="18" t="n"/>
    </row>
    <row r="133">
      <c r="A133" s="40" t="inlineStr">
        <is>
          <t xml:space="preserve">    09  :PREFIX:-QR-POU-DET-OP-FUNDO  PIC X(30).</t>
        </is>
      </c>
      <c r="B133" s="16" t="inlineStr">
        <is>
          <t>Opção / Fundo</t>
        </is>
      </c>
      <c r="C133" s="13">
        <f>C129+D129</f>
        <v/>
      </c>
      <c r="D133" s="25" t="n">
        <v>30</v>
      </c>
      <c r="E133" s="21" t="inlineStr">
        <is>
          <t>Opcional</t>
        </is>
      </c>
    </row>
    <row r="134">
      <c r="A134" s="40" t="inlineStr">
        <is>
          <t xml:space="preserve">    09  :PREFIX:-QR-POU-DET-VL-INICIA PIC X(15).</t>
        </is>
      </c>
      <c r="B134" s="16" t="inlineStr">
        <is>
          <t>Valor Inicial (Obrigatório de o Nivel &lt;&gt; '2')</t>
        </is>
      </c>
      <c r="C134" s="13">
        <f>C133+D133</f>
        <v/>
      </c>
      <c r="D134" s="25" t="n">
        <v>15</v>
      </c>
      <c r="E134" s="120" t="inlineStr">
        <is>
          <t>Obrigatório</t>
        </is>
      </c>
    </row>
    <row r="135">
      <c r="A135" s="40" t="inlineStr">
        <is>
          <t xml:space="preserve">    09  :PREFIX:-QR-POU-DET-NR-UC-UR  PIC X(14).</t>
        </is>
      </c>
      <c r="B135" s="16" t="inlineStr">
        <is>
          <t>Número de UC / UR</t>
        </is>
      </c>
      <c r="C135" s="13">
        <f>C134+D134</f>
        <v/>
      </c>
      <c r="D135" s="25" t="n">
        <v>14</v>
      </c>
      <c r="E135" s="21" t="inlineStr">
        <is>
          <t>Opcional</t>
        </is>
      </c>
    </row>
    <row r="136">
      <c r="A136" s="40" t="inlineStr">
        <is>
          <t xml:space="preserve">    09  :PREFIX:-QR-POU-DET-COTACAO   PIC X(14).</t>
        </is>
      </c>
      <c r="B136" s="16" t="inlineStr">
        <is>
          <t>Cotação</t>
        </is>
      </c>
      <c r="C136" s="13">
        <f>C135+D135</f>
        <v/>
      </c>
      <c r="D136" s="25" t="n">
        <v>14</v>
      </c>
      <c r="E136" s="21" t="inlineStr">
        <is>
          <t>Opcional</t>
        </is>
      </c>
    </row>
    <row r="137">
      <c r="A137" s="40" t="inlineStr">
        <is>
          <t xml:space="preserve">    09  :PREFIX:-QR-POU-DET-VL-FINAL  PIC X(15).</t>
        </is>
      </c>
      <c r="B137" s="16" t="inlineStr">
        <is>
          <t>Valor Final (Obrigatório de o Nivel &lt;&gt; '2')</t>
        </is>
      </c>
      <c r="C137" s="13">
        <f>C136+D136</f>
        <v/>
      </c>
      <c r="D137" s="25" t="n">
        <v>15</v>
      </c>
      <c r="E137" s="120" t="inlineStr">
        <is>
          <t>Obrigatório</t>
        </is>
      </c>
    </row>
    <row r="138">
      <c r="A138" s="30" t="inlineStr">
        <is>
          <t xml:space="preserve">  07  FILLER                          PIC X(3708).</t>
        </is>
      </c>
      <c r="B138" s="32" t="inlineStr">
        <is>
          <t>Espaços</t>
        </is>
      </c>
      <c r="C138" s="38">
        <f>C137+D137</f>
        <v/>
      </c>
      <c r="D138" s="32">
        <f>4096-C138</f>
        <v/>
      </c>
      <c r="E138" s="69" t="n"/>
    </row>
    <row r="139">
      <c r="A139" s="10" t="n"/>
      <c r="B139" s="16" t="n"/>
      <c r="C139" s="13" t="n"/>
      <c r="D139" s="16" t="n"/>
      <c r="E139" s="73" t="n"/>
    </row>
    <row r="140">
      <c r="A140" s="5" t="inlineStr">
        <is>
          <t>05  FILLER              REDEFINES :PREFIX:-DADOS-DOCUMENTO.</t>
        </is>
      </c>
      <c r="B140" s="6" t="inlineStr">
        <is>
          <t>Lista do Resumo da Poupança (Registo do tipo EXP4) repete-se de 0 a 1</t>
        </is>
      </c>
      <c r="C140" s="8">
        <f>C58</f>
        <v/>
      </c>
      <c r="D140" s="8" t="n">
        <v>0</v>
      </c>
      <c r="E140" s="64" t="n"/>
    </row>
    <row r="141">
      <c r="A141" s="30" t="inlineStr">
        <is>
          <t xml:space="preserve">  07  :PREFIX:-QUADRO-RESUMO-POUPANCA-FTR.</t>
        </is>
      </c>
      <c r="B141" s="32" t="n"/>
      <c r="C141" s="38">
        <f>C140+D140</f>
        <v/>
      </c>
      <c r="D141" s="32" t="n">
        <v>0</v>
      </c>
      <c r="E141" s="69" t="n"/>
    </row>
    <row r="142">
      <c r="A142" s="40" t="inlineStr">
        <is>
          <t xml:space="preserve">    09  :PREFIX:-QR-POU-FTR-VL-INICIA PIC S9(12)V9(02) SIGN LEADING SEPARATE.</t>
        </is>
      </c>
      <c r="B142" s="16" t="inlineStr">
        <is>
          <t>Total Valores Iniciais</t>
        </is>
      </c>
      <c r="C142" s="13">
        <f>C141+D141</f>
        <v/>
      </c>
      <c r="D142" s="25" t="n">
        <v>15</v>
      </c>
      <c r="E142" s="17" t="inlineStr">
        <is>
          <t>Obrigatório</t>
        </is>
      </c>
    </row>
    <row r="143">
      <c r="A143" s="40" t="inlineStr">
        <is>
          <t xml:space="preserve">    09  :PREFIX:-QR-POU-FTR-VL-FINAL  PIC S9(12)V9(02) SIGN LEADING SEPARATE.</t>
        </is>
      </c>
      <c r="B143" s="16" t="inlineStr">
        <is>
          <t>Total Valores Finais</t>
        </is>
      </c>
      <c r="C143" s="13">
        <f>C142+D142</f>
        <v/>
      </c>
      <c r="D143" s="25" t="n">
        <v>15</v>
      </c>
      <c r="E143" s="17" t="inlineStr">
        <is>
          <t>Obrigatório</t>
        </is>
      </c>
    </row>
    <row r="144">
      <c r="A144" s="30" t="inlineStr">
        <is>
          <t xml:space="preserve">  07  FILLER                          PIC X(3767).</t>
        </is>
      </c>
      <c r="B144" s="32" t="inlineStr">
        <is>
          <t>Espaços</t>
        </is>
      </c>
      <c r="C144" s="38">
        <f>C143+D143</f>
        <v/>
      </c>
      <c r="D144" s="32">
        <f>4096-C144</f>
        <v/>
      </c>
      <c r="E144" s="69" t="n"/>
    </row>
    <row r="145">
      <c r="A145" s="10" t="n"/>
      <c r="B145" s="16" t="n"/>
      <c r="C145" s="13" t="n"/>
      <c r="D145" s="16" t="n"/>
      <c r="E145" s="73" t="n"/>
    </row>
    <row r="146">
      <c r="A146" s="5" t="inlineStr">
        <is>
          <t>05  FILLER              REDEFINES :PREFIX:-DADOS-DOCUMENTO.</t>
        </is>
      </c>
      <c r="B146" s="6" t="inlineStr">
        <is>
          <t>Lista do Resumo da Reforma (Registo do tipo EXR1) repete-se de 0 a 1</t>
        </is>
      </c>
      <c r="C146" s="8">
        <f>C58</f>
        <v/>
      </c>
      <c r="D146" s="8" t="n">
        <v>0</v>
      </c>
      <c r="E146" s="64" t="n"/>
    </row>
    <row r="147">
      <c r="A147" s="30" t="inlineStr">
        <is>
          <t xml:space="preserve">  07  :PREFIX:-QUADRO-RESUMO-REFORMA-HDR.</t>
        </is>
      </c>
      <c r="B147" s="32" t="n"/>
      <c r="C147" s="38">
        <f>C146+D146</f>
        <v/>
      </c>
      <c r="D147" s="32" t="n">
        <v>0</v>
      </c>
      <c r="E147" s="69" t="n"/>
    </row>
    <row r="148">
      <c r="A148" s="40" t="inlineStr">
        <is>
          <t xml:space="preserve">    09  :PREFIX:-QR-REF-HDR-DT-INICIO PIC X(08).</t>
        </is>
      </c>
      <c r="B148" s="16" t="inlineStr">
        <is>
          <t>Data Inicio [aaaammdd]</t>
        </is>
      </c>
      <c r="C148" s="13">
        <f>C147+D147</f>
        <v/>
      </c>
      <c r="D148" s="25" t="n">
        <v>8</v>
      </c>
      <c r="E148" s="17" t="inlineStr">
        <is>
          <t>Obrigatório</t>
        </is>
      </c>
    </row>
    <row r="149">
      <c r="A149" s="35" t="inlineStr">
        <is>
          <t xml:space="preserve">    09  FILLER                        PIC X(02).</t>
        </is>
      </c>
      <c r="B149" s="16" t="inlineStr">
        <is>
          <t>Filler</t>
        </is>
      </c>
      <c r="C149" s="13">
        <f>C148+D148</f>
        <v/>
      </c>
      <c r="D149" s="25" t="n">
        <v>2</v>
      </c>
      <c r="E149" s="19" t="inlineStr">
        <is>
          <t>Espaços</t>
        </is>
      </c>
    </row>
    <row r="150">
      <c r="A150" s="40" t="inlineStr">
        <is>
          <t xml:space="preserve">    09  :PREFIX:-QR-REF-HDR-DT-TERMO  PIC X(08).</t>
        </is>
      </c>
      <c r="B150" s="16" t="inlineStr">
        <is>
          <t>Data Termo [aaaammdd]</t>
        </is>
      </c>
      <c r="C150" s="13">
        <f>C149+D149</f>
        <v/>
      </c>
      <c r="D150" s="25" t="n">
        <v>8</v>
      </c>
      <c r="E150" s="17" t="inlineStr">
        <is>
          <t>Obrigatório</t>
        </is>
      </c>
    </row>
    <row r="151">
      <c r="A151" s="35" t="inlineStr">
        <is>
          <t xml:space="preserve">    09  FILLER                        PIC X(02).</t>
        </is>
      </c>
      <c r="B151" s="16" t="inlineStr">
        <is>
          <t>Filler</t>
        </is>
      </c>
      <c r="C151" s="13">
        <f>C150+D150</f>
        <v/>
      </c>
      <c r="D151" s="25" t="n">
        <v>2</v>
      </c>
      <c r="E151" s="19" t="inlineStr">
        <is>
          <t>Espaços</t>
        </is>
      </c>
    </row>
    <row r="152">
      <c r="A152" s="30" t="inlineStr">
        <is>
          <t xml:space="preserve">  07  FILLER                          PIC X(3777).</t>
        </is>
      </c>
      <c r="B152" s="32" t="inlineStr">
        <is>
          <t>Espaços</t>
        </is>
      </c>
      <c r="C152" s="38">
        <f>C151+D151</f>
        <v/>
      </c>
      <c r="D152" s="32">
        <f>4096-C152</f>
        <v/>
      </c>
      <c r="E152" s="69" t="n"/>
    </row>
    <row r="153">
      <c r="A153" s="10" t="n"/>
      <c r="B153" s="16" t="n"/>
      <c r="C153" s="13" t="n"/>
      <c r="D153" s="16" t="n"/>
      <c r="E153" s="73" t="n"/>
    </row>
    <row r="154">
      <c r="A154" s="5" t="inlineStr">
        <is>
          <t>05  FILLER              REDEFINES :PREFIX:-DADOS-DOCUMENTO.</t>
        </is>
      </c>
      <c r="B154" s="6" t="inlineStr">
        <is>
          <t>Lista do Resumo da Reforma (Registo do tipo EXR2) repete-se de 0 a N</t>
        </is>
      </c>
      <c r="C154" s="8">
        <f>C58</f>
        <v/>
      </c>
      <c r="D154" s="8" t="n">
        <v>0</v>
      </c>
      <c r="E154" s="64" t="n"/>
    </row>
    <row r="155">
      <c r="A155" s="30" t="inlineStr">
        <is>
          <t xml:space="preserve">  07  :PREFIX:-QUADRO-RESUMO-REFORMA-TIT.</t>
        </is>
      </c>
      <c r="B155" s="32" t="n"/>
      <c r="C155" s="38">
        <f>C154+D154</f>
        <v/>
      </c>
      <c r="D155" s="32" t="n">
        <v>0</v>
      </c>
      <c r="E155" s="69" t="n"/>
    </row>
    <row r="156">
      <c r="A156" s="40" t="inlineStr">
        <is>
          <t xml:space="preserve">    09  :PREFIX:-QR-REF-TIT-PRODUTO   PIC X(30).</t>
        </is>
      </c>
      <c r="B156" s="16" t="inlineStr">
        <is>
          <t>Produto</t>
        </is>
      </c>
      <c r="C156" s="13">
        <f>C155+D155</f>
        <v/>
      </c>
      <c r="D156" s="25" t="n">
        <v>30</v>
      </c>
      <c r="E156" s="17" t="inlineStr">
        <is>
          <t>Obrigatório</t>
        </is>
      </c>
    </row>
    <row r="157">
      <c r="A157" s="40" t="inlineStr">
        <is>
          <t xml:space="preserve">    09  :PREFIX:-QR-REF-TIT-APOLICE   PIC X(20).</t>
        </is>
      </c>
      <c r="B157" s="16" t="inlineStr">
        <is>
          <t>Apólice</t>
        </is>
      </c>
      <c r="C157" s="13">
        <f>C156+D156</f>
        <v/>
      </c>
      <c r="D157" s="25" t="n">
        <v>20</v>
      </c>
      <c r="E157" s="17" t="inlineStr">
        <is>
          <t>Obrigatório</t>
        </is>
      </c>
    </row>
    <row r="158">
      <c r="A158" s="30" t="inlineStr">
        <is>
          <t xml:space="preserve">  07  FILLER                          PIC X(3747).</t>
        </is>
      </c>
      <c r="B158" s="32" t="inlineStr">
        <is>
          <t>Espaços</t>
        </is>
      </c>
      <c r="C158" s="38">
        <f>C157+D157</f>
        <v/>
      </c>
      <c r="D158" s="32">
        <f>4096-C158</f>
        <v/>
      </c>
      <c r="E158" s="69" t="n"/>
    </row>
    <row r="159">
      <c r="A159" s="10" t="n"/>
      <c r="B159" s="16" t="n"/>
      <c r="C159" s="13" t="n"/>
      <c r="D159" s="16" t="n"/>
      <c r="E159" s="73" t="n"/>
    </row>
    <row r="160">
      <c r="A160" s="5" t="inlineStr">
        <is>
          <t>05  FILLER              REDEFINES :PREFIX:-DADOS-DOCUMENTO.</t>
        </is>
      </c>
      <c r="B160" s="6" t="inlineStr">
        <is>
          <t>Lista do Resumo da Reforma (Registo do tipo EXR3) repete-se de 0 a N</t>
        </is>
      </c>
      <c r="C160" s="8">
        <f>C58</f>
        <v/>
      </c>
      <c r="D160" s="8" t="n">
        <v>0</v>
      </c>
      <c r="E160" s="64" t="n"/>
    </row>
    <row r="161">
      <c r="A161" s="30" t="inlineStr">
        <is>
          <t xml:space="preserve">  07  :PREFIX:-QUADRO-RESUMO-REFORMA-DET.</t>
        </is>
      </c>
      <c r="B161" s="32" t="n"/>
      <c r="C161" s="38">
        <f>C160+D160</f>
        <v/>
      </c>
      <c r="D161" s="32" t="n">
        <v>0</v>
      </c>
      <c r="E161" s="69" t="n"/>
    </row>
    <row r="162">
      <c r="A162" s="40" t="inlineStr">
        <is>
          <t xml:space="preserve">    09  :PREFIX:-QR-REF-DET-LEVEL     PIC X(01).</t>
        </is>
      </c>
      <c r="B162" s="16" t="inlineStr">
        <is>
          <t>Nível de apresentação</t>
        </is>
      </c>
      <c r="C162" s="13">
        <f>C161+D161</f>
        <v/>
      </c>
      <c r="D162" s="25" t="n">
        <v>1</v>
      </c>
      <c r="E162" s="17" t="inlineStr">
        <is>
          <t>Obrigatório</t>
        </is>
      </c>
    </row>
    <row r="163">
      <c r="A163" s="22" t="inlineStr">
        <is>
          <t xml:space="preserve">      88  :PREFIX:-QR-REF-DET-LEVEL1            VALUE '1'.</t>
        </is>
      </c>
      <c r="B163" s="16" t="inlineStr">
        <is>
          <t xml:space="preserve">     '1' - Posição original</t>
        </is>
      </c>
      <c r="C163" s="13" t="n"/>
      <c r="D163" s="25" t="n"/>
      <c r="E163" s="15" t="n"/>
    </row>
    <row r="164">
      <c r="A164" s="22" t="inlineStr">
        <is>
          <t xml:space="preserve">      88  :PREFIX:-QR-REF-DET-LEVEL2            VALUE '2'.</t>
        </is>
      </c>
      <c r="B164" s="16" t="inlineStr">
        <is>
          <t xml:space="preserve">     '2' - Posição indentada sobre o nivel anterior</t>
        </is>
      </c>
      <c r="C164" s="13" t="n"/>
      <c r="D164" s="25" t="n"/>
      <c r="E164" s="15" t="n"/>
    </row>
    <row r="165">
      <c r="A165" s="22" t="inlineStr">
        <is>
          <t xml:space="preserve">      88  :PREFIX:-QR-REF-DET-LEVEL3            VALUE '3'.</t>
        </is>
      </c>
      <c r="B165" s="16" t="inlineStr">
        <is>
          <t xml:space="preserve">     '3' - Posição indentada sobre o nivel anterior</t>
        </is>
      </c>
      <c r="C165" s="13" t="n"/>
      <c r="D165" s="25" t="n"/>
      <c r="E165" s="18" t="n"/>
    </row>
    <row r="166">
      <c r="A166" s="40" t="inlineStr">
        <is>
          <t xml:space="preserve">    09  :PREFIX:-QR-REF-DET-OP-FUNDO  PIC X(30).</t>
        </is>
      </c>
      <c r="B166" s="16" t="inlineStr">
        <is>
          <t>Opção / Fundo</t>
        </is>
      </c>
      <c r="C166" s="13">
        <f>C162+D162</f>
        <v/>
      </c>
      <c r="D166" s="25" t="n">
        <v>30</v>
      </c>
      <c r="E166" s="21" t="inlineStr">
        <is>
          <t>Opcional</t>
        </is>
      </c>
    </row>
    <row r="167">
      <c r="A167" s="40" t="inlineStr">
        <is>
          <t xml:space="preserve">    09  :PREFIX:-QR-REF-DET-VL-INICIA PIC X(15).</t>
        </is>
      </c>
      <c r="B167" s="16" t="inlineStr">
        <is>
          <t>Valor Inicial</t>
        </is>
      </c>
      <c r="C167" s="13">
        <f>C166+D166</f>
        <v/>
      </c>
      <c r="D167" s="25" t="n">
        <v>15</v>
      </c>
      <c r="E167" s="17" t="inlineStr">
        <is>
          <t>Obrigatório</t>
        </is>
      </c>
    </row>
    <row r="168">
      <c r="A168" s="40" t="inlineStr">
        <is>
          <t xml:space="preserve">    09  :PREFIX:-QR-REF-DET-NR-UC-UR  PIC X(14).</t>
        </is>
      </c>
      <c r="B168" s="16" t="inlineStr">
        <is>
          <t>Número de UC / UR</t>
        </is>
      </c>
      <c r="C168" s="13">
        <f>C167+D167</f>
        <v/>
      </c>
      <c r="D168" s="25" t="n">
        <v>14</v>
      </c>
      <c r="E168" s="21" t="inlineStr">
        <is>
          <t>Opcional</t>
        </is>
      </c>
    </row>
    <row r="169">
      <c r="A169" s="40" t="inlineStr">
        <is>
          <t xml:space="preserve">    09  :PREFIX:-QR-REF-DET-COTACAO   PIC X(14).</t>
        </is>
      </c>
      <c r="B169" s="16" t="inlineStr">
        <is>
          <t>Cotação</t>
        </is>
      </c>
      <c r="C169" s="13">
        <f>C168+D168</f>
        <v/>
      </c>
      <c r="D169" s="25" t="n">
        <v>14</v>
      </c>
      <c r="E169" s="21" t="inlineStr">
        <is>
          <t>Opcional</t>
        </is>
      </c>
    </row>
    <row r="170">
      <c r="A170" s="40" t="inlineStr">
        <is>
          <t xml:space="preserve">    09  :PREFIX:-QR-REF-DET-VL-FINAL  PIC X(15).</t>
        </is>
      </c>
      <c r="B170" s="16" t="inlineStr">
        <is>
          <t>Valor Final</t>
        </is>
      </c>
      <c r="C170" s="13">
        <f>C169+D169</f>
        <v/>
      </c>
      <c r="D170" s="25" t="n">
        <v>15</v>
      </c>
      <c r="E170" s="17" t="inlineStr">
        <is>
          <t>Obrigatório</t>
        </is>
      </c>
    </row>
    <row r="171">
      <c r="A171" s="30" t="inlineStr">
        <is>
          <t xml:space="preserve">  07  FILLER                          PIC X(3708).</t>
        </is>
      </c>
      <c r="B171" s="32" t="inlineStr">
        <is>
          <t>Espaços</t>
        </is>
      </c>
      <c r="C171" s="38">
        <f>C170+D170</f>
        <v/>
      </c>
      <c r="D171" s="32">
        <f>4096-C171</f>
        <v/>
      </c>
      <c r="E171" s="69" t="n"/>
    </row>
    <row r="172">
      <c r="A172" s="10" t="n"/>
      <c r="B172" s="16" t="n"/>
      <c r="C172" s="13" t="n"/>
      <c r="D172" s="16" t="n"/>
      <c r="E172" s="73" t="n"/>
    </row>
    <row r="173">
      <c r="A173" s="5" t="inlineStr">
        <is>
          <t>05  FILLER              REDEFINES :PREFIX:-DADOS-DOCUMENTO.</t>
        </is>
      </c>
      <c r="B173" s="6" t="inlineStr">
        <is>
          <t>Lista do Resumo da Reforma (Registo do tipo EXR4) repete-se de 0 a 1</t>
        </is>
      </c>
      <c r="C173" s="8">
        <f>C58</f>
        <v/>
      </c>
      <c r="D173" s="8" t="n">
        <v>0</v>
      </c>
      <c r="E173" s="64" t="n"/>
    </row>
    <row r="174">
      <c r="A174" s="30" t="inlineStr">
        <is>
          <t xml:space="preserve">  07  :PREFIX:-QUADRO-RESUMO-REFORMA-FTR.</t>
        </is>
      </c>
      <c r="B174" s="32" t="n"/>
      <c r="C174" s="38">
        <f>C173+D173</f>
        <v/>
      </c>
      <c r="D174" s="32" t="n">
        <v>0</v>
      </c>
      <c r="E174" s="69" t="n"/>
    </row>
    <row r="175">
      <c r="A175" s="40" t="inlineStr">
        <is>
          <t xml:space="preserve">    09  :PREFIX:-QR-REF-FTR-VL-INICIA PIC S9(12)V9(02) SIGN LEADING SEPARATE.</t>
        </is>
      </c>
      <c r="B175" s="16" t="inlineStr">
        <is>
          <t>Total Valores Iniciais</t>
        </is>
      </c>
      <c r="C175" s="13">
        <f>C174+D174</f>
        <v/>
      </c>
      <c r="D175" s="25" t="n">
        <v>15</v>
      </c>
      <c r="E175" s="17" t="inlineStr">
        <is>
          <t>Obrigatório</t>
        </is>
      </c>
    </row>
    <row r="176">
      <c r="A176" s="40" t="inlineStr">
        <is>
          <t xml:space="preserve">    09  :PREFIX:-QR-REF-FTR-VL-FINAL  PIC S9(12)V9(02) SIGN LEADING SEPARATE.</t>
        </is>
      </c>
      <c r="B176" s="16" t="inlineStr">
        <is>
          <t>Total Valores Finais</t>
        </is>
      </c>
      <c r="C176" s="13">
        <f>C175+D175</f>
        <v/>
      </c>
      <c r="D176" s="25" t="n">
        <v>15</v>
      </c>
      <c r="E176" s="17" t="inlineStr">
        <is>
          <t>Obrigatório</t>
        </is>
      </c>
    </row>
    <row r="177">
      <c r="A177" s="30" t="inlineStr">
        <is>
          <t xml:space="preserve">  07  FILLER                          PIC X(3767).</t>
        </is>
      </c>
      <c r="B177" s="32" t="inlineStr">
        <is>
          <t>Espaços</t>
        </is>
      </c>
      <c r="C177" s="38">
        <f>C176+D176</f>
        <v/>
      </c>
      <c r="D177" s="32">
        <f>4096-C177</f>
        <v/>
      </c>
      <c r="E177" s="69" t="n"/>
    </row>
    <row r="178">
      <c r="A178" s="10" t="n"/>
      <c r="B178" s="16" t="n"/>
      <c r="C178" s="13" t="n"/>
      <c r="D178" s="16" t="n"/>
      <c r="E178" s="73" t="n"/>
    </row>
    <row r="179">
      <c r="A179" s="5" t="inlineStr">
        <is>
          <t>05  FILLER              REDEFINES :PREFIX:-DADOS-DOCUMENTO.</t>
        </is>
      </c>
      <c r="B179" s="6" t="inlineStr">
        <is>
          <t>Lista dos Detalhes das Apólices (Registo do tipo EXD1) repete-se de 0 a 1</t>
        </is>
      </c>
      <c r="C179" s="8">
        <f>C58</f>
        <v/>
      </c>
      <c r="D179" s="8" t="n">
        <v>0</v>
      </c>
      <c r="E179" s="64" t="n"/>
    </row>
    <row r="180">
      <c r="A180" s="30" t="inlineStr">
        <is>
          <t xml:space="preserve">  07  :PREFIX:-QUADRO-DETALHE-APOLICES-HDR.</t>
        </is>
      </c>
      <c r="B180" s="32" t="n"/>
      <c r="C180" s="38">
        <f>C179+D179</f>
        <v/>
      </c>
      <c r="D180" s="32" t="n">
        <v>0</v>
      </c>
      <c r="E180" s="69" t="n"/>
    </row>
    <row r="181">
      <c r="A181" s="40" t="inlineStr">
        <is>
          <t xml:space="preserve">    09  :PREFIX:-QD-APO-HDR-DT-INICIO PIC X(08).</t>
        </is>
      </c>
      <c r="B181" s="16" t="inlineStr">
        <is>
          <t>Data Inicio [aaaammdd]</t>
        </is>
      </c>
      <c r="C181" s="13">
        <f>C180+D180</f>
        <v/>
      </c>
      <c r="D181" s="25" t="n">
        <v>8</v>
      </c>
      <c r="E181" s="17" t="inlineStr">
        <is>
          <t>Obrigatório</t>
        </is>
      </c>
    </row>
    <row r="182">
      <c r="A182" s="35" t="inlineStr">
        <is>
          <t xml:space="preserve">    09  FILLER                        PIC X(02).</t>
        </is>
      </c>
      <c r="B182" s="16" t="inlineStr">
        <is>
          <t>Filler</t>
        </is>
      </c>
      <c r="C182" s="13">
        <f>C181+D181</f>
        <v/>
      </c>
      <c r="D182" s="25" t="n">
        <v>2</v>
      </c>
      <c r="E182" s="19" t="inlineStr">
        <is>
          <t>Espaços</t>
        </is>
      </c>
    </row>
    <row r="183">
      <c r="A183" s="40" t="inlineStr">
        <is>
          <t xml:space="preserve">    09  :PREFIX:-QD-APO-HDR-DT-TERMO  PIC X(08).</t>
        </is>
      </c>
      <c r="B183" s="16" t="inlineStr">
        <is>
          <t>Data Termo [aaaammdd]</t>
        </is>
      </c>
      <c r="C183" s="13">
        <f>C182+D182</f>
        <v/>
      </c>
      <c r="D183" s="25" t="n">
        <v>8</v>
      </c>
      <c r="E183" s="17" t="inlineStr">
        <is>
          <t>Obrigatório</t>
        </is>
      </c>
    </row>
    <row r="184">
      <c r="A184" s="35" t="inlineStr">
        <is>
          <t xml:space="preserve">    09  FILLER                        PIC X(02).</t>
        </is>
      </c>
      <c r="B184" s="16" t="inlineStr">
        <is>
          <t>Filler</t>
        </is>
      </c>
      <c r="C184" s="13">
        <f>C183+D183</f>
        <v/>
      </c>
      <c r="D184" s="25" t="n">
        <v>2</v>
      </c>
      <c r="E184" s="19" t="inlineStr">
        <is>
          <t>Espaços</t>
        </is>
      </c>
    </row>
    <row r="185">
      <c r="A185" s="30" t="inlineStr">
        <is>
          <t xml:space="preserve">  07  FILLER                          PIC X(3777).</t>
        </is>
      </c>
      <c r="B185" s="32" t="inlineStr">
        <is>
          <t>Espaços</t>
        </is>
      </c>
      <c r="C185" s="38">
        <f>C184+D184</f>
        <v/>
      </c>
      <c r="D185" s="32">
        <f>4096-C185</f>
        <v/>
      </c>
      <c r="E185" s="69" t="n"/>
    </row>
    <row r="186">
      <c r="A186" s="10" t="n"/>
      <c r="B186" s="16" t="n"/>
      <c r="C186" s="13" t="n"/>
      <c r="D186" s="16" t="n"/>
      <c r="E186" s="73" t="n"/>
    </row>
    <row r="187">
      <c r="A187" s="5" t="inlineStr">
        <is>
          <t>05  FILLER              REDEFINES :PREFIX:-DADOS-DOCUMENTO.</t>
        </is>
      </c>
      <c r="B187" s="6" t="inlineStr">
        <is>
          <t>Lista dos Detalhes das Apólices (Registo do tipo EXD2) repete-se de 0 a N</t>
        </is>
      </c>
      <c r="C187" s="8">
        <f>C58</f>
        <v/>
      </c>
      <c r="D187" s="8" t="n">
        <v>0</v>
      </c>
      <c r="E187" s="64" t="n"/>
    </row>
    <row r="188">
      <c r="A188" s="30" t="inlineStr">
        <is>
          <t xml:space="preserve">  07  :PREFIX:-QUADRO-DETALHE-APOLICES-TIT.</t>
        </is>
      </c>
      <c r="B188" s="32" t="n"/>
      <c r="C188" s="38">
        <f>C187+D187</f>
        <v/>
      </c>
      <c r="D188" s="32" t="n">
        <v>0</v>
      </c>
      <c r="E188" s="69" t="n"/>
    </row>
    <row r="189">
      <c r="A189" s="40" t="inlineStr">
        <is>
          <t xml:space="preserve">    09  :PREFIX:-QD-APO-TIT-PRODUTO   PIC X(30).</t>
        </is>
      </c>
      <c r="B189" s="16" t="inlineStr">
        <is>
          <t>Produto</t>
        </is>
      </c>
      <c r="C189" s="13">
        <f>C188+D188</f>
        <v/>
      </c>
      <c r="D189" s="25" t="n">
        <v>30</v>
      </c>
      <c r="E189" s="17" t="inlineStr">
        <is>
          <t>Obrigatório</t>
        </is>
      </c>
    </row>
    <row r="190">
      <c r="A190" s="40" t="inlineStr">
        <is>
          <t xml:space="preserve">    09  :PREFIX:-QD-APO-TIT-APOLICE   PIC X(20).</t>
        </is>
      </c>
      <c r="B190" s="16" t="inlineStr">
        <is>
          <t>Apólice</t>
        </is>
      </c>
      <c r="C190" s="13">
        <f>C189+D189</f>
        <v/>
      </c>
      <c r="D190" s="25" t="n">
        <v>20</v>
      </c>
      <c r="E190" s="17" t="inlineStr">
        <is>
          <t>Obrigatório</t>
        </is>
      </c>
    </row>
    <row r="191">
      <c r="A191" s="40" t="inlineStr">
        <is>
          <t xml:space="preserve">    09  :PREFIX:-QD-APO-TIT-DT-INICIO PIC X(08).</t>
        </is>
      </c>
      <c r="B191" s="16" t="inlineStr">
        <is>
          <t>Data Inicio [aaaammdd]</t>
        </is>
      </c>
      <c r="C191" s="13">
        <f>C190+D190</f>
        <v/>
      </c>
      <c r="D191" s="25" t="n">
        <v>8</v>
      </c>
      <c r="E191" s="17" t="inlineStr">
        <is>
          <t>Obrigatório</t>
        </is>
      </c>
    </row>
    <row r="192">
      <c r="A192" s="35" t="inlineStr">
        <is>
          <t xml:space="preserve">    09  FILLER                        PIC X(02).</t>
        </is>
      </c>
      <c r="B192" s="16" t="inlineStr">
        <is>
          <t>Filler</t>
        </is>
      </c>
      <c r="C192" s="13">
        <f>C191+D191</f>
        <v/>
      </c>
      <c r="D192" s="25" t="n">
        <v>2</v>
      </c>
      <c r="E192" s="19" t="inlineStr">
        <is>
          <t>Espaços</t>
        </is>
      </c>
    </row>
    <row r="193">
      <c r="A193" s="40" t="inlineStr">
        <is>
          <t xml:space="preserve">    09  :PREFIX:-QD-APO-TIT-DT-TERMO  PIC X(08).</t>
        </is>
      </c>
      <c r="B193" s="16" t="inlineStr">
        <is>
          <t>Data Termo [aaaammdd]</t>
        </is>
      </c>
      <c r="C193" s="13">
        <f>C192+D192</f>
        <v/>
      </c>
      <c r="D193" s="25" t="n">
        <v>8</v>
      </c>
      <c r="E193" s="17" t="inlineStr">
        <is>
          <t>Obrigatório</t>
        </is>
      </c>
    </row>
    <row r="194">
      <c r="A194" s="35" t="inlineStr">
        <is>
          <t xml:space="preserve">    09  FILLER                        PIC X(02).</t>
        </is>
      </c>
      <c r="B194" s="16" t="inlineStr">
        <is>
          <t>Filler</t>
        </is>
      </c>
      <c r="C194" s="13">
        <f>C193+D193</f>
        <v/>
      </c>
      <c r="D194" s="25" t="n">
        <v>2</v>
      </c>
      <c r="E194" s="19" t="inlineStr">
        <is>
          <t>Espaços</t>
        </is>
      </c>
    </row>
    <row r="195">
      <c r="A195" s="30" t="inlineStr">
        <is>
          <t xml:space="preserve">  07  FILLER                          PIC X(3727).</t>
        </is>
      </c>
      <c r="B195" s="32" t="inlineStr">
        <is>
          <t>Espaços</t>
        </is>
      </c>
      <c r="C195" s="38">
        <f>C194+D194</f>
        <v/>
      </c>
      <c r="D195" s="32">
        <f>4096-C195</f>
        <v/>
      </c>
      <c r="E195" s="69" t="n"/>
    </row>
    <row r="196">
      <c r="A196" s="10" t="n"/>
      <c r="B196" s="16" t="n"/>
      <c r="C196" s="13" t="n"/>
      <c r="D196" s="16" t="n"/>
      <c r="E196" s="73" t="n"/>
    </row>
    <row r="197">
      <c r="A197" s="5" t="inlineStr">
        <is>
          <t>05  FILLER              REDEFINES :PREFIX:-DADOS-DOCUMENTO.</t>
        </is>
      </c>
      <c r="B197" s="6" t="inlineStr">
        <is>
          <t>Lista dos Detalhes das Apólices (Registo do tipo EXD3) repete-se de 0 a N</t>
        </is>
      </c>
      <c r="C197" s="8">
        <f>C58</f>
        <v/>
      </c>
      <c r="D197" s="8" t="n">
        <v>0</v>
      </c>
      <c r="E197" s="64" t="n"/>
    </row>
    <row r="198">
      <c r="A198" s="30" t="inlineStr">
        <is>
          <t xml:space="preserve">  07  :PREFIX:-QUADRO-DETALHE-APOLICES-SUB.</t>
        </is>
      </c>
      <c r="B198" s="32" t="n"/>
      <c r="C198" s="38">
        <f>C197+D197</f>
        <v/>
      </c>
      <c r="D198" s="32" t="n">
        <v>0</v>
      </c>
      <c r="E198" s="69" t="n"/>
    </row>
    <row r="199">
      <c r="A199" s="40" t="inlineStr">
        <is>
          <t xml:space="preserve">    09  :PREFIX:-QD-APO-SUB-OBJECTIVO PIC X(20).</t>
        </is>
      </c>
      <c r="B199" s="16" t="inlineStr">
        <is>
          <t>Objectivo</t>
        </is>
      </c>
      <c r="C199" s="13">
        <f>C198+D198</f>
        <v/>
      </c>
      <c r="D199" s="25" t="n">
        <v>20</v>
      </c>
      <c r="E199" s="21" t="inlineStr">
        <is>
          <t>Opcional</t>
        </is>
      </c>
    </row>
    <row r="200">
      <c r="A200" s="30" t="inlineStr">
        <is>
          <t xml:space="preserve">  07  FILLER                          PIC X(3777).</t>
        </is>
      </c>
      <c r="B200" s="32" t="inlineStr">
        <is>
          <t>Espaços</t>
        </is>
      </c>
      <c r="C200" s="38">
        <f>C199+D199</f>
        <v/>
      </c>
      <c r="D200" s="32">
        <f>4096-C200</f>
        <v/>
      </c>
      <c r="E200" s="69" t="n"/>
    </row>
    <row r="201">
      <c r="A201" s="10" t="n"/>
      <c r="B201" s="16" t="n"/>
      <c r="C201" s="13" t="n"/>
      <c r="D201" s="16" t="n"/>
      <c r="E201" s="73" t="n"/>
    </row>
    <row r="202">
      <c r="A202" s="5" t="inlineStr">
        <is>
          <t>05  FILLER              REDEFINES :PREFIX:-DADOS-DOCUMENTO.</t>
        </is>
      </c>
      <c r="B202" s="6" t="inlineStr">
        <is>
          <t>Lista dos Detalhes das Apólices (Registo do tipo EXD4) repete-se de 0 a N</t>
        </is>
      </c>
      <c r="C202" s="8">
        <f>C58</f>
        <v/>
      </c>
      <c r="D202" s="8" t="n">
        <v>0</v>
      </c>
      <c r="E202" s="64" t="n"/>
    </row>
    <row r="203">
      <c r="A203" s="30" t="inlineStr">
        <is>
          <t xml:space="preserve">  07  :PREFIX:-QUADRO-DETALHE-APOLICES-DET.</t>
        </is>
      </c>
      <c r="B203" s="32" t="n"/>
      <c r="C203" s="38">
        <f>C202+D202</f>
        <v/>
      </c>
      <c r="D203" s="32" t="n">
        <v>0</v>
      </c>
      <c r="E203" s="69" t="n"/>
    </row>
    <row r="204">
      <c r="A204" s="40" t="inlineStr">
        <is>
          <t xml:space="preserve">    09  :PREFIX:-QD-APO-DET-DATA      PIC X(08).</t>
        </is>
      </c>
      <c r="B204" s="16" t="inlineStr">
        <is>
          <t>Data [aaaammdd]</t>
        </is>
      </c>
      <c r="C204" s="13">
        <f>C203+D203</f>
        <v/>
      </c>
      <c r="D204" s="25" t="n">
        <v>8</v>
      </c>
      <c r="E204" s="17" t="inlineStr">
        <is>
          <t>Obrigatório</t>
        </is>
      </c>
    </row>
    <row r="205">
      <c r="A205" s="35" t="inlineStr">
        <is>
          <t xml:space="preserve">    09  FILLER                        PIC X(02).</t>
        </is>
      </c>
      <c r="B205" s="16" t="inlineStr">
        <is>
          <t>Filler</t>
        </is>
      </c>
      <c r="C205" s="13">
        <f>C204+D204</f>
        <v/>
      </c>
      <c r="D205" s="25" t="n">
        <v>2</v>
      </c>
      <c r="E205" s="19" t="inlineStr">
        <is>
          <t>Espaços</t>
        </is>
      </c>
    </row>
    <row r="206">
      <c r="A206" s="40" t="inlineStr">
        <is>
          <t xml:space="preserve">    09  :PREFIX:-QD-APO-DET-MOVIMENTO PIC X(30).</t>
        </is>
      </c>
      <c r="B206" s="16" t="inlineStr">
        <is>
          <t>Movimento</t>
        </is>
      </c>
      <c r="C206" s="13">
        <f>C205+D205</f>
        <v/>
      </c>
      <c r="D206" s="25" t="n">
        <v>30</v>
      </c>
      <c r="E206" s="17" t="inlineStr">
        <is>
          <t>Obrigatório</t>
        </is>
      </c>
    </row>
    <row r="207">
      <c r="A207" s="40" t="inlineStr">
        <is>
          <t xml:space="preserve">    09  :PREFIX:-QD-APO-DET-OPCAO     PIC X(30).</t>
        </is>
      </c>
      <c r="B207" s="16" t="inlineStr">
        <is>
          <t>Opção</t>
        </is>
      </c>
      <c r="C207" s="13">
        <f>C206+D206</f>
        <v/>
      </c>
      <c r="D207" s="25" t="n">
        <v>30</v>
      </c>
      <c r="E207" s="21" t="inlineStr">
        <is>
          <t>Opcional</t>
        </is>
      </c>
    </row>
    <row r="208">
      <c r="A208" s="40" t="inlineStr">
        <is>
          <t xml:space="preserve">    09  :PREFIX:-QD-APO-DET-VL-SU-IMP PIC X(15).</t>
        </is>
      </c>
      <c r="B208" s="16" t="inlineStr">
        <is>
          <t>Valor Sujeito a Impostos</t>
        </is>
      </c>
      <c r="C208" s="13">
        <f>C207+D207</f>
        <v/>
      </c>
      <c r="D208" s="25" t="n">
        <v>15</v>
      </c>
      <c r="E208" s="21" t="inlineStr">
        <is>
          <t>Opcional</t>
        </is>
      </c>
    </row>
    <row r="209">
      <c r="A209" s="40" t="inlineStr">
        <is>
          <t xml:space="preserve">    09  :PREFIX:-QD-APO-DET-VL-RETIDO PIC X(15).</t>
        </is>
      </c>
      <c r="B209" s="16" t="inlineStr">
        <is>
          <t>Valor Retido</t>
        </is>
      </c>
      <c r="C209" s="13">
        <f>C208+D208</f>
        <v/>
      </c>
      <c r="D209" s="25" t="n">
        <v>15</v>
      </c>
      <c r="E209" s="21" t="inlineStr">
        <is>
          <t>Opcional</t>
        </is>
      </c>
    </row>
    <row r="210">
      <c r="A210" s="40" t="inlineStr">
        <is>
          <t xml:space="preserve">    09  :PREFIX:-QD-APO-DET-VL-FINAL  PIC X(15).</t>
        </is>
      </c>
      <c r="B210" s="16" t="inlineStr">
        <is>
          <t>Valor Final</t>
        </is>
      </c>
      <c r="C210" s="13">
        <f>C209+D209</f>
        <v/>
      </c>
      <c r="D210" s="25" t="n">
        <v>15</v>
      </c>
      <c r="E210" s="17" t="inlineStr">
        <is>
          <t>Obrigatório</t>
        </is>
      </c>
    </row>
    <row r="211">
      <c r="A211" s="30" t="inlineStr">
        <is>
          <t xml:space="preserve">  07  FILLER                          PIC X(3682).</t>
        </is>
      </c>
      <c r="B211" s="32" t="inlineStr">
        <is>
          <t>Espaços</t>
        </is>
      </c>
      <c r="C211" s="38">
        <f>C210+D210</f>
        <v/>
      </c>
      <c r="D211" s="32">
        <f>4096-C211</f>
        <v/>
      </c>
      <c r="E211" s="69" t="n"/>
    </row>
    <row r="212">
      <c r="A212" s="10" t="n"/>
      <c r="B212" s="16" t="n"/>
      <c r="C212" s="13" t="n"/>
      <c r="D212" s="16" t="n"/>
      <c r="E212" s="73" t="n"/>
    </row>
    <row r="213">
      <c r="A213" s="5" t="inlineStr">
        <is>
          <t>05  FILLER              REDEFINES :PREFIX:-DADOS-DOCUMENTO.</t>
        </is>
      </c>
      <c r="B213" s="6" t="inlineStr">
        <is>
          <t>Lista dos Detalhes das Apólices (Registo do tipo EXD5) repete-se de 0 a 1</t>
        </is>
      </c>
      <c r="C213" s="8">
        <f>C58</f>
        <v/>
      </c>
      <c r="D213" s="8" t="n">
        <v>0</v>
      </c>
      <c r="E213" s="64" t="n"/>
    </row>
    <row r="214">
      <c r="A214" s="30" t="inlineStr">
        <is>
          <t xml:space="preserve">  07  :PREFIX:-QUADRO-DETALHE-APOLICES-FTR.</t>
        </is>
      </c>
      <c r="B214" s="32" t="n"/>
      <c r="C214" s="38">
        <f>C213+D213</f>
        <v/>
      </c>
      <c r="D214" s="32" t="n">
        <v>0</v>
      </c>
      <c r="E214" s="17" t="inlineStr">
        <is>
          <t>Obrigatório</t>
        </is>
      </c>
    </row>
    <row r="215">
      <c r="A215" s="30" t="inlineStr">
        <is>
          <t xml:space="preserve">    09  FILLER                        PIC X(3797).</t>
        </is>
      </c>
      <c r="B215" s="32" t="inlineStr">
        <is>
          <t>Espaços</t>
        </is>
      </c>
      <c r="C215" s="38">
        <f>C214+D214</f>
        <v/>
      </c>
      <c r="D215" s="32">
        <f>4096-C215</f>
        <v/>
      </c>
      <c r="E215" s="69" t="n"/>
    </row>
    <row r="216">
      <c r="A216" s="10" t="n"/>
      <c r="B216" s="16" t="n"/>
      <c r="C216" s="13" t="n"/>
      <c r="D216" s="16" t="n"/>
      <c r="E216" s="73" t="n"/>
    </row>
    <row r="217">
      <c r="A217" s="5" t="inlineStr">
        <is>
          <t>05  FILLER              REDEFINES :PREFIX:-DADOS-DOCUMENTO.</t>
        </is>
      </c>
      <c r="B217" s="6" t="inlineStr">
        <is>
          <t>Lista das Notas Detalhes Apólices (Registo do tipo EXD6) repete-se de 0 a N</t>
        </is>
      </c>
      <c r="C217" s="8">
        <f>C58</f>
        <v/>
      </c>
      <c r="D217" s="8" t="n">
        <v>0</v>
      </c>
      <c r="E217" s="64" t="n"/>
    </row>
    <row r="218">
      <c r="A218" s="30" t="inlineStr">
        <is>
          <t xml:space="preserve">  07  :PREFIX:-QUADRO-DETALHE-APOLICES-NOT.</t>
        </is>
      </c>
      <c r="B218" s="32" t="n"/>
      <c r="C218" s="38">
        <f>C217+D217</f>
        <v/>
      </c>
      <c r="D218" s="32" t="n">
        <v>0</v>
      </c>
      <c r="E218" s="69" t="n"/>
    </row>
    <row r="219">
      <c r="A219" s="40" t="inlineStr">
        <is>
          <t xml:space="preserve">    09  :PREFIX:-QD-APO-NOT-NOTAS     PIC X(1000).</t>
        </is>
      </c>
      <c r="B219" s="16" t="inlineStr">
        <is>
          <t>Texto</t>
        </is>
      </c>
      <c r="C219" s="13">
        <f>C218+D218</f>
        <v/>
      </c>
      <c r="D219" s="25" t="n">
        <v>1000</v>
      </c>
      <c r="E219" s="17" t="inlineStr">
        <is>
          <t>Obrigatório</t>
        </is>
      </c>
    </row>
    <row r="220">
      <c r="A220" s="30" t="inlineStr">
        <is>
          <t xml:space="preserve">  07  FILLER                          PIC X(2797).</t>
        </is>
      </c>
      <c r="B220" s="32" t="inlineStr">
        <is>
          <t>Espaços</t>
        </is>
      </c>
      <c r="C220" s="38">
        <f>C219+D219</f>
        <v/>
      </c>
      <c r="D220" s="32">
        <f>4096-C220</f>
        <v/>
      </c>
      <c r="E220" s="69" t="n"/>
    </row>
    <row r="221">
      <c r="A221" s="10" t="n"/>
      <c r="B221" s="16" t="n"/>
      <c r="C221" s="13" t="n"/>
      <c r="D221" s="16" t="n"/>
      <c r="E221" s="73" t="n"/>
    </row>
    <row r="222">
      <c r="A222" s="5" t="inlineStr">
        <is>
          <t>05  FILLER              REDEFINES :PREFIX:-DADOS-DOCUMENTO.</t>
        </is>
      </c>
      <c r="B222" s="74" t="inlineStr">
        <is>
          <t>Lista das Taxas de Rendimento (Registo do tipo EXTR) repete-se de 0 a N</t>
        </is>
      </c>
      <c r="C222" s="8">
        <f>C58</f>
        <v/>
      </c>
      <c r="D222" s="8" t="n">
        <v>0</v>
      </c>
      <c r="E222" s="64" t="n"/>
    </row>
    <row r="223">
      <c r="A223" s="30" t="inlineStr">
        <is>
          <t xml:space="preserve">  07  :PREFIX:-QUADRO-TAXAS-RENDIMENTO.</t>
        </is>
      </c>
      <c r="B223" s="32" t="n"/>
      <c r="C223" s="38">
        <f>C222+D222</f>
        <v/>
      </c>
      <c r="D223" s="32" t="n">
        <v>0</v>
      </c>
      <c r="E223" s="69" t="n"/>
    </row>
    <row r="224">
      <c r="A224" s="40" t="inlineStr">
        <is>
          <t xml:space="preserve">    09  :PREFIX:-QT-REN-PRODUTO       PIC X(30).</t>
        </is>
      </c>
      <c r="B224" s="25" t="inlineStr">
        <is>
          <t>Produto</t>
        </is>
      </c>
      <c r="C224" s="13">
        <f>C223+D223</f>
        <v/>
      </c>
      <c r="D224" s="25" t="n">
        <v>30</v>
      </c>
      <c r="E224" s="17" t="inlineStr">
        <is>
          <t>Obrigatório</t>
        </is>
      </c>
    </row>
    <row r="225">
      <c r="A225" s="40" t="inlineStr">
        <is>
          <t xml:space="preserve">    09  :PREFIX:-QT-REN-OPCAO         PIC X(30).</t>
        </is>
      </c>
      <c r="B225" s="25" t="inlineStr">
        <is>
          <t>Opção</t>
        </is>
      </c>
      <c r="C225" s="13">
        <f>C224+D224</f>
        <v/>
      </c>
      <c r="D225" s="25" t="n">
        <v>30</v>
      </c>
      <c r="E225" s="21" t="inlineStr">
        <is>
          <t>Opcional</t>
        </is>
      </c>
    </row>
    <row r="226">
      <c r="A226" s="40" t="inlineStr">
        <is>
          <t xml:space="preserve">    09  :PREFIX:-QT-REN-PERIODICIDADE PIC X(10).</t>
        </is>
      </c>
      <c r="B226" s="25" t="inlineStr">
        <is>
          <t>Periodicidade</t>
        </is>
      </c>
      <c r="C226" s="13">
        <f>C225+D225</f>
        <v/>
      </c>
      <c r="D226" s="25" t="n">
        <v>10</v>
      </c>
      <c r="E226" s="17" t="inlineStr">
        <is>
          <t>Obrigatório</t>
        </is>
      </c>
    </row>
    <row r="227">
      <c r="A227" s="40" t="inlineStr">
        <is>
          <t xml:space="preserve">    09  :PREFIX:-QT-REN-TAXA          PIC 9(03)V9(03).</t>
        </is>
      </c>
      <c r="B227" s="25" t="inlineStr">
        <is>
          <t>Taxa</t>
        </is>
      </c>
      <c r="C227" s="13">
        <f>C226+D226</f>
        <v/>
      </c>
      <c r="D227" s="25" t="n">
        <v>6</v>
      </c>
      <c r="E227" s="17" t="inlineStr">
        <is>
          <t>Obrigatório</t>
        </is>
      </c>
    </row>
    <row r="228">
      <c r="A228" s="30" t="inlineStr">
        <is>
          <t xml:space="preserve">  07  FILLER                          PIC X(3721).</t>
        </is>
      </c>
      <c r="B228" s="32" t="inlineStr">
        <is>
          <t>Espaços</t>
        </is>
      </c>
      <c r="C228" s="38">
        <f>C227+D227</f>
        <v/>
      </c>
      <c r="D228" s="32">
        <f>4096-C228</f>
        <v/>
      </c>
      <c r="E228" s="69" t="n"/>
    </row>
    <row r="229">
      <c r="A229" s="10" t="n"/>
      <c r="B229" s="16" t="n"/>
      <c r="C229" s="13" t="n"/>
      <c r="D229" s="16" t="n"/>
      <c r="E229" s="73" t="n"/>
    </row>
    <row r="230">
      <c r="A230" s="5" t="inlineStr">
        <is>
          <t>05  FILLER              REDEFINES :PREFIX:-DADOS-DOCUMENTO.</t>
        </is>
      </c>
      <c r="B230" s="74" t="inlineStr">
        <is>
          <t>Lista das Taxas Anuais (Registo do tipo EXTA) repete-se de 0 a N</t>
        </is>
      </c>
      <c r="C230" s="8">
        <f>C58</f>
        <v/>
      </c>
      <c r="D230" s="8" t="n">
        <v>0</v>
      </c>
      <c r="E230" s="64" t="n"/>
    </row>
    <row r="231">
      <c r="A231" s="30" t="inlineStr">
        <is>
          <t xml:space="preserve">  07  :PREFIX:-QUADRO-TAXAS-ANUAIS.</t>
        </is>
      </c>
      <c r="B231" s="32" t="n"/>
      <c r="C231" s="38">
        <f>C230+D230</f>
        <v/>
      </c>
      <c r="D231" s="32" t="n">
        <v>0</v>
      </c>
      <c r="E231" s="69" t="n"/>
    </row>
    <row r="232">
      <c r="A232" s="40" t="inlineStr">
        <is>
          <t xml:space="preserve">    09  :PREFIX:-QT-ANU-PRODUTO       PIC X(30).</t>
        </is>
      </c>
      <c r="B232" s="25" t="inlineStr">
        <is>
          <t>Produto</t>
        </is>
      </c>
      <c r="C232" s="13">
        <f>C231+D231</f>
        <v/>
      </c>
      <c r="D232" s="25" t="n">
        <v>30</v>
      </c>
      <c r="E232" s="17" t="inlineStr">
        <is>
          <t>Obrigatório</t>
        </is>
      </c>
    </row>
    <row r="233">
      <c r="A233" s="40" t="inlineStr">
        <is>
          <t xml:space="preserve">    09  :PREFIX:-QT-ANU-OPCAO         PIC X(30).</t>
        </is>
      </c>
      <c r="B233" s="25" t="inlineStr">
        <is>
          <t>Opção</t>
        </is>
      </c>
      <c r="C233" s="13">
        <f>C232+D232</f>
        <v/>
      </c>
      <c r="D233" s="25" t="n">
        <v>30</v>
      </c>
      <c r="E233" s="21" t="inlineStr">
        <is>
          <t>Opcional</t>
        </is>
      </c>
    </row>
    <row r="234">
      <c r="A234" s="40" t="inlineStr">
        <is>
          <t xml:space="preserve">    09  :PREFIX:-QT-ANU-DESCRITIVO    PIC X(30).</t>
        </is>
      </c>
      <c r="B234" s="25" t="inlineStr">
        <is>
          <t>Descritivo</t>
        </is>
      </c>
      <c r="C234" s="13">
        <f>C233+D233</f>
        <v/>
      </c>
      <c r="D234" s="25" t="n">
        <v>30</v>
      </c>
      <c r="E234" s="17" t="inlineStr">
        <is>
          <t>Obrigatório</t>
        </is>
      </c>
    </row>
    <row r="235">
      <c r="A235" s="40" t="inlineStr">
        <is>
          <t xml:space="preserve">    09  :PREFIX:-QT-ANU-TAXA          PIC 9(03)V9(03).</t>
        </is>
      </c>
      <c r="B235" s="25" t="inlineStr">
        <is>
          <t>Taxa</t>
        </is>
      </c>
      <c r="C235" s="13">
        <f>C234+D234</f>
        <v/>
      </c>
      <c r="D235" s="25" t="n">
        <v>6</v>
      </c>
      <c r="E235" s="17" t="inlineStr">
        <is>
          <t>Obrigatório</t>
        </is>
      </c>
    </row>
    <row r="236">
      <c r="A236" s="30" t="inlineStr">
        <is>
          <t xml:space="preserve">  07  FILLER                          PIC X(3701).</t>
        </is>
      </c>
      <c r="B236" s="32" t="inlineStr">
        <is>
          <t>Espaços</t>
        </is>
      </c>
      <c r="C236" s="38">
        <f>C235+D235</f>
        <v/>
      </c>
      <c r="D236" s="32">
        <f>4096-C236</f>
        <v/>
      </c>
      <c r="E236" s="69" t="n"/>
    </row>
    <row r="237">
      <c r="A237" s="10" t="n"/>
      <c r="B237" s="16" t="n"/>
      <c r="C237" s="13" t="n"/>
      <c r="D237" s="16" t="n"/>
      <c r="E237" s="73" t="n"/>
    </row>
    <row r="238">
      <c r="A238" s="5" t="inlineStr">
        <is>
          <t>05  FILLER              REDEFINES :PREFIX:-DADOS-DOCUMENTO.</t>
        </is>
      </c>
      <c r="B238" s="6" t="inlineStr">
        <is>
          <t>Lista dos Agendamentos (Registo do tipo EXAG) repete-se de 0 a N</t>
        </is>
      </c>
      <c r="C238" s="8">
        <f>C58</f>
        <v/>
      </c>
      <c r="D238" s="8" t="n">
        <v>0</v>
      </c>
      <c r="E238" s="64" t="n"/>
    </row>
    <row r="239">
      <c r="A239" s="30" t="inlineStr">
        <is>
          <t xml:space="preserve">  07  :PREFIX:-AGENDAMENTOS.</t>
        </is>
      </c>
      <c r="B239" s="32" t="n"/>
      <c r="C239" s="38">
        <f>C238+D238</f>
        <v/>
      </c>
      <c r="D239" s="32" t="n">
        <v>0</v>
      </c>
      <c r="E239" s="69" t="n"/>
    </row>
    <row r="240">
      <c r="A240" s="40" t="inlineStr">
        <is>
          <t xml:space="preserve">    09  :PREFIX:-AG-PRODUTO           PIC X(30).</t>
        </is>
      </c>
      <c r="B240" s="16" t="inlineStr">
        <is>
          <t>Produto</t>
        </is>
      </c>
      <c r="C240" s="13">
        <f>C239+D239</f>
        <v/>
      </c>
      <c r="D240" s="25" t="n">
        <v>30</v>
      </c>
      <c r="E240" s="21" t="inlineStr">
        <is>
          <t>Opcional</t>
        </is>
      </c>
    </row>
    <row r="241">
      <c r="A241" s="40" t="inlineStr">
        <is>
          <t xml:space="preserve">    09  :PREFIX:-AG-APOLICE           PIC X(16).</t>
        </is>
      </c>
      <c r="B241" s="16" t="inlineStr">
        <is>
          <t>Apólice</t>
        </is>
      </c>
      <c r="C241" s="13">
        <f>C240+D240</f>
        <v/>
      </c>
      <c r="D241" s="25" t="n">
        <v>16</v>
      </c>
      <c r="E241" s="17" t="inlineStr">
        <is>
          <t>Obrigatório</t>
        </is>
      </c>
    </row>
    <row r="242">
      <c r="A242" s="40" t="inlineStr">
        <is>
          <t xml:space="preserve">    09  :PREFIX:-AG-DATA              PIC X(08).</t>
        </is>
      </c>
      <c r="B242" s="16" t="inlineStr">
        <is>
          <t>Data [aaaammdd]</t>
        </is>
      </c>
      <c r="C242" s="13">
        <f>C241+D241</f>
        <v/>
      </c>
      <c r="D242" s="25" t="n">
        <v>8</v>
      </c>
      <c r="E242" s="17" t="inlineStr">
        <is>
          <t>Obrigatório</t>
        </is>
      </c>
    </row>
    <row r="243">
      <c r="A243" s="35" t="inlineStr">
        <is>
          <t xml:space="preserve">    09  FILLER                        PIC X(02).</t>
        </is>
      </c>
      <c r="B243" s="16" t="inlineStr">
        <is>
          <t>Filler</t>
        </is>
      </c>
      <c r="C243" s="13">
        <f>C242+D242</f>
        <v/>
      </c>
      <c r="D243" s="25" t="n">
        <v>2</v>
      </c>
      <c r="E243" s="19" t="inlineStr">
        <is>
          <t>Espaços</t>
        </is>
      </c>
    </row>
    <row r="244">
      <c r="A244" s="30" t="inlineStr">
        <is>
          <t xml:space="preserve">  07  FILLER                          PIC X(3741).</t>
        </is>
      </c>
      <c r="B244" s="32" t="inlineStr">
        <is>
          <t>Espaços</t>
        </is>
      </c>
      <c r="C244" s="38">
        <f>C243+D243</f>
        <v/>
      </c>
      <c r="D244" s="32">
        <f>4096-C244</f>
        <v/>
      </c>
      <c r="E244" s="69" t="n"/>
    </row>
    <row r="245">
      <c r="A245" s="10" t="n"/>
      <c r="B245" s="16" t="n"/>
      <c r="C245" s="13" t="n"/>
      <c r="D245" s="16" t="n"/>
      <c r="E245" s="73" t="n"/>
    </row>
    <row r="246">
      <c r="A246" s="5" t="inlineStr">
        <is>
          <t>05  FILLER              REDEFINES :PREFIX:-DADOS-DOCUMENTO.</t>
        </is>
      </c>
      <c r="B246" s="6" t="inlineStr">
        <is>
          <t>Lista texto livre nas Informações Legais (Registo do tipo EXIL) repete-se de 0 a N</t>
        </is>
      </c>
      <c r="C246" s="8">
        <f>C58</f>
        <v/>
      </c>
      <c r="D246" s="8" t="n">
        <v>0</v>
      </c>
      <c r="E246" s="64" t="n"/>
    </row>
    <row r="247">
      <c r="A247" s="30" t="inlineStr">
        <is>
          <t xml:space="preserve">  07  :PREFIX:-INF-LEGAIS-TEXT-LIVRE.</t>
        </is>
      </c>
      <c r="B247" s="32" t="n"/>
      <c r="C247" s="38">
        <f>C246+D246</f>
        <v/>
      </c>
      <c r="D247" s="32" t="n">
        <v>0</v>
      </c>
      <c r="E247" s="69" t="n"/>
    </row>
    <row r="248">
      <c r="A248" s="40" t="inlineStr">
        <is>
          <t xml:space="preserve">    09  :PREFIX:-IL-TEXT-LIVRE-BOLD   PIC X(400).</t>
        </is>
      </c>
      <c r="B248" s="16" t="inlineStr">
        <is>
          <t>Texto livre bold</t>
        </is>
      </c>
      <c r="C248" s="13">
        <f>C247+D247</f>
        <v/>
      </c>
      <c r="D248" s="25" t="n">
        <v>400</v>
      </c>
      <c r="E248" s="21" t="inlineStr">
        <is>
          <t>Opcional</t>
        </is>
      </c>
    </row>
    <row r="249">
      <c r="A249" s="40" t="inlineStr">
        <is>
          <t xml:space="preserve">    09  :PREFIX:-IL-TEXT-LIVRE-NORMAL PIC X(3000).</t>
        </is>
      </c>
      <c r="B249" s="16" t="inlineStr">
        <is>
          <t>Texto livre normal</t>
        </is>
      </c>
      <c r="C249" s="13">
        <f>C248+D248</f>
        <v/>
      </c>
      <c r="D249" s="25" t="n">
        <v>3000</v>
      </c>
      <c r="E249" s="21" t="inlineStr">
        <is>
          <t>Opcional</t>
        </is>
      </c>
    </row>
    <row r="250">
      <c r="A250" s="30" t="inlineStr">
        <is>
          <t xml:space="preserve">  07  FILLER                          PIC X(397).</t>
        </is>
      </c>
      <c r="B250" s="32" t="inlineStr">
        <is>
          <t>Espaços</t>
        </is>
      </c>
      <c r="C250" s="38">
        <f>C249+D249</f>
        <v/>
      </c>
      <c r="D250" s="32">
        <f>4096-C250</f>
        <v/>
      </c>
      <c r="E250" s="69" t="n"/>
    </row>
    <row r="251">
      <c r="A251" s="10" t="n"/>
      <c r="B251" s="16" t="n"/>
      <c r="C251" s="13" t="n"/>
      <c r="D251" s="16" t="n"/>
      <c r="E251" s="73" t="n"/>
    </row>
    <row r="252">
      <c r="A252" s="5" t="inlineStr">
        <is>
          <t>05  FILLER              REDEFINES :PREFIX:-DADOS-DOCUMENTO.</t>
        </is>
      </c>
      <c r="B252" s="6" t="inlineStr">
        <is>
          <t>Lista de Informações Importantes (Registo do tipo EXII) repete-se de 0 a N</t>
        </is>
      </c>
      <c r="C252" s="8">
        <f>C58</f>
        <v/>
      </c>
      <c r="D252" s="8" t="n">
        <v>0</v>
      </c>
      <c r="E252" s="64" t="n"/>
    </row>
    <row r="253">
      <c r="A253" s="30" t="inlineStr">
        <is>
          <t xml:space="preserve">  07  :PREFIX:-INF-IMPORT-APOLICES-VENCER.</t>
        </is>
      </c>
      <c r="B253" s="32" t="n"/>
      <c r="C253" s="38">
        <f>C252+D252</f>
        <v/>
      </c>
      <c r="D253" s="32" t="n">
        <v>0</v>
      </c>
      <c r="E253" s="69" t="n"/>
    </row>
    <row r="254">
      <c r="A254" s="40" t="inlineStr">
        <is>
          <t xml:space="preserve">    09  :PREFIX:-II-APOLICE           PIC X(16).</t>
        </is>
      </c>
      <c r="B254" s="16" t="inlineStr">
        <is>
          <t>Apólice</t>
        </is>
      </c>
      <c r="C254" s="13">
        <f>C253+D253</f>
        <v/>
      </c>
      <c r="D254" s="25" t="n">
        <v>16</v>
      </c>
      <c r="E254" s="17" t="inlineStr">
        <is>
          <t>Obrigatório</t>
        </is>
      </c>
    </row>
    <row r="255">
      <c r="A255" s="40" t="inlineStr">
        <is>
          <t xml:space="preserve">    09  :PREFIX:-II-PRODUTO           PIC X(30).</t>
        </is>
      </c>
      <c r="B255" s="16" t="inlineStr">
        <is>
          <t>Produto</t>
        </is>
      </c>
      <c r="C255" s="13">
        <f>C254+D254</f>
        <v/>
      </c>
      <c r="D255" s="25" t="n">
        <v>30</v>
      </c>
      <c r="E255" s="17" t="inlineStr">
        <is>
          <t>Obrigatório</t>
        </is>
      </c>
    </row>
    <row r="256">
      <c r="A256" s="40" t="inlineStr">
        <is>
          <t xml:space="preserve">    09  :PREFIX:-II-DT-TERMO          PIC X(08).</t>
        </is>
      </c>
      <c r="B256" s="16" t="inlineStr">
        <is>
          <t>Data Termo [aaaammdd]</t>
        </is>
      </c>
      <c r="C256" s="13">
        <f>C255+D255</f>
        <v/>
      </c>
      <c r="D256" s="25" t="n">
        <v>8</v>
      </c>
      <c r="E256" s="17" t="inlineStr">
        <is>
          <t>Obrigatório</t>
        </is>
      </c>
    </row>
    <row r="257">
      <c r="A257" s="35" t="inlineStr">
        <is>
          <t xml:space="preserve">    09  FILLER                        PIC X(02).</t>
        </is>
      </c>
      <c r="B257" s="16" t="inlineStr">
        <is>
          <t>Filler</t>
        </is>
      </c>
      <c r="C257" s="13">
        <f>C256+D256</f>
        <v/>
      </c>
      <c r="D257" s="25" t="n">
        <v>2</v>
      </c>
      <c r="E257" s="19" t="inlineStr">
        <is>
          <t>Espaços</t>
        </is>
      </c>
    </row>
    <row r="258">
      <c r="A258" s="40" t="inlineStr">
        <is>
          <t xml:space="preserve">    09  :PREFIX:-II-CAPITAL-GAR       PIC S9(12)V9(02) SIGN LEADING SEPARATE.</t>
        </is>
      </c>
      <c r="B258" s="16" t="inlineStr">
        <is>
          <t>Capital Garantido</t>
        </is>
      </c>
      <c r="C258" s="13">
        <f>C257+D257</f>
        <v/>
      </c>
      <c r="D258" s="25" t="n">
        <v>15</v>
      </c>
      <c r="E258" s="21" t="inlineStr">
        <is>
          <t>Opcional</t>
        </is>
      </c>
    </row>
    <row r="259">
      <c r="A259" s="10" t="inlineStr">
        <is>
          <t xml:space="preserve">    09  :PREFIX:-II-CONT-COM-APOL-PPR PIC X(01).</t>
        </is>
      </c>
      <c r="B259" s="16" t="inlineStr">
        <is>
          <t>Indicador se contrato tem apolices PPR (se sim 'Y', se não espaço ou 'N')</t>
        </is>
      </c>
      <c r="C259" s="13">
        <f>C258+D258</f>
        <v/>
      </c>
      <c r="D259" s="25" t="n">
        <v>1</v>
      </c>
      <c r="E259" s="21" t="inlineStr">
        <is>
          <t>Opcional</t>
        </is>
      </c>
    </row>
    <row r="260">
      <c r="A260" s="30" t="inlineStr">
        <is>
          <t xml:space="preserve">  07  FILLER                          PIC X(3725).</t>
        </is>
      </c>
      <c r="B260" s="32" t="inlineStr">
        <is>
          <t>Espaços</t>
        </is>
      </c>
      <c r="C260" s="38">
        <f>C259+D259</f>
        <v/>
      </c>
      <c r="D260" s="32">
        <f>4096-C260</f>
        <v/>
      </c>
      <c r="E260" s="69" t="n"/>
    </row>
    <row r="261">
      <c r="A261" s="10" t="n"/>
      <c r="B261" s="16" t="n"/>
      <c r="C261" s="13" t="n"/>
      <c r="D261" s="16" t="n"/>
      <c r="E261" s="73" t="n"/>
    </row>
    <row r="262">
      <c r="A262" s="5" t="inlineStr">
        <is>
          <t>05  FILLER              REDEFINES :PREFIX:-DADOS-DOCUMENTO.</t>
        </is>
      </c>
      <c r="B262" s="6" t="inlineStr">
        <is>
          <t>Lista texto livre Informações Importantes (Registo do tipo EXTL) repete-se de 0 a N</t>
        </is>
      </c>
      <c r="C262" s="8">
        <f>C58</f>
        <v/>
      </c>
      <c r="D262" s="8" t="n">
        <v>0</v>
      </c>
      <c r="E262" s="64" t="n"/>
    </row>
    <row r="263">
      <c r="A263" s="30" t="inlineStr">
        <is>
          <t xml:space="preserve">  07  :PREFIX:-INF-IMPORT-TEXT-LIVRE.</t>
        </is>
      </c>
      <c r="B263" s="32" t="n"/>
      <c r="C263" s="38">
        <f>C262+D262</f>
        <v/>
      </c>
      <c r="D263" s="32" t="n">
        <v>0</v>
      </c>
      <c r="E263" s="69" t="n"/>
    </row>
    <row r="264">
      <c r="A264" s="40" t="inlineStr">
        <is>
          <t xml:space="preserve">    09  :PREFIX:-II-TEXT-LIVRE-BOLD   PIC X(400).</t>
        </is>
      </c>
      <c r="B264" s="16" t="inlineStr">
        <is>
          <t>Texto livre bold</t>
        </is>
      </c>
      <c r="C264" s="13">
        <f>C263+D263</f>
        <v/>
      </c>
      <c r="D264" s="25" t="n">
        <v>400</v>
      </c>
      <c r="E264" s="21" t="inlineStr">
        <is>
          <t>Opcional</t>
        </is>
      </c>
    </row>
    <row r="265">
      <c r="A265" s="40" t="inlineStr">
        <is>
          <t xml:space="preserve">    09  :PREFIX:-II-TEXT-LIVRE-NORMAL PIC X(3000).</t>
        </is>
      </c>
      <c r="B265" s="16" t="inlineStr">
        <is>
          <t>Texto livre normal</t>
        </is>
      </c>
      <c r="C265" s="13">
        <f>C264+D264</f>
        <v/>
      </c>
      <c r="D265" s="25" t="n">
        <v>3000</v>
      </c>
      <c r="E265" s="21" t="inlineStr">
        <is>
          <t>Opcional</t>
        </is>
      </c>
    </row>
    <row r="266">
      <c r="A266" s="30" t="inlineStr">
        <is>
          <t xml:space="preserve">  07  FILLER                          PIC X(397).</t>
        </is>
      </c>
      <c r="B266" s="32" t="inlineStr">
        <is>
          <t>Espaços</t>
        </is>
      </c>
      <c r="C266" s="38">
        <f>C265+D265</f>
        <v/>
      </c>
      <c r="D266" s="32">
        <f>4096-C266</f>
        <v/>
      </c>
      <c r="E266" s="69" t="n"/>
    </row>
    <row r="267">
      <c r="A267" s="10" t="n"/>
      <c r="B267" s="16" t="n"/>
      <c r="C267" s="13" t="n"/>
      <c r="D267" s="16" t="n"/>
      <c r="E267" s="73" t="n"/>
    </row>
    <row r="268">
      <c r="A268" s="5" t="inlineStr">
        <is>
          <t>05  FILLER              REDEFINES :PREFIX:-DADOS-DOCUMENTO.</t>
        </is>
      </c>
      <c r="B268" s="74" t="inlineStr">
        <is>
          <t>Fim do Documento (Registo do tipo EXZZ)</t>
        </is>
      </c>
      <c r="C268" s="8">
        <f>C58</f>
        <v/>
      </c>
      <c r="D268" s="8" t="n">
        <v>0</v>
      </c>
      <c r="E268" s="64" t="n"/>
    </row>
    <row r="269">
      <c r="A269" s="30" t="inlineStr">
        <is>
          <t xml:space="preserve">  07  :PREFIX:-FIM-DOCUMENTO          PIC X(3797).</t>
        </is>
      </c>
      <c r="B269" s="32" t="inlineStr">
        <is>
          <t>Espaços</t>
        </is>
      </c>
      <c r="C269" s="38">
        <f>C268+D268</f>
        <v/>
      </c>
      <c r="D269" s="32">
        <f>4096-C269</f>
        <v/>
      </c>
      <c r="E269" s="17" t="inlineStr">
        <is>
          <t>Obrigatório</t>
        </is>
      </c>
    </row>
  </sheetData>
  <mergeCells count="9">
    <mergeCell ref="E22:E24"/>
    <mergeCell ref="E53:E54"/>
    <mergeCell ref="E12:E13"/>
    <mergeCell ref="E73:E75"/>
    <mergeCell ref="E6:E11"/>
    <mergeCell ref="E3:E5"/>
    <mergeCell ref="E162:E165"/>
    <mergeCell ref="E129:E132"/>
    <mergeCell ref="E27:E51"/>
  </mergeCells>
  <pageMargins left="0.2362204724409449" right="0.2362204724409449" top="0.7480314960629921" bottom="0.7480314960629921" header="0.3149606299212598" footer="0.3149606299212598"/>
  <pageSetup orientation="landscape" paperSize="9" scale="74" fitToHeight="6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4.4"/>
  <cols>
    <col width="103.44140625" customWidth="1" min="1" max="1"/>
    <col width="70.33203125" customWidth="1" min="2" max="2"/>
    <col width="7.6640625" customWidth="1" min="3" max="3"/>
    <col width="9.109375" customWidth="1" min="4" max="4"/>
    <col width="11.33203125" customWidth="1" min="5" max="5"/>
  </cols>
  <sheetData>
    <row r="1">
      <c r="A1" s="1" t="inlineStr">
        <is>
          <t>Copybook</t>
        </is>
      </c>
      <c r="B1" s="63" t="inlineStr">
        <is>
          <t>Descrição / 'Valores Possiveis' / (Notas) / [Formato]</t>
        </is>
      </c>
      <c r="C1" s="3" t="inlineStr">
        <is>
          <t>Posição</t>
        </is>
      </c>
      <c r="D1" s="3" t="inlineStr">
        <is>
          <t>Tamanho</t>
        </is>
      </c>
      <c r="E1" s="4" t="inlineStr">
        <is>
          <t>Observação</t>
        </is>
      </c>
    </row>
    <row r="2">
      <c r="A2" s="5" t="inlineStr">
        <is>
          <t>05  :PREFIX:-SORT-KEY.</t>
        </is>
      </c>
      <c r="B2" s="7" t="n"/>
      <c r="C2" s="8" t="n">
        <v>1</v>
      </c>
      <c r="D2" s="8" t="n">
        <v>0</v>
      </c>
      <c r="E2" s="64" t="n"/>
    </row>
    <row r="3">
      <c r="A3" s="46" t="inlineStr">
        <is>
          <t xml:space="preserve">  07  :PREFIX:-COMPANY                PIC X(003).</t>
        </is>
      </c>
      <c r="B3" s="47" t="inlineStr">
        <is>
          <t>Código de identificação da Companhia</t>
        </is>
      </c>
      <c r="C3" s="48">
        <f>C2+D2</f>
        <v/>
      </c>
      <c r="D3" s="48" t="n">
        <v>3</v>
      </c>
      <c r="E3" s="17" t="inlineStr">
        <is>
          <t>Obrigatório</t>
        </is>
      </c>
    </row>
    <row r="4">
      <c r="A4" s="46" t="inlineStr">
        <is>
          <t xml:space="preserve">  07  :PREFIX:-MARCA                  PIC X(003).</t>
        </is>
      </c>
      <c r="B4" s="47" t="inlineStr">
        <is>
          <t>Código de identificação da Marca</t>
        </is>
      </c>
      <c r="C4" s="48">
        <f>C3+D3</f>
        <v/>
      </c>
      <c r="D4" s="54" t="n">
        <v>3</v>
      </c>
      <c r="E4" s="17" t="inlineStr">
        <is>
          <t>Obrigatório</t>
        </is>
      </c>
    </row>
    <row r="5">
      <c r="A5" s="46" t="inlineStr">
        <is>
          <t xml:space="preserve">  07  :PREFIX:-CLIENT-REFERENCE       PIC X(010).</t>
        </is>
      </c>
      <c r="B5" s="54" t="inlineStr">
        <is>
          <t>Número do Cliente</t>
        </is>
      </c>
      <c r="C5" s="48">
        <f>C4+D4</f>
        <v/>
      </c>
      <c r="D5" s="54" t="n">
        <v>10</v>
      </c>
      <c r="E5" s="17" t="inlineStr">
        <is>
          <t>Obrigatório</t>
        </is>
      </c>
    </row>
    <row r="6">
      <c r="A6" s="46" t="inlineStr">
        <is>
          <t xml:space="preserve">  07  :PREFIX:-POST-CODE              PIC X(008).</t>
        </is>
      </c>
      <c r="B6" s="54" t="inlineStr">
        <is>
          <t>Código postal do Cliente (Se estrangeiro deverá vir a zeros) [99990999]</t>
        </is>
      </c>
      <c r="C6" s="48">
        <f>C5+D5</f>
        <v/>
      </c>
      <c r="D6" s="54" t="n">
        <v>8</v>
      </c>
      <c r="E6" s="17" t="inlineStr">
        <is>
          <t>Obrigatório</t>
        </is>
      </c>
    </row>
    <row r="7">
      <c r="A7" s="46" t="inlineStr">
        <is>
          <t xml:space="preserve">  07  :PREFIX:-AGENTE-COBRADOR        PIC X(010).</t>
        </is>
      </c>
      <c r="B7" s="54" t="inlineStr">
        <is>
          <t>Número do Mediador (se existir Mediador, espaços para restantes casos)</t>
        </is>
      </c>
      <c r="C7" s="48">
        <f>C6+D6</f>
        <v/>
      </c>
      <c r="D7" s="54" t="n">
        <v>10</v>
      </c>
      <c r="E7" s="21" t="inlineStr">
        <is>
          <t>Opcional</t>
        </is>
      </c>
    </row>
    <row r="8">
      <c r="A8" s="46" t="inlineStr">
        <is>
          <t xml:space="preserve">  07  :PREFIX:-AG-POST-CODE           PIC X(008).</t>
        </is>
      </c>
      <c r="B8" s="54" t="inlineStr">
        <is>
          <t>Código postal do Mediador (Se estrangeiro deverá vir a zeros) [99990999]</t>
        </is>
      </c>
      <c r="C8" s="48">
        <f>C7+D7</f>
        <v/>
      </c>
      <c r="D8" s="54" t="n">
        <v>8</v>
      </c>
      <c r="E8" s="21" t="inlineStr">
        <is>
          <t>Opcional</t>
        </is>
      </c>
    </row>
    <row r="9">
      <c r="A9" s="46" t="inlineStr">
        <is>
          <t xml:space="preserve">  07  :PREFIX:-PRODUTO                PIC X(005).</t>
        </is>
      </c>
      <c r="B9" s="47" t="inlineStr">
        <is>
          <t>Código do Produto</t>
        </is>
      </c>
      <c r="C9" s="48">
        <f>C8+D8</f>
        <v/>
      </c>
      <c r="D9" s="48" t="n">
        <v>5</v>
      </c>
      <c r="E9" s="17" t="inlineStr">
        <is>
          <t>Obrigatório</t>
        </is>
      </c>
    </row>
    <row r="10">
      <c r="A10" s="46" t="inlineStr">
        <is>
          <t xml:space="preserve">  07  :PREFIX:-POLICY-NUMBER          PIC X(016).</t>
        </is>
      </c>
      <c r="B10" s="54" t="inlineStr">
        <is>
          <t>Número da Apólice</t>
        </is>
      </c>
      <c r="C10" s="48">
        <f>C9+D9</f>
        <v/>
      </c>
      <c r="D10" s="54" t="n">
        <v>16</v>
      </c>
      <c r="E10" s="17" t="inlineStr">
        <is>
          <t>Obrigatório</t>
        </is>
      </c>
    </row>
    <row r="11">
      <c r="A11" s="46" t="inlineStr">
        <is>
          <t xml:space="preserve">  07  :PREFIX:-POLICY-TRANSACTION     PIC X(010).</t>
        </is>
      </c>
      <c r="B11" s="54" t="inlineStr">
        <is>
          <t>Policy Transaction</t>
        </is>
      </c>
      <c r="C11" s="48">
        <f>C10+D10</f>
        <v/>
      </c>
      <c r="D11" s="54" t="n">
        <v>10</v>
      </c>
      <c r="E11" s="21" t="inlineStr">
        <is>
          <t>Opcional</t>
        </is>
      </c>
    </row>
    <row r="12">
      <c r="A12" s="46" t="inlineStr">
        <is>
          <t xml:space="preserve">  07  :PREFIX:-TIPO-DOC               PIC X(005).</t>
        </is>
      </c>
      <c r="B12" s="47" t="inlineStr">
        <is>
          <t>Tipo de Documento</t>
        </is>
      </c>
      <c r="C12" s="48">
        <f>C11+D11</f>
        <v/>
      </c>
      <c r="D12" s="48" t="n">
        <v>5</v>
      </c>
      <c r="E12" s="17" t="inlineStr">
        <is>
          <t>Obrigatório</t>
        </is>
      </c>
    </row>
    <row r="13">
      <c r="A13" s="57" t="inlineStr">
        <is>
          <t xml:space="preserve">    88  :PREFIX:-CART1                          VALUE 'CART1'.</t>
        </is>
      </c>
      <c r="B13" s="58" t="n"/>
      <c r="C13" s="48" t="n"/>
      <c r="D13" s="48" t="n"/>
      <c r="E13" s="17" t="n"/>
    </row>
    <row r="14">
      <c r="A14" s="46" t="inlineStr">
        <is>
          <t xml:space="preserve">  07  :PREFIX:-NUM-SEQ-1              PIC 9(005).</t>
        </is>
      </c>
      <c r="B14" s="47" t="inlineStr">
        <is>
          <t>Sequencia</t>
        </is>
      </c>
      <c r="C14" s="48">
        <f>C12+D12</f>
        <v/>
      </c>
      <c r="D14" s="48" t="n">
        <v>5</v>
      </c>
      <c r="E14" s="17" t="inlineStr">
        <is>
          <t>Obrigatório</t>
        </is>
      </c>
    </row>
    <row r="15">
      <c r="A15" s="46" t="inlineStr">
        <is>
          <t xml:space="preserve">  07  :PREFIX:-TYPE-1-2.                            </t>
        </is>
      </c>
      <c r="B15" s="47" t="n"/>
      <c r="C15" s="48" t="n"/>
      <c r="D15" s="48" t="n"/>
      <c r="E15" s="17" t="n"/>
    </row>
    <row r="16">
      <c r="A16" s="46" t="inlineStr">
        <is>
          <t xml:space="preserve">    09  :PREFIX:-RECORD-TYPE-1        PIC X(002).    </t>
        </is>
      </c>
      <c r="B16" s="47" t="inlineStr">
        <is>
          <t>Record Type 1</t>
        </is>
      </c>
      <c r="C16" s="48">
        <f>C14+D14</f>
        <v/>
      </c>
      <c r="D16" s="48" t="n">
        <v>2</v>
      </c>
      <c r="E16" s="17" t="inlineStr">
        <is>
          <t>Obrigatório</t>
        </is>
      </c>
    </row>
    <row r="17">
      <c r="A17" s="46" t="inlineStr">
        <is>
          <t xml:space="preserve">      88  :PREFIX:-DADOS-GERAIS                 VALUE 'AA'.</t>
        </is>
      </c>
      <c r="B17" s="47" t="inlineStr">
        <is>
          <t xml:space="preserve"> 'AA' - Dados Gerais</t>
        </is>
      </c>
      <c r="C17" s="48" t="n"/>
      <c r="D17" s="48" t="n"/>
      <c r="E17" s="17" t="n"/>
    </row>
    <row r="18">
      <c r="A18" s="46" t="inlineStr">
        <is>
          <t xml:space="preserve">      88  :PREFIX:-FIM-DOCUMENTO                VALUE 'ZA'.</t>
        </is>
      </c>
      <c r="B18" s="47" t="inlineStr">
        <is>
          <t xml:space="preserve"> 'ZA' - Fim de Documento</t>
        </is>
      </c>
      <c r="C18" s="48" t="n"/>
      <c r="D18" s="48" t="n"/>
      <c r="E18" s="17" t="n"/>
    </row>
    <row r="19">
      <c r="A19" s="57" t="inlineStr">
        <is>
          <t xml:space="preserve">    09  :PREFIX:-RECORD-TYPE-2        PIC X(001).    </t>
        </is>
      </c>
      <c r="B19" s="58" t="inlineStr">
        <is>
          <t>Record Type 2</t>
        </is>
      </c>
      <c r="C19" s="48">
        <f>C16+D16</f>
        <v/>
      </c>
      <c r="D19" s="48" t="n">
        <v>1</v>
      </c>
      <c r="E19" s="17" t="inlineStr">
        <is>
          <t>Obrigatório</t>
        </is>
      </c>
    </row>
    <row r="20">
      <c r="A20" s="57" t="inlineStr">
        <is>
          <t xml:space="preserve">      88  :PREFIX:-TYPE-A                       VALUE 'A'. </t>
        </is>
      </c>
      <c r="B20" s="58" t="n"/>
      <c r="C20" s="48" t="n"/>
      <c r="D20" s="48" t="n"/>
      <c r="E20" s="17" t="n"/>
    </row>
    <row r="21">
      <c r="A21" s="46" t="inlineStr">
        <is>
          <t xml:space="preserve">  07  FILLER REDEFINES :PREFIX:-TYPE-1-2 PIC X(003).       </t>
        </is>
      </c>
      <c r="B21" s="47" t="n"/>
      <c r="C21" s="48">
        <f>C14+D14</f>
        <v/>
      </c>
      <c r="D21" s="48" t="n">
        <v>3</v>
      </c>
      <c r="E21" s="17" t="n"/>
    </row>
    <row r="22">
      <c r="A22" s="46" t="inlineStr">
        <is>
          <t xml:space="preserve">    88  :PREFIX:-VALID-TYPE-1-2                 VALUE 'AAA' 'ZAA'.</t>
        </is>
      </c>
      <c r="B22" s="47" t="n"/>
      <c r="C22" s="48" t="n"/>
      <c r="D22" s="48" t="n"/>
      <c r="E22" s="17" t="n"/>
    </row>
    <row r="23">
      <c r="A23" s="5" t="inlineStr">
        <is>
          <t>05  :PREFIX:-PRINT-DATA               PIC X(413).</t>
        </is>
      </c>
      <c r="B23" s="7" t="n"/>
      <c r="C23" s="8">
        <f>C21+D21</f>
        <v/>
      </c>
      <c r="D23" s="8">
        <f>500-C23</f>
        <v/>
      </c>
      <c r="E23" s="64" t="n"/>
    </row>
    <row r="24">
      <c r="A24" s="28" t="n"/>
      <c r="B24" s="12" t="n"/>
      <c r="C24" s="13" t="n"/>
      <c r="D24" s="13" t="n"/>
      <c r="E24" s="27" t="n"/>
    </row>
    <row r="25">
      <c r="A25" s="5" t="inlineStr">
        <is>
          <t>05  :PREFIX:-LINHA-AA                 REDEFINES :PREFIX:-PRINT-DATA.</t>
        </is>
      </c>
      <c r="B25" s="7" t="inlineStr">
        <is>
          <t>Dados de Endereçamento</t>
        </is>
      </c>
      <c r="C25" s="8">
        <f>C23</f>
        <v/>
      </c>
      <c r="D25" s="8" t="n">
        <v>0</v>
      </c>
      <c r="E25" s="64" t="n"/>
    </row>
    <row r="26">
      <c r="A26" s="10" t="inlineStr">
        <is>
          <t xml:space="preserve">  07  :PREFIX:-TM-ADDRESSEE           PIC X(040).</t>
        </is>
      </c>
      <c r="B26" s="16" t="inlineStr">
        <is>
          <t xml:space="preserve">Nome </t>
        </is>
      </c>
      <c r="C26" s="25">
        <f>C25+D25</f>
        <v/>
      </c>
      <c r="D26" s="16" t="n">
        <v>40</v>
      </c>
      <c r="E26" s="17" t="inlineStr">
        <is>
          <t>Obrigatório</t>
        </is>
      </c>
    </row>
    <row r="27">
      <c r="A27" s="10" t="inlineStr">
        <is>
          <t xml:space="preserve">  07  :PREFIX:-TM-ADDRESS1            PIC X(040).</t>
        </is>
      </c>
      <c r="B27" s="16" t="inlineStr">
        <is>
          <t>Dados de morada 1</t>
        </is>
      </c>
      <c r="C27" s="25">
        <f>C26+D26</f>
        <v/>
      </c>
      <c r="D27" s="16" t="n">
        <v>40</v>
      </c>
      <c r="E27" s="17" t="inlineStr">
        <is>
          <t>Obrigatório</t>
        </is>
      </c>
    </row>
    <row r="28">
      <c r="A28" s="10" t="inlineStr">
        <is>
          <t xml:space="preserve">  07  :PREFIX:-TM-ADDRESS2            PIC X(040).</t>
        </is>
      </c>
      <c r="B28" s="16" t="inlineStr">
        <is>
          <t>Dados de morada 2</t>
        </is>
      </c>
      <c r="C28" s="25">
        <f>C27+D27</f>
        <v/>
      </c>
      <c r="D28" s="16" t="n">
        <v>40</v>
      </c>
      <c r="E28" s="21" t="inlineStr">
        <is>
          <t>Opcional</t>
        </is>
      </c>
    </row>
    <row r="29">
      <c r="A29" s="10" t="inlineStr">
        <is>
          <t xml:space="preserve">  07  :PREFIX:-TM-ADDRESS3            PIC X(040).</t>
        </is>
      </c>
      <c r="B29" s="16" t="inlineStr">
        <is>
          <t>Localidade</t>
        </is>
      </c>
      <c r="C29" s="25">
        <f>C28+D28</f>
        <v/>
      </c>
      <c r="D29" s="16" t="n">
        <v>40</v>
      </c>
      <c r="E29" s="21" t="inlineStr">
        <is>
          <t>Opcional</t>
        </is>
      </c>
    </row>
    <row r="30">
      <c r="A30" s="10" t="inlineStr">
        <is>
          <t xml:space="preserve">  07  :PREFIX:-TM-ADDRESS4            PIC X(040).</t>
        </is>
      </c>
      <c r="B30" s="16" t="inlineStr">
        <is>
          <t>Descritivo do código postal</t>
        </is>
      </c>
      <c r="C30" s="25">
        <f>C29+D29</f>
        <v/>
      </c>
      <c r="D30" s="16" t="n">
        <v>40</v>
      </c>
      <c r="E30" s="17" t="inlineStr">
        <is>
          <t>Obrigatório</t>
        </is>
      </c>
    </row>
    <row r="31">
      <c r="A31" s="10" t="inlineStr">
        <is>
          <t xml:space="preserve">  07  :PREFIX:-TM-TNUM-PORTA          PIC X(001).</t>
        </is>
      </c>
      <c r="B31" s="36" t="inlineStr">
        <is>
          <t>Identificação da Porta (no CBC)</t>
        </is>
      </c>
      <c r="C31" s="25">
        <f>C30+D30</f>
        <v/>
      </c>
      <c r="D31" s="16" t="n">
        <v>1</v>
      </c>
      <c r="E31" s="21" t="inlineStr">
        <is>
          <t>Opcional</t>
        </is>
      </c>
    </row>
    <row r="32">
      <c r="A32" s="10" t="inlineStr">
        <is>
          <t xml:space="preserve">  07  :PREFIX:-TM-NUM-PORTA           PIC X(004).</t>
        </is>
      </c>
      <c r="B32" s="36" t="inlineStr">
        <is>
          <t>Identificação da Porta (no CBC)</t>
        </is>
      </c>
      <c r="C32" s="25">
        <f>C31+D31</f>
        <v/>
      </c>
      <c r="D32" s="16" t="n">
        <v>4</v>
      </c>
      <c r="E32" s="21" t="inlineStr">
        <is>
          <t>Opcional</t>
        </is>
      </c>
    </row>
    <row r="33">
      <c r="A33" s="22" t="inlineStr">
        <is>
          <t xml:space="preserve">  07  :PREFIX:-DATA-PROCESSAMENTO     PIC X(008).</t>
        </is>
      </c>
      <c r="B33" s="36" t="inlineStr">
        <is>
          <t>Data da carta  [aaaammdd]</t>
        </is>
      </c>
      <c r="C33" s="25">
        <f>C32+D32</f>
        <v/>
      </c>
      <c r="D33" s="25" t="n">
        <v>8</v>
      </c>
      <c r="E33" s="21" t="inlineStr">
        <is>
          <t>Opcional</t>
        </is>
      </c>
    </row>
    <row r="34">
      <c r="A34" s="22" t="inlineStr">
        <is>
          <t xml:space="preserve">  07  :PREFIX:-PRODUCT                PIC X(030).</t>
        </is>
      </c>
      <c r="B34" s="16" t="inlineStr">
        <is>
          <t>Descritivo do Produto</t>
        </is>
      </c>
      <c r="C34" s="25">
        <f>C33+D33</f>
        <v/>
      </c>
      <c r="D34" s="25" t="n">
        <v>30</v>
      </c>
      <c r="E34" s="17" t="inlineStr">
        <is>
          <t>Obrigatório</t>
        </is>
      </c>
    </row>
    <row r="35">
      <c r="A35" s="22" t="inlineStr">
        <is>
          <t xml:space="preserve">  07  FILLER                          PIC X(083).</t>
        </is>
      </c>
      <c r="B35" s="16" t="inlineStr">
        <is>
          <t>Espaços</t>
        </is>
      </c>
      <c r="C35" s="25">
        <f>C34+D34</f>
        <v/>
      </c>
      <c r="D35" s="25">
        <f>413-C35</f>
        <v/>
      </c>
      <c r="E35" s="17" t="inlineStr">
        <is>
          <t>Obrigatório</t>
        </is>
      </c>
    </row>
    <row r="36">
      <c r="A36" s="10" t="n"/>
      <c r="B36" s="16" t="n"/>
      <c r="C36" s="13" t="n"/>
      <c r="D36" s="16" t="n"/>
      <c r="E36" s="73" t="n"/>
    </row>
    <row r="37">
      <c r="A37" s="5" t="inlineStr">
        <is>
          <t>05  :PREFIX:-LINHA-ZA                 REDEFINES :PREFIX:-PRINT-DATA.</t>
        </is>
      </c>
      <c r="B37" s="74" t="inlineStr">
        <is>
          <t>Fim do Documento</t>
        </is>
      </c>
      <c r="C37" s="8">
        <f>C23</f>
        <v/>
      </c>
      <c r="D37" s="8" t="n">
        <v>0</v>
      </c>
      <c r="E37" s="64" t="n"/>
    </row>
    <row r="38">
      <c r="A38" s="10" t="inlineStr">
        <is>
          <t xml:space="preserve">  07  FILLER                          PIC X(413).</t>
        </is>
      </c>
      <c r="B38" s="16" t="inlineStr">
        <is>
          <t>Espaços</t>
        </is>
      </c>
      <c r="C38" s="13">
        <f>C37+D37</f>
        <v/>
      </c>
      <c r="D38" s="16">
        <f>500-C38</f>
        <v/>
      </c>
      <c r="E38" s="17" t="inlineStr">
        <is>
          <t>Obrigatório</t>
        </is>
      </c>
    </row>
    <row r="39">
      <c r="A39" s="10" t="n"/>
      <c r="B39" s="16" t="n"/>
      <c r="C39" s="13" t="n"/>
      <c r="D39" s="16" t="n"/>
      <c r="E39" s="16" t="n"/>
    </row>
    <row r="40">
      <c r="A40" s="5" t="inlineStr">
        <is>
          <t>05  :PREFIX:-TIPO-IMPRESSAO           PIC X(001)</t>
        </is>
      </c>
      <c r="B40" s="74" t="inlineStr">
        <is>
          <t>Tipo de impressão ('I' impressão Online (Não Expedir), 'O' impressão Batch (Expedir))</t>
        </is>
      </c>
      <c r="C40" s="8">
        <f>C23+D23</f>
        <v/>
      </c>
      <c r="D40" s="8" t="n">
        <v>1</v>
      </c>
      <c r="E40" s="17" t="inlineStr">
        <is>
          <t>Obrigatório</t>
        </is>
      </c>
    </row>
  </sheetData>
  <pageMargins left="0.2362204724409449" right="0.2362204724409449" top="0.7480314960629921" bottom="0.7480314960629921" header="0.3149606299212598" footer="0.3149606299212598"/>
  <pageSetup orientation="landscape" paperSize="9" scale="74" fitToHeight="6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X408"/>
  <sheetViews>
    <sheetView workbookViewId="0">
      <selection activeCell="A1" sqref="A1"/>
    </sheetView>
  </sheetViews>
  <sheetFormatPr baseColWidth="8" defaultRowHeight="14.4"/>
  <cols>
    <col width="1.88671875" customWidth="1" min="1" max="1"/>
    <col width="94" customWidth="1" min="2" max="2"/>
    <col width="7.88671875" customWidth="1" min="3" max="3"/>
    <col width="90.88671875" customWidth="1" min="4" max="4"/>
    <col width="9.109375" customWidth="1" min="5" max="5"/>
    <col width="11.44140625" customWidth="1" min="6" max="6"/>
    <col width="12.109375" customWidth="1" min="7" max="7"/>
    <col width="1.88671875" customWidth="1" min="8" max="8"/>
    <col width="8.88671875" customWidth="1" min="11" max="11"/>
    <col width="17.33203125" customWidth="1" min="12" max="12"/>
    <col width="47.88671875" customWidth="1" min="13" max="13"/>
    <col width="3.44140625" customWidth="1" min="14" max="14"/>
    <col width="13.5546875" customWidth="1" min="15" max="15"/>
    <col width="8.88671875" customWidth="1" min="16" max="16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G2" s="4" t="inlineStr">
        <is>
          <t>Observações</t>
        </is>
      </c>
    </row>
    <row r="3">
      <c r="B3" s="5" t="inlineStr">
        <is>
          <t>05  :PREFIX:-DADOS-REGISTO.</t>
        </is>
      </c>
      <c r="C3" s="29" t="n"/>
      <c r="D3" s="7" t="n"/>
      <c r="E3" s="121" t="n">
        <v>1</v>
      </c>
      <c r="F3" s="121" t="n"/>
      <c r="G3" s="45" t="n"/>
    </row>
    <row r="4">
      <c r="B4" s="10" t="inlineStr">
        <is>
          <t xml:space="preserve">  07  :PREFIX:-COD-DOCUMENTO            PIC X(04).</t>
        </is>
      </c>
      <c r="C4" s="122" t="n"/>
      <c r="D4" s="12" t="inlineStr">
        <is>
          <t>Código de documento</t>
        </is>
      </c>
      <c r="E4" s="123">
        <f>E3+F3</f>
        <v/>
      </c>
      <c r="F4" s="123" t="n">
        <v>4</v>
      </c>
      <c r="G4" s="17" t="inlineStr">
        <is>
          <t>Obrigatório</t>
        </is>
      </c>
      <c r="I4">
        <f>E4+33</f>
        <v/>
      </c>
    </row>
    <row r="5">
      <c r="B5" s="10" t="inlineStr">
        <is>
          <t xml:space="preserve">      88  :PREFIX:-DOC-AR                   VALUE 'AVSO'.</t>
        </is>
      </c>
      <c r="C5" s="122" t="n"/>
      <c r="D5" s="12" t="inlineStr">
        <is>
          <t xml:space="preserve">     'AVSO' - Aviso-Recibo</t>
        </is>
      </c>
      <c r="E5" s="123" t="n"/>
      <c r="F5" s="123" t="n"/>
      <c r="G5" s="15" t="n"/>
    </row>
    <row r="6">
      <c r="B6" s="10" t="inlineStr">
        <is>
          <t xml:space="preserve">      88  :PREFIX:-DOC-EXTR                 VALUE 'EXTR'.</t>
        </is>
      </c>
      <c r="C6" s="122" t="n"/>
      <c r="D6" s="12" t="inlineStr">
        <is>
          <t xml:space="preserve">     'EXTR' - Extrato</t>
        </is>
      </c>
      <c r="E6" s="123" t="n"/>
      <c r="F6" s="123" t="n"/>
      <c r="G6" s="18" t="n"/>
    </row>
    <row r="7">
      <c r="B7" s="10" t="inlineStr">
        <is>
          <t xml:space="preserve">  07  :PREFIX:-TIPO-REGISTO             PIC X(01).</t>
        </is>
      </c>
      <c r="C7" s="122" t="n"/>
      <c r="D7" s="16" t="inlineStr">
        <is>
          <t>Tipo de registo</t>
        </is>
      </c>
      <c r="E7" s="123">
        <f>E4+F4</f>
        <v/>
      </c>
      <c r="F7" s="124" t="n">
        <v>1</v>
      </c>
      <c r="G7" s="14" t="inlineStr">
        <is>
          <t>Obrigatório</t>
        </is>
      </c>
      <c r="I7">
        <f>E7+33</f>
        <v/>
      </c>
    </row>
    <row r="8">
      <c r="B8" s="10" t="inlineStr">
        <is>
          <t xml:space="preserve">      88  :PREFIX:-REG-TIPO1                VALUE '1'.</t>
        </is>
      </c>
      <c r="C8" s="122" t="n"/>
      <c r="D8" s="16" t="inlineStr">
        <is>
          <t xml:space="preserve">     '1' - Aviso-Recibo / Fatura / NotaCrédito</t>
        </is>
      </c>
      <c r="E8" s="123" t="n"/>
      <c r="F8" s="124" t="n"/>
      <c r="G8" s="15" t="n"/>
    </row>
    <row r="9">
      <c r="B9" s="10" t="inlineStr">
        <is>
          <t xml:space="preserve">      88  :PREFIX:-REG-TIPO2                VALUE '2'.</t>
        </is>
      </c>
      <c r="C9" s="122" t="n"/>
      <c r="D9" s="16" t="inlineStr">
        <is>
          <t xml:space="preserve">     '2' - Detalhe do extrato</t>
        </is>
      </c>
      <c r="E9" s="123" t="n"/>
      <c r="F9" s="124" t="n"/>
      <c r="G9" s="15" t="n"/>
    </row>
    <row r="10">
      <c r="B10" s="10" t="inlineStr">
        <is>
          <t xml:space="preserve">      88  :PREFIX:-REG-TIPO3                VALUE '3'.</t>
        </is>
      </c>
      <c r="C10" s="122" t="n"/>
      <c r="D10" s="16" t="inlineStr">
        <is>
          <t xml:space="preserve">     '3' - Footer do extrato</t>
        </is>
      </c>
      <c r="E10" s="123" t="n"/>
      <c r="F10" s="124" t="n"/>
      <c r="G10" s="15" t="n"/>
    </row>
    <row r="11">
      <c r="B11" s="10" t="inlineStr">
        <is>
          <t xml:space="preserve">      88  :PREFIX:-REG-TIPO4                VALUE '4'.</t>
        </is>
      </c>
      <c r="C11" s="122" t="n"/>
      <c r="D11" s="16" t="inlineStr">
        <is>
          <t xml:space="preserve">     '4' - Detalhe do Tailor</t>
        </is>
      </c>
      <c r="E11" s="123" t="n"/>
      <c r="F11" s="124" t="n"/>
      <c r="G11" s="61" t="n"/>
    </row>
    <row r="12">
      <c r="B12" s="10" t="inlineStr">
        <is>
          <t xml:space="preserve">      88  :PREFIX:-REG-TIPO5                VALUE '5'.</t>
        </is>
      </c>
      <c r="C12" s="122" t="n"/>
      <c r="D12" s="16" t="inlineStr">
        <is>
          <t xml:space="preserve">     '5' - Footer do Tailor</t>
        </is>
      </c>
      <c r="E12" s="123" t="n"/>
      <c r="F12" s="124" t="n"/>
      <c r="G12" s="61" t="n"/>
    </row>
    <row r="13">
      <c r="B13" s="10" t="inlineStr">
        <is>
          <t xml:space="preserve">  07  :PREFIX:-TIPO-IMPRESSAO           PIC X(01).</t>
        </is>
      </c>
      <c r="C13" s="122" t="n"/>
      <c r="D13" s="12" t="inlineStr">
        <is>
          <t>Tipo de impressão</t>
        </is>
      </c>
      <c r="E13" s="123">
        <f>E7+F7</f>
        <v/>
      </c>
      <c r="F13" s="123" t="n">
        <v>1</v>
      </c>
      <c r="G13" s="17" t="inlineStr">
        <is>
          <t>Obrigatório</t>
        </is>
      </c>
      <c r="I13">
        <f>E13+33</f>
        <v/>
      </c>
    </row>
    <row r="14">
      <c r="B14" s="10" t="inlineStr">
        <is>
          <t xml:space="preserve">      88  :PREFIX:-IMP-ARQ-IMED             VALUE 'E'.</t>
        </is>
      </c>
      <c r="C14" s="122" t="n"/>
      <c r="D14" s="12" t="inlineStr">
        <is>
          <t xml:space="preserve">     'E' - Só Aqrquivo</t>
        </is>
      </c>
      <c r="E14" s="123" t="n"/>
      <c r="F14" s="123" t="n"/>
      <c r="G14" s="15" t="n"/>
    </row>
    <row r="15">
      <c r="B15" s="10" t="inlineStr">
        <is>
          <t xml:space="preserve">      88  :PREFIX:-IMP-ONLINE               VALUE 'I'.</t>
        </is>
      </c>
      <c r="C15" s="122" t="n"/>
      <c r="D15" s="12" t="inlineStr">
        <is>
          <t xml:space="preserve">     'I' - Impressão OnLine (Immediate)</t>
        </is>
      </c>
      <c r="E15" s="123" t="n"/>
      <c r="F15" s="123" t="n"/>
      <c r="G15" s="15" t="n"/>
    </row>
    <row r="16">
      <c r="B16" s="10" t="inlineStr">
        <is>
          <t xml:space="preserve">      88  :PREFIX:-IMP-BATCH                VALUE 'O'.</t>
        </is>
      </c>
      <c r="C16" s="122" t="n"/>
      <c r="D16" s="12" t="inlineStr">
        <is>
          <t xml:space="preserve">     'O' - Impressão via batch (Overnight)</t>
        </is>
      </c>
      <c r="E16" s="123" t="n"/>
      <c r="F16" s="123" t="n"/>
      <c r="G16" s="18" t="n"/>
    </row>
    <row r="17">
      <c r="B17" s="10" t="inlineStr">
        <is>
          <t xml:space="preserve">  07  :PREFIX:-USERID                   PIC X(08).</t>
        </is>
      </c>
      <c r="C17" s="122" t="n"/>
      <c r="D17" s="16" t="inlineStr">
        <is>
          <t>User Id da impressão OnLine</t>
        </is>
      </c>
      <c r="E17" s="123">
        <f>E13+F13</f>
        <v/>
      </c>
      <c r="F17" s="124" t="n">
        <v>8</v>
      </c>
      <c r="G17" s="19" t="inlineStr">
        <is>
          <t>Condicional</t>
        </is>
      </c>
      <c r="I17">
        <f>E17+33</f>
        <v/>
      </c>
    </row>
    <row r="18">
      <c r="B18" s="10" t="inlineStr">
        <is>
          <t xml:space="preserve">  07  :PREFIX:-COD-COMPANHIA            PIC X(03).</t>
        </is>
      </c>
      <c r="C18" s="125" t="n"/>
      <c r="D18" s="12" t="inlineStr">
        <is>
          <t>Código de identificação da Companhia</t>
        </is>
      </c>
      <c r="E18" s="123">
        <f>E17+F17</f>
        <v/>
      </c>
      <c r="F18" s="123" t="n">
        <v>3</v>
      </c>
      <c r="G18" s="17" t="inlineStr">
        <is>
          <t>Obrigatório</t>
        </is>
      </c>
      <c r="I18">
        <f>E18+33</f>
        <v/>
      </c>
    </row>
    <row r="19">
      <c r="B19" s="10" t="inlineStr">
        <is>
          <t xml:space="preserve">      88  :PREFIX:-COM-VIADIRECTA           VALUE '111'.</t>
        </is>
      </c>
      <c r="C19" s="125" t="n"/>
      <c r="D19" s="12" t="inlineStr">
        <is>
          <t xml:space="preserve">     '111' - Via Directa</t>
        </is>
      </c>
      <c r="E19" s="123" t="n"/>
      <c r="F19" s="123" t="n"/>
      <c r="G19" s="15" t="n"/>
    </row>
    <row r="20">
      <c r="B20" s="10" t="inlineStr">
        <is>
          <t xml:space="preserve">      88  :PREFIX:-COM-FIDELIDADE           VALUE '128'.</t>
        </is>
      </c>
      <c r="C20" s="125" t="n"/>
      <c r="D20" s="12" t="inlineStr">
        <is>
          <t xml:space="preserve">     '128' - Fidelidade</t>
        </is>
      </c>
      <c r="E20" s="123" t="n"/>
      <c r="F20" s="123" t="n"/>
      <c r="G20" s="15" t="n"/>
    </row>
    <row r="21">
      <c r="B21" s="10" t="inlineStr">
        <is>
          <t xml:space="preserve">      88  :PREFIX:-COM-IMPERIO              VALUE '138'.</t>
        </is>
      </c>
      <c r="C21" s="125" t="n"/>
      <c r="D21" s="12" t="inlineStr">
        <is>
          <t xml:space="preserve">     '138' - Império</t>
        </is>
      </c>
      <c r="E21" s="123" t="n"/>
      <c r="F21" s="123" t="n"/>
      <c r="G21" s="15" t="n"/>
    </row>
    <row r="22">
      <c r="B22" s="10" t="inlineStr">
        <is>
          <t xml:space="preserve">      88  :PREFIX:-COM-MULTICARE            VALUE '148'.</t>
        </is>
      </c>
      <c r="C22" s="122" t="n"/>
      <c r="D22" s="12" t="inlineStr">
        <is>
          <t xml:space="preserve">     '148' - Multicare</t>
        </is>
      </c>
      <c r="E22" s="124" t="n"/>
      <c r="F22" s="124" t="n"/>
      <c r="G22" s="18" t="n"/>
    </row>
    <row r="23">
      <c r="B23" s="10" t="inlineStr">
        <is>
          <t xml:space="preserve">  07  :PREFIX:-COD-MARCA                PIC X(03).</t>
        </is>
      </c>
      <c r="C23" s="122" t="n"/>
      <c r="D23" s="12" t="inlineStr">
        <is>
          <t>Código de identificação da Marca</t>
        </is>
      </c>
      <c r="E23" s="123">
        <f>E18+F18</f>
        <v/>
      </c>
      <c r="F23" s="124" t="n">
        <v>3</v>
      </c>
      <c r="G23" s="17" t="inlineStr">
        <is>
          <t>Obrigatório</t>
        </is>
      </c>
      <c r="I23">
        <f>E23+33</f>
        <v/>
      </c>
    </row>
    <row r="24">
      <c r="B24" s="10" t="inlineStr">
        <is>
          <t xml:space="preserve">      88  :PREFIX:-MAR-OKTELESEGURO         VALUE '001'.</t>
        </is>
      </c>
      <c r="C24" s="122" t="n"/>
      <c r="D24" s="12" t="inlineStr">
        <is>
          <t xml:space="preserve">     '001' - OK Teleseguro</t>
        </is>
      </c>
      <c r="E24" s="124" t="n"/>
      <c r="F24" s="124" t="n"/>
      <c r="G24" s="15" t="n"/>
    </row>
    <row r="25">
      <c r="B25" s="10" t="inlineStr">
        <is>
          <t xml:space="preserve">      88  :PREFIX:-MAR-FIDELIDADE           VALUE '002'.</t>
        </is>
      </c>
      <c r="C25" s="122" t="n"/>
      <c r="D25" s="12" t="inlineStr">
        <is>
          <t xml:space="preserve">     '002' - Fidelidade</t>
        </is>
      </c>
      <c r="E25" s="124" t="n"/>
      <c r="F25" s="124" t="n"/>
      <c r="G25" s="15" t="n"/>
    </row>
    <row r="26">
      <c r="B26" s="10" t="inlineStr">
        <is>
          <t xml:space="preserve">      88  :PREFIX:-MAR-IMPERIO              VALUE '003'.</t>
        </is>
      </c>
      <c r="C26" s="122" t="n"/>
      <c r="D26" s="12" t="inlineStr">
        <is>
          <t xml:space="preserve">     '003' - Império</t>
        </is>
      </c>
      <c r="E26" s="124" t="n"/>
      <c r="F26" s="124" t="n"/>
      <c r="G26" s="15" t="n"/>
    </row>
    <row r="27">
      <c r="B27" s="10" t="inlineStr">
        <is>
          <t xml:space="preserve">      88  :PREFIX:-MAR-ICI                  VALUE '004'.</t>
        </is>
      </c>
      <c r="C27" s="122" t="n"/>
      <c r="D27" s="12" t="inlineStr">
        <is>
          <t xml:space="preserve">     '004' - ICI</t>
        </is>
      </c>
      <c r="E27" s="124" t="n"/>
      <c r="F27" s="124" t="n"/>
      <c r="G27" s="15" t="n"/>
    </row>
    <row r="28">
      <c r="B28" s="10" t="inlineStr">
        <is>
          <t xml:space="preserve">      88  :PREFIX:-MAR-SONAE                VALUE '005'.</t>
        </is>
      </c>
      <c r="C28" s="122" t="n"/>
      <c r="D28" s="12" t="inlineStr">
        <is>
          <t xml:space="preserve">     '005' - Continente</t>
        </is>
      </c>
      <c r="E28" s="124" t="n"/>
      <c r="F28" s="124" t="n"/>
      <c r="G28" s="15" t="n"/>
    </row>
    <row r="29">
      <c r="B29" s="10" t="inlineStr">
        <is>
          <t xml:space="preserve">      88  :PREFIX:-MAR-MULTICARE            VALUE '006'.</t>
        </is>
      </c>
      <c r="C29" s="122" t="n"/>
      <c r="D29" s="12" t="inlineStr">
        <is>
          <t xml:space="preserve">     '006' - Multicare</t>
        </is>
      </c>
      <c r="E29" s="124" t="n"/>
      <c r="F29" s="124" t="n"/>
      <c r="G29" s="15" t="n"/>
    </row>
    <row r="30">
      <c r="B30" s="10" t="inlineStr">
        <is>
          <t xml:space="preserve">      88  :PREFIX:-MAR-EUROBIC              VALUE '028'.</t>
        </is>
      </c>
      <c r="C30" s="122" t="n"/>
      <c r="D30" s="12" t="inlineStr">
        <is>
          <t xml:space="preserve">     '028' - EuroBic</t>
        </is>
      </c>
      <c r="E30" s="124" t="n"/>
      <c r="F30" s="124" t="n"/>
      <c r="G30" s="18" t="n"/>
    </row>
    <row r="31">
      <c r="B31" s="10" t="inlineStr">
        <is>
          <t xml:space="preserve">  07  :PREFIX:-AUX-MARCA                PIC X(01).</t>
        </is>
      </c>
      <c r="C31" s="122" t="n"/>
      <c r="D31" s="12" t="n"/>
      <c r="E31" s="124">
        <f>E23+F23</f>
        <v/>
      </c>
      <c r="F31" s="124" t="n">
        <v>1</v>
      </c>
      <c r="G31" s="21" t="inlineStr">
        <is>
          <t>Opcional</t>
        </is>
      </c>
      <c r="I31">
        <f>E31+33</f>
        <v/>
      </c>
    </row>
    <row r="32">
      <c r="B32" s="10" t="inlineStr">
        <is>
          <t xml:space="preserve">      88  :PREFIX:-MAR-LEVE                 VALUE 'L'.</t>
        </is>
      </c>
      <c r="C32" s="122" t="n"/>
      <c r="D32" s="12" t="inlineStr">
        <is>
          <t xml:space="preserve">     'L' - Leve (Substitui 'L02' - FM Leve / 'L03' - IB Leve, apenas para marca 002 ou 003)</t>
        </is>
      </c>
      <c r="E32" s="124" t="n"/>
      <c r="F32" s="124" t="n"/>
      <c r="G32" s="18" t="n"/>
    </row>
    <row r="33">
      <c r="B33" s="10" t="inlineStr">
        <is>
          <t xml:space="preserve">  07  :PREFIX:-NR-AGENTE                PIC X(10).</t>
        </is>
      </c>
      <c r="C33" s="122" t="n"/>
      <c r="D33" s="16" t="inlineStr">
        <is>
          <t>Número do Mediador</t>
        </is>
      </c>
      <c r="E33" s="123">
        <f>E31+F31</f>
        <v/>
      </c>
      <c r="F33" s="124" t="n">
        <v>10</v>
      </c>
      <c r="G33" s="19" t="inlineStr">
        <is>
          <t>Condicional</t>
        </is>
      </c>
      <c r="I33">
        <f>E33+33</f>
        <v/>
      </c>
    </row>
    <row r="34">
      <c r="B34" s="10" t="inlineStr">
        <is>
          <t xml:space="preserve">  07  :PREFIX:-NR-CLIENTE               PIC X(10).</t>
        </is>
      </c>
      <c r="C34" s="122" t="n"/>
      <c r="D34" s="16" t="inlineStr">
        <is>
          <t>Número do Cliente</t>
        </is>
      </c>
      <c r="E34" s="123">
        <f>E33+F33</f>
        <v/>
      </c>
      <c r="F34" s="124" t="n">
        <v>10</v>
      </c>
      <c r="G34" s="19" t="inlineStr">
        <is>
          <t>Condicional</t>
        </is>
      </c>
      <c r="I34">
        <f>E34+33</f>
        <v/>
      </c>
    </row>
    <row r="35">
      <c r="B35" s="10" t="inlineStr">
        <is>
          <t xml:space="preserve">  07  :PREFIX:-NR-APOLICE               PIC X(16).</t>
        </is>
      </c>
      <c r="C35" s="122" t="n"/>
      <c r="D35" s="16" t="inlineStr">
        <is>
          <t>Número da Apólice</t>
        </is>
      </c>
      <c r="E35" s="123">
        <f>E34+F34</f>
        <v/>
      </c>
      <c r="F35" s="124" t="n">
        <v>16</v>
      </c>
      <c r="G35" s="17" t="inlineStr">
        <is>
          <t>Obrigatório</t>
        </is>
      </c>
      <c r="I35">
        <f>E35+33</f>
        <v/>
      </c>
    </row>
    <row r="36">
      <c r="B36" s="10" t="inlineStr">
        <is>
          <t xml:space="preserve">  07  :PREFIX:-COD-ORIGEM               PIC X(03).</t>
        </is>
      </c>
      <c r="C36" s="122" t="n"/>
      <c r="D36" s="12" t="inlineStr">
        <is>
          <t>Código de identificação do Sistema Origem</t>
        </is>
      </c>
      <c r="E36" s="123">
        <f>E35+F35</f>
        <v/>
      </c>
      <c r="F36" s="124" t="n">
        <v>3</v>
      </c>
      <c r="G36" s="17" t="inlineStr">
        <is>
          <t>Obrigatório</t>
        </is>
      </c>
      <c r="I36">
        <f>E36+33</f>
        <v/>
      </c>
    </row>
    <row r="37">
      <c r="B37" s="10" t="inlineStr">
        <is>
          <t xml:space="preserve">      88  :PREFIX:-ORI-COGEN22              VALUE 'CG2'.</t>
        </is>
      </c>
      <c r="C37" s="122" t="n"/>
      <c r="D37" s="16" t="inlineStr">
        <is>
          <t xml:space="preserve">     'CG2' - Cogen 22</t>
        </is>
      </c>
      <c r="E37" s="124" t="n"/>
      <c r="F37" s="124" t="n"/>
      <c r="G37" s="15" t="n"/>
    </row>
    <row r="38">
      <c r="B38" s="10" t="inlineStr">
        <is>
          <t xml:space="preserve">      88  :PREFIX:-ORI-COGEN33              VALUE 'CGN'.</t>
        </is>
      </c>
      <c r="C38" s="122" t="n"/>
      <c r="D38" s="16" t="inlineStr">
        <is>
          <t xml:space="preserve">     'CGN' - Cogen 33</t>
        </is>
      </c>
      <c r="E38" s="124" t="n"/>
      <c r="F38" s="124" t="n"/>
      <c r="G38" s="15" t="n"/>
    </row>
    <row r="39">
      <c r="B39" s="10" t="inlineStr">
        <is>
          <t xml:space="preserve">      88  :PREFIX:-ORI-GIS                  VALUE 'GIS'.</t>
        </is>
      </c>
      <c r="C39" s="122" t="n"/>
      <c r="D39" s="16" t="inlineStr">
        <is>
          <t xml:space="preserve">     'GIS' - GIS</t>
        </is>
      </c>
      <c r="E39" s="124" t="n"/>
      <c r="F39" s="124" t="n"/>
      <c r="G39" s="15" t="n"/>
    </row>
    <row r="40">
      <c r="B40" s="10" t="inlineStr">
        <is>
          <t xml:space="preserve">      88  :PREFIX:-ORI-COLHEITAS            VALUE 'CLH'.</t>
        </is>
      </c>
      <c r="C40" s="122" t="n"/>
      <c r="D40" s="16" t="inlineStr">
        <is>
          <t xml:space="preserve">     'CLH' - Colheitas (GIC)</t>
        </is>
      </c>
      <c r="E40" s="124" t="n"/>
      <c r="F40" s="124" t="n"/>
      <c r="G40" s="15" t="n"/>
    </row>
    <row r="41">
      <c r="B41" s="10" t="inlineStr">
        <is>
          <t xml:space="preserve">      88  :PREFIX:-ORI-MULTICARE            VALUE 'MHS'.</t>
        </is>
      </c>
      <c r="C41" s="122" t="n"/>
      <c r="D41" s="16" t="inlineStr">
        <is>
          <t xml:space="preserve">     'MHS' - Multicare</t>
        </is>
      </c>
      <c r="E41" s="124" t="n"/>
      <c r="F41" s="124" t="n"/>
      <c r="G41" s="15" t="n"/>
    </row>
    <row r="42">
      <c r="B42" s="10" t="inlineStr">
        <is>
          <t xml:space="preserve">      88  :PREFIX:-ORI-SGF-GR               VALUE 'SPG'.</t>
        </is>
      </c>
      <c r="C42" s="122" t="inlineStr">
        <is>
          <t xml:space="preserve"> </t>
        </is>
      </c>
      <c r="D42" s="16" t="inlineStr">
        <is>
          <t xml:space="preserve">     'SPG' - SGF Grupo (Paxus)</t>
        </is>
      </c>
      <c r="E42" s="124" t="n"/>
      <c r="F42" s="124" t="n"/>
      <c r="G42" s="15" t="n"/>
      <c r="K42" s="126" t="n"/>
    </row>
    <row r="43">
      <c r="B43" s="10" t="inlineStr">
        <is>
          <t xml:space="preserve">      88  :PREFIX:-ORI-SGF-IN               VALUE 'SPA'.</t>
        </is>
      </c>
      <c r="C43" s="122" t="inlineStr">
        <is>
          <t xml:space="preserve"> </t>
        </is>
      </c>
      <c r="D43" s="16" t="inlineStr">
        <is>
          <t xml:space="preserve">     'SPA' - SGF Individual (Paxus)</t>
        </is>
      </c>
      <c r="E43" s="124" t="n"/>
      <c r="F43" s="124" t="n"/>
      <c r="G43" s="15" t="n"/>
      <c r="K43" s="126" t="n"/>
    </row>
    <row r="44">
      <c r="B44" s="10" t="inlineStr">
        <is>
          <t xml:space="preserve">      88  :PREFIX:-ORI-FGS                  VALUE 'FGS'.</t>
        </is>
      </c>
      <c r="C44" s="122" t="inlineStr">
        <is>
          <t xml:space="preserve"> </t>
        </is>
      </c>
      <c r="D44" s="16" t="inlineStr">
        <is>
          <t xml:space="preserve">     'FGS' - FGS</t>
        </is>
      </c>
      <c r="E44" s="124" t="n"/>
      <c r="F44" s="124" t="n"/>
      <c r="G44" s="15" t="n"/>
      <c r="K44" s="126" t="n"/>
    </row>
    <row r="45">
      <c r="B45" s="10" t="inlineStr">
        <is>
          <t xml:space="preserve">      88  :PREFIX:-ORI-FCS                  VALUE 'FCS'.</t>
        </is>
      </c>
      <c r="C45" s="122" t="inlineStr">
        <is>
          <t xml:space="preserve"> </t>
        </is>
      </c>
      <c r="D45" s="16" t="inlineStr">
        <is>
          <t xml:space="preserve">     'FCS' - FCS</t>
        </is>
      </c>
      <c r="E45" s="124" t="n"/>
      <c r="F45" s="124" t="n"/>
      <c r="G45" s="18" t="n"/>
      <c r="K45" s="126" t="n"/>
    </row>
    <row r="46">
      <c r="B46" s="10" t="inlineStr">
        <is>
          <t xml:space="preserve">  07  :PREFIX:-IND-FLYER                PIC X(01).</t>
        </is>
      </c>
      <c r="C46" s="122" t="n"/>
      <c r="D46" s="16" t="inlineStr">
        <is>
          <t>Indicador de inclusão de Flyer (ex: "V" - Cobertura PVC)</t>
        </is>
      </c>
      <c r="E46" s="123">
        <f>E36+F36</f>
        <v/>
      </c>
      <c r="F46" s="124" t="n">
        <v>1</v>
      </c>
      <c r="G46" s="21" t="inlineStr">
        <is>
          <t>Opcional</t>
        </is>
      </c>
      <c r="I46">
        <f>E46+33</f>
        <v/>
      </c>
    </row>
    <row r="47">
      <c r="B47" s="5" t="inlineStr">
        <is>
          <t>05  :PREFIX:-DADOS-DOCUMENTO            PIC X(2906).</t>
        </is>
      </c>
      <c r="C47" s="29" t="n"/>
      <c r="D47" s="7" t="n"/>
      <c r="E47" s="121">
        <f>E46+F46</f>
        <v/>
      </c>
      <c r="F47" s="121">
        <f>2967-E46</f>
        <v/>
      </c>
      <c r="G47" s="45" t="n"/>
    </row>
    <row r="48">
      <c r="B48" s="5" t="inlineStr">
        <is>
          <t>05  FILLER                        REDEFINES :PREFIX:-DADOS-DOCUMENTO.</t>
        </is>
      </c>
      <c r="C48" s="29" t="n"/>
      <c r="D48" s="7" t="inlineStr">
        <is>
          <t>TIPO-REGISTO 1: AVISO-RECIBO + HEADER EXTRACTO</t>
        </is>
      </c>
      <c r="E48" s="121" t="n"/>
      <c r="F48" s="121" t="n"/>
      <c r="G48" s="45" t="n"/>
    </row>
    <row r="49">
      <c r="B49" s="30" t="inlineStr">
        <is>
          <t xml:space="preserve">  07  :PREFIX:-DADOS-AVISO.</t>
        </is>
      </c>
      <c r="C49" s="127" t="n"/>
      <c r="D49" s="32" t="n"/>
      <c r="E49" s="128">
        <f>E47</f>
        <v/>
      </c>
      <c r="F49" s="129" t="n"/>
      <c r="G49" s="130" t="n"/>
    </row>
    <row r="50">
      <c r="B50" s="10" t="inlineStr">
        <is>
          <t xml:space="preserve">    09  :PREFIX:-TIPO-DOCUMENTO         PIC X(01).</t>
        </is>
      </c>
      <c r="C50" s="122" t="n"/>
      <c r="D50" s="16" t="inlineStr">
        <is>
          <t>Tipo de Documento</t>
        </is>
      </c>
      <c r="E50" s="124">
        <f>E49</f>
        <v/>
      </c>
      <c r="F50" s="124" t="n">
        <v>1</v>
      </c>
      <c r="G50" s="17" t="inlineStr">
        <is>
          <t>Obrigatório</t>
        </is>
      </c>
      <c r="I50">
        <f>E50+33</f>
        <v/>
      </c>
    </row>
    <row r="51">
      <c r="B51" s="10" t="inlineStr">
        <is>
          <t xml:space="preserve">        88  :PREFIX:-DOC-AGENTE             VALUE 'A'.</t>
        </is>
      </c>
      <c r="C51" s="122" t="n"/>
      <c r="D51" s="16" t="inlineStr">
        <is>
          <t xml:space="preserve">     'A' - Documento para agente (Recibo)</t>
        </is>
      </c>
      <c r="E51" s="124" t="n"/>
      <c r="F51" s="124" t="n"/>
      <c r="G51" s="15" t="n"/>
    </row>
    <row r="52">
      <c r="B52" s="10" t="inlineStr">
        <is>
          <t xml:space="preserve">        88  :PREFIX:-DOC-CLIENTE            VALUE 'C'.</t>
        </is>
      </c>
      <c r="C52" s="122" t="n"/>
      <c r="D52" s="16" t="inlineStr">
        <is>
          <t xml:space="preserve">     'C' - Documento para cliente (Aviso-Recibo)</t>
        </is>
      </c>
      <c r="E52" s="124" t="n"/>
      <c r="F52" s="124" t="n"/>
      <c r="G52" s="15" t="n"/>
    </row>
    <row r="53">
      <c r="B53" s="10" t="inlineStr">
        <is>
          <t xml:space="preserve">        88  :PREFIX:-DOC-LOTE               VALUE 'L'.</t>
        </is>
      </c>
      <c r="C53" s="122" t="n"/>
      <c r="D53" s="16" t="inlineStr">
        <is>
          <t xml:space="preserve">     'L' - Resumo de Recibos de Prémio (Lote)</t>
        </is>
      </c>
      <c r="E53" s="124" t="n"/>
      <c r="F53" s="124" t="n"/>
      <c r="G53" s="18" t="n"/>
    </row>
    <row r="54">
      <c r="B54" s="10" t="inlineStr">
        <is>
          <t xml:space="preserve">    09  :PREFIX:-TIPO-RECIBO            PIC X(02).</t>
        </is>
      </c>
      <c r="C54" s="122" t="n"/>
      <c r="D54" s="16" t="inlineStr">
        <is>
          <t>Tipo de Recibo</t>
        </is>
      </c>
      <c r="E54" s="124">
        <f>E50+F50</f>
        <v/>
      </c>
      <c r="F54" s="124" t="n">
        <v>2</v>
      </c>
      <c r="G54" s="19" t="inlineStr">
        <is>
          <t>Condicional</t>
        </is>
      </c>
      <c r="I54">
        <f>E54+33</f>
        <v/>
      </c>
    </row>
    <row r="55">
      <c r="B55" s="10" t="inlineStr">
        <is>
          <t xml:space="preserve">        88  :PREFIX:-REC-PREMIO             VALUE 'PR'.</t>
        </is>
      </c>
      <c r="C55" s="122" t="n"/>
      <c r="D55" s="16" t="inlineStr">
        <is>
          <t xml:space="preserve">     'PR' - Prémio</t>
        </is>
      </c>
      <c r="E55" s="124" t="n"/>
      <c r="F55" s="124" t="n"/>
      <c r="G55" s="15" t="n"/>
    </row>
    <row r="56">
      <c r="B56" s="10" t="inlineStr">
        <is>
          <t xml:space="preserve">        88  :PREFIX:-REC-ESTORNO            VALUE 'ES'.</t>
        </is>
      </c>
      <c r="C56" s="122" t="n"/>
      <c r="D56" s="16" t="inlineStr">
        <is>
          <t xml:space="preserve">     'ES' - Estorno</t>
        </is>
      </c>
      <c r="E56" s="124" t="n"/>
      <c r="F56" s="124" t="n"/>
      <c r="G56" s="18" t="n"/>
    </row>
    <row r="57">
      <c r="B57" s="10" t="inlineStr">
        <is>
          <t xml:space="preserve">    09  :PREFIX:-TIPO-COBRANCA          PIC X(02).</t>
        </is>
      </c>
      <c r="C57" s="122" t="n"/>
      <c r="D57" s="16" t="inlineStr">
        <is>
          <t>Tipo de Cobrança</t>
        </is>
      </c>
      <c r="E57" s="124">
        <f>E54+F54</f>
        <v/>
      </c>
      <c r="F57" s="124" t="n">
        <v>2</v>
      </c>
      <c r="G57" s="19" t="inlineStr">
        <is>
          <t>Condicional</t>
        </is>
      </c>
      <c r="I57">
        <f>E57+33</f>
        <v/>
      </c>
    </row>
    <row r="58">
      <c r="B58" s="10" t="inlineStr">
        <is>
          <t xml:space="preserve">        88  :PREFIX:-COB-AGENTE             VALUE 'A '.</t>
        </is>
      </c>
      <c r="C58" s="122" t="n"/>
      <c r="D58" s="16" t="inlineStr">
        <is>
          <t xml:space="preserve">     'A ' - Cobrança Agente</t>
        </is>
      </c>
      <c r="E58" s="124" t="n"/>
      <c r="F58" s="124" t="n"/>
      <c r="G58" s="15" t="n"/>
    </row>
    <row r="59">
      <c r="B59" s="10" t="inlineStr">
        <is>
          <t xml:space="preserve">        88  :PREFIX:-COB-BANCO              VALUE 'B '.</t>
        </is>
      </c>
      <c r="C59" s="122" t="n"/>
      <c r="D59" s="16" t="inlineStr">
        <is>
          <t xml:space="preserve">     'B ' - Cobrança Bancária (EFT)</t>
        </is>
      </c>
      <c r="E59" s="124" t="n"/>
      <c r="F59" s="124" t="n"/>
      <c r="G59" s="15" t="n"/>
    </row>
    <row r="60">
      <c r="B60" s="10" t="inlineStr">
        <is>
          <t xml:space="preserve">        88  :PREFIX:-COB-DIRETO             VALUE 'D '.</t>
        </is>
      </c>
      <c r="C60" s="122" t="n"/>
      <c r="D60" s="16" t="inlineStr">
        <is>
          <t xml:space="preserve">     'D ' - Cobrança Directa (CTT)</t>
        </is>
      </c>
      <c r="E60" s="124" t="n"/>
      <c r="F60" s="124" t="n"/>
      <c r="G60" s="18" t="n"/>
    </row>
    <row r="61">
      <c r="B61" s="10" t="inlineStr">
        <is>
          <t xml:space="preserve">    09  :PREFIX:-NR-RECIBO              PIC X(16).</t>
        </is>
      </c>
      <c r="C61" s="122" t="n"/>
      <c r="D61" s="16" t="inlineStr">
        <is>
          <t>Número do Recibo [Garantir que no máximo vem 11 posições Vida / 10 posições nos restantes]</t>
        </is>
      </c>
      <c r="E61" s="123">
        <f>E57+F57</f>
        <v/>
      </c>
      <c r="F61" s="124" t="n">
        <v>16</v>
      </c>
      <c r="G61" s="17" t="inlineStr">
        <is>
          <t>Obrigatório</t>
        </is>
      </c>
      <c r="I61">
        <f>E61+33</f>
        <v/>
      </c>
    </row>
    <row r="62">
      <c r="B62" s="10" t="inlineStr">
        <is>
          <t xml:space="preserve">    09  :PREFIX:-TIPO-EMISSAO           PIC X(03).</t>
        </is>
      </c>
      <c r="C62" s="122" t="n"/>
      <c r="D62" s="16" t="inlineStr">
        <is>
          <t>Espécie de Recibo</t>
        </is>
      </c>
      <c r="E62" s="123">
        <f>E61+F61</f>
        <v/>
      </c>
      <c r="F62" s="124" t="n">
        <v>3</v>
      </c>
      <c r="G62" s="17" t="inlineStr">
        <is>
          <t>Obrigatório</t>
        </is>
      </c>
      <c r="I62">
        <f>E62+33</f>
        <v/>
      </c>
    </row>
    <row r="63" ht="28.8" customHeight="1">
      <c r="B63" s="40" t="inlineStr">
        <is>
          <t xml:space="preserve">        88  :PREFIX:-EMI-NOVO-NEGOCIO       VALUE 'NB0'
                                            'NB1' 'NBS'.</t>
        </is>
      </c>
      <c r="C63" s="42" t="n"/>
      <c r="D63" s="25" t="inlineStr">
        <is>
          <t xml:space="preserve">     'NB0', 'NB1', 'NBS' - Novo negócio</t>
        </is>
      </c>
      <c r="E63" s="124" t="n"/>
      <c r="F63" s="124" t="n"/>
      <c r="G63" s="15" t="n"/>
      <c r="H63" s="131" t="n"/>
    </row>
    <row r="64">
      <c r="B64" s="10" t="inlineStr">
        <is>
          <t xml:space="preserve">        88  :PREFIX:-EMI-NB-ANUAL           VALUE 'NB0'.</t>
        </is>
      </c>
      <c r="C64" s="122" t="n"/>
      <c r="D64" s="16" t="inlineStr">
        <is>
          <t xml:space="preserve">     'NB0' - Novo negócio: Anual</t>
        </is>
      </c>
      <c r="E64" s="124" t="n"/>
      <c r="F64" s="124" t="n"/>
      <c r="G64" s="15" t="n"/>
    </row>
    <row r="65">
      <c r="B65" s="10" t="inlineStr">
        <is>
          <t xml:space="preserve">        88  :PREFIX:-EMI-NB-1PREST          VALUE 'NB1'.</t>
        </is>
      </c>
      <c r="C65" s="122" t="n"/>
      <c r="D65" s="16" t="inlineStr">
        <is>
          <t xml:space="preserve">     'NB1' - Novo negócio: 1ª Prestação</t>
        </is>
      </c>
      <c r="E65" s="124" t="n"/>
      <c r="F65" s="124" t="n"/>
      <c r="G65" s="15" t="n"/>
    </row>
    <row r="66">
      <c r="B66" s="10" t="inlineStr">
        <is>
          <t xml:space="preserve">        88  :PREFIX:-EMI-NB-SEGUINTES       VALUE 'NBS'.</t>
        </is>
      </c>
      <c r="C66" s="122" t="n"/>
      <c r="D66" s="16" t="inlineStr">
        <is>
          <t xml:space="preserve">     'NBS' - Novo negócio: Prestações Seguintes</t>
        </is>
      </c>
      <c r="E66" s="124" t="n"/>
      <c r="F66" s="124" t="n"/>
      <c r="G66" s="15" t="n"/>
    </row>
    <row r="67" ht="28.8" customHeight="1">
      <c r="B67" s="40" t="inlineStr">
        <is>
          <t xml:space="preserve">        88  :PREFIX:-EMI-ALTERACAO          VALUE 'EN0'
                                            'EN1' 'ENS'.</t>
        </is>
      </c>
      <c r="C67" s="42" t="n"/>
      <c r="D67" s="25" t="inlineStr">
        <is>
          <t xml:space="preserve">     'EN0', 'EN1', 'ENS' - Alteração</t>
        </is>
      </c>
      <c r="E67" s="124" t="n"/>
      <c r="F67" s="124" t="n"/>
      <c r="G67" s="15" t="n"/>
      <c r="H67" s="131" t="n"/>
    </row>
    <row r="68">
      <c r="B68" s="10" t="inlineStr">
        <is>
          <t xml:space="preserve">        88  :PREFIX:-EMI-EN                 VALUE 'EN0'.</t>
        </is>
      </c>
      <c r="C68" s="122" t="n"/>
      <c r="D68" s="16" t="inlineStr">
        <is>
          <t xml:space="preserve">     'EN0' - Alteração</t>
        </is>
      </c>
      <c r="E68" s="124" t="n"/>
      <c r="F68" s="124" t="n"/>
      <c r="G68" s="15" t="n"/>
    </row>
    <row r="69">
      <c r="B69" s="10" t="inlineStr">
        <is>
          <t xml:space="preserve">        88  :PREFIX:-EMI-EN-1TERMO          VALUE 'EN1'.</t>
        </is>
      </c>
      <c r="C69" s="122" t="n"/>
      <c r="D69" s="16" t="inlineStr">
        <is>
          <t xml:space="preserve">     'EN1' - Alteração: 1ª Termo</t>
        </is>
      </c>
      <c r="E69" s="124" t="n"/>
      <c r="F69" s="124" t="n"/>
      <c r="G69" s="15" t="n"/>
    </row>
    <row r="70">
      <c r="B70" s="10" t="inlineStr">
        <is>
          <t xml:space="preserve">        88  :PREFIX:-EMI-EN-SEGUINTES       VALUE 'ENS'.</t>
        </is>
      </c>
      <c r="C70" s="122" t="n"/>
      <c r="D70" s="16" t="inlineStr">
        <is>
          <t xml:space="preserve">     'ENS' - Alteração: Seguintes</t>
        </is>
      </c>
      <c r="E70" s="124" t="n"/>
      <c r="F70" s="124" t="n"/>
      <c r="G70" s="15" t="n"/>
    </row>
    <row r="71" ht="28.8" customHeight="1">
      <c r="B71" s="40" t="inlineStr">
        <is>
          <t xml:space="preserve">        88  :PREFIX:-EMI-RENOVACAO          VALUE 'RN0'
                                            'RN1' 'RNS'.</t>
        </is>
      </c>
      <c r="C71" s="42" t="n"/>
      <c r="D71" s="25" t="inlineStr">
        <is>
          <t xml:space="preserve">     'RN0', 'RN1', 'RNS' - Renovação / Continuado</t>
        </is>
      </c>
      <c r="E71" s="124" t="n"/>
      <c r="F71" s="124" t="n"/>
      <c r="G71" s="15" t="n"/>
      <c r="H71" s="131" t="n"/>
    </row>
    <row r="72">
      <c r="B72" s="10" t="inlineStr">
        <is>
          <t xml:space="preserve">        88  :PREFIX:-EMI-RN-ANUAL           VALUE 'RN0'.</t>
        </is>
      </c>
      <c r="C72" s="122" t="n"/>
      <c r="D72" s="16" t="inlineStr">
        <is>
          <t xml:space="preserve">     'RN0' - Renovação: Anual</t>
        </is>
      </c>
      <c r="E72" s="124" t="n"/>
      <c r="F72" s="124" t="n"/>
      <c r="G72" s="15" t="n"/>
    </row>
    <row r="73">
      <c r="B73" s="10" t="inlineStr">
        <is>
          <t xml:space="preserve">        88  :PREFIX:-EMI-RN-1PREST          VALUE 'RN1'.</t>
        </is>
      </c>
      <c r="C73" s="122" t="n"/>
      <c r="D73" s="16" t="inlineStr">
        <is>
          <t xml:space="preserve">     'RN1' - Renovação: 1ª Prestação</t>
        </is>
      </c>
      <c r="E73" s="124" t="n"/>
      <c r="F73" s="124" t="n"/>
      <c r="G73" s="15" t="n"/>
    </row>
    <row r="74">
      <c r="B74" s="10" t="inlineStr">
        <is>
          <t xml:space="preserve">        88  :PREFIX:-EMI-RN-SEGUINTES       VALUE 'RNS'.</t>
        </is>
      </c>
      <c r="C74" s="122" t="n"/>
      <c r="D74" s="16" t="inlineStr">
        <is>
          <t xml:space="preserve">     'RNS' - Renovação: Prestações Seguintes</t>
        </is>
      </c>
      <c r="E74" s="124" t="n"/>
      <c r="F74" s="124" t="n"/>
      <c r="G74" s="15" t="n"/>
    </row>
    <row r="75">
      <c r="B75" s="10" t="inlineStr">
        <is>
          <t xml:space="preserve">        88  :PREFIX:-EMI-ACERTO-AC          VALUE 'AC0'.</t>
        </is>
      </c>
      <c r="C75" s="122" t="n"/>
      <c r="D75" s="16" t="inlineStr">
        <is>
          <t xml:space="preserve">     'AC' - Acerto AC</t>
        </is>
      </c>
      <c r="E75" s="124" t="n"/>
      <c r="F75" s="124" t="n"/>
      <c r="G75" s="15" t="n"/>
    </row>
    <row r="76">
      <c r="B76" s="10" t="inlineStr">
        <is>
          <t xml:space="preserve">        88  :PREFIX:-EMI-ACERTO-RC          VALUE 'RC0'.</t>
        </is>
      </c>
      <c r="C76" s="122" t="n"/>
      <c r="D76" s="16" t="inlineStr">
        <is>
          <t xml:space="preserve">     'RC' - Acerto RC</t>
        </is>
      </c>
      <c r="E76" s="124" t="n"/>
      <c r="F76" s="124" t="n"/>
      <c r="G76" s="15" t="n"/>
    </row>
    <row r="77">
      <c r="B77" s="10" t="inlineStr">
        <is>
          <t xml:space="preserve">        88  :PREFIX:-EMI-CANCELAMENTO       VALUE 'CN0'.</t>
        </is>
      </c>
      <c r="C77" s="122" t="n"/>
      <c r="D77" s="16" t="inlineStr">
        <is>
          <t xml:space="preserve">     'CN' - Cancelamento</t>
        </is>
      </c>
      <c r="E77" s="124" t="n"/>
      <c r="F77" s="124" t="n"/>
      <c r="G77" s="15" t="n"/>
    </row>
    <row r="78" ht="43.2" customHeight="1">
      <c r="B78" s="132" t="inlineStr">
        <is>
          <t xml:space="preserve">        88  :PREFIX:-EMI-ENTREGA-EXTR       VALUE 'EX0'
                                            'EX1' 'EX2'
                                            'EX3' 'EX4'</t>
        </is>
      </c>
      <c r="C78" s="122" t="n"/>
      <c r="D78" s="25" t="inlineStr">
        <is>
          <t xml:space="preserve">     'EX' - Entrega Extraordinária</t>
        </is>
      </c>
      <c r="E78" s="124" t="n"/>
      <c r="F78" s="124" t="n"/>
      <c r="G78" s="15" t="n"/>
    </row>
    <row r="79">
      <c r="B79" s="10" t="inlineStr">
        <is>
          <t xml:space="preserve">        88  :PREFIX:-EMI-ENT-EXTR-EX0       VALUE 'EX0'. </t>
        </is>
      </c>
      <c r="C79" s="122" t="n"/>
      <c r="D79" s="16" t="inlineStr">
        <is>
          <t xml:space="preserve">     'EX0' - Entrega Extraordinária</t>
        </is>
      </c>
      <c r="E79" s="124" t="n"/>
      <c r="F79" s="124" t="n"/>
      <c r="G79" s="15" t="n"/>
    </row>
    <row r="80">
      <c r="B80" s="10" t="inlineStr">
        <is>
          <t xml:space="preserve">        88  :PREFIX:-EMI-ENT-EXTR-EX1       VALUE 'EX1'. </t>
        </is>
      </c>
      <c r="C80" s="122" t="n"/>
      <c r="D80" s="16" t="inlineStr">
        <is>
          <t xml:space="preserve">     'EX1' - Entregas extraordinárias programadas</t>
        </is>
      </c>
      <c r="E80" s="124" t="n"/>
      <c r="F80" s="124" t="n"/>
      <c r="G80" s="15" t="n"/>
    </row>
    <row r="81">
      <c r="B81" s="10" t="inlineStr">
        <is>
          <t xml:space="preserve">        88  :PREFIX:-EMI-ENT-EXTR-EX2       VALUE 'EX2'. </t>
        </is>
      </c>
      <c r="C81" s="122" t="n"/>
      <c r="D81" s="16" t="inlineStr">
        <is>
          <t xml:space="preserve">     'EX2' - Entregas extraordinárias não programadas</t>
        </is>
      </c>
      <c r="E81" s="124" t="n"/>
      <c r="F81" s="124" t="n"/>
      <c r="G81" s="15" t="n"/>
    </row>
    <row r="82">
      <c r="B82" s="10" t="inlineStr">
        <is>
          <t xml:space="preserve">        88  :PREFIX:-EMI-ENT-EXTR-EX3       VALUE 'EX3'. </t>
        </is>
      </c>
      <c r="C82" s="122" t="n"/>
      <c r="D82" s="16" t="inlineStr">
        <is>
          <t xml:space="preserve">     'EX3' - Estornos das entregas extraordinárias programadas</t>
        </is>
      </c>
      <c r="E82" s="124" t="n"/>
      <c r="F82" s="124" t="n"/>
      <c r="G82" s="15" t="n"/>
    </row>
    <row r="83">
      <c r="B83" s="10" t="inlineStr">
        <is>
          <t xml:space="preserve">        88  :PREFIX:-EMI-ENT-EXTR-EX4       VALUE 'EX4'. </t>
        </is>
      </c>
      <c r="C83" s="122" t="n"/>
      <c r="D83" s="16" t="inlineStr">
        <is>
          <t xml:space="preserve">     'EX4' - Estornos das entregas extraordinárias não programadas</t>
        </is>
      </c>
      <c r="E83" s="124" t="n"/>
      <c r="F83" s="124" t="n"/>
      <c r="G83" s="18" t="n"/>
    </row>
    <row r="84">
      <c r="B84" s="10" t="inlineStr">
        <is>
          <t xml:space="preserve">    09  :PREFIX:-TIPO-FRACCIONA         PIC X(02).</t>
        </is>
      </c>
      <c r="C84" s="122" t="n"/>
      <c r="D84" s="16" t="inlineStr">
        <is>
          <t>Periocidade de Pagamento / Frequência de pagamento</t>
        </is>
      </c>
      <c r="E84" s="123">
        <f>E62+F62</f>
        <v/>
      </c>
      <c r="F84" s="124" t="n">
        <v>2</v>
      </c>
      <c r="G84" s="17" t="inlineStr">
        <is>
          <t>Obrigatório</t>
        </is>
      </c>
      <c r="I84">
        <f>E84+33</f>
        <v/>
      </c>
    </row>
    <row r="85">
      <c r="B85" s="10" t="inlineStr">
        <is>
          <t xml:space="preserve">        88  :PREFIX:-FRAC-ANUAL             VALUE 'A '.</t>
        </is>
      </c>
      <c r="C85" s="122" t="n"/>
      <c r="D85" s="16" t="inlineStr">
        <is>
          <t xml:space="preserve">     'A' - Fraccionamento Anual</t>
        </is>
      </c>
      <c r="E85" s="123" t="n"/>
      <c r="F85" s="124" t="n"/>
      <c r="G85" s="15" t="n"/>
    </row>
    <row r="86">
      <c r="B86" s="10" t="inlineStr">
        <is>
          <t xml:space="preserve">        88  :PREFIX:-FRAC-MENSAL            VALUE 'M '.</t>
        </is>
      </c>
      <c r="C86" s="122" t="n"/>
      <c r="D86" s="16" t="inlineStr">
        <is>
          <t xml:space="preserve">     'M' - Fraccionamento Mensal</t>
        </is>
      </c>
      <c r="E86" s="123" t="n"/>
      <c r="F86" s="124" t="n"/>
      <c r="G86" s="15" t="n"/>
    </row>
    <row r="87">
      <c r="B87" s="10" t="inlineStr">
        <is>
          <t xml:space="preserve">        88  :PREFIX:-FRAC-SEMESTRAL         VALUE 'S '.</t>
        </is>
      </c>
      <c r="C87" s="122" t="n"/>
      <c r="D87" s="16" t="inlineStr">
        <is>
          <t xml:space="preserve">     'S' - Fraccionamento Semestral</t>
        </is>
      </c>
      <c r="E87" s="123" t="n"/>
      <c r="F87" s="124" t="n"/>
      <c r="G87" s="15" t="n"/>
    </row>
    <row r="88">
      <c r="B88" s="10" t="inlineStr">
        <is>
          <t xml:space="preserve">        88  :PREFIX:-FRAC-TRIMESTRAL        VALUE 'T '.</t>
        </is>
      </c>
      <c r="C88" s="122" t="n"/>
      <c r="D88" s="16" t="inlineStr">
        <is>
          <t xml:space="preserve">     'T' - Fraccionamento Trimestral</t>
        </is>
      </c>
      <c r="E88" s="123" t="n"/>
      <c r="F88" s="124" t="n"/>
      <c r="G88" s="15" t="n"/>
    </row>
    <row r="89">
      <c r="B89" s="10" t="inlineStr">
        <is>
          <t xml:space="preserve">        88  :PREFIX:-FRAC-UNICO             VALUE 'U '.</t>
        </is>
      </c>
      <c r="C89" s="122" t="n"/>
      <c r="D89" s="16" t="inlineStr">
        <is>
          <t xml:space="preserve">     'U' - Pagamento Único</t>
        </is>
      </c>
      <c r="E89" s="123" t="n"/>
      <c r="F89" s="124" t="n"/>
      <c r="G89" s="18" t="n"/>
    </row>
    <row r="90">
      <c r="B90" s="10" t="inlineStr">
        <is>
          <t xml:space="preserve">    09  :PREFIX:-TIPO-RENOVACAO         PIC X(01).</t>
        </is>
      </c>
      <c r="C90" s="122" t="n"/>
      <c r="D90" s="36" t="inlineStr">
        <is>
          <t>Modo de Renovação</t>
        </is>
      </c>
      <c r="E90" s="133">
        <f>E84+F84</f>
        <v/>
      </c>
      <c r="F90" s="134" t="n">
        <v>1</v>
      </c>
      <c r="G90" s="17" t="inlineStr">
        <is>
          <t>Obrigatório</t>
        </is>
      </c>
      <c r="I90">
        <f>E90+33</f>
        <v/>
      </c>
    </row>
    <row r="91">
      <c r="B91" s="10" t="inlineStr">
        <is>
          <t xml:space="preserve">        88  :PREFIX:-REN-AUTOMATICO         VALUE 'A'.</t>
        </is>
      </c>
      <c r="C91" s="122" t="n"/>
      <c r="D91" s="16" t="inlineStr">
        <is>
          <t xml:space="preserve">     'A' - Automático</t>
        </is>
      </c>
      <c r="E91" s="133" t="n"/>
      <c r="F91" s="134" t="n"/>
      <c r="G91" s="15" t="n"/>
    </row>
    <row r="92">
      <c r="B92" s="10" t="inlineStr">
        <is>
          <t xml:space="preserve">        88  :PREFIX:-REN-MANUAL             VALUE 'M'.</t>
        </is>
      </c>
      <c r="C92" s="122" t="n"/>
      <c r="D92" s="16" t="inlineStr">
        <is>
          <t xml:space="preserve">     'M' - Manual</t>
        </is>
      </c>
      <c r="E92" s="133" t="n"/>
      <c r="F92" s="134" t="n"/>
      <c r="G92" s="15" t="n"/>
    </row>
    <row r="93">
      <c r="B93" s="10" t="inlineStr">
        <is>
          <t xml:space="preserve">        88  :PREFIX:-REN-NAORENOVAVEL       VALUE 'N'.</t>
        </is>
      </c>
      <c r="C93" s="122" t="n"/>
      <c r="D93" s="16" t="inlineStr">
        <is>
          <t xml:space="preserve">     'N' - Não Renovável</t>
        </is>
      </c>
      <c r="E93" s="133" t="n"/>
      <c r="F93" s="134" t="n"/>
      <c r="G93" s="15" t="n"/>
    </row>
    <row r="94">
      <c r="B94" s="10" t="inlineStr">
        <is>
          <t xml:space="preserve">        88  :PREFIX:-REN-TEMPORARIA         VALUE 'T'.</t>
        </is>
      </c>
      <c r="C94" s="122" t="n"/>
      <c r="D94" s="16" t="inlineStr">
        <is>
          <t xml:space="preserve">     'T' - Temporária</t>
        </is>
      </c>
      <c r="E94" s="133" t="n"/>
      <c r="F94" s="134" t="n"/>
      <c r="G94" s="18" t="n"/>
    </row>
    <row r="95">
      <c r="B95" s="35" t="inlineStr">
        <is>
          <t xml:space="preserve">    09  :PREFIX:-COD-MOEDA              PIC X(03).</t>
        </is>
      </c>
      <c r="C95" s="135" t="n"/>
      <c r="D95" s="36" t="inlineStr">
        <is>
          <t>Código de moeda (ex: EUR)</t>
        </is>
      </c>
      <c r="E95" s="133">
        <f>E90+F90</f>
        <v/>
      </c>
      <c r="F95" s="134" t="n">
        <v>3</v>
      </c>
      <c r="G95" s="17" t="inlineStr">
        <is>
          <t>Obrigatório</t>
        </is>
      </c>
      <c r="I95">
        <f>E95+33</f>
        <v/>
      </c>
    </row>
    <row r="96">
      <c r="B96" s="10" t="inlineStr">
        <is>
          <t xml:space="preserve">    09  :PREFIX:-COD-PRODUTO            PIC X(10).</t>
        </is>
      </c>
      <c r="C96" s="122" t="n"/>
      <c r="D96" s="16" t="inlineStr">
        <is>
          <t>Código de Produto [Garantir que no máximo vem 6 posições]</t>
        </is>
      </c>
      <c r="E96" s="123">
        <f>E95+F95</f>
        <v/>
      </c>
      <c r="F96" s="124" t="n">
        <v>10</v>
      </c>
      <c r="G96" s="17" t="inlineStr">
        <is>
          <t>Obrigatório</t>
        </is>
      </c>
      <c r="I96">
        <f>E96+33</f>
        <v/>
      </c>
    </row>
    <row r="97">
      <c r="B97" s="80" t="inlineStr">
        <is>
          <t xml:space="preserve">    09  :PREFIX:-COD-RAMO               PIC X(10).</t>
        </is>
      </c>
      <c r="C97" s="122" t="n"/>
      <c r="D97" s="16" t="inlineStr">
        <is>
          <t>Código do Ramo SO [Garantir que no máximo vem 6 posições]</t>
        </is>
      </c>
      <c r="E97" s="123">
        <f>E96+F96</f>
        <v/>
      </c>
      <c r="F97" s="124" t="n">
        <v>10</v>
      </c>
      <c r="G97" s="14" t="inlineStr">
        <is>
          <t>Obrigatório</t>
        </is>
      </c>
      <c r="I97">
        <f>E97+33</f>
        <v/>
      </c>
    </row>
    <row r="98">
      <c r="B98" s="10" t="inlineStr">
        <is>
          <t xml:space="preserve">        88  :PREFIX:-RAM-NVIDA              VALUE '0201  '</t>
        </is>
      </c>
      <c r="C98" s="122" t="n"/>
      <c r="D98" s="16" t="inlineStr">
        <is>
          <t>Ramos não vida</t>
        </is>
      </c>
      <c r="E98" s="123" t="n"/>
      <c r="F98" s="124" t="n"/>
      <c r="G98" s="15" t="n"/>
    </row>
    <row r="99">
      <c r="B99" s="10" t="inlineStr">
        <is>
          <t xml:space="preserve">              '0205  ' '0210  ' '0301  ' '0305  ' '0310  '</t>
        </is>
      </c>
      <c r="C99" s="122" t="n"/>
      <c r="D99" s="16" t="n"/>
      <c r="E99" s="123" t="n"/>
      <c r="F99" s="124" t="n"/>
      <c r="G99" s="15" t="n"/>
    </row>
    <row r="100">
      <c r="B100" s="10" t="inlineStr">
        <is>
          <t xml:space="preserve">              '0350  ' '0351  ' '0352  ' '0353  ' '0354  '</t>
        </is>
      </c>
      <c r="C100" s="122" t="n"/>
      <c r="D100" s="16" t="n"/>
      <c r="E100" s="123" t="n"/>
      <c r="F100" s="124" t="n"/>
      <c r="G100" s="15" t="n"/>
    </row>
    <row r="101">
      <c r="B101" s="10" t="inlineStr">
        <is>
          <t xml:space="preserve">              '0355  ' '0356  ' '0357  ' '0358  ' '0359  '</t>
        </is>
      </c>
      <c r="C101" s="122" t="n"/>
      <c r="D101" s="16" t="n"/>
      <c r="E101" s="123" t="n"/>
      <c r="F101" s="124" t="n"/>
      <c r="G101" s="15" t="n"/>
    </row>
    <row r="102">
      <c r="B102" s="10" t="inlineStr">
        <is>
          <t xml:space="preserve">              '0360  ' '0370  ' '0380  ' '0390  ' '0395  '</t>
        </is>
      </c>
      <c r="C102" s="122" t="n"/>
      <c r="D102" s="16" t="n"/>
      <c r="E102" s="123" t="n"/>
      <c r="F102" s="124" t="n"/>
      <c r="G102" s="15" t="n"/>
    </row>
    <row r="103">
      <c r="B103" s="10" t="inlineStr">
        <is>
          <t xml:space="preserve">              '0401  ' '0405  ' '0501  ' '0510  ' '0515  '</t>
        </is>
      </c>
      <c r="C103" s="122" t="n"/>
      <c r="D103" s="16" t="n"/>
      <c r="E103" s="123" t="n"/>
      <c r="F103" s="124" t="n"/>
      <c r="G103" s="15" t="n"/>
    </row>
    <row r="104">
      <c r="B104" s="10" t="inlineStr">
        <is>
          <t xml:space="preserve">              '0520  ' '0525  ' '0601  ' '0701  ' '0705  '</t>
        </is>
      </c>
      <c r="C104" s="122" t="n"/>
      <c r="D104" s="16" t="n"/>
      <c r="E104" s="123" t="n"/>
      <c r="F104" s="124" t="n"/>
      <c r="G104" s="15" t="n"/>
    </row>
    <row r="105">
      <c r="B105" s="10" t="inlineStr">
        <is>
          <t xml:space="preserve">              '0750  ' '0905  ' '2001  ' '2010  ' '2101  '</t>
        </is>
      </c>
      <c r="C105" s="122" t="n"/>
      <c r="D105" s="16" t="n"/>
      <c r="E105" s="123" t="n"/>
      <c r="F105" s="124" t="n"/>
      <c r="G105" s="15" t="n"/>
    </row>
    <row r="106">
      <c r="B106" s="10" t="inlineStr">
        <is>
          <t xml:space="preserve">              '22000 ' '22002 ' '22003 ' '2201  ' '2210  '</t>
        </is>
      </c>
      <c r="C106" s="122" t="n"/>
      <c r="D106" s="16" t="n"/>
      <c r="E106" s="123" t="n"/>
      <c r="F106" s="124" t="n"/>
      <c r="G106" s="15" t="n"/>
    </row>
    <row r="107">
      <c r="B107" s="10" t="inlineStr">
        <is>
          <t xml:space="preserve">              '2211  ' '2215  ' '2220  ' '2250  ' '2301  '</t>
        </is>
      </c>
      <c r="C107" s="122" t="n"/>
      <c r="D107" s="16" t="n"/>
      <c r="E107" s="123" t="n"/>
      <c r="F107" s="124" t="n"/>
      <c r="G107" s="15" t="n"/>
    </row>
    <row r="108">
      <c r="B108" s="10" t="inlineStr">
        <is>
          <t xml:space="preserve">              '2401  ' '2402  ' '2501  ' '2601  ' '2605  '</t>
        </is>
      </c>
      <c r="C108" s="122" t="n"/>
      <c r="D108" s="16" t="n"/>
      <c r="E108" s="123" t="n"/>
      <c r="F108" s="124" t="n"/>
      <c r="G108" s="15" t="n"/>
    </row>
    <row r="109">
      <c r="B109" s="10" t="inlineStr">
        <is>
          <t xml:space="preserve">              '2705  ' '2801  ' '3102  ' '3109  ' '3150  '</t>
        </is>
      </c>
      <c r="C109" s="122" t="n"/>
      <c r="D109" s="16" t="n"/>
      <c r="E109" s="123" t="n"/>
      <c r="F109" s="124" t="n"/>
      <c r="G109" s="15" t="n"/>
    </row>
    <row r="110">
      <c r="B110" s="10" t="inlineStr">
        <is>
          <t xml:space="preserve">              '3201  ' '3205  ' '3210  ' '3215  ' '3301  '</t>
        </is>
      </c>
      <c r="C110" s="122" t="n"/>
      <c r="D110" s="16" t="n"/>
      <c r="E110" s="123" t="n"/>
      <c r="F110" s="124" t="n"/>
      <c r="G110" s="15" t="n"/>
    </row>
    <row r="111">
      <c r="B111" s="10" t="inlineStr">
        <is>
          <t xml:space="preserve">              '3401  ' '3405  ' '3410  ' '3420  ' '3425  '</t>
        </is>
      </c>
      <c r="C111" s="122" t="n"/>
      <c r="D111" s="16" t="n"/>
      <c r="E111" s="123" t="n"/>
      <c r="F111" s="124" t="n"/>
      <c r="G111" s="15" t="n"/>
    </row>
    <row r="112">
      <c r="B112" s="10" t="inlineStr">
        <is>
          <t xml:space="preserve">              '3430  ' '3501  ' '3505  ' '3601  ' '3605  '</t>
        </is>
      </c>
      <c r="C112" s="122" t="n"/>
      <c r="D112" s="16" t="n"/>
      <c r="E112" s="123" t="n"/>
      <c r="F112" s="124" t="n"/>
      <c r="G112" s="15" t="n"/>
    </row>
    <row r="113">
      <c r="B113" s="10" t="inlineStr">
        <is>
          <t xml:space="preserve">              '3625  ' '3701  ' '3702  ' '3801  ' '3802  '</t>
        </is>
      </c>
      <c r="C113" s="122" t="n"/>
      <c r="D113" s="16" t="n"/>
      <c r="E113" s="123" t="n"/>
      <c r="F113" s="124" t="n"/>
      <c r="G113" s="15" t="n"/>
    </row>
    <row r="114">
      <c r="B114" s="10" t="inlineStr">
        <is>
          <t xml:space="preserve">              '3803  ' '3901  '.</t>
        </is>
      </c>
      <c r="C114" s="122" t="n"/>
      <c r="D114" s="16" t="n"/>
      <c r="E114" s="123" t="n"/>
      <c r="F114" s="124" t="n"/>
      <c r="G114" s="15" t="n"/>
    </row>
    <row r="115">
      <c r="B115" s="10" t="inlineStr">
        <is>
          <t xml:space="preserve">        88  :PREFIX:-RAM-NVIDA-CLH          VALUE '22000 '</t>
        </is>
      </c>
      <c r="C115" s="122" t="n"/>
      <c r="D115" s="16" t="inlineStr">
        <is>
          <t>Ramos não vida: Colheitas</t>
        </is>
      </c>
      <c r="E115" s="123" t="n"/>
      <c r="F115" s="124" t="n"/>
      <c r="G115" s="15" t="n"/>
    </row>
    <row r="116">
      <c r="B116" s="10" t="inlineStr">
        <is>
          <t xml:space="preserve">              '22002 ' '22003 '.</t>
        </is>
      </c>
      <c r="C116" s="122" t="n"/>
      <c r="D116" s="16" t="n"/>
      <c r="E116" s="123" t="n"/>
      <c r="F116" s="124" t="n"/>
      <c r="G116" s="15" t="n"/>
    </row>
    <row r="117">
      <c r="B117" s="10" t="inlineStr">
        <is>
          <t xml:space="preserve">        88  :PREFIX:-RAM-NVIDA-MHS          VALUE '3102  '</t>
        </is>
      </c>
      <c r="C117" s="122" t="n"/>
      <c r="D117" s="16" t="inlineStr">
        <is>
          <t>Ramos não vida: Saúde</t>
        </is>
      </c>
      <c r="E117" s="123" t="n"/>
      <c r="F117" s="124" t="n"/>
      <c r="G117" s="15" t="n"/>
    </row>
    <row r="118">
      <c r="B118" s="10" t="inlineStr">
        <is>
          <t xml:space="preserve">              '3109  '.</t>
        </is>
      </c>
      <c r="C118" s="122" t="n"/>
      <c r="D118" s="16" t="n"/>
      <c r="E118" s="123" t="n"/>
      <c r="F118" s="124" t="n"/>
      <c r="G118" s="15" t="n"/>
    </row>
    <row r="119">
      <c r="B119" s="10" t="inlineStr">
        <is>
          <t xml:space="preserve">        88  :PREFIX:-RAM-VIDA               VALUE '11    '</t>
        </is>
      </c>
      <c r="C119" s="122" t="n"/>
      <c r="D119" s="16" t="inlineStr">
        <is>
          <t>Ramos Vida</t>
        </is>
      </c>
      <c r="E119" s="123" t="n"/>
      <c r="F119" s="124" t="n"/>
      <c r="G119" s="15" t="n"/>
      <c r="K119" s="126" t="n"/>
    </row>
    <row r="120">
      <c r="B120" s="10" t="inlineStr">
        <is>
          <t xml:space="preserve">              '13    ' '14    '.</t>
        </is>
      </c>
      <c r="C120" s="122" t="n"/>
      <c r="D120" s="16" t="n"/>
      <c r="E120" s="123" t="n"/>
      <c r="F120" s="124" t="n"/>
      <c r="G120" s="15" t="n"/>
      <c r="K120" s="126" t="n"/>
    </row>
    <row r="121">
      <c r="A121" s="131" t="n"/>
      <c r="B121" s="22" t="inlineStr">
        <is>
          <t xml:space="preserve">    09  :PREFIX:-DESCR-RAMO-PROD        PIC X(40).</t>
        </is>
      </c>
      <c r="C121" s="42" t="n"/>
      <c r="D121" s="25" t="inlineStr">
        <is>
          <t>Descritivo do Ramo / Produto (Para apresentação no A-R)</t>
        </is>
      </c>
      <c r="E121" s="123">
        <f>E97+F97</f>
        <v/>
      </c>
      <c r="F121" s="124" t="n">
        <v>40</v>
      </c>
      <c r="G121" s="17" t="inlineStr">
        <is>
          <t>Obrigatório</t>
        </is>
      </c>
      <c r="I121">
        <f>E121+33</f>
        <v/>
      </c>
    </row>
    <row r="122">
      <c r="B122" s="30" t="inlineStr">
        <is>
          <t xml:space="preserve">  07  :PREFIX:-DADOS-CLIENTE.</t>
        </is>
      </c>
      <c r="C122" s="127" t="n"/>
      <c r="D122" s="32" t="n"/>
      <c r="E122" s="128">
        <f>E121+F121</f>
        <v/>
      </c>
      <c r="F122" s="129" t="n"/>
      <c r="G122" s="130" t="n"/>
      <c r="I122">
        <f>E122+33</f>
        <v/>
      </c>
    </row>
    <row r="123">
      <c r="B123" s="10" t="inlineStr">
        <is>
          <t xml:space="preserve">    09  :PREFIX:-CL-NOME                PIC X(40).</t>
        </is>
      </c>
      <c r="C123" s="122" t="n"/>
      <c r="D123" s="16" t="inlineStr">
        <is>
          <t>Nome</t>
        </is>
      </c>
      <c r="E123" s="123">
        <f>E122+F122</f>
        <v/>
      </c>
      <c r="F123" s="124" t="n">
        <v>40</v>
      </c>
      <c r="G123" s="19" t="inlineStr">
        <is>
          <t>Condicional</t>
        </is>
      </c>
      <c r="I123">
        <f>E123+33</f>
        <v/>
      </c>
    </row>
    <row r="124">
      <c r="B124" s="10" t="inlineStr">
        <is>
          <t xml:space="preserve">    09  :PREFIX:-CL-LOCATION-REF        PIC X(04).</t>
        </is>
      </c>
      <c r="C124" s="122" t="n"/>
      <c r="D124" s="16" t="inlineStr">
        <is>
          <t>Referência da morada</t>
        </is>
      </c>
      <c r="E124" s="123">
        <f>E123+F123</f>
        <v/>
      </c>
      <c r="F124" s="124" t="n">
        <v>4</v>
      </c>
      <c r="G124" s="19" t="inlineStr">
        <is>
          <t>Condicional</t>
        </is>
      </c>
      <c r="I124">
        <f>E124+33</f>
        <v/>
      </c>
    </row>
    <row r="125">
      <c r="B125" s="10" t="inlineStr">
        <is>
          <t xml:space="preserve">    09  :PREFIX:-CL-MORADA1             PIC X(40).</t>
        </is>
      </c>
      <c r="C125" s="122" t="n"/>
      <c r="D125" s="16" t="inlineStr">
        <is>
          <t>Dados de morada 1</t>
        </is>
      </c>
      <c r="E125" s="123">
        <f>E124+F124</f>
        <v/>
      </c>
      <c r="F125" s="124" t="n">
        <v>40</v>
      </c>
      <c r="G125" s="19" t="inlineStr">
        <is>
          <t>Condicional</t>
        </is>
      </c>
      <c r="I125">
        <f>E125+33</f>
        <v/>
      </c>
    </row>
    <row r="126">
      <c r="B126" s="10" t="inlineStr">
        <is>
          <t xml:space="preserve">    09  :PREFIX:-CL-MORADA2             PIC X(40).</t>
        </is>
      </c>
      <c r="C126" s="122" t="n"/>
      <c r="D126" s="16" t="inlineStr">
        <is>
          <t>Dados de morada 2</t>
        </is>
      </c>
      <c r="E126" s="123">
        <f>E125+F125</f>
        <v/>
      </c>
      <c r="F126" s="124" t="n">
        <v>40</v>
      </c>
      <c r="G126" s="21" t="inlineStr">
        <is>
          <t>Opcional</t>
        </is>
      </c>
      <c r="I126">
        <f>E126+33</f>
        <v/>
      </c>
    </row>
    <row r="127">
      <c r="B127" s="10" t="inlineStr">
        <is>
          <t xml:space="preserve">    09  :PREFIX:-CL-LOCALIDADE          PIC X(40).</t>
        </is>
      </c>
      <c r="C127" s="122" t="n"/>
      <c r="D127" s="16" t="inlineStr">
        <is>
          <t>Localidade</t>
        </is>
      </c>
      <c r="E127" s="123">
        <f>E126+F126</f>
        <v/>
      </c>
      <c r="F127" s="124" t="n">
        <v>40</v>
      </c>
      <c r="G127" s="21" t="inlineStr">
        <is>
          <t>Opcional</t>
        </is>
      </c>
      <c r="I127">
        <f>E127+33</f>
        <v/>
      </c>
    </row>
    <row r="128">
      <c r="B128" s="10" t="inlineStr">
        <is>
          <t xml:space="preserve">    09  :PREFIX:-CL-CPOSTAL             PIC X(09).</t>
        </is>
      </c>
      <c r="C128" s="122" t="n"/>
      <c r="D128" s="16" t="inlineStr">
        <is>
          <t>Código postal (Se estrangeiro deverá vir a zeros) [9999-999]</t>
        </is>
      </c>
      <c r="E128" s="123">
        <f>E127+F127</f>
        <v/>
      </c>
      <c r="F128" s="124" t="n">
        <v>9</v>
      </c>
      <c r="G128" s="19" t="inlineStr">
        <is>
          <t>Condicional</t>
        </is>
      </c>
      <c r="I128">
        <f>E128+33</f>
        <v/>
      </c>
    </row>
    <row r="129">
      <c r="B129" s="10" t="inlineStr">
        <is>
          <t xml:space="preserve">    09  :PREFIX:-CL-CPOSTAL-DESC        PIC X(40).</t>
        </is>
      </c>
      <c r="C129" s="122" t="n"/>
      <c r="D129" s="16" t="inlineStr">
        <is>
          <t>Descritivo do código postal</t>
        </is>
      </c>
      <c r="E129" s="123">
        <f>E128+F128</f>
        <v/>
      </c>
      <c r="F129" s="124" t="n">
        <v>40</v>
      </c>
      <c r="G129" s="19" t="inlineStr">
        <is>
          <t>Condicional</t>
        </is>
      </c>
      <c r="I129">
        <f>E129+33</f>
        <v/>
      </c>
    </row>
    <row r="130">
      <c r="B130" s="10" t="inlineStr">
        <is>
          <t xml:space="preserve">    09  :PREFIX:-CL-CPAIS               PIC X(03).</t>
        </is>
      </c>
      <c r="C130" s="122" t="n"/>
      <c r="D130" s="16" t="inlineStr">
        <is>
          <t>Código do País (Se estrangeiro, diferente de 620)</t>
        </is>
      </c>
      <c r="E130" s="123">
        <f>E129+F129</f>
        <v/>
      </c>
      <c r="F130" s="124" t="n">
        <v>3</v>
      </c>
      <c r="G130" s="19" t="inlineStr">
        <is>
          <t>Condicional</t>
        </is>
      </c>
      <c r="I130">
        <f>E130+33</f>
        <v/>
      </c>
    </row>
    <row r="131">
      <c r="B131" s="10" t="inlineStr">
        <is>
          <t xml:space="preserve">    09  :PREFIX:-CL-CPAIS-DESC          PIC X(40).</t>
        </is>
      </c>
      <c r="C131" s="122" t="n"/>
      <c r="D131" s="16" t="inlineStr">
        <is>
          <t>Descritivo do País</t>
        </is>
      </c>
      <c r="E131" s="123">
        <f>E130+F130</f>
        <v/>
      </c>
      <c r="F131" s="124" t="n">
        <v>40</v>
      </c>
      <c r="G131" s="19" t="inlineStr">
        <is>
          <t>Condicional</t>
        </is>
      </c>
      <c r="I131">
        <f>E131+33</f>
        <v/>
      </c>
    </row>
    <row r="132">
      <c r="B132" s="10" t="inlineStr">
        <is>
          <t xml:space="preserve">    09  :PREFIX:-CL-IDP                 PIC X(04).</t>
        </is>
      </c>
      <c r="C132" s="122" t="n"/>
      <c r="D132" s="16" t="inlineStr">
        <is>
          <t>Identificação da Porta (no CBC)</t>
        </is>
      </c>
      <c r="E132" s="123">
        <f>E131+F131</f>
        <v/>
      </c>
      <c r="F132" s="124" t="n">
        <v>4</v>
      </c>
      <c r="G132" s="19" t="inlineStr">
        <is>
          <t>Condicional</t>
        </is>
      </c>
      <c r="I132">
        <f>E132+33</f>
        <v/>
      </c>
    </row>
    <row r="133">
      <c r="B133" s="10" t="inlineStr">
        <is>
          <t xml:space="preserve">    09  :PREFIX:-CL-NIF                 PIC X(22).</t>
        </is>
      </c>
      <c r="C133" s="122" t="n"/>
      <c r="D133" s="16" t="inlineStr">
        <is>
          <t>Número de identificação fiscal (No caso de Portugal será PT999999999)</t>
        </is>
      </c>
      <c r="E133" s="123">
        <f>E132+F132</f>
        <v/>
      </c>
      <c r="F133" s="124" t="n">
        <v>22</v>
      </c>
      <c r="G133" s="19" t="inlineStr">
        <is>
          <t>Condicional</t>
        </is>
      </c>
      <c r="I133">
        <f>E133+33</f>
        <v/>
      </c>
    </row>
    <row r="134">
      <c r="B134" s="10" t="inlineStr">
        <is>
          <t xml:space="preserve">    09  :PREFIX:-CL-TIPO-ENTIDADE       PIC X(01).</t>
        </is>
      </c>
      <c r="C134" s="122" t="n"/>
      <c r="D134" s="16" t="inlineStr">
        <is>
          <t>Tipo Entidade</t>
        </is>
      </c>
      <c r="E134" s="123">
        <f>E133+F133</f>
        <v/>
      </c>
      <c r="F134" s="124" t="n">
        <v>1</v>
      </c>
      <c r="G134" s="19" t="inlineStr">
        <is>
          <t>Condicional</t>
        </is>
      </c>
      <c r="I134">
        <f>E134+33</f>
        <v/>
      </c>
    </row>
    <row r="135">
      <c r="B135" s="10" t="inlineStr">
        <is>
          <t xml:space="preserve">        88  :PREFIX:-CL-ENT-PARTICUL        VALUE '1'.</t>
        </is>
      </c>
      <c r="C135" s="122" t="n"/>
      <c r="D135" s="16" t="inlineStr">
        <is>
          <t xml:space="preserve">     '1' - Pessoa / Particular</t>
        </is>
      </c>
      <c r="E135" s="123" t="n"/>
      <c r="F135" s="124" t="n"/>
      <c r="G135" s="15" t="n"/>
    </row>
    <row r="136">
      <c r="B136" s="10" t="inlineStr">
        <is>
          <t xml:space="preserve">        88  :PREFIX:-CL-ENT-COLETIVA        VALUE '2'.</t>
        </is>
      </c>
      <c r="C136" s="122" t="n"/>
      <c r="D136" s="16" t="inlineStr">
        <is>
          <t xml:space="preserve">     '2' - Colectivo/Conta Interna</t>
        </is>
      </c>
      <c r="E136" s="123" t="n"/>
      <c r="F136" s="124" t="n"/>
      <c r="G136" s="18" t="n"/>
    </row>
    <row r="137">
      <c r="B137" s="30" t="inlineStr">
        <is>
          <t xml:space="preserve">  07  :PREFIX:-DADOS-DATA.</t>
        </is>
      </c>
      <c r="C137" s="127" t="n"/>
      <c r="D137" s="32" t="n"/>
      <c r="E137" s="128">
        <f>E134+F134</f>
        <v/>
      </c>
      <c r="F137" s="129" t="n"/>
      <c r="G137" s="130" t="n"/>
      <c r="I137">
        <f>E137+33</f>
        <v/>
      </c>
    </row>
    <row r="138">
      <c r="B138" s="10" t="inlineStr">
        <is>
          <t xml:space="preserve">    09  :PREFIX:-DT-INI-RECI            PIC X(08).</t>
        </is>
      </c>
      <c r="C138" s="122" t="n"/>
      <c r="D138" s="16" t="inlineStr">
        <is>
          <t>Periodo do recibo - inicio [aaaammdd]</t>
        </is>
      </c>
      <c r="E138" s="123">
        <f>E137+F137</f>
        <v/>
      </c>
      <c r="F138" s="124" t="n">
        <v>8</v>
      </c>
      <c r="G138" s="17" t="inlineStr">
        <is>
          <t>Obrigatório</t>
        </is>
      </c>
      <c r="I138">
        <f>E138+33</f>
        <v/>
      </c>
    </row>
    <row r="139">
      <c r="B139" s="10" t="inlineStr">
        <is>
          <t xml:space="preserve">    09  :PREFIX:-DT-FIM-RECI            PIC X(08).</t>
        </is>
      </c>
      <c r="C139" s="122" t="n"/>
      <c r="D139" s="16" t="inlineStr">
        <is>
          <t>Periodo do recibo - fim [aaaammdd]</t>
        </is>
      </c>
      <c r="E139" s="123">
        <f>E138+F138</f>
        <v/>
      </c>
      <c r="F139" s="124" t="n">
        <v>8</v>
      </c>
      <c r="G139" s="17" t="inlineStr">
        <is>
          <t>Obrigatório</t>
        </is>
      </c>
      <c r="I139">
        <f>E139+33</f>
        <v/>
      </c>
    </row>
    <row r="140">
      <c r="B140" s="10" t="inlineStr">
        <is>
          <t xml:space="preserve">    09  :PREFIX:-DT-CRI-RECI            PIC X(08).</t>
        </is>
      </c>
      <c r="C140" s="122" t="n"/>
      <c r="D140" s="16" t="inlineStr">
        <is>
          <t>Emissão do recibo [aaaammdd]</t>
        </is>
      </c>
      <c r="E140" s="123">
        <f>E139+F139</f>
        <v/>
      </c>
      <c r="F140" s="124" t="n">
        <v>8</v>
      </c>
      <c r="G140" s="17" t="inlineStr">
        <is>
          <t>Obrigatório</t>
        </is>
      </c>
      <c r="I140">
        <f>E140+33</f>
        <v/>
      </c>
    </row>
    <row r="141">
      <c r="B141" s="10" t="inlineStr">
        <is>
          <t xml:space="preserve">    09  :PREFIX:-DT-LIM-PAG             PIC X(08).</t>
        </is>
      </c>
      <c r="C141" s="122" t="n"/>
      <c r="D141" s="16" t="inlineStr">
        <is>
          <t>[aaaammdd]</t>
        </is>
      </c>
      <c r="E141" s="123">
        <f>E140+F140</f>
        <v/>
      </c>
      <c r="F141" s="124" t="n">
        <v>8</v>
      </c>
      <c r="G141" s="17" t="inlineStr">
        <is>
          <t>Obrigatório</t>
        </is>
      </c>
      <c r="I141">
        <f>E141+33</f>
        <v/>
      </c>
    </row>
    <row r="142">
      <c r="B142" s="10" t="inlineStr">
        <is>
          <t xml:space="preserve">    09  :PREFIX:-DT-LIM-DEVOL           PIC X(08).</t>
        </is>
      </c>
      <c r="C142" s="122" t="n"/>
      <c r="D142" s="16" t="inlineStr">
        <is>
          <t>[aaaammdd]</t>
        </is>
      </c>
      <c r="E142" s="123">
        <f>E141+F141</f>
        <v/>
      </c>
      <c r="F142" s="124" t="n">
        <v>8</v>
      </c>
      <c r="G142" s="19" t="inlineStr">
        <is>
          <t>Condicional</t>
        </is>
      </c>
      <c r="I142">
        <f>E142+33</f>
        <v/>
      </c>
    </row>
    <row r="143">
      <c r="B143" s="10" t="inlineStr">
        <is>
          <t xml:space="preserve">    09  :PREFIX:-DT-CESSACAO            PIC X(08).</t>
        </is>
      </c>
      <c r="C143" s="122" t="n"/>
      <c r="D143" s="16" t="inlineStr">
        <is>
          <t>[aaaammdd]</t>
        </is>
      </c>
      <c r="E143" s="123">
        <f>E142+F142</f>
        <v/>
      </c>
      <c r="F143" s="124" t="n">
        <v>8</v>
      </c>
      <c r="G143" s="19" t="inlineStr">
        <is>
          <t>Condicional</t>
        </is>
      </c>
      <c r="I143">
        <f>E143+33</f>
        <v/>
      </c>
      <c r="K143" s="126" t="n"/>
    </row>
    <row r="144">
      <c r="B144" s="30" t="inlineStr">
        <is>
          <t xml:space="preserve">  07  :PREFIX:-DADOS-VALOR.</t>
        </is>
      </c>
      <c r="C144" s="127" t="n"/>
      <c r="D144" s="32" t="n"/>
      <c r="E144" s="128">
        <f>E143+F143</f>
        <v/>
      </c>
      <c r="F144" s="129" t="n"/>
      <c r="G144" s="130" t="n"/>
      <c r="I144">
        <f>E144+33</f>
        <v/>
      </c>
      <c r="K144" s="126" t="n"/>
    </row>
    <row r="145" ht="28.8" customHeight="1">
      <c r="B145" s="40" t="inlineStr">
        <is>
          <t xml:space="preserve">    09  :PREFIX:-VLR-CAPITAL-RECIBO     PIC S9(12)V9(02)
                                            SIGN LEADING SEPARATE.</t>
        </is>
      </c>
      <c r="C145" s="42" t="n"/>
      <c r="D145" s="98" t="inlineStr">
        <is>
          <t>Valor do capital / valor da entrega - Descritivo: 'CAPITAL' | 'PREMIO INVEST' |'CAPITAL ENTREGUE'</t>
        </is>
      </c>
      <c r="E145" s="123">
        <f>E144+F144</f>
        <v/>
      </c>
      <c r="F145" s="124" t="n">
        <v>15</v>
      </c>
      <c r="G145" s="21" t="inlineStr">
        <is>
          <t>Opcional</t>
        </is>
      </c>
      <c r="H145" s="131" t="n"/>
      <c r="I145">
        <f>E145+33</f>
        <v/>
      </c>
      <c r="K145" s="126" t="n"/>
    </row>
    <row r="146" ht="28.8" customHeight="1">
      <c r="B146" s="111" t="inlineStr">
        <is>
          <t xml:space="preserve">    09  :PREFIX:-VLR-PREMIO-RISCO       PIC S9(12)V9(02)
                                            SIGN LEADING SEPARATE.</t>
        </is>
      </c>
      <c r="C146" s="112" t="n"/>
      <c r="D146" s="98" t="inlineStr">
        <is>
          <t>Valor de Prémio de Risco - Descritivo: 'PRÉMIO RISCO'</t>
        </is>
      </c>
      <c r="E146" s="123">
        <f>E145+F145</f>
        <v/>
      </c>
      <c r="F146" s="124" t="n">
        <v>15</v>
      </c>
      <c r="G146" s="21" t="inlineStr">
        <is>
          <t>Opcional</t>
        </is>
      </c>
      <c r="H146" s="131" t="n"/>
      <c r="I146">
        <f>E146+33</f>
        <v/>
      </c>
      <c r="K146" s="126" t="n"/>
    </row>
    <row r="147" ht="28.8" customHeight="1">
      <c r="B147" s="40" t="inlineStr">
        <is>
          <t xml:space="preserve">    09  :PREFIX:-VLR-BONIFICACAO        PIC S9(12)V9(02)
                                            SIGN LEADING SEPARATE.</t>
        </is>
      </c>
      <c r="C147" s="42" t="n"/>
      <c r="D147" s="25" t="inlineStr">
        <is>
          <t>Bonificação (Colheitas) - Descritivo: 'BONIFICAÇÃO'</t>
        </is>
      </c>
      <c r="E147" s="123">
        <f>E146+F146</f>
        <v/>
      </c>
      <c r="F147" s="124" t="n">
        <v>15</v>
      </c>
      <c r="G147" s="21" t="inlineStr">
        <is>
          <t>Opcional</t>
        </is>
      </c>
      <c r="H147" s="131" t="n"/>
      <c r="I147">
        <f>E147+33</f>
        <v/>
      </c>
      <c r="K147" s="126" t="n"/>
    </row>
    <row r="148" ht="28.8" customHeight="1">
      <c r="B148" s="40" t="inlineStr">
        <is>
          <t xml:space="preserve">    09  :PREFIX:-VLR-TOTAL-RECIBO       PIC S9(12)V9(02)
                                            SIGN LEADING SEPARATE.</t>
        </is>
      </c>
      <c r="C148" s="42" t="n"/>
      <c r="D148" s="25" t="inlineStr">
        <is>
          <t>Prémio total recibo - Descritivo: 'VALOR A PAGAR' | 'VALOR A RECEBER' | 'TOTAL DE PRÉMIOS'</t>
        </is>
      </c>
      <c r="E148" s="123">
        <f>E147+F147</f>
        <v/>
      </c>
      <c r="F148" s="124" t="n">
        <v>15</v>
      </c>
      <c r="G148" s="21" t="inlineStr">
        <is>
          <t>Opcional</t>
        </is>
      </c>
      <c r="H148" s="131" t="n"/>
      <c r="I148">
        <f>E148+33</f>
        <v/>
      </c>
    </row>
    <row r="149" ht="28.8" customHeight="1">
      <c r="B149" s="40" t="inlineStr">
        <is>
          <t xml:space="preserve">    09  :PREFIX:-VLR-FRACC              PIC S9(12)V9(02)
                                            SIGN LEADING SEPARATE.</t>
        </is>
      </c>
      <c r="C149" s="42" t="n"/>
      <c r="D149" s="25" t="inlineStr">
        <is>
          <t>Custo de Fraccionamento - Descritivo: 'CUSTO FRACCIONAMENTO'</t>
        </is>
      </c>
      <c r="E149" s="123">
        <f>E148+F148</f>
        <v/>
      </c>
      <c r="F149" s="124" t="n">
        <v>15</v>
      </c>
      <c r="G149" s="21" t="inlineStr">
        <is>
          <t>Opcional</t>
        </is>
      </c>
      <c r="H149" s="131" t="n"/>
      <c r="I149">
        <f>E149+33</f>
        <v/>
      </c>
    </row>
    <row r="150" ht="28.8" customHeight="1">
      <c r="B150" s="40" t="inlineStr">
        <is>
          <t xml:space="preserve">    09  :PREFIX:-VLR-FAT                PIC S9(12)V9(02)
                                            SIGN LEADING SEPARATE.</t>
        </is>
      </c>
      <c r="C150" s="42" t="n"/>
      <c r="D150" s="25" t="inlineStr">
        <is>
          <t>Fundo de Garantia de Acidentes de Trabalho - Descritivo: 'CV / SNB / FAT'</t>
        </is>
      </c>
      <c r="E150" s="123">
        <f>E149+F149</f>
        <v/>
      </c>
      <c r="F150" s="124" t="n">
        <v>15</v>
      </c>
      <c r="G150" s="21" t="inlineStr">
        <is>
          <t>Opcional</t>
        </is>
      </c>
      <c r="H150" s="131" t="n"/>
      <c r="I150">
        <f>E150+33</f>
        <v/>
      </c>
    </row>
    <row r="151" ht="28.8" customHeight="1">
      <c r="B151" s="40" t="inlineStr">
        <is>
          <t xml:space="preserve">    09  :PREFIX:-VLR-FGA                PIC S9(12)V9(02)
                                            SIGN LEADING SEPARATE.</t>
        </is>
      </c>
      <c r="C151" s="42" t="n"/>
      <c r="D151" s="25" t="inlineStr">
        <is>
          <t>Fundo de Garantia Automóvel - Descritivo: 'F.CALAM / FGA'</t>
        </is>
      </c>
      <c r="E151" s="123">
        <f>E150+F150</f>
        <v/>
      </c>
      <c r="F151" s="124" t="n">
        <v>15</v>
      </c>
      <c r="G151" s="21" t="inlineStr">
        <is>
          <t>Opcional</t>
        </is>
      </c>
      <c r="H151" s="131" t="n"/>
      <c r="I151">
        <f>E151+33</f>
        <v/>
      </c>
    </row>
    <row r="152" ht="28.8" customHeight="1">
      <c r="B152" s="40" t="inlineStr">
        <is>
          <t xml:space="preserve">    09  :PREFIX:-VLR-SNB                PIC S9(12)V9(02)
                                            SIGN LEADING SEPARATE.</t>
        </is>
      </c>
      <c r="C152" s="42" t="n"/>
      <c r="D152" s="25" t="inlineStr">
        <is>
          <t>Imposto Serviço Nacional de Bombeiros - Descritivo: 'SNB' | 'CV / SNB / FAT'</t>
        </is>
      </c>
      <c r="E152" s="123">
        <f>E151+F151</f>
        <v/>
      </c>
      <c r="F152" s="124" t="n">
        <v>15</v>
      </c>
      <c r="G152" s="21" t="inlineStr">
        <is>
          <t>Opcional</t>
        </is>
      </c>
      <c r="H152" s="131" t="n"/>
      <c r="I152">
        <f>E152+33</f>
        <v/>
      </c>
    </row>
    <row r="153" ht="28.8" customHeight="1">
      <c r="B153" s="40" t="inlineStr">
        <is>
          <t xml:space="preserve">    09  :PREFIX:-VLR-INEM               PIC S9(12)V9(02)
                                            SIGN LEADING SEPARATE.</t>
        </is>
      </c>
      <c r="C153" s="42" t="n"/>
      <c r="D153" s="25" t="inlineStr">
        <is>
          <t>Imposto INEM - Descritivo: 'INEM'</t>
        </is>
      </c>
      <c r="E153" s="123">
        <f>E152+F152</f>
        <v/>
      </c>
      <c r="F153" s="124" t="n">
        <v>15</v>
      </c>
      <c r="G153" s="21" t="inlineStr">
        <is>
          <t>Opcional</t>
        </is>
      </c>
      <c r="H153" s="131" t="n"/>
      <c r="I153">
        <f>E153+33</f>
        <v/>
      </c>
    </row>
    <row r="154" ht="28.8" customHeight="1">
      <c r="B154" s="40" t="inlineStr">
        <is>
          <t xml:space="preserve">    09  :PREFIX:-VLR-CVERDE             PIC S9(12)V9(02)
                                            SIGN LEADING SEPARATE.</t>
        </is>
      </c>
      <c r="C154" s="42" t="n"/>
      <c r="D154" s="25" t="inlineStr">
        <is>
          <t>Custo da Carta Verde - Descritivo: 'CV / SNB / FAT'</t>
        </is>
      </c>
      <c r="E154" s="123">
        <f>E153+F153</f>
        <v/>
      </c>
      <c r="F154" s="124" t="n">
        <v>15</v>
      </c>
      <c r="G154" s="21" t="inlineStr">
        <is>
          <t>Opcional</t>
        </is>
      </c>
      <c r="H154" s="131" t="n"/>
      <c r="I154">
        <f>E154+33</f>
        <v/>
      </c>
    </row>
    <row r="155" ht="28.8" customHeight="1">
      <c r="B155" s="40" t="inlineStr">
        <is>
          <t xml:space="preserve">    09  :PREFIX:-VLR-SELOS              PIC S9(12)V9(02)
                                            SIGN LEADING SEPARATE.</t>
        </is>
      </c>
      <c r="C155" s="42" t="n"/>
      <c r="D155" s="25" t="inlineStr">
        <is>
          <t>Descritivo: 'SELO de GARANTIA'</t>
        </is>
      </c>
      <c r="E155" s="123">
        <f>E154+F154</f>
        <v/>
      </c>
      <c r="F155" s="124" t="n">
        <v>15</v>
      </c>
      <c r="G155" s="21" t="inlineStr">
        <is>
          <t>Opcional</t>
        </is>
      </c>
      <c r="H155" s="131" t="n"/>
      <c r="I155">
        <f>E155+33</f>
        <v/>
      </c>
    </row>
    <row r="156" ht="28.8" customHeight="1">
      <c r="B156" s="40" t="inlineStr">
        <is>
          <t xml:space="preserve">    09  :PREFIX:-VLR-ACTA               PIC S9(12)V9(02)
                                            SIGN LEADING SEPARATE.</t>
        </is>
      </c>
      <c r="C156" s="42" t="n"/>
      <c r="D156" s="136" t="inlineStr">
        <is>
          <t>Custo da Acta/Apólice - Descritivo: 'APÓLICE / ACTA' | 'CUSTO CERTIFICADO'</t>
        </is>
      </c>
      <c r="E156" s="123">
        <f>E155+F155</f>
        <v/>
      </c>
      <c r="F156" s="124" t="n">
        <v>15</v>
      </c>
      <c r="G156" s="21" t="inlineStr">
        <is>
          <t>Opcional</t>
        </is>
      </c>
      <c r="H156" s="131" t="n"/>
      <c r="I156">
        <f>E156+33</f>
        <v/>
      </c>
    </row>
    <row r="157" ht="28.8" customHeight="1">
      <c r="B157" s="40" t="inlineStr">
        <is>
          <t xml:space="preserve">    09  :PREFIX:-VLR-IMP-SELO           PIC S9(12)V9(02)
                                            SIGN LEADING SEPARATE.</t>
        </is>
      </c>
      <c r="C157" s="42" t="n"/>
      <c r="D157" s="25" t="inlineStr">
        <is>
          <t>Imposto de Selo - Descritivo: 'SELO'</t>
        </is>
      </c>
      <c r="E157" s="123">
        <f>E156+F156</f>
        <v/>
      </c>
      <c r="F157" s="124" t="n">
        <v>15</v>
      </c>
      <c r="G157" s="21" t="inlineStr">
        <is>
          <t>Opcional</t>
        </is>
      </c>
      <c r="H157" s="131" t="n"/>
      <c r="I157">
        <f>E157+33</f>
        <v/>
      </c>
    </row>
    <row r="158" ht="28.8" customHeight="1">
      <c r="B158" s="40" t="inlineStr">
        <is>
          <t xml:space="preserve">    09  :PREFIX:-VLR-FUND-CALAM         PIC S9(12)V9(02)
                                            SIGN LEADING SEPARATE.</t>
        </is>
      </c>
      <c r="C158" s="42" t="n"/>
      <c r="D158" s="25" t="inlineStr">
        <is>
          <t>Fundo de calamidades - Descritivo: 'F.CALAM / FGA'</t>
        </is>
      </c>
      <c r="E158" s="123">
        <f>E157+F157</f>
        <v/>
      </c>
      <c r="F158" s="124" t="n">
        <v>15</v>
      </c>
      <c r="G158" s="21" t="inlineStr">
        <is>
          <t>Opcional</t>
        </is>
      </c>
      <c r="H158" s="131" t="n"/>
      <c r="I158">
        <f>E158+33</f>
        <v/>
      </c>
    </row>
    <row r="159" ht="28.8" customHeight="1">
      <c r="B159" s="40" t="inlineStr">
        <is>
          <t xml:space="preserve">    09  :PREFIX:-VLR-FGA-OCOBERT        PIC S9(12)V9(02)
                                            SIGN LEADING SEPARATE.</t>
        </is>
      </c>
      <c r="C159" s="42" t="n"/>
      <c r="D159" s="25" t="inlineStr">
        <is>
          <t>FGA, Outras Coberturas do Ramo Contabilistico - Descritivo: 'FGA-PR (*)'</t>
        </is>
      </c>
      <c r="E159" s="123">
        <f>E158+F158</f>
        <v/>
      </c>
      <c r="F159" s="124" t="n">
        <v>15</v>
      </c>
      <c r="G159" s="21" t="inlineStr">
        <is>
          <t>Opcional</t>
        </is>
      </c>
      <c r="H159" s="131" t="n"/>
      <c r="I159">
        <f>E159+33</f>
        <v/>
      </c>
    </row>
    <row r="160" ht="28.8" customHeight="1">
      <c r="B160" s="40" t="inlineStr">
        <is>
          <t xml:space="preserve">    09  :PREFIX:-VLR-FGA-RCIVIL         PIC S9(12)V9(02)
                                            SIGN LEADING SEPARATE.</t>
        </is>
      </c>
      <c r="C160" s="42" t="n"/>
      <c r="D160" s="25" t="inlineStr">
        <is>
          <t>FGA, Responsabilidade Civil do Ramo Contabilistico - Descritivo: 'FGA (*)'</t>
        </is>
      </c>
      <c r="E160" s="123">
        <f>E159+F159</f>
        <v/>
      </c>
      <c r="F160" s="124" t="n">
        <v>15</v>
      </c>
      <c r="G160" s="21" t="inlineStr">
        <is>
          <t>Opcional</t>
        </is>
      </c>
      <c r="H160" s="131" t="n"/>
      <c r="I160">
        <f>E160+33</f>
        <v/>
      </c>
    </row>
    <row r="161" ht="28.8" customHeight="1">
      <c r="B161" s="40" t="inlineStr">
        <is>
          <t xml:space="preserve">    09  :PREFIX:-VLR-BONUS              PIC S9(12)V9(02)
                                            SIGN LEADING SEPARATE.</t>
        </is>
      </c>
      <c r="C161" s="42" t="n"/>
      <c r="D161" s="25" t="inlineStr">
        <is>
          <t>Bónus - Descritivo: 'BONUS'</t>
        </is>
      </c>
      <c r="E161" s="123">
        <f>E160+F160</f>
        <v/>
      </c>
      <c r="F161" s="124" t="n">
        <v>15</v>
      </c>
      <c r="G161" s="21" t="inlineStr">
        <is>
          <t>Opcional</t>
        </is>
      </c>
      <c r="H161" s="131" t="n"/>
      <c r="I161">
        <f>E161+33</f>
        <v/>
      </c>
    </row>
    <row r="162" ht="28.8" customHeight="1">
      <c r="B162" s="40" t="inlineStr">
        <is>
          <t xml:space="preserve">    09  :PREFIX:-VLR-PR-SIMPLES         PIC S9(12)V9(02)
                                            SIGN LEADING SEPARATE.</t>
        </is>
      </c>
      <c r="C162" s="42" t="n"/>
      <c r="D162" s="25" t="inlineStr">
        <is>
          <t>Prémio Simples - Descritivo: 'PRÉMIO COMERCIAL'</t>
        </is>
      </c>
      <c r="E162" s="123">
        <f>E161+F161</f>
        <v/>
      </c>
      <c r="F162" s="124" t="n">
        <v>15</v>
      </c>
      <c r="G162" s="21" t="inlineStr">
        <is>
          <t>Opcional</t>
        </is>
      </c>
      <c r="H162" s="131" t="n"/>
      <c r="I162">
        <f>E162+33</f>
        <v/>
      </c>
    </row>
    <row r="163" ht="28.8" customHeight="1">
      <c r="B163" s="40" t="inlineStr">
        <is>
          <t xml:space="preserve">    09  :PREFIX:-VLR-PR-ANUAL           PIC S9(12)V9(02)
                                            SIGN LEADING SEPARATE.</t>
        </is>
      </c>
      <c r="C163" s="42" t="n"/>
      <c r="D163" s="25" t="inlineStr">
        <is>
          <t>Actualização do Prémio Anual</t>
        </is>
      </c>
      <c r="E163" s="123">
        <f>E162+F162</f>
        <v/>
      </c>
      <c r="F163" s="124" t="n">
        <v>15</v>
      </c>
      <c r="G163" s="21" t="inlineStr">
        <is>
          <t>Opcional</t>
        </is>
      </c>
      <c r="H163" s="131" t="n"/>
      <c r="I163">
        <f>E163+33</f>
        <v/>
      </c>
    </row>
    <row r="164">
      <c r="B164" s="30" t="inlineStr">
        <is>
          <t xml:space="preserve">  07  :PREFIX:-DADOS-PAGAMENTO.</t>
        </is>
      </c>
      <c r="C164" s="127" t="n"/>
      <c r="D164" s="32" t="n"/>
      <c r="E164" s="128">
        <f>E163+F163</f>
        <v/>
      </c>
      <c r="F164" s="129" t="n"/>
      <c r="G164" s="130" t="n"/>
    </row>
    <row r="165">
      <c r="B165" s="10" t="inlineStr">
        <is>
          <t xml:space="preserve">    09  :PREFIX:-PG-DEBITO.</t>
        </is>
      </c>
      <c r="C165" s="122" t="n"/>
      <c r="D165" s="16" t="n"/>
      <c r="E165" s="123">
        <f>E164+F164</f>
        <v/>
      </c>
      <c r="F165" s="124" t="n"/>
      <c r="G165" s="9" t="n"/>
    </row>
    <row r="166">
      <c r="B166" s="10" t="inlineStr">
        <is>
          <t xml:space="preserve">      11  :PREFIX:-DEB-NOME-BANCO       PIC X(60).</t>
        </is>
      </c>
      <c r="C166" s="122" t="n"/>
      <c r="D166" s="16" t="inlineStr">
        <is>
          <t>Nome do banco</t>
        </is>
      </c>
      <c r="E166" s="123">
        <f>E165+F165</f>
        <v/>
      </c>
      <c r="F166" s="124" t="n">
        <v>60</v>
      </c>
      <c r="G166" s="19" t="inlineStr">
        <is>
          <t>Condicional</t>
        </is>
      </c>
      <c r="I166">
        <f>E166+33</f>
        <v/>
      </c>
    </row>
    <row r="167">
      <c r="B167" s="10" t="inlineStr">
        <is>
          <t xml:space="preserve">      11  :PREFIX:-DEB-IBAN             PIC X(34).</t>
        </is>
      </c>
      <c r="C167" s="122" t="n"/>
      <c r="D167" s="16" t="inlineStr">
        <is>
          <t>IBAN (SEPA)</t>
        </is>
      </c>
      <c r="E167" s="123">
        <f>E166+F166</f>
        <v/>
      </c>
      <c r="F167" s="124" t="n">
        <v>34</v>
      </c>
      <c r="G167" s="19" t="inlineStr">
        <is>
          <t>Condicional</t>
        </is>
      </c>
      <c r="I167">
        <f>E167+33</f>
        <v/>
      </c>
    </row>
    <row r="168">
      <c r="B168" s="10" t="inlineStr">
        <is>
          <t xml:space="preserve">      11  :PREFIX:-DEB-SWIFT            PIC X(11).</t>
        </is>
      </c>
      <c r="C168" s="122" t="n"/>
      <c r="D168" s="16" t="inlineStr">
        <is>
          <t>SWIFT (SEPA)</t>
        </is>
      </c>
      <c r="E168" s="123">
        <f>E167+F167</f>
        <v/>
      </c>
      <c r="F168" s="124" t="n">
        <v>11</v>
      </c>
      <c r="G168" s="19" t="inlineStr">
        <is>
          <t>Condicional</t>
        </is>
      </c>
      <c r="I168">
        <f>E168+33</f>
        <v/>
      </c>
    </row>
    <row r="169">
      <c r="B169" s="10" t="inlineStr">
        <is>
          <t xml:space="preserve">      11  :PREFIX:-DEB-ID-CREDOR        PIC X(35).</t>
        </is>
      </c>
      <c r="C169" s="122" t="n"/>
      <c r="D169" s="16" t="inlineStr">
        <is>
          <t>Entidade Credora (SEPA)</t>
        </is>
      </c>
      <c r="E169" s="123">
        <f>E168+F168</f>
        <v/>
      </c>
      <c r="F169" s="124" t="n">
        <v>35</v>
      </c>
      <c r="G169" s="19" t="inlineStr">
        <is>
          <t>Condicional</t>
        </is>
      </c>
      <c r="I169">
        <f>E169+33</f>
        <v/>
      </c>
    </row>
    <row r="170">
      <c r="B170" s="10" t="inlineStr">
        <is>
          <t xml:space="preserve">      11  :PREFIX:-DEB-ADD              PIC X(11).</t>
        </is>
      </c>
      <c r="C170" s="122" t="n"/>
      <c r="D170" s="16" t="inlineStr">
        <is>
          <t>Número da ADD</t>
        </is>
      </c>
      <c r="E170" s="123">
        <f>E169+F169</f>
        <v/>
      </c>
      <c r="F170" s="124" t="n">
        <v>11</v>
      </c>
      <c r="G170" s="19" t="inlineStr">
        <is>
          <t>Condicional</t>
        </is>
      </c>
      <c r="I170">
        <f>E170+33</f>
        <v/>
      </c>
    </row>
    <row r="171">
      <c r="B171" s="10" t="inlineStr">
        <is>
          <t xml:space="preserve">    09  :PREFIX:-PG-ATM.</t>
        </is>
      </c>
      <c r="C171" s="122" t="n"/>
      <c r="D171" s="16" t="n"/>
      <c r="E171" s="123">
        <f>E170+F170</f>
        <v/>
      </c>
      <c r="F171" s="124" t="n"/>
      <c r="G171" s="9" t="n"/>
    </row>
    <row r="172">
      <c r="B172" s="10" t="inlineStr">
        <is>
          <t xml:space="preserve">      11  :PREFIX:-ATM-ENTIDADE         PIC X(05).</t>
        </is>
      </c>
      <c r="C172" s="122" t="n"/>
      <c r="D172" s="16" t="inlineStr">
        <is>
          <t>Entidade</t>
        </is>
      </c>
      <c r="E172" s="123">
        <f>E171+F171</f>
        <v/>
      </c>
      <c r="F172" s="124" t="n">
        <v>5</v>
      </c>
      <c r="G172" s="19" t="inlineStr">
        <is>
          <t>Condicional</t>
        </is>
      </c>
      <c r="I172">
        <f>E172+33</f>
        <v/>
      </c>
    </row>
    <row r="173">
      <c r="B173" s="10" t="inlineStr">
        <is>
          <t xml:space="preserve">      11  :PREFIX:-ATM-REF              PIC X(09).</t>
        </is>
      </c>
      <c r="C173" s="122" t="n"/>
      <c r="D173" s="16" t="inlineStr">
        <is>
          <t>Referência</t>
        </is>
      </c>
      <c r="E173" s="123">
        <f>E172+F172</f>
        <v/>
      </c>
      <c r="F173" s="124" t="n">
        <v>9</v>
      </c>
      <c r="G173" s="19" t="inlineStr">
        <is>
          <t>Condicional</t>
        </is>
      </c>
      <c r="I173">
        <f>E173+33</f>
        <v/>
      </c>
    </row>
    <row r="174">
      <c r="B174" s="10" t="inlineStr">
        <is>
          <t xml:space="preserve">    09  :PREFIX:-PG-CTT.</t>
        </is>
      </c>
      <c r="C174" s="122" t="n"/>
      <c r="D174" s="16" t="n"/>
      <c r="E174" s="123">
        <f>E173+F173</f>
        <v/>
      </c>
      <c r="F174" s="124" t="n"/>
      <c r="G174" s="9" t="n"/>
    </row>
    <row r="175">
      <c r="B175" s="10" t="inlineStr">
        <is>
          <t xml:space="preserve">      11  :PREFIX:-CTT-CLIENTE          PIC X(03).</t>
        </is>
      </c>
      <c r="C175" s="122" t="n"/>
      <c r="D175" s="16" t="inlineStr">
        <is>
          <t>Cliente CTT</t>
        </is>
      </c>
      <c r="E175" s="123">
        <f>E174+F174</f>
        <v/>
      </c>
      <c r="F175" s="124" t="n">
        <v>3</v>
      </c>
      <c r="G175" s="19" t="inlineStr">
        <is>
          <t>Condicional</t>
        </is>
      </c>
      <c r="I175">
        <f>E175+33</f>
        <v/>
      </c>
    </row>
    <row r="176">
      <c r="B176" s="10" t="inlineStr">
        <is>
          <t xml:space="preserve">      11  :PREFIX:-CTT-REF              PIC X(36).</t>
        </is>
      </c>
      <c r="C176" s="122" t="n"/>
      <c r="D176" s="16" t="inlineStr">
        <is>
          <t>Referência CTT</t>
        </is>
      </c>
      <c r="E176" s="123">
        <f>E175+F175</f>
        <v/>
      </c>
      <c r="F176" s="124" t="n">
        <v>36</v>
      </c>
      <c r="G176" s="19" t="inlineStr">
        <is>
          <t>Condicional</t>
        </is>
      </c>
      <c r="I176">
        <f>E176+33</f>
        <v/>
      </c>
    </row>
    <row r="177">
      <c r="B177" s="10" t="inlineStr">
        <is>
          <t xml:space="preserve">    09  :PREFIX:-BARCODE-AGENTE.</t>
        </is>
      </c>
      <c r="C177" s="122" t="n"/>
      <c r="D177" s="16" t="n"/>
      <c r="E177" s="123">
        <f>E176+F176</f>
        <v/>
      </c>
      <c r="F177" s="124" t="n"/>
      <c r="G177" s="9" t="n"/>
    </row>
    <row r="178">
      <c r="B178" s="10" t="inlineStr">
        <is>
          <t xml:space="preserve">      11  :PREFIX:-NUMEROS-AGENTE       PIC X(20).</t>
        </is>
      </c>
      <c r="C178" s="122" t="n"/>
      <c r="D178" s="16" t="inlineStr">
        <is>
          <t>Código de barras TAG</t>
        </is>
      </c>
      <c r="E178" s="123">
        <f>E177+F177</f>
        <v/>
      </c>
      <c r="F178" s="124" t="n">
        <v>20</v>
      </c>
      <c r="G178" s="21" t="inlineStr">
        <is>
          <t>Opcional</t>
        </is>
      </c>
      <c r="I178">
        <f>E178+33</f>
        <v/>
      </c>
    </row>
    <row r="179">
      <c r="B179" s="10" t="inlineStr">
        <is>
          <t xml:space="preserve">    09  :PREFIX:-PG-POUPANCA.</t>
        </is>
      </c>
      <c r="C179" s="122" t="n"/>
      <c r="D179" s="16" t="n"/>
      <c r="E179" s="123">
        <f>E178+F178</f>
        <v/>
      </c>
      <c r="F179" s="124" t="n"/>
      <c r="G179" s="9" t="n"/>
    </row>
    <row r="180">
      <c r="B180" s="10" t="inlineStr">
        <is>
          <t xml:space="preserve">      11  :PREFIX:-POU-APOLICE          PIC X(16).</t>
        </is>
      </c>
      <c r="C180" s="122" t="n"/>
      <c r="D180" s="16" t="inlineStr">
        <is>
          <t>Número da Apólice Poupança Auto</t>
        </is>
      </c>
      <c r="E180" s="123">
        <f>E179+F179</f>
        <v/>
      </c>
      <c r="F180" s="124" t="n">
        <v>16</v>
      </c>
      <c r="G180" s="21" t="inlineStr">
        <is>
          <t>Opcional</t>
        </is>
      </c>
      <c r="I180">
        <f>E180+33</f>
        <v/>
      </c>
    </row>
    <row r="181">
      <c r="B181" s="30" t="inlineStr">
        <is>
          <t xml:space="preserve">  07  :PREFIX:-DADOS-AGENTE.</t>
        </is>
      </c>
      <c r="C181" s="127" t="n"/>
      <c r="D181" s="32" t="n"/>
      <c r="E181" s="128">
        <f>E180+F180</f>
        <v/>
      </c>
      <c r="F181" s="129" t="n"/>
      <c r="G181" s="130" t="n"/>
    </row>
    <row r="182">
      <c r="B182" s="10" t="inlineStr">
        <is>
          <t xml:space="preserve">    09  :PREFIX:-AG-NOME                PIC X(40).</t>
        </is>
      </c>
      <c r="C182" s="122" t="n"/>
      <c r="D182" s="16" t="inlineStr">
        <is>
          <t>Nome</t>
        </is>
      </c>
      <c r="E182" s="123">
        <f>E181+F181</f>
        <v/>
      </c>
      <c r="F182" s="124" t="n">
        <v>40</v>
      </c>
      <c r="G182" s="19" t="inlineStr">
        <is>
          <t>Condicional</t>
        </is>
      </c>
      <c r="I182">
        <f>E182+33</f>
        <v/>
      </c>
    </row>
    <row r="183">
      <c r="B183" s="10" t="inlineStr">
        <is>
          <t xml:space="preserve">    09  :PREFIX:-AG-LOCATION-REF        PIC X(04).</t>
        </is>
      </c>
      <c r="C183" s="122" t="n"/>
      <c r="D183" s="16" t="inlineStr">
        <is>
          <t>Referência da morada</t>
        </is>
      </c>
      <c r="E183" s="123">
        <f>E182+F182</f>
        <v/>
      </c>
      <c r="F183" s="124" t="n">
        <v>4</v>
      </c>
      <c r="G183" s="19" t="inlineStr">
        <is>
          <t>Condicional</t>
        </is>
      </c>
      <c r="I183">
        <f>E183+33</f>
        <v/>
      </c>
    </row>
    <row r="184">
      <c r="B184" s="10" t="inlineStr">
        <is>
          <t xml:space="preserve">    09  :PREFIX:-AG-MORADA1             PIC X(40).</t>
        </is>
      </c>
      <c r="C184" s="122" t="n"/>
      <c r="D184" s="16" t="inlineStr">
        <is>
          <t>Dados de morada 1</t>
        </is>
      </c>
      <c r="E184" s="123">
        <f>E183+F183</f>
        <v/>
      </c>
      <c r="F184" s="124" t="n">
        <v>40</v>
      </c>
      <c r="G184" s="19" t="inlineStr">
        <is>
          <t>Condicional</t>
        </is>
      </c>
      <c r="I184">
        <f>E184+33</f>
        <v/>
      </c>
    </row>
    <row r="185">
      <c r="B185" s="10" t="inlineStr">
        <is>
          <t xml:space="preserve">    09  :PREFIX:-AG-MORADA2             PIC X(40).</t>
        </is>
      </c>
      <c r="C185" s="122" t="n"/>
      <c r="D185" s="16" t="inlineStr">
        <is>
          <t>Dados de morada 2</t>
        </is>
      </c>
      <c r="E185" s="123">
        <f>E184+F184</f>
        <v/>
      </c>
      <c r="F185" s="124" t="n">
        <v>40</v>
      </c>
      <c r="G185" s="21" t="inlineStr">
        <is>
          <t>Opcional</t>
        </is>
      </c>
      <c r="I185">
        <f>E185+33</f>
        <v/>
      </c>
    </row>
    <row r="186">
      <c r="B186" s="10" t="inlineStr">
        <is>
          <t xml:space="preserve">    09  :PREFIX:-AG-LOCALIDADE          PIC X(40).</t>
        </is>
      </c>
      <c r="C186" s="122" t="n"/>
      <c r="D186" s="16" t="inlineStr">
        <is>
          <t>Localidade</t>
        </is>
      </c>
      <c r="E186" s="123">
        <f>E185+F185</f>
        <v/>
      </c>
      <c r="F186" s="124" t="n">
        <v>40</v>
      </c>
      <c r="G186" s="21" t="inlineStr">
        <is>
          <t>Opcional</t>
        </is>
      </c>
      <c r="I186">
        <f>E186+33</f>
        <v/>
      </c>
    </row>
    <row r="187">
      <c r="B187" s="10" t="inlineStr">
        <is>
          <t xml:space="preserve">    09  :PREFIX:-AG-CPOSTAL             PIC X(09).</t>
        </is>
      </c>
      <c r="C187" s="122" t="n"/>
      <c r="D187" s="16" t="inlineStr">
        <is>
          <t>Código postal (Se estrangeiro deverá vir a zeros) [9999-999]</t>
        </is>
      </c>
      <c r="E187" s="123">
        <f>E186+F186</f>
        <v/>
      </c>
      <c r="F187" s="124" t="n">
        <v>9</v>
      </c>
      <c r="G187" s="19" t="inlineStr">
        <is>
          <t>Condicional</t>
        </is>
      </c>
      <c r="I187">
        <f>E187+33</f>
        <v/>
      </c>
    </row>
    <row r="188">
      <c r="B188" s="10" t="inlineStr">
        <is>
          <t xml:space="preserve">    09  :PREFIX:-AG-CPOSTAL-DESC        PIC X(40).</t>
        </is>
      </c>
      <c r="C188" s="122" t="n"/>
      <c r="D188" s="16" t="inlineStr">
        <is>
          <t>Descritivo do código postal</t>
        </is>
      </c>
      <c r="E188" s="123">
        <f>E187+F187</f>
        <v/>
      </c>
      <c r="F188" s="124" t="n">
        <v>40</v>
      </c>
      <c r="G188" s="19" t="inlineStr">
        <is>
          <t>Condicional</t>
        </is>
      </c>
      <c r="I188">
        <f>E188+33</f>
        <v/>
      </c>
    </row>
    <row r="189">
      <c r="B189" s="10" t="inlineStr">
        <is>
          <t xml:space="preserve">    09  :PREFIX:-AG-CPAIS               PIC X(03).</t>
        </is>
      </c>
      <c r="C189" s="122" t="n"/>
      <c r="D189" s="16" t="inlineStr">
        <is>
          <t>Código do País (Se estrangeiro, diferente de 620)</t>
        </is>
      </c>
      <c r="E189" s="123">
        <f>E188+F188</f>
        <v/>
      </c>
      <c r="F189" s="124" t="n">
        <v>3</v>
      </c>
      <c r="G189" s="19" t="inlineStr">
        <is>
          <t>Condicional</t>
        </is>
      </c>
      <c r="I189">
        <f>E189+33</f>
        <v/>
      </c>
    </row>
    <row r="190">
      <c r="B190" s="10" t="inlineStr">
        <is>
          <t xml:space="preserve">    09  :PREFIX:-AG-CPAIS-DESC          PIC X(40).</t>
        </is>
      </c>
      <c r="C190" s="122" t="n"/>
      <c r="D190" s="16" t="inlineStr">
        <is>
          <t>Descritivo do País</t>
        </is>
      </c>
      <c r="E190" s="123">
        <f>E189+F189</f>
        <v/>
      </c>
      <c r="F190" s="124" t="n">
        <v>40</v>
      </c>
      <c r="G190" s="19" t="inlineStr">
        <is>
          <t>Condicional</t>
        </is>
      </c>
      <c r="I190">
        <f>E190+33</f>
        <v/>
      </c>
    </row>
    <row r="191">
      <c r="B191" s="10" t="inlineStr">
        <is>
          <t xml:space="preserve">    09  :PREFIX:-AG-IDP                 PIC X(04).</t>
        </is>
      </c>
      <c r="C191" s="122" t="n"/>
      <c r="D191" s="16" t="inlineStr">
        <is>
          <t>Identificação da Porta (no CBC)</t>
        </is>
      </c>
      <c r="E191" s="123">
        <f>E190+F190</f>
        <v/>
      </c>
      <c r="F191" s="124" t="n">
        <v>4</v>
      </c>
      <c r="G191" s="19" t="inlineStr">
        <is>
          <t>Condicional</t>
        </is>
      </c>
      <c r="I191">
        <f>E191+33</f>
        <v/>
      </c>
    </row>
    <row r="192">
      <c r="B192" s="10" t="inlineStr">
        <is>
          <t xml:space="preserve">    09  :PREFIX:-AG-TELEFONE            PIC X(16).</t>
        </is>
      </c>
      <c r="C192" s="122" t="n"/>
      <c r="D192" s="16" t="inlineStr">
        <is>
          <t>Número de telefone</t>
        </is>
      </c>
      <c r="E192" s="123">
        <f>E191+F191</f>
        <v/>
      </c>
      <c r="F192" s="124" t="n">
        <v>16</v>
      </c>
      <c r="G192" s="21" t="inlineStr">
        <is>
          <t>Opcional</t>
        </is>
      </c>
      <c r="I192">
        <f>E192+33</f>
        <v/>
      </c>
    </row>
    <row r="193">
      <c r="B193" s="10" t="inlineStr">
        <is>
          <t xml:space="preserve">    09  :PREFIX:-AG-TELEMOVEL           PIC X(16).</t>
        </is>
      </c>
      <c r="C193" s="122" t="n"/>
      <c r="D193" s="16" t="inlineStr">
        <is>
          <t>Número de telemóvel</t>
        </is>
      </c>
      <c r="E193" s="123">
        <f>E192+F192</f>
        <v/>
      </c>
      <c r="F193" s="124" t="n">
        <v>16</v>
      </c>
      <c r="G193" s="21" t="inlineStr">
        <is>
          <t>Opcional</t>
        </is>
      </c>
      <c r="I193">
        <f>E193+33</f>
        <v/>
      </c>
    </row>
    <row r="194">
      <c r="B194" s="10" t="inlineStr">
        <is>
          <t xml:space="preserve">    09  :PREFIX:-AG-EMAIL               PIC X(60).</t>
        </is>
      </c>
      <c r="C194" s="122" t="n"/>
      <c r="D194" s="16" t="inlineStr">
        <is>
          <t>e-mail</t>
        </is>
      </c>
      <c r="E194" s="123">
        <f>E193+F193</f>
        <v/>
      </c>
      <c r="F194" s="124" t="n">
        <v>60</v>
      </c>
      <c r="G194" s="21" t="inlineStr">
        <is>
          <t>Opcional</t>
        </is>
      </c>
      <c r="I194">
        <f>E194+33</f>
        <v/>
      </c>
    </row>
    <row r="195">
      <c r="B195" s="10" t="inlineStr">
        <is>
          <t xml:space="preserve">    09  :PREFIX:-AG-NR-CNT-VENDA        PIC X(10).</t>
        </is>
      </c>
      <c r="C195" s="122" t="n"/>
      <c r="D195" s="16" t="inlineStr">
        <is>
          <t>Conta Mediação</t>
        </is>
      </c>
      <c r="E195" s="123">
        <f>E194+F194</f>
        <v/>
      </c>
      <c r="F195" s="124" t="n">
        <v>10</v>
      </c>
      <c r="G195" s="21" t="inlineStr">
        <is>
          <t>Opcional</t>
        </is>
      </c>
      <c r="I195">
        <f>E195+33</f>
        <v/>
      </c>
    </row>
    <row r="196" ht="28.8" customHeight="1">
      <c r="B196" s="40" t="inlineStr">
        <is>
          <t xml:space="preserve">    09  :PREFIX:-AG-VLR-CNT-VENDA       PIC S9(12)V9(02)
                                            SIGN LEADING SEPARATE.</t>
        </is>
      </c>
      <c r="C196" s="42" t="n"/>
      <c r="D196" s="25" t="inlineStr">
        <is>
          <t>Comissão de Mediação</t>
        </is>
      </c>
      <c r="E196" s="123">
        <f>E195+F195</f>
        <v/>
      </c>
      <c r="F196" s="124" t="n">
        <v>15</v>
      </c>
      <c r="G196" s="21" t="inlineStr">
        <is>
          <t>Opcional</t>
        </is>
      </c>
      <c r="H196" s="131" t="n"/>
      <c r="I196">
        <f>E196+33</f>
        <v/>
      </c>
    </row>
    <row r="197">
      <c r="B197" s="10" t="inlineStr">
        <is>
          <t xml:space="preserve">    09  :PREFIX:-AG-NR-CNT-COBRA        PIC X(10).</t>
        </is>
      </c>
      <c r="C197" s="122" t="n"/>
      <c r="D197" s="16" t="inlineStr">
        <is>
          <t>Conta Cobrança</t>
        </is>
      </c>
      <c r="E197" s="123">
        <f>E196+F196</f>
        <v/>
      </c>
      <c r="F197" s="124" t="n">
        <v>10</v>
      </c>
      <c r="G197" s="21" t="inlineStr">
        <is>
          <t>Opcional</t>
        </is>
      </c>
      <c r="I197">
        <f>E197+33</f>
        <v/>
      </c>
    </row>
    <row r="198" ht="28.8" customHeight="1">
      <c r="B198" s="40" t="inlineStr">
        <is>
          <t xml:space="preserve">    09  :PREFIX:-AG-VLR-CNT-COBRA       PIC S9(12)V9(02)
                                            SIGN LEADING SEPARATE.</t>
        </is>
      </c>
      <c r="C198" s="42" t="n"/>
      <c r="D198" s="25" t="inlineStr">
        <is>
          <t>Comissão de Cobrança</t>
        </is>
      </c>
      <c r="E198" s="123">
        <f>E197+F197</f>
        <v/>
      </c>
      <c r="F198" s="124" t="n">
        <v>15</v>
      </c>
      <c r="G198" s="21" t="inlineStr">
        <is>
          <t>Opcional</t>
        </is>
      </c>
      <c r="H198" s="131" t="n"/>
      <c r="I198">
        <f>E198+33</f>
        <v/>
      </c>
    </row>
    <row r="199">
      <c r="B199" s="10" t="inlineStr">
        <is>
          <t xml:space="preserve">    09  :PREFIX:-AG-NR-CNT-ESPEC        PIC X(10).</t>
        </is>
      </c>
      <c r="C199" s="122" t="n"/>
      <c r="D199" s="16" t="inlineStr">
        <is>
          <t>Conta Especial</t>
        </is>
      </c>
      <c r="E199" s="123">
        <f>E198+F198</f>
        <v/>
      </c>
      <c r="F199" s="124" t="n">
        <v>10</v>
      </c>
      <c r="G199" s="21" t="inlineStr">
        <is>
          <t>Opcional</t>
        </is>
      </c>
      <c r="I199">
        <f>E199+33</f>
        <v/>
      </c>
    </row>
    <row r="200" ht="28.8" customHeight="1">
      <c r="B200" s="40" t="inlineStr">
        <is>
          <t xml:space="preserve">    09  :PREFIX:-AG-VLR-CNT-ESPEC       PIC S9(12)V9(02)
                                            SIGN LEADING SEPARATE.</t>
        </is>
      </c>
      <c r="C200" s="42" t="n"/>
      <c r="D200" s="25" t="inlineStr">
        <is>
          <t>Comissão Especial</t>
        </is>
      </c>
      <c r="E200" s="123">
        <f>E199+F199</f>
        <v/>
      </c>
      <c r="F200" s="124" t="n">
        <v>15</v>
      </c>
      <c r="G200" s="21" t="inlineStr">
        <is>
          <t>Opcional</t>
        </is>
      </c>
      <c r="H200" s="131" t="n"/>
      <c r="I200">
        <f>E200+33</f>
        <v/>
      </c>
    </row>
    <row r="201">
      <c r="B201" s="10" t="inlineStr">
        <is>
          <t xml:space="preserve">    09  :PREFIX:-AG-NR-CNT-PARCE        PIC X(10).</t>
        </is>
      </c>
      <c r="C201" s="122" t="n"/>
      <c r="D201" s="16" t="inlineStr">
        <is>
          <t>Conta Parceria</t>
        </is>
      </c>
      <c r="E201" s="123">
        <f>E200+F200</f>
        <v/>
      </c>
      <c r="F201" s="124" t="n">
        <v>10</v>
      </c>
      <c r="G201" s="21" t="inlineStr">
        <is>
          <t>Opcional</t>
        </is>
      </c>
      <c r="I201">
        <f>E201+33</f>
        <v/>
      </c>
    </row>
    <row r="202" ht="28.8" customHeight="1">
      <c r="B202" s="40" t="inlineStr">
        <is>
          <t xml:space="preserve">    09  :PREFIX:-AG-VLR-CNT-PARCE       PIC S9(12)V9(02)
                                            SIGN LEADING SEPARATE.</t>
        </is>
      </c>
      <c r="C202" s="42" t="n"/>
      <c r="D202" s="25" t="inlineStr">
        <is>
          <t>Comissão Parceria</t>
        </is>
      </c>
      <c r="E202" s="123">
        <f>E201+F201</f>
        <v/>
      </c>
      <c r="F202" s="124" t="n">
        <v>15</v>
      </c>
      <c r="G202" s="21" t="inlineStr">
        <is>
          <t>Opcional</t>
        </is>
      </c>
      <c r="H202" s="131" t="n"/>
      <c r="I202">
        <f>E202+33</f>
        <v/>
      </c>
    </row>
    <row r="203">
      <c r="B203" s="30" t="inlineStr">
        <is>
          <t xml:space="preserve">  07  :PREFIX:-DADOS-CREDORHIP.</t>
        </is>
      </c>
      <c r="C203" s="127" t="n"/>
      <c r="D203" s="32" t="n"/>
      <c r="E203" s="128">
        <f>E202+F202</f>
        <v/>
      </c>
      <c r="F203" s="129" t="n"/>
      <c r="G203" s="130" t="n"/>
    </row>
    <row r="204">
      <c r="B204" s="10" t="inlineStr">
        <is>
          <t xml:space="preserve">    09  :PREFIX:-CH-QUANT               PIC 9(05).</t>
        </is>
      </c>
      <c r="C204" s="122" t="n"/>
      <c r="D204" s="16" t="inlineStr">
        <is>
          <t>Número de Credores Hipotecários (Só preenche abaixo se for 1)</t>
        </is>
      </c>
      <c r="E204" s="123">
        <f>E203+F203</f>
        <v/>
      </c>
      <c r="F204" s="124" t="n">
        <v>5</v>
      </c>
      <c r="G204" s="21" t="inlineStr">
        <is>
          <t>Opcional</t>
        </is>
      </c>
      <c r="I204">
        <f>E204+33</f>
        <v/>
      </c>
    </row>
    <row r="205">
      <c r="B205" s="10" t="inlineStr">
        <is>
          <t xml:space="preserve">    09  :PREFIX:-CH-NUMBER              PIC X(10).</t>
        </is>
      </c>
      <c r="C205" s="122" t="n"/>
      <c r="D205" s="16" t="inlineStr">
        <is>
          <t>Número de Cliente do Credor Hipotecário</t>
        </is>
      </c>
      <c r="E205" s="123">
        <f>E204+F204</f>
        <v/>
      </c>
      <c r="F205" s="124" t="n">
        <v>10</v>
      </c>
      <c r="G205" s="19" t="inlineStr">
        <is>
          <t>Condicional</t>
        </is>
      </c>
      <c r="I205">
        <f>E205+33</f>
        <v/>
      </c>
    </row>
    <row r="206">
      <c r="B206" s="10" t="inlineStr">
        <is>
          <t xml:space="preserve">    09  :PREFIX:-CH-NOME                PIC X(40).</t>
        </is>
      </c>
      <c r="C206" s="122" t="n"/>
      <c r="D206" s="16" t="inlineStr">
        <is>
          <t>Nome</t>
        </is>
      </c>
      <c r="E206" s="123">
        <f>E205+F205</f>
        <v/>
      </c>
      <c r="F206" s="124" t="n">
        <v>40</v>
      </c>
      <c r="G206" s="19" t="inlineStr">
        <is>
          <t>Condicional</t>
        </is>
      </c>
      <c r="I206">
        <f>E206+33</f>
        <v/>
      </c>
    </row>
    <row r="207">
      <c r="B207" s="10" t="inlineStr">
        <is>
          <t xml:space="preserve">    09  :PREFIX:-CH-LOCATION-REF        PIC X(04).</t>
        </is>
      </c>
      <c r="C207" s="122" t="n"/>
      <c r="D207" s="16" t="inlineStr">
        <is>
          <t>Referência da morada</t>
        </is>
      </c>
      <c r="E207" s="123">
        <f>E206+F206</f>
        <v/>
      </c>
      <c r="F207" s="124" t="n">
        <v>4</v>
      </c>
      <c r="G207" s="19" t="inlineStr">
        <is>
          <t>Condicional</t>
        </is>
      </c>
      <c r="I207">
        <f>E207+33</f>
        <v/>
      </c>
    </row>
    <row r="208">
      <c r="B208" s="10" t="inlineStr">
        <is>
          <t xml:space="preserve">    09  :PREFIX:-CH-MORADA1             PIC X(40).</t>
        </is>
      </c>
      <c r="C208" s="122" t="n"/>
      <c r="D208" s="16" t="inlineStr">
        <is>
          <t>Dados de morada 1</t>
        </is>
      </c>
      <c r="E208" s="123">
        <f>E207+F207</f>
        <v/>
      </c>
      <c r="F208" s="124" t="n">
        <v>40</v>
      </c>
      <c r="G208" s="19" t="inlineStr">
        <is>
          <t>Condicional</t>
        </is>
      </c>
      <c r="I208">
        <f>E208+33</f>
        <v/>
      </c>
    </row>
    <row r="209">
      <c r="B209" s="10" t="inlineStr">
        <is>
          <t xml:space="preserve">    09  :PREFIX:-CH-MORADA2             PIC X(40).</t>
        </is>
      </c>
      <c r="C209" s="122" t="n"/>
      <c r="D209" s="16" t="inlineStr">
        <is>
          <t>Dados de morada 2</t>
        </is>
      </c>
      <c r="E209" s="123">
        <f>E208+F208</f>
        <v/>
      </c>
      <c r="F209" s="124" t="n">
        <v>40</v>
      </c>
      <c r="G209" s="21" t="inlineStr">
        <is>
          <t>Opcional</t>
        </is>
      </c>
      <c r="I209">
        <f>E209+33</f>
        <v/>
      </c>
    </row>
    <row r="210">
      <c r="B210" s="10" t="inlineStr">
        <is>
          <t xml:space="preserve">    09  :PREFIX:-CH-LOCALIDADE          PIC X(40).</t>
        </is>
      </c>
      <c r="C210" s="122" t="n"/>
      <c r="D210" s="16" t="inlineStr">
        <is>
          <t>Localidade</t>
        </is>
      </c>
      <c r="E210" s="123">
        <f>E209+F209</f>
        <v/>
      </c>
      <c r="F210" s="124" t="n">
        <v>40</v>
      </c>
      <c r="G210" s="21" t="inlineStr">
        <is>
          <t>Opcional</t>
        </is>
      </c>
      <c r="I210">
        <f>E210+33</f>
        <v/>
      </c>
    </row>
    <row r="211">
      <c r="B211" s="10" t="inlineStr">
        <is>
          <t xml:space="preserve">    09  :PREFIX:-CH-CPOSTAL             PIC X(09).</t>
        </is>
      </c>
      <c r="C211" s="122" t="n"/>
      <c r="D211" s="16" t="inlineStr">
        <is>
          <t>Código postal (Se estrangeiro deverá vir a zeros) [9999-999]</t>
        </is>
      </c>
      <c r="E211" s="123">
        <f>E210+F210</f>
        <v/>
      </c>
      <c r="F211" s="124" t="n">
        <v>9</v>
      </c>
      <c r="G211" s="19" t="inlineStr">
        <is>
          <t>Condicional</t>
        </is>
      </c>
      <c r="I211">
        <f>E211+33</f>
        <v/>
      </c>
    </row>
    <row r="212">
      <c r="B212" s="10" t="inlineStr">
        <is>
          <t xml:space="preserve">    09  :PREFIX:-CH-CPOSTAL-DESC        PIC X(40).</t>
        </is>
      </c>
      <c r="C212" s="122" t="n"/>
      <c r="D212" s="16" t="inlineStr">
        <is>
          <t>Descritivo do código postal</t>
        </is>
      </c>
      <c r="E212" s="123">
        <f>E211+F211</f>
        <v/>
      </c>
      <c r="F212" s="124" t="n">
        <v>40</v>
      </c>
      <c r="G212" s="19" t="inlineStr">
        <is>
          <t>Condicional</t>
        </is>
      </c>
      <c r="I212">
        <f>E212+33</f>
        <v/>
      </c>
    </row>
    <row r="213">
      <c r="B213" s="10" t="inlineStr">
        <is>
          <t xml:space="preserve">    09  :PREFIX:-CH-CPAIS               PIC X(03).</t>
        </is>
      </c>
      <c r="C213" s="122" t="n"/>
      <c r="D213" s="16" t="inlineStr">
        <is>
          <t>Código do País (Se estrangeiro, diferente de 620)</t>
        </is>
      </c>
      <c r="E213" s="123">
        <f>E212+F212</f>
        <v/>
      </c>
      <c r="F213" s="124" t="n">
        <v>3</v>
      </c>
      <c r="G213" s="19" t="inlineStr">
        <is>
          <t>Condicional</t>
        </is>
      </c>
      <c r="I213">
        <f>E213+33</f>
        <v/>
      </c>
    </row>
    <row r="214">
      <c r="B214" s="10" t="inlineStr">
        <is>
          <t xml:space="preserve">    09  :PREFIX:-CH-CPAIS-DESC          PIC X(40).</t>
        </is>
      </c>
      <c r="C214" s="122" t="n"/>
      <c r="D214" s="16" t="inlineStr">
        <is>
          <t>Descritivo do País</t>
        </is>
      </c>
      <c r="E214" s="123">
        <f>E213+F213</f>
        <v/>
      </c>
      <c r="F214" s="124" t="n">
        <v>40</v>
      </c>
      <c r="G214" s="19" t="inlineStr">
        <is>
          <t>Condicional</t>
        </is>
      </c>
      <c r="I214">
        <f>E214+33</f>
        <v/>
      </c>
    </row>
    <row r="215">
      <c r="B215" s="10" t="inlineStr">
        <is>
          <t xml:space="preserve">    09  :PREFIX:-CH-IDP                 PIC X(04).</t>
        </is>
      </c>
      <c r="C215" s="122" t="n"/>
      <c r="D215" s="16" t="inlineStr">
        <is>
          <t>Identificação da Porta (no CBC)</t>
        </is>
      </c>
      <c r="E215" s="123">
        <f>E214+F214</f>
        <v/>
      </c>
      <c r="F215" s="124" t="n">
        <v>4</v>
      </c>
      <c r="G215" s="19" t="inlineStr">
        <is>
          <t>Condicional</t>
        </is>
      </c>
      <c r="I215">
        <f>E215+33</f>
        <v/>
      </c>
    </row>
    <row r="216">
      <c r="B216" s="30" t="inlineStr">
        <is>
          <t xml:space="preserve">  07  :PREFIX:-DADOS-OBJSEGURO.</t>
        </is>
      </c>
      <c r="C216" s="127" t="n"/>
      <c r="D216" s="32" t="n"/>
      <c r="E216" s="128">
        <f>E215+F215</f>
        <v/>
      </c>
      <c r="F216" s="129" t="n"/>
      <c r="G216" s="130" t="n"/>
    </row>
    <row r="217">
      <c r="B217" s="10" t="inlineStr">
        <is>
          <t xml:space="preserve">    09  :PREFIX:-UR-QUANT               PIC 9(05).</t>
        </is>
      </c>
      <c r="C217" s="122" t="n"/>
      <c r="D217" s="16" t="inlineStr">
        <is>
          <t>Número de unidades em risco</t>
        </is>
      </c>
      <c r="E217" s="123">
        <f>E216+F216</f>
        <v/>
      </c>
      <c r="F217" s="124" t="n">
        <v>5</v>
      </c>
      <c r="G217" s="17" t="inlineStr">
        <is>
          <t>Obrigatório</t>
        </is>
      </c>
      <c r="I217">
        <f>E217+33</f>
        <v/>
      </c>
    </row>
    <row r="218">
      <c r="B218" s="10" t="inlineStr">
        <is>
          <t xml:space="preserve">    09  :PREFIX:-UR-TIPO                PIC X(02).</t>
        </is>
      </c>
      <c r="C218" s="122" t="n"/>
      <c r="D218" s="16" t="inlineStr">
        <is>
          <t>Tipo de Unidade em risco</t>
        </is>
      </c>
      <c r="E218" s="123">
        <f>E217+F217</f>
        <v/>
      </c>
      <c r="F218" s="124" t="n">
        <v>2</v>
      </c>
      <c r="G218" s="14" t="inlineStr">
        <is>
          <t>Obrigatório</t>
        </is>
      </c>
      <c r="I218">
        <f>E218+33</f>
        <v/>
      </c>
    </row>
    <row r="219">
      <c r="B219" s="40" t="inlineStr">
        <is>
          <t xml:space="preserve">        88  :PREFIX:-UR-TIP-GERAL           VALUE 'GR'.</t>
        </is>
      </c>
      <c r="C219" s="42" t="n"/>
      <c r="D219" s="25" t="inlineStr">
        <is>
          <t xml:space="preserve">     'GR' - Detalhe Geral</t>
        </is>
      </c>
      <c r="E219" s="123" t="n"/>
      <c r="F219" s="124" t="n"/>
      <c r="G219" s="15" t="n"/>
      <c r="H219" s="131" t="n"/>
    </row>
    <row r="220">
      <c r="B220" s="40" t="inlineStr">
        <is>
          <t xml:space="preserve">        88  :PREFIX:-UR-TIP-VIDA            VALUE 'PS'.</t>
        </is>
      </c>
      <c r="C220" s="42" t="n"/>
      <c r="D220" s="25" t="inlineStr">
        <is>
          <t xml:space="preserve">     'PS' - Detalhe Vida</t>
        </is>
      </c>
      <c r="E220" s="123" t="n"/>
      <c r="F220" s="124" t="n"/>
      <c r="G220" s="15" t="n"/>
      <c r="H220" s="131" t="n"/>
      <c r="K220" s="126" t="n"/>
    </row>
    <row r="221">
      <c r="B221" s="40" t="inlineStr">
        <is>
          <t xml:space="preserve">        88  :PREFIX:-UR-TIP-VIDA-NCTR       VALUE 'NC'.</t>
        </is>
      </c>
      <c r="C221" s="42" t="n"/>
      <c r="D221" s="25" t="inlineStr">
        <is>
          <t xml:space="preserve">     'NC' - Detalhe Vida</t>
        </is>
      </c>
      <c r="E221" s="123" t="n"/>
      <c r="F221" s="124" t="n"/>
      <c r="G221" s="15" t="n"/>
      <c r="H221" s="131" t="n"/>
      <c r="K221" s="126" t="n"/>
    </row>
    <row r="222">
      <c r="B222" s="40" t="inlineStr">
        <is>
          <t xml:space="preserve">        88  :PREFIX:-UR-TIP-LOTE            VALUE 'LT'.</t>
        </is>
      </c>
      <c r="C222" s="42" t="n"/>
      <c r="D222" s="25" t="inlineStr">
        <is>
          <t xml:space="preserve">     'LT' - Detalhe Lote</t>
        </is>
      </c>
      <c r="E222" s="123" t="n"/>
      <c r="F222" s="124" t="n"/>
      <c r="G222" s="15" t="n"/>
      <c r="H222" s="131" t="n"/>
      <c r="K222" s="126" t="n"/>
    </row>
    <row r="223" ht="28.8" customHeight="1">
      <c r="B223" s="40" t="inlineStr">
        <is>
          <t xml:space="preserve">        88  :PREFIX:-UR-TIP-AUTOMOVEL       VALUE 'VG'
                                             'VH' 'VO'.</t>
        </is>
      </c>
      <c r="C223" s="42" t="n"/>
      <c r="D223" s="25" t="inlineStr">
        <is>
          <t xml:space="preserve">     'VG', 'VH', 'VO' - Detalhe de Automóvel</t>
        </is>
      </c>
      <c r="E223" s="123" t="n"/>
      <c r="F223" s="124" t="n"/>
      <c r="G223" s="15" t="n"/>
      <c r="H223" s="131" t="n"/>
    </row>
    <row r="224">
      <c r="B224" s="10" t="inlineStr">
        <is>
          <t xml:space="preserve">        88  :PREFIX:-UR-TIP-AU-GARAGISTA    VALUE 'VG'.</t>
        </is>
      </c>
      <c r="C224" s="122" t="n"/>
      <c r="D224" s="16" t="inlineStr">
        <is>
          <t xml:space="preserve">     'VG' - Garagista</t>
        </is>
      </c>
      <c r="E224" s="123" t="n"/>
      <c r="F224" s="124" t="n"/>
      <c r="G224" s="15" t="n"/>
    </row>
    <row r="225">
      <c r="B225" s="10" t="inlineStr">
        <is>
          <t xml:space="preserve">        88  :PREFIX:-UR-TIP-AU-VEICULO      VALUE 'VH'.</t>
        </is>
      </c>
      <c r="C225" s="122" t="n"/>
      <c r="D225" s="16" t="inlineStr">
        <is>
          <t xml:space="preserve">     'VH' - Veículo</t>
        </is>
      </c>
      <c r="E225" s="123" t="n"/>
      <c r="F225" s="124" t="n"/>
      <c r="G225" s="15" t="n"/>
    </row>
    <row r="226">
      <c r="B226" s="10" t="inlineStr">
        <is>
          <t xml:space="preserve">        88  :PREFIX:-UR-TIP-AU-OUTROS       VALUE 'VO'.</t>
        </is>
      </c>
      <c r="C226" s="122" t="n"/>
      <c r="D226" s="16" t="inlineStr">
        <is>
          <t xml:space="preserve">     'VO' - Outros veículos</t>
        </is>
      </c>
      <c r="E226" s="123" t="n"/>
      <c r="F226" s="124" t="n"/>
      <c r="G226" s="15" t="n"/>
    </row>
    <row r="227">
      <c r="B227" s="40" t="inlineStr">
        <is>
          <t xml:space="preserve">        88  :PREFIX:-UR-TIP-MULTIRISCO      VALUE 'MR'.</t>
        </is>
      </c>
      <c r="C227" s="42" t="n"/>
      <c r="D227" s="25" t="inlineStr">
        <is>
          <t xml:space="preserve">     'MR' - Detalhe Multiriscos</t>
        </is>
      </c>
      <c r="E227" s="123" t="n"/>
      <c r="F227" s="124" t="n"/>
      <c r="G227" s="15" t="n"/>
    </row>
    <row r="228">
      <c r="B228" s="40" t="inlineStr">
        <is>
          <t xml:space="preserve">        88  :PREFIX:-UR-TIP-AT              VALUE 'AT'.</t>
        </is>
      </c>
      <c r="C228" s="42" t="n"/>
      <c r="D228" s="25" t="inlineStr">
        <is>
          <t xml:space="preserve">     'AT' - Detalhe de Acidentes Trabalho</t>
        </is>
      </c>
      <c r="E228" s="123" t="n"/>
      <c r="F228" s="124" t="n"/>
      <c r="G228" s="15" t="n"/>
    </row>
    <row r="229">
      <c r="B229" s="5" t="inlineStr">
        <is>
          <t xml:space="preserve">  07  :PREFIX:-DADOS-UR                 PIC X(200).</t>
        </is>
      </c>
      <c r="C229" s="29" t="n"/>
      <c r="D229" s="7" t="n"/>
      <c r="E229" s="121">
        <f>E218+F218</f>
        <v/>
      </c>
      <c r="F229" s="121" t="n">
        <v>200</v>
      </c>
      <c r="G229" s="45" t="n"/>
    </row>
    <row r="230">
      <c r="B230" s="137" t="inlineStr">
        <is>
          <t xml:space="preserve">  07  :PREFIX:-UR-GERAL           REDEFINES :PREFIX:-DADOS-UR.</t>
        </is>
      </c>
      <c r="C230" s="138" t="n"/>
      <c r="D230" s="139" t="n"/>
      <c r="E230" s="121">
        <f>E229</f>
        <v/>
      </c>
      <c r="F230" s="140" t="n"/>
      <c r="G230" s="45" t="n"/>
    </row>
    <row r="231">
      <c r="B231" s="10" t="inlineStr">
        <is>
          <t xml:space="preserve">    09  :PREFIX:-GR-DETAIL              PIC X(65).</t>
        </is>
      </c>
      <c r="C231" s="122" t="n"/>
      <c r="D231" s="16" t="inlineStr">
        <is>
          <t>Descritivo da unidade em risco (Objeto seguro)</t>
        </is>
      </c>
      <c r="E231" s="123">
        <f>E230+F230</f>
        <v/>
      </c>
      <c r="F231" s="124" t="n">
        <v>65</v>
      </c>
      <c r="G231" s="19" t="inlineStr">
        <is>
          <t>Condicional</t>
        </is>
      </c>
      <c r="I231">
        <f>E231+33</f>
        <v/>
      </c>
    </row>
    <row r="232">
      <c r="B232" s="10" t="inlineStr">
        <is>
          <t xml:space="preserve">    09  FILLER                          PIC X(135).</t>
        </is>
      </c>
      <c r="C232" s="122" t="n"/>
      <c r="D232" s="16" t="n"/>
      <c r="E232" s="123">
        <f>E231+F231</f>
        <v/>
      </c>
      <c r="F232" s="124" t="n">
        <v>135</v>
      </c>
      <c r="G232" s="9" t="n"/>
      <c r="I232">
        <f>E232+33</f>
        <v/>
      </c>
    </row>
    <row r="233">
      <c r="B233" s="137" t="inlineStr">
        <is>
          <t xml:space="preserve">  07  :PREFIX:-UR-VIDA            REDEFINES :PREFIX:-DADOS-UR.</t>
        </is>
      </c>
      <c r="C233" s="138" t="n"/>
      <c r="D233" s="139" t="n"/>
      <c r="E233" s="121">
        <f>E230</f>
        <v/>
      </c>
      <c r="F233" s="140" t="n"/>
      <c r="G233" s="45" t="n"/>
    </row>
    <row r="234">
      <c r="B234" s="10" t="inlineStr">
        <is>
          <t xml:space="preserve">    09  :PREFIX:-PS-1-NOME              PIC X(50).</t>
        </is>
      </c>
      <c r="C234" s="122" t="n"/>
      <c r="D234" s="16" t="inlineStr">
        <is>
          <t>Nome Pessoa segura 1</t>
        </is>
      </c>
      <c r="E234" s="123">
        <f>E233+F233</f>
        <v/>
      </c>
      <c r="F234" s="124" t="n">
        <v>50</v>
      </c>
      <c r="G234" s="9" t="inlineStr">
        <is>
          <t>Condicional</t>
        </is>
      </c>
      <c r="I234">
        <f>E234+33</f>
        <v/>
      </c>
      <c r="K234" s="126" t="n"/>
    </row>
    <row r="235">
      <c r="B235" s="10" t="inlineStr">
        <is>
          <t xml:space="preserve">    09  :PREFIX:-PS-1-NIF               PIC X(22).</t>
        </is>
      </c>
      <c r="C235" s="122" t="n"/>
      <c r="D235" s="16" t="inlineStr">
        <is>
          <t>NIF Pessoa segura 1  (No caso de Portugal será PT999999999)</t>
        </is>
      </c>
      <c r="E235" s="123">
        <f>E234+F234</f>
        <v/>
      </c>
      <c r="F235" s="124" t="n">
        <v>22</v>
      </c>
      <c r="G235" s="9" t="inlineStr">
        <is>
          <t>Opcional</t>
        </is>
      </c>
      <c r="I235">
        <f>E235+33</f>
        <v/>
      </c>
      <c r="K235" s="126" t="n"/>
    </row>
    <row r="236">
      <c r="B236" s="10" t="inlineStr">
        <is>
          <t xml:space="preserve">    09  :PREFIX:-PS-1-DT-NASC           PIC X(08).</t>
        </is>
      </c>
      <c r="C236" s="122" t="n"/>
      <c r="D236" s="16" t="inlineStr">
        <is>
          <t>Data de Nascimento Pessoa segura 1 [aaaammdd]</t>
        </is>
      </c>
      <c r="E236" s="123">
        <f>E235+F235</f>
        <v/>
      </c>
      <c r="F236" s="124" t="n">
        <v>8</v>
      </c>
      <c r="G236" s="9" t="inlineStr">
        <is>
          <t>Opcional</t>
        </is>
      </c>
      <c r="I236">
        <f>E236+33</f>
        <v/>
      </c>
      <c r="K236" s="126" t="n"/>
    </row>
    <row r="237">
      <c r="B237" s="10" t="inlineStr">
        <is>
          <t xml:space="preserve">    09  :PREFIX:-PS-2-NOME              PIC X(50).</t>
        </is>
      </c>
      <c r="C237" s="122" t="n"/>
      <c r="D237" s="16" t="inlineStr">
        <is>
          <t>Nome Pessoa segura 2</t>
        </is>
      </c>
      <c r="E237" s="123">
        <f>E236+F236</f>
        <v/>
      </c>
      <c r="F237" s="124" t="n">
        <v>50</v>
      </c>
      <c r="G237" s="9" t="inlineStr">
        <is>
          <t>Opcional</t>
        </is>
      </c>
      <c r="I237">
        <f>E237+33</f>
        <v/>
      </c>
      <c r="K237" s="126" t="n"/>
    </row>
    <row r="238">
      <c r="B238" s="10" t="inlineStr">
        <is>
          <t xml:space="preserve">    09  :PREFIX:-PS-2-NIF               PIC X(22).</t>
        </is>
      </c>
      <c r="C238" s="122" t="n"/>
      <c r="D238" s="16" t="inlineStr">
        <is>
          <t>NIF Pessoa segura 2  (No caso de Portugal será PT999999999)</t>
        </is>
      </c>
      <c r="E238" s="123">
        <f>E237+F237</f>
        <v/>
      </c>
      <c r="F238" s="124" t="n">
        <v>22</v>
      </c>
      <c r="G238" s="9" t="inlineStr">
        <is>
          <t>Opcional</t>
        </is>
      </c>
      <c r="I238">
        <f>E238+33</f>
        <v/>
      </c>
      <c r="K238" s="126" t="n"/>
    </row>
    <row r="239">
      <c r="B239" s="10" t="inlineStr">
        <is>
          <t xml:space="preserve">    09  :PREFIX:-PS-2-DT-NASC           PIC X(08).</t>
        </is>
      </c>
      <c r="C239" s="122" t="n"/>
      <c r="D239" s="16" t="inlineStr">
        <is>
          <t>Data de Nascimento Pessoa segura 2 [aaaammdd]</t>
        </is>
      </c>
      <c r="E239" s="123">
        <f>E238+F238</f>
        <v/>
      </c>
      <c r="F239" s="124" t="n">
        <v>8</v>
      </c>
      <c r="G239" s="9" t="inlineStr">
        <is>
          <t>Opcional</t>
        </is>
      </c>
      <c r="I239">
        <f>E239+33</f>
        <v/>
      </c>
      <c r="K239" s="126" t="n"/>
    </row>
    <row r="240" ht="28.8" customHeight="1">
      <c r="B240" s="132" t="inlineStr">
        <is>
          <t xml:space="preserve">    09  :PREFIX:-VI-ENCAR-AQUISICAO     PIC S9(12)V9(02)
                                            SIGN LEADING SEPARATE.</t>
        </is>
      </c>
      <c r="C240" s="122" t="inlineStr">
        <is>
          <t xml:space="preserve"> </t>
        </is>
      </c>
      <c r="D240" s="25" t="inlineStr">
        <is>
          <t>Valor dos encargos Aquisição - componente da parcela com Descritivo: 'ENCARGOS'</t>
        </is>
      </c>
      <c r="E240" s="123">
        <f>E239+F239</f>
        <v/>
      </c>
      <c r="F240" s="124" t="n">
        <v>15</v>
      </c>
      <c r="G240" s="19" t="inlineStr">
        <is>
          <t>Condicional</t>
        </is>
      </c>
      <c r="I240">
        <f>E240+33</f>
        <v/>
      </c>
      <c r="K240" s="126" t="n"/>
    </row>
    <row r="241" ht="28.8" customHeight="1">
      <c r="B241" s="132" t="inlineStr">
        <is>
          <t xml:space="preserve">    09  :PREFIX:-VI-ENCAR-PENALIZA      PIC S9(12)V9(02)
                                            SIGN LEADING SEPARATE.</t>
        </is>
      </c>
      <c r="C241" s="122" t="inlineStr">
        <is>
          <t xml:space="preserve"> </t>
        </is>
      </c>
      <c r="D241" s="136" t="inlineStr">
        <is>
          <t xml:space="preserve">Valor dos encargos Penalização - Parcela das Faturas de Indemnizações com Descritivo: ENCARGOS/COMISSÕES </t>
        </is>
      </c>
      <c r="E241" s="123">
        <f>E240+F240</f>
        <v/>
      </c>
      <c r="F241" s="124" t="n">
        <v>15</v>
      </c>
      <c r="G241" s="19" t="inlineStr">
        <is>
          <t>Condicional</t>
        </is>
      </c>
      <c r="I241">
        <f>E241+33</f>
        <v/>
      </c>
      <c r="K241" s="126" t="n"/>
    </row>
    <row r="242">
      <c r="B242" s="141" t="inlineStr">
        <is>
          <t xml:space="preserve">    09  :PREFIX:-VI-TIPO-APOLICE        PIC X(02).</t>
        </is>
      </c>
      <c r="C242" s="122" t="inlineStr">
        <is>
          <t xml:space="preserve"> </t>
        </is>
      </c>
      <c r="D242" s="136" t="inlineStr">
        <is>
          <t>Tipo de Apólice Vida</t>
        </is>
      </c>
      <c r="E242" s="123">
        <f>E241+F241</f>
        <v/>
      </c>
      <c r="F242" s="124" t="n">
        <v>2</v>
      </c>
      <c r="G242" s="21" t="inlineStr">
        <is>
          <t>Opcional</t>
        </is>
      </c>
      <c r="H242" s="126" t="n"/>
      <c r="I242">
        <f>E242+33</f>
        <v/>
      </c>
      <c r="J242" s="126" t="n"/>
      <c r="K242" s="126" t="n"/>
    </row>
    <row r="243" ht="28.8" customHeight="1">
      <c r="B243" s="40" t="inlineStr">
        <is>
          <t xml:space="preserve">        88  :PREFIX:-VI-TP-VALID            VALUE 'CI' 'CG' 'MI' 'MG' 'XI'                                                           'XG' '  '.</t>
        </is>
      </c>
      <c r="C243" s="122" t="n"/>
      <c r="D243" s="136" t="inlineStr">
        <is>
          <t xml:space="preserve">    Tipo de Produto/Apólice Vida valido para processar</t>
        </is>
      </c>
      <c r="E243" s="123" t="n"/>
      <c r="F243" s="124" t="n"/>
      <c r="G243" s="15" t="n"/>
      <c r="H243" s="126" t="n"/>
      <c r="J243" s="126" t="n"/>
      <c r="K243" s="126" t="n"/>
    </row>
    <row r="244" ht="28.8" customHeight="1">
      <c r="B244" s="40" t="inlineStr">
        <is>
          <t xml:space="preserve">        88  :PREFIX:-VI-TP-AP-PROCESS       VALUE 'CI' 'CG' 'MI' 'MG' 'XI' 'XG'.</t>
        </is>
      </c>
      <c r="C244" s="122" t="n"/>
      <c r="D244" s="136" t="inlineStr">
        <is>
          <t xml:space="preserve">    Tipo de Produto/Apólice Vida valido para processar</t>
        </is>
      </c>
      <c r="E244" s="123" t="n"/>
      <c r="F244" s="124" t="n"/>
      <c r="G244" s="15" t="n"/>
      <c r="H244" s="126" t="n"/>
      <c r="J244" s="126" t="n"/>
      <c r="K244" s="126" t="n"/>
    </row>
    <row r="245">
      <c r="B245" s="40" t="inlineStr">
        <is>
          <t xml:space="preserve">        88  :PREFIX:-VI-CAPITALIZA          VALUE 'CI' 'CG'.</t>
        </is>
      </c>
      <c r="C245" s="42" t="n"/>
      <c r="D245" s="25" t="inlineStr">
        <is>
          <t xml:space="preserve">     'CI' / 'CG' - Capitalização	</t>
        </is>
      </c>
      <c r="E245" s="123" t="n"/>
      <c r="F245" s="124" t="n"/>
      <c r="G245" s="15" t="n"/>
      <c r="H245" s="126" t="n"/>
      <c r="I245" s="126" t="n"/>
      <c r="J245" s="126" t="n"/>
      <c r="K245" s="126" t="n"/>
    </row>
    <row r="246">
      <c r="B246" s="40" t="inlineStr">
        <is>
          <t xml:space="preserve">        88  :PREFIX:-VI-RISCO               VALUE 'MI' 'MG'.</t>
        </is>
      </c>
      <c r="C246" s="42" t="n"/>
      <c r="D246" s="25" t="inlineStr">
        <is>
          <t xml:space="preserve">     'MI' / 'MG' - Misto Puro (Risco)</t>
        </is>
      </c>
      <c r="E246" s="123" t="n"/>
      <c r="F246" s="124" t="n"/>
      <c r="G246" s="15" t="n"/>
      <c r="H246" s="126" t="n"/>
      <c r="I246" s="126" t="n"/>
      <c r="J246" s="126" t="n"/>
      <c r="K246" s="126" t="n"/>
    </row>
    <row r="247">
      <c r="B247" s="40" t="inlineStr">
        <is>
          <t xml:space="preserve">        88  :PREFIX:-VI-MISTO               VALUE 'XI' 'XG'.</t>
        </is>
      </c>
      <c r="C247" s="42" t="n"/>
      <c r="D247" s="25" t="inlineStr">
        <is>
          <t xml:space="preserve">     'XI' / 'XG' - Misto Capitalização (Risco / Capitalização)</t>
        </is>
      </c>
      <c r="E247" s="123" t="n"/>
      <c r="F247" s="124" t="n"/>
      <c r="G247" s="18" t="n"/>
      <c r="H247" s="126" t="n"/>
      <c r="I247" s="126" t="n"/>
      <c r="J247" s="126" t="n"/>
      <c r="K247" s="126" t="n"/>
    </row>
    <row r="248">
      <c r="B248" s="80" t="inlineStr">
        <is>
          <t xml:space="preserve">    09  FILLER                          PIC X(08).</t>
        </is>
      </c>
      <c r="C248" s="122" t="n"/>
      <c r="D248" s="16" t="n"/>
      <c r="E248" s="123">
        <f>E242+F242</f>
        <v/>
      </c>
      <c r="F248" s="124" t="n">
        <v>8</v>
      </c>
      <c r="G248" s="9" t="n"/>
      <c r="I248">
        <f>E248+33</f>
        <v/>
      </c>
      <c r="K248" s="126" t="n"/>
    </row>
    <row r="249">
      <c r="B249" s="137" t="inlineStr">
        <is>
          <t xml:space="preserve">  07  :PREFIX:-UR-AUTOMOVEL       REDEFINES :PREFIX:-DADOS-UR.</t>
        </is>
      </c>
      <c r="C249" s="138" t="n"/>
      <c r="D249" s="139" t="n"/>
      <c r="E249" s="121">
        <f>E229</f>
        <v/>
      </c>
      <c r="F249" s="140" t="n"/>
      <c r="G249" s="45" t="n"/>
    </row>
    <row r="250">
      <c r="B250" s="10" t="inlineStr">
        <is>
          <t xml:space="preserve">    09  :PREFIX:-AU-AREA                PIC X(200).</t>
        </is>
      </c>
      <c r="C250" s="122" t="n"/>
      <c r="D250" s="16" t="n"/>
      <c r="E250" s="124">
        <f>E249+F249</f>
        <v/>
      </c>
      <c r="F250" s="124" t="n">
        <v>200</v>
      </c>
      <c r="G250" s="9" t="n"/>
      <c r="I250">
        <f>E250+33</f>
        <v/>
      </c>
    </row>
    <row r="251">
      <c r="B251" s="10" t="inlineStr">
        <is>
          <t xml:space="preserve">    09  :PREFIX:-AU-VH            REDEFINES :PREFIX:-AU-AREA.</t>
        </is>
      </c>
      <c r="C251" s="122" t="n"/>
      <c r="D251" s="16" t="n"/>
      <c r="E251" s="124">
        <f>E250</f>
        <v/>
      </c>
      <c r="F251" s="124" t="n"/>
      <c r="G251" s="9" t="n"/>
    </row>
    <row r="252">
      <c r="B252" s="10" t="inlineStr">
        <is>
          <t xml:space="preserve">      11  :PREFIX:-VH-MARCA             PIC X(30).</t>
        </is>
      </c>
      <c r="C252" s="122" t="n"/>
      <c r="D252" s="16" t="inlineStr">
        <is>
          <t>Marca</t>
        </is>
      </c>
      <c r="E252" s="124">
        <f>E251+F251</f>
        <v/>
      </c>
      <c r="F252" s="124" t="n">
        <v>30</v>
      </c>
      <c r="G252" s="19" t="inlineStr">
        <is>
          <t>Condicional</t>
        </is>
      </c>
      <c r="I252">
        <f>E252+33</f>
        <v/>
      </c>
    </row>
    <row r="253">
      <c r="B253" s="10" t="inlineStr">
        <is>
          <t xml:space="preserve">      11  :PREFIX:-VH-MODELO            PIC X(10).</t>
        </is>
      </c>
      <c r="C253" s="122" t="n"/>
      <c r="D253" s="16" t="inlineStr">
        <is>
          <t>Modelo</t>
        </is>
      </c>
      <c r="E253" s="124">
        <f>E252+F252</f>
        <v/>
      </c>
      <c r="F253" s="124" t="n">
        <v>10</v>
      </c>
      <c r="G253" s="21" t="inlineStr">
        <is>
          <t>Opcional</t>
        </is>
      </c>
      <c r="I253">
        <f>E253+33</f>
        <v/>
      </c>
    </row>
    <row r="254">
      <c r="B254" s="10" t="inlineStr">
        <is>
          <t xml:space="preserve">      11  :PREFIX:-VH-VERSAO            PIC X(25).</t>
        </is>
      </c>
      <c r="C254" s="122" t="n"/>
      <c r="D254" s="16" t="inlineStr">
        <is>
          <t>Versão</t>
        </is>
      </c>
      <c r="E254" s="124">
        <f>E253+F253</f>
        <v/>
      </c>
      <c r="F254" s="124" t="n">
        <v>25</v>
      </c>
      <c r="G254" s="19" t="inlineStr">
        <is>
          <t>Condicional</t>
        </is>
      </c>
      <c r="I254">
        <f>E254+33</f>
        <v/>
      </c>
    </row>
    <row r="255">
      <c r="B255" s="10" t="inlineStr">
        <is>
          <t xml:space="preserve">      11  :PREFIX:-VH-MATRICULA         PIC X(15).</t>
        </is>
      </c>
      <c r="C255" s="122" t="n"/>
      <c r="D255" s="16" t="inlineStr">
        <is>
          <t>Matrícula</t>
        </is>
      </c>
      <c r="E255" s="124">
        <f>E254+F254</f>
        <v/>
      </c>
      <c r="F255" s="124" t="n">
        <v>15</v>
      </c>
      <c r="G255" s="19" t="inlineStr">
        <is>
          <t>Condicional</t>
        </is>
      </c>
      <c r="I255">
        <f>E255+33</f>
        <v/>
      </c>
    </row>
    <row r="256">
      <c r="B256" s="10" t="inlineStr">
        <is>
          <t xml:space="preserve">      11  FILLER                        PIC X(120).</t>
        </is>
      </c>
      <c r="C256" s="122" t="n"/>
      <c r="D256" s="16" t="n"/>
      <c r="E256" s="124">
        <f>E255+F255</f>
        <v/>
      </c>
      <c r="F256" s="124" t="n">
        <v>120</v>
      </c>
      <c r="G256" s="9" t="n"/>
      <c r="I256">
        <f>E256+33</f>
        <v/>
      </c>
    </row>
    <row r="257">
      <c r="B257" s="10" t="inlineStr">
        <is>
          <t xml:space="preserve">    09  :PREFIX:-AU-VG            REDEFINES :PREFIX:-AU-AREA.</t>
        </is>
      </c>
      <c r="C257" s="122" t="n"/>
      <c r="D257" s="16" t="n"/>
      <c r="E257" s="124">
        <f>E249</f>
        <v/>
      </c>
      <c r="F257" s="124" t="n"/>
      <c r="G257" s="9" t="n"/>
    </row>
    <row r="258">
      <c r="B258" s="10" t="inlineStr">
        <is>
          <t xml:space="preserve">      11  :PREFIX:-VG-CARTA-COND        PIC X(25).</t>
        </is>
      </c>
      <c r="C258" s="122" t="n"/>
      <c r="D258" s="16" t="inlineStr">
        <is>
          <t>Carta de Condução</t>
        </is>
      </c>
      <c r="E258" s="124">
        <f>E257+F257</f>
        <v/>
      </c>
      <c r="F258" s="124" t="n">
        <v>25</v>
      </c>
      <c r="G258" s="19" t="inlineStr">
        <is>
          <t>Condicional</t>
        </is>
      </c>
      <c r="I258">
        <f>E258+33</f>
        <v/>
      </c>
    </row>
    <row r="259">
      <c r="B259" s="10" t="inlineStr">
        <is>
          <t xml:space="preserve">      11  :PREFIX:-VG-CATEGORIA         PIC X(40).</t>
        </is>
      </c>
      <c r="C259" s="122" t="n"/>
      <c r="D259" s="16" t="inlineStr">
        <is>
          <t>Categoria (ex: Garagista até 3500Kg)</t>
        </is>
      </c>
      <c r="E259" s="124">
        <f>E258+F258</f>
        <v/>
      </c>
      <c r="F259" s="124" t="n">
        <v>40</v>
      </c>
      <c r="G259" s="21" t="inlineStr">
        <is>
          <t>Opcional</t>
        </is>
      </c>
      <c r="I259">
        <f>E259+33</f>
        <v/>
      </c>
    </row>
    <row r="260">
      <c r="B260" s="10" t="inlineStr">
        <is>
          <t xml:space="preserve">      11  FILLER                        PIC X(135).</t>
        </is>
      </c>
      <c r="C260" s="122" t="n"/>
      <c r="D260" s="16" t="n"/>
      <c r="E260" s="124">
        <f>E259+F259</f>
        <v/>
      </c>
      <c r="F260" s="124" t="n">
        <v>135</v>
      </c>
      <c r="G260" s="9" t="n"/>
      <c r="I260">
        <f>E260+33</f>
        <v/>
      </c>
    </row>
    <row r="261">
      <c r="B261" s="10" t="inlineStr">
        <is>
          <t xml:space="preserve">    09  :PREFIX:-AU-VO            REDEFINES :PREFIX:-AU-AREA.</t>
        </is>
      </c>
      <c r="C261" s="122" t="n"/>
      <c r="D261" s="16" t="n"/>
      <c r="E261" s="124">
        <f>E257</f>
        <v/>
      </c>
      <c r="F261" s="124" t="n"/>
      <c r="G261" s="9" t="n"/>
    </row>
    <row r="262">
      <c r="B262" s="10" t="inlineStr">
        <is>
          <t xml:space="preserve">      11  :PREFIX:-VO-OBJETO            PIC X(65).</t>
        </is>
      </c>
      <c r="C262" s="122" t="n"/>
      <c r="D262" s="16" t="n"/>
      <c r="E262" s="124">
        <f>E261+F261</f>
        <v/>
      </c>
      <c r="F262" s="124" t="n">
        <v>65</v>
      </c>
      <c r="G262" s="19" t="inlineStr">
        <is>
          <t>Condicional</t>
        </is>
      </c>
      <c r="I262">
        <f>E262+33</f>
        <v/>
      </c>
    </row>
    <row r="263">
      <c r="B263" s="10" t="inlineStr">
        <is>
          <t xml:space="preserve">      11  FILLER                        PIC X(135).</t>
        </is>
      </c>
      <c r="C263" s="122" t="n"/>
      <c r="D263" s="16" t="n"/>
      <c r="E263" s="124">
        <f>E262+F262</f>
        <v/>
      </c>
      <c r="F263" s="124" t="n">
        <v>135</v>
      </c>
      <c r="G263" s="9" t="n"/>
      <c r="I263">
        <f>E263+33</f>
        <v/>
      </c>
    </row>
    <row r="264">
      <c r="B264" s="137" t="inlineStr">
        <is>
          <t xml:space="preserve">  07  :PREFIX:-UR-MULTIRISCO      REDEFINES :PREFIX:-DADOS-UR.</t>
        </is>
      </c>
      <c r="C264" s="138" t="n"/>
      <c r="D264" s="139" t="n"/>
      <c r="E264" s="121">
        <f>E229</f>
        <v/>
      </c>
      <c r="F264" s="140" t="n"/>
      <c r="G264" s="45" t="n"/>
    </row>
    <row r="265">
      <c r="B265" s="10" t="inlineStr">
        <is>
          <t xml:space="preserve">    09  :PREFIX:-MR-OBJETO              PIC X(10).</t>
        </is>
      </c>
      <c r="C265" s="122" t="n"/>
      <c r="D265" s="16" t="inlineStr">
        <is>
          <t>Objeto</t>
        </is>
      </c>
      <c r="E265" s="123">
        <f>E264+F264</f>
        <v/>
      </c>
      <c r="F265" s="124" t="n">
        <v>10</v>
      </c>
      <c r="G265" s="19" t="inlineStr">
        <is>
          <t>Condicional</t>
        </is>
      </c>
      <c r="I265">
        <f>E265+33</f>
        <v/>
      </c>
    </row>
    <row r="266">
      <c r="B266" s="10" t="inlineStr">
        <is>
          <t xml:space="preserve">    09  :PREFIX:-MR-MORADA1             PIC X(40).</t>
        </is>
      </c>
      <c r="C266" s="122" t="n"/>
      <c r="D266" s="16" t="inlineStr">
        <is>
          <t>Dados de morada 1</t>
        </is>
      </c>
      <c r="E266" s="123">
        <f>E265+F265</f>
        <v/>
      </c>
      <c r="F266" s="124" t="n">
        <v>40</v>
      </c>
      <c r="G266" s="21" t="inlineStr">
        <is>
          <t>Opcional</t>
        </is>
      </c>
      <c r="I266">
        <f>E266+33</f>
        <v/>
      </c>
    </row>
    <row r="267">
      <c r="B267" s="10" t="inlineStr">
        <is>
          <t xml:space="preserve">    09  :PREFIX:-MR-MORADA2             PIC X(40).</t>
        </is>
      </c>
      <c r="C267" s="122" t="n"/>
      <c r="D267" s="16" t="inlineStr">
        <is>
          <t>Dados de morada 2</t>
        </is>
      </c>
      <c r="E267" s="123">
        <f>E266+F266</f>
        <v/>
      </c>
      <c r="F267" s="124" t="n">
        <v>40</v>
      </c>
      <c r="G267" s="21" t="inlineStr">
        <is>
          <t>Opcional</t>
        </is>
      </c>
      <c r="I267">
        <f>E267+33</f>
        <v/>
      </c>
    </row>
    <row r="268">
      <c r="B268" s="10" t="inlineStr">
        <is>
          <t xml:space="preserve">    09  :PREFIX:-MR-LOCALIDADE          PIC X(40).</t>
        </is>
      </c>
      <c r="C268" s="122" t="n"/>
      <c r="D268" s="16" t="inlineStr">
        <is>
          <t>Localidade</t>
        </is>
      </c>
      <c r="E268" s="123">
        <f>E267+F267</f>
        <v/>
      </c>
      <c r="F268" s="124" t="n">
        <v>40</v>
      </c>
      <c r="G268" s="21" t="inlineStr">
        <is>
          <t>Opcional</t>
        </is>
      </c>
      <c r="I268">
        <f>E268+33</f>
        <v/>
      </c>
    </row>
    <row r="269">
      <c r="B269" s="10" t="inlineStr">
        <is>
          <t xml:space="preserve">    09  :PREFIX:-MR-CPOSTAL             PIC X(09).</t>
        </is>
      </c>
      <c r="C269" s="122" t="n"/>
      <c r="D269" s="16" t="inlineStr">
        <is>
          <t>Código postal (Se estrangeiro deverá vir a zeros) [9999-999]</t>
        </is>
      </c>
      <c r="E269" s="123">
        <f>E268+F268</f>
        <v/>
      </c>
      <c r="F269" s="124" t="n">
        <v>9</v>
      </c>
      <c r="G269" s="21" t="inlineStr">
        <is>
          <t>Opcional</t>
        </is>
      </c>
      <c r="I269">
        <f>E269+33</f>
        <v/>
      </c>
    </row>
    <row r="270">
      <c r="B270" s="10" t="inlineStr">
        <is>
          <t xml:space="preserve">    09  :PREFIX:-MR-CPOSTAL-DESC        PIC X(40).</t>
        </is>
      </c>
      <c r="C270" s="122" t="n"/>
      <c r="D270" s="16" t="inlineStr">
        <is>
          <t>Descritivo do código postal</t>
        </is>
      </c>
      <c r="E270" s="123">
        <f>E269+F269</f>
        <v/>
      </c>
      <c r="F270" s="124" t="n">
        <v>40</v>
      </c>
      <c r="G270" s="21" t="inlineStr">
        <is>
          <t>Opcional</t>
        </is>
      </c>
      <c r="I270">
        <f>E270+33</f>
        <v/>
      </c>
    </row>
    <row r="271">
      <c r="B271" s="10" t="inlineStr">
        <is>
          <t xml:space="preserve">    09  FILLER                          PIC X(21).</t>
        </is>
      </c>
      <c r="C271" s="122" t="n"/>
      <c r="D271" s="16" t="n"/>
      <c r="E271" s="123">
        <f>E270+F270</f>
        <v/>
      </c>
      <c r="F271" s="124" t="n">
        <v>21</v>
      </c>
      <c r="G271" s="9" t="n"/>
      <c r="I271">
        <f>E271+33</f>
        <v/>
      </c>
    </row>
    <row r="272">
      <c r="B272" s="137" t="inlineStr">
        <is>
          <t xml:space="preserve">  07  :PREFIX:-UR-AT              REDEFINES :PREFIX:-DADOS-UR.</t>
        </is>
      </c>
      <c r="C272" s="138" t="n"/>
      <c r="D272" s="139" t="n"/>
      <c r="E272" s="121">
        <f>E229</f>
        <v/>
      </c>
      <c r="F272" s="140" t="n">
        <v>0</v>
      </c>
      <c r="G272" s="45" t="n"/>
    </row>
    <row r="273">
      <c r="B273" s="10" t="inlineStr">
        <is>
          <t xml:space="preserve">    09  :PREFIX:-AT-OBJETO              PIC X(65).</t>
        </is>
      </c>
      <c r="C273" s="122" t="n"/>
      <c r="D273" s="16" t="inlineStr">
        <is>
          <t>Objeto</t>
        </is>
      </c>
      <c r="E273" s="123">
        <f>E272+F272</f>
        <v/>
      </c>
      <c r="F273" s="124" t="n">
        <v>65</v>
      </c>
      <c r="G273" s="19" t="inlineStr">
        <is>
          <t>Condicional</t>
        </is>
      </c>
      <c r="I273">
        <f>E273+33</f>
        <v/>
      </c>
    </row>
    <row r="274">
      <c r="B274" s="10" t="inlineStr">
        <is>
          <t xml:space="preserve">    09  FILLER                          PIC X(135).</t>
        </is>
      </c>
      <c r="C274" s="122" t="n"/>
      <c r="D274" s="16" t="n"/>
      <c r="E274" s="123">
        <f>E273+F273</f>
        <v/>
      </c>
      <c r="F274" s="124" t="n">
        <v>135</v>
      </c>
      <c r="G274" s="9" t="n"/>
      <c r="I274">
        <f>E274+33</f>
        <v/>
      </c>
    </row>
    <row r="275">
      <c r="A275" s="142" t="n"/>
      <c r="B275" s="5" t="inlineStr">
        <is>
          <t xml:space="preserve">  07  :PREFIX:-DADOS-OUT                PIC X(150).</t>
        </is>
      </c>
      <c r="C275" s="29" t="n"/>
      <c r="D275" s="7" t="n"/>
      <c r="E275" s="121">
        <f>E229+F229</f>
        <v/>
      </c>
      <c r="F275" s="121" t="n">
        <v>150</v>
      </c>
      <c r="G275" s="45" t="n"/>
    </row>
    <row r="276">
      <c r="B276" s="137" t="inlineStr">
        <is>
          <t xml:space="preserve">  07  :PREFIX:-OUT-VIDA           REDEFINES :PREFIX:-DADOS-OUT.</t>
        </is>
      </c>
      <c r="C276" s="138" t="inlineStr">
        <is>
          <t xml:space="preserve"> </t>
        </is>
      </c>
      <c r="D276" s="139" t="n"/>
      <c r="E276" s="121">
        <f>E275</f>
        <v/>
      </c>
      <c r="F276" s="140" t="n"/>
      <c r="G276" s="45" t="n"/>
    </row>
    <row r="277">
      <c r="B277" s="10" t="inlineStr">
        <is>
          <t xml:space="preserve">    09  :PREFIX:-PS-TIPO                PIC X(03).</t>
        </is>
      </c>
      <c r="C277" s="122" t="inlineStr">
        <is>
          <t xml:space="preserve"> </t>
        </is>
      </c>
      <c r="D277" s="16" t="inlineStr">
        <is>
          <t>Tipo de apólice Vida</t>
        </is>
      </c>
      <c r="E277" s="123">
        <f>E276+F276</f>
        <v/>
      </c>
      <c r="F277" s="124" t="n">
        <v>3</v>
      </c>
      <c r="G277" s="9" t="inlineStr">
        <is>
          <t>Condicional</t>
        </is>
      </c>
      <c r="I277">
        <f>E277+33</f>
        <v/>
      </c>
      <c r="K277" s="126" t="n"/>
    </row>
    <row r="278">
      <c r="B278" s="10" t="inlineStr">
        <is>
          <t xml:space="preserve">        88  :PREFIX:-PS-RISCO-GR            VALUE 'VRG'.</t>
        </is>
      </c>
      <c r="C278" s="122" t="inlineStr">
        <is>
          <t xml:space="preserve"> </t>
        </is>
      </c>
      <c r="D278" s="25" t="inlineStr">
        <is>
          <t xml:space="preserve">     'VRG' - Vida Risco Grupo</t>
        </is>
      </c>
      <c r="E278" s="123" t="n"/>
      <c r="F278" s="124" t="n"/>
      <c r="G278" s="15" t="n"/>
      <c r="K278" s="126" t="n"/>
    </row>
    <row r="279">
      <c r="B279" s="10" t="inlineStr">
        <is>
          <t xml:space="preserve">        88  :PREFIX:-PS-RISCO-IN            VALUE 'VRI'.</t>
        </is>
      </c>
      <c r="C279" s="122" t="inlineStr">
        <is>
          <t xml:space="preserve"> </t>
        </is>
      </c>
      <c r="D279" s="25" t="inlineStr">
        <is>
          <t xml:space="preserve">     'VRI' - Vida Risco Individual</t>
        </is>
      </c>
      <c r="E279" s="123" t="n"/>
      <c r="F279" s="124" t="n"/>
      <c r="G279" s="15" t="n"/>
      <c r="K279" s="126" t="n"/>
    </row>
    <row r="280">
      <c r="B280" s="10" t="inlineStr">
        <is>
          <t xml:space="preserve">        88  :PREFIX:-PS-CAPITALI            VALUE 'CAP'.</t>
        </is>
      </c>
      <c r="C280" s="122" t="inlineStr">
        <is>
          <t xml:space="preserve"> </t>
        </is>
      </c>
      <c r="D280" s="25" t="inlineStr">
        <is>
          <t xml:space="preserve">     'CAP' - Vida Capitalização</t>
        </is>
      </c>
      <c r="E280" s="123" t="n"/>
      <c r="F280" s="124" t="n"/>
      <c r="G280" s="18" t="n"/>
      <c r="K280" s="126" t="n"/>
    </row>
    <row r="281">
      <c r="B281" s="10" t="inlineStr">
        <is>
          <t xml:space="preserve">    09  :PREFIX:-PS-ADERENTE            PIC X(08).</t>
        </is>
      </c>
      <c r="C281" s="122" t="inlineStr">
        <is>
          <t xml:space="preserve"> </t>
        </is>
      </c>
      <c r="D281" s="16" t="inlineStr">
        <is>
          <t>Número de Aderente - 'PES. SEGURA' (Obs: Preenchido, significa que o nr de apólice é composto)</t>
        </is>
      </c>
      <c r="E281" s="123">
        <f>E277+F277</f>
        <v/>
      </c>
      <c r="F281" s="124" t="n">
        <v>8</v>
      </c>
      <c r="G281" s="9" t="inlineStr">
        <is>
          <t>Opcional</t>
        </is>
      </c>
      <c r="I281">
        <f>E281+33</f>
        <v/>
      </c>
      <c r="K281" s="126" t="n"/>
    </row>
    <row r="282">
      <c r="B282" s="10" t="inlineStr">
        <is>
          <t xml:space="preserve">    09  FILLER                          PIC X(139).</t>
        </is>
      </c>
      <c r="C282" s="122" t="inlineStr">
        <is>
          <t xml:space="preserve"> </t>
        </is>
      </c>
      <c r="D282" s="16" t="n"/>
      <c r="E282" s="123">
        <f>E281+F281</f>
        <v/>
      </c>
      <c r="F282" s="124" t="n">
        <v>139</v>
      </c>
      <c r="G282" s="9" t="n"/>
      <c r="I282">
        <f>E282+33</f>
        <v/>
      </c>
    </row>
    <row r="283">
      <c r="B283" s="137" t="inlineStr">
        <is>
          <t xml:space="preserve">  07  :PREFIX:-OUT-LOTE           REDEFINES :PREFIX:-DADOS-OUT.</t>
        </is>
      </c>
      <c r="C283" s="139" t="n"/>
      <c r="D283" s="139" t="n"/>
      <c r="E283" s="121">
        <f>E275</f>
        <v/>
      </c>
      <c r="F283" s="140" t="n"/>
      <c r="G283" s="45" t="n"/>
    </row>
    <row r="284">
      <c r="B284" s="10" t="inlineStr">
        <is>
          <t xml:space="preserve">    09  :PREFIX:-LT-QT-RECIBOS          PIC 9(05).</t>
        </is>
      </c>
      <c r="C284" s="122" t="n"/>
      <c r="D284" s="16" t="inlineStr">
        <is>
          <t>Quantidade de recibos no lote</t>
        </is>
      </c>
      <c r="E284" s="123">
        <f>E283+F283</f>
        <v/>
      </c>
      <c r="F284" s="124" t="n">
        <v>5</v>
      </c>
      <c r="G284" s="9" t="inlineStr">
        <is>
          <t>Condicional</t>
        </is>
      </c>
      <c r="I284">
        <f>E284+33</f>
        <v/>
      </c>
      <c r="K284" s="126" t="n"/>
    </row>
    <row r="285">
      <c r="B285" s="10" t="inlineStr">
        <is>
          <t xml:space="preserve">    09  FILLER                          PIC X(145).</t>
        </is>
      </c>
      <c r="C285" s="122" t="n"/>
      <c r="D285" s="16" t="n"/>
      <c r="E285" s="123">
        <f>E284+F284</f>
        <v/>
      </c>
      <c r="F285" s="124" t="n">
        <v>145</v>
      </c>
      <c r="G285" s="9" t="n"/>
      <c r="I285">
        <f>E285+33</f>
        <v/>
      </c>
      <c r="K285" s="126" t="n"/>
    </row>
    <row r="286">
      <c r="B286" s="137" t="inlineStr">
        <is>
          <t xml:space="preserve">  07  :PREFIX:-OUT-MULTIRISCO     REDEFINES :PREFIX:-DADOS-OUT.</t>
        </is>
      </c>
      <c r="C286" s="138" t="n"/>
      <c r="D286" s="139" t="n"/>
      <c r="E286" s="121">
        <f>E275</f>
        <v/>
      </c>
      <c r="F286" s="140" t="n"/>
      <c r="G286" s="45" t="n"/>
    </row>
    <row r="287">
      <c r="B287" s="10" t="inlineStr">
        <is>
          <t xml:space="preserve">    09  :PREFIX:-MR-IND-TEXT-FRENT      PIC X(01).</t>
        </is>
      </c>
      <c r="C287" s="122" t="n"/>
      <c r="D287" s="16" t="inlineStr">
        <is>
          <t>Indicador de inclusão de texto no Aviso (ex: "S" - MR Hab)</t>
        </is>
      </c>
      <c r="E287" s="123">
        <f>E286+F286</f>
        <v/>
      </c>
      <c r="F287" s="124" t="n">
        <v>1</v>
      </c>
      <c r="G287" s="21" t="inlineStr">
        <is>
          <t>Opcional</t>
        </is>
      </c>
      <c r="I287">
        <f>E287+33</f>
        <v/>
      </c>
    </row>
    <row r="288">
      <c r="B288" s="10" t="inlineStr">
        <is>
          <t xml:space="preserve">    09  :PREFIX:-MR-IND-TEXT-VERSO      PIC X(02).</t>
        </is>
      </c>
      <c r="C288" s="122" t="n"/>
      <c r="D288" s="16" t="inlineStr">
        <is>
          <t>Indicador de inclusão de texto no verso do Aviso (ex: "1" - Riscos Simples e "2" - Riscos Industriais)</t>
        </is>
      </c>
      <c r="E288" s="123">
        <f>E287+F287</f>
        <v/>
      </c>
      <c r="F288" s="124" t="n">
        <v>2</v>
      </c>
      <c r="G288" s="21" t="inlineStr">
        <is>
          <t>Opcional</t>
        </is>
      </c>
      <c r="I288">
        <f>E288+33</f>
        <v/>
      </c>
    </row>
    <row r="289" ht="28.8" customHeight="1">
      <c r="B289" s="40" t="inlineStr">
        <is>
          <t xml:space="preserve">    09  :PREFIX:-MR-CAP-IMOV            PIC S9(12)V9(02)
                                            SIGN LEADING SEPARATE.</t>
        </is>
      </c>
      <c r="C289" s="143" t="n"/>
      <c r="D289" s="25" t="inlineStr">
        <is>
          <t>Descritivo: 'CAPITAL IMÓVEL'</t>
        </is>
      </c>
      <c r="E289" s="123">
        <f>E288+F288</f>
        <v/>
      </c>
      <c r="F289" s="124" t="n">
        <v>15</v>
      </c>
      <c r="G289" s="21" t="inlineStr">
        <is>
          <t>Opcional</t>
        </is>
      </c>
      <c r="H289" s="131" t="n"/>
      <c r="I289">
        <f>E289+33</f>
        <v/>
      </c>
    </row>
    <row r="290">
      <c r="B290" s="10" t="inlineStr">
        <is>
          <t xml:space="preserve">    09  :PREFIX:-MR-TIPO-ACTZ           PIC X(02).</t>
        </is>
      </c>
      <c r="C290" s="122" t="n"/>
      <c r="D290" s="16" t="inlineStr">
        <is>
          <t>Tipo de atualização tarifária (ex: "CA" - Convencionada, "IA" - Indexada, "SA" - Sem actualização, "VA" - Vários)</t>
        </is>
      </c>
      <c r="E290" s="123">
        <f>E289+F289</f>
        <v/>
      </c>
      <c r="F290" s="124" t="n">
        <v>2</v>
      </c>
      <c r="G290" s="21" t="inlineStr">
        <is>
          <t>Opcional</t>
        </is>
      </c>
      <c r="I290">
        <f>E290+33</f>
        <v/>
      </c>
    </row>
    <row r="291">
      <c r="B291" s="10" t="inlineStr">
        <is>
          <t xml:space="preserve">    09  :PREFIX:-MR-TEXT-FRENT          PIC X(60).</t>
        </is>
      </c>
      <c r="C291" s="122" t="n"/>
      <c r="D291" s="16" t="inlineStr">
        <is>
          <t>Inclusão de texto na frente do Aviso</t>
        </is>
      </c>
      <c r="E291" s="123">
        <f>E290+F290</f>
        <v/>
      </c>
      <c r="F291" s="124" t="n">
        <v>60</v>
      </c>
      <c r="G291" s="21" t="inlineStr">
        <is>
          <t>Opcional</t>
        </is>
      </c>
      <c r="I291">
        <f>E291+33</f>
        <v/>
      </c>
    </row>
    <row r="292">
      <c r="B292" s="10" t="inlineStr">
        <is>
          <t xml:space="preserve">    09  FILLER                          PIC X(70).</t>
        </is>
      </c>
      <c r="C292" s="122" t="n"/>
      <c r="D292" s="16" t="n"/>
      <c r="E292" s="123">
        <f>E291+F291</f>
        <v/>
      </c>
      <c r="F292" s="124" t="n">
        <v>70</v>
      </c>
      <c r="G292" s="9" t="n"/>
      <c r="I292">
        <f>E292+33</f>
        <v/>
      </c>
    </row>
    <row r="293">
      <c r="B293" s="137" t="inlineStr">
        <is>
          <t xml:space="preserve">  07  :PREFIX:-OUT-AT             REDEFINES :PREFIX:-DADOS-OUT.</t>
        </is>
      </c>
      <c r="C293" s="138" t="n"/>
      <c r="D293" s="139" t="n"/>
      <c r="E293" s="121">
        <f>E275</f>
        <v/>
      </c>
      <c r="F293" s="140" t="n">
        <v>0</v>
      </c>
      <c r="G293" s="45" t="n"/>
    </row>
    <row r="294">
      <c r="B294" s="10" t="inlineStr">
        <is>
          <t xml:space="preserve">    09  :PREFIX:-AT-IND-TEXT-FRENT      PIC X(01).</t>
        </is>
      </c>
      <c r="C294" s="122" t="n"/>
      <c r="D294" s="16" t="inlineStr">
        <is>
          <t>Indicador de inclusão de texto no Aviso (ex: "A" - AT Portaria e "T" - AT Tarif)</t>
        </is>
      </c>
      <c r="E294" s="123">
        <f>E293+F293</f>
        <v/>
      </c>
      <c r="F294" s="124" t="n">
        <v>1</v>
      </c>
      <c r="G294" s="21" t="inlineStr">
        <is>
          <t>Opcional</t>
        </is>
      </c>
      <c r="I294">
        <f>E294+33</f>
        <v/>
      </c>
    </row>
    <row r="295">
      <c r="B295" s="10" t="inlineStr">
        <is>
          <t xml:space="preserve">    09  :PREFIX:-AT-TEXT-FRENT          PIC X(60).</t>
        </is>
      </c>
      <c r="C295" s="122" t="n"/>
      <c r="D295" s="16" t="inlineStr">
        <is>
          <t>Inclusão de texto na frente do Aviso</t>
        </is>
      </c>
      <c r="E295" s="123">
        <f>E294+F294</f>
        <v/>
      </c>
      <c r="F295" s="124" t="n">
        <v>60</v>
      </c>
      <c r="G295" s="21" t="inlineStr">
        <is>
          <t>Opcional</t>
        </is>
      </c>
      <c r="I295">
        <f>E295+33</f>
        <v/>
      </c>
    </row>
    <row r="296">
      <c r="B296" s="10" t="inlineStr">
        <is>
          <t xml:space="preserve">    09  FILLER                          PIC X(89).</t>
        </is>
      </c>
      <c r="C296" s="122" t="n"/>
      <c r="D296" s="16" t="n"/>
      <c r="E296" s="123">
        <f>E295+F295</f>
        <v/>
      </c>
      <c r="F296" s="124" t="n">
        <v>89</v>
      </c>
      <c r="G296" s="9" t="n"/>
      <c r="I296">
        <f>E296+33</f>
        <v/>
      </c>
    </row>
    <row r="297">
      <c r="B297" s="30" t="inlineStr">
        <is>
          <t xml:space="preserve">  07  :PREFIX:-DADOS-EXTRATO.</t>
        </is>
      </c>
      <c r="C297" s="127" t="n"/>
      <c r="D297" s="32" t="n"/>
      <c r="E297" s="128">
        <f>E275+F275</f>
        <v/>
      </c>
      <c r="F297" s="129" t="n"/>
      <c r="G297" s="130" t="n"/>
    </row>
    <row r="298">
      <c r="B298" s="10" t="inlineStr">
        <is>
          <t xml:space="preserve">    09  :PREFIX:-EXT1-TIPO-LAYOUT       PIC X(01).</t>
        </is>
      </c>
      <c r="C298" s="122" t="n"/>
      <c r="D298" s="16" t="inlineStr">
        <is>
          <t>Tipo de layout (ex: "N" - Novo, "A" - Alteração) ["N" inclui alterações ao Tipo Pagamento para EFT]</t>
        </is>
      </c>
      <c r="E298" s="123">
        <f>E297+F297</f>
        <v/>
      </c>
      <c r="F298" s="124" t="n">
        <v>1</v>
      </c>
      <c r="G298" s="19" t="inlineStr">
        <is>
          <t>Condicional</t>
        </is>
      </c>
      <c r="I298">
        <f>E298+33</f>
        <v/>
      </c>
    </row>
    <row r="299">
      <c r="B299" s="10" t="inlineStr">
        <is>
          <t xml:space="preserve">    09  :PREFIX:-EXT1-DT-INI-ANUI       PIC X(08).</t>
        </is>
      </c>
      <c r="C299" s="122" t="n"/>
      <c r="D299" s="16" t="inlineStr">
        <is>
          <t>Periodo da anuidade - inicio [aaaammdd]</t>
        </is>
      </c>
      <c r="E299" s="123">
        <f>E298+F298</f>
        <v/>
      </c>
      <c r="F299" s="124" t="n">
        <v>8</v>
      </c>
      <c r="G299" s="19" t="inlineStr">
        <is>
          <t>Condicional</t>
        </is>
      </c>
      <c r="I299">
        <f>E299+33</f>
        <v/>
      </c>
    </row>
    <row r="300">
      <c r="B300" s="10" t="inlineStr">
        <is>
          <t xml:space="preserve">    09  :PREFIX:-EXT1-DT-FIM-ANUI       PIC X(08).</t>
        </is>
      </c>
      <c r="C300" s="122" t="n"/>
      <c r="D300" s="16" t="inlineStr">
        <is>
          <t>Periodo da anuidade - fim [aaaammdd]</t>
        </is>
      </c>
      <c r="E300" s="123">
        <f>E299+F299</f>
        <v/>
      </c>
      <c r="F300" s="124" t="n">
        <v>8</v>
      </c>
      <c r="G300" s="19" t="inlineStr">
        <is>
          <t>Condicional</t>
        </is>
      </c>
      <c r="I300">
        <f>E300+33</f>
        <v/>
      </c>
    </row>
    <row r="301" ht="28.8" customHeight="1">
      <c r="B301" s="40" t="inlineStr">
        <is>
          <t xml:space="preserve">    09  :PREFIX:-EXT1-VLR-TOT-PAGO      PIC S9(12)V9(02)
                                            SIGN LEADING SEPARATE.</t>
        </is>
      </c>
      <c r="C301" s="42" t="n"/>
      <c r="D301" s="25" t="inlineStr">
        <is>
          <t>Valor Total da Anuidade já pago</t>
        </is>
      </c>
      <c r="E301" s="123">
        <f>E300+F300</f>
        <v/>
      </c>
      <c r="F301" s="124" t="n">
        <v>15</v>
      </c>
      <c r="G301" s="19" t="inlineStr">
        <is>
          <t>Condicional</t>
        </is>
      </c>
      <c r="I301">
        <f>E301+33</f>
        <v/>
      </c>
    </row>
    <row r="302">
      <c r="B302" s="30" t="inlineStr">
        <is>
          <t xml:space="preserve">  07  :PREFIX:-DADOS-CERTIFICACAO.</t>
        </is>
      </c>
      <c r="C302" s="127" t="n"/>
      <c r="D302" s="32" t="n"/>
      <c r="E302" s="128">
        <f>E301+F301</f>
        <v/>
      </c>
      <c r="F302" s="129" t="n"/>
      <c r="G302" s="130" t="n"/>
    </row>
    <row r="303">
      <c r="B303" s="10" t="inlineStr">
        <is>
          <t xml:space="preserve">    09  :PREFIX:-CF-NIF-EMITENTE        PIC 9(09).</t>
        </is>
      </c>
      <c r="C303" s="122" t="n"/>
      <c r="D303" s="16" t="inlineStr">
        <is>
          <t>Número de Identificação do Emitente</t>
        </is>
      </c>
      <c r="E303" s="123">
        <f>E302+F302</f>
        <v/>
      </c>
      <c r="F303" s="124" t="n">
        <v>9</v>
      </c>
      <c r="G303" s="19" t="inlineStr">
        <is>
          <t>Condicional</t>
        </is>
      </c>
      <c r="I303">
        <f>E303+33</f>
        <v/>
      </c>
    </row>
    <row r="304">
      <c r="B304" s="10" t="inlineStr">
        <is>
          <t xml:space="preserve">    09  :PREFIX:-CF-NUM-CERTIF-AVISO    PIC X(60).</t>
        </is>
      </c>
      <c r="C304" s="122" t="n"/>
      <c r="D304" s="16" t="inlineStr">
        <is>
          <t>Número de Certificação do Aviso</t>
        </is>
      </c>
      <c r="E304" s="123">
        <f>E303+F303</f>
        <v/>
      </c>
      <c r="F304" s="124" t="n">
        <v>60</v>
      </c>
      <c r="G304" s="9" t="n"/>
      <c r="I304">
        <f>E304+33</f>
        <v/>
      </c>
    </row>
    <row r="305">
      <c r="B305" s="10" t="inlineStr">
        <is>
          <t xml:space="preserve">    09  :PREFIX:-CF-ATCUD               PIC X(70).</t>
        </is>
      </c>
      <c r="C305" s="122" t="n"/>
      <c r="D305" s="16" t="inlineStr">
        <is>
          <t>Código Único do Documento</t>
        </is>
      </c>
      <c r="E305" s="123">
        <f>E304+F304</f>
        <v/>
      </c>
      <c r="F305" s="124" t="n">
        <v>70</v>
      </c>
      <c r="G305" s="19" t="inlineStr">
        <is>
          <t>Condicional</t>
        </is>
      </c>
      <c r="I305">
        <f>E305+33</f>
        <v/>
      </c>
    </row>
    <row r="306">
      <c r="B306" s="10" t="inlineStr">
        <is>
          <t xml:space="preserve">    09  :PREFIX:-CF-NUM-PROG-CERTIF     PIC 9(04).</t>
        </is>
      </c>
      <c r="C306" s="122" t="n"/>
      <c r="D306" s="16" t="inlineStr">
        <is>
          <t>Número do Programa de Certificação</t>
        </is>
      </c>
      <c r="E306" s="123">
        <f>E305+F305</f>
        <v/>
      </c>
      <c r="F306" s="124" t="n">
        <v>4</v>
      </c>
      <c r="G306" s="19" t="inlineStr">
        <is>
          <t>Condicional</t>
        </is>
      </c>
      <c r="I306">
        <f>E306+33</f>
        <v/>
      </c>
    </row>
    <row r="307">
      <c r="B307" s="10" t="inlineStr">
        <is>
          <t xml:space="preserve">    09  :PREFIX:-CF-HASH                PIC X(04).</t>
        </is>
      </c>
      <c r="C307" s="122" t="n"/>
      <c r="D307" s="16" t="inlineStr">
        <is>
          <t>Número do HASH</t>
        </is>
      </c>
      <c r="E307" s="123">
        <f>E306+F306</f>
        <v/>
      </c>
      <c r="F307" s="124" t="n">
        <v>4</v>
      </c>
      <c r="G307" s="19" t="inlineStr">
        <is>
          <t>Condicional</t>
        </is>
      </c>
      <c r="I307">
        <f>E307+33</f>
        <v/>
      </c>
    </row>
    <row r="308">
      <c r="B308" s="10" t="inlineStr">
        <is>
          <t xml:space="preserve">    09  :PREFIX:-CF-NUM-COMPROMISSO     PIC X(20).</t>
        </is>
      </c>
      <c r="C308" s="122" t="n"/>
      <c r="D308" s="16" t="inlineStr">
        <is>
          <t>Número do Compromisso</t>
        </is>
      </c>
      <c r="E308" s="123">
        <f>E307+F307</f>
        <v/>
      </c>
      <c r="F308" s="124" t="n">
        <v>20</v>
      </c>
      <c r="G308" s="9" t="n"/>
      <c r="I308">
        <f>E308+33</f>
        <v/>
      </c>
    </row>
    <row r="309" ht="28.8" customHeight="1">
      <c r="B309" s="40" t="inlineStr">
        <is>
          <t xml:space="preserve">    09  :PREFIX:-CF-BASE-TRIBUTAVEL     PIC S9(12)V9(02)
                                            SIGN LEADING SEPARATE.</t>
        </is>
      </c>
      <c r="C309" s="42" t="n"/>
      <c r="D309" s="16" t="inlineStr">
        <is>
          <t>Valor Base Tributável</t>
        </is>
      </c>
      <c r="E309" s="123">
        <f>E308+F308</f>
        <v/>
      </c>
      <c r="F309" s="124" t="n">
        <v>15</v>
      </c>
      <c r="G309" s="19" t="inlineStr">
        <is>
          <t>Condicional</t>
        </is>
      </c>
      <c r="I309">
        <f>E309+33</f>
        <v/>
      </c>
    </row>
    <row r="310">
      <c r="B310" s="10" t="inlineStr">
        <is>
          <t xml:space="preserve">    09  :PREFIX:-CF-ESTADO-DOCUMENTO    PIC X(01).</t>
        </is>
      </c>
      <c r="C310" s="122" t="n"/>
      <c r="D310" s="16" t="inlineStr">
        <is>
          <t>Estado do Documento</t>
        </is>
      </c>
      <c r="E310" s="123">
        <f>E309+F309</f>
        <v/>
      </c>
      <c r="F310" s="124" t="n">
        <v>1</v>
      </c>
      <c r="G310" s="19" t="inlineStr">
        <is>
          <t>Condicional</t>
        </is>
      </c>
      <c r="I310">
        <f>E310+33</f>
        <v/>
      </c>
    </row>
    <row r="311">
      <c r="B311" s="10" t="inlineStr">
        <is>
          <t xml:space="preserve">    09  :PREFIX:-CF-ESPACO-FISCAL-IVA   PIC X(05).</t>
        </is>
      </c>
      <c r="C311" s="122" t="n"/>
      <c r="D311" s="16" t="inlineStr">
        <is>
          <t>Espaço Fiscal</t>
        </is>
      </c>
      <c r="E311" s="123">
        <f>E310+F310</f>
        <v/>
      </c>
      <c r="F311" s="124" t="n">
        <v>5</v>
      </c>
      <c r="G311" s="19" t="inlineStr">
        <is>
          <t>Condicional</t>
        </is>
      </c>
      <c r="I311">
        <f>E311+33</f>
        <v/>
      </c>
    </row>
    <row r="312">
      <c r="B312" s="10" t="inlineStr">
        <is>
          <t xml:space="preserve">    09  :PREFIX:-CF-NUM-CERTIF-FATURA   PIC X(60).</t>
        </is>
      </c>
      <c r="C312" s="122" t="n"/>
      <c r="D312" s="16" t="inlineStr">
        <is>
          <t>Número de Certificação da Fatura</t>
        </is>
      </c>
      <c r="E312" s="123">
        <f>E311+F311</f>
        <v/>
      </c>
      <c r="F312" s="124" t="n">
        <v>60</v>
      </c>
      <c r="G312" s="9" t="n"/>
      <c r="I312">
        <f>E312+33</f>
        <v/>
      </c>
    </row>
    <row r="313">
      <c r="B313" s="30" t="inlineStr">
        <is>
          <t xml:space="preserve">  07  :PREFIX:-DADOS-MENSAGEM.</t>
        </is>
      </c>
      <c r="C313" s="127" t="n"/>
      <c r="D313" s="32" t="n"/>
      <c r="E313" s="128">
        <f>E312+F312</f>
        <v/>
      </c>
      <c r="F313" s="129" t="n"/>
      <c r="G313" s="130" t="n"/>
    </row>
    <row r="314">
      <c r="B314" s="10" t="inlineStr">
        <is>
          <t xml:space="preserve">    09  :PREFIX:-MS-INDIC-MENSAGENS     PIC X(01).</t>
        </is>
      </c>
      <c r="C314" s="122" t="n"/>
      <c r="D314" s="16" t="inlineStr">
        <is>
          <t>Indicador de mensagem temporária</t>
        </is>
      </c>
      <c r="E314" s="123">
        <f>E313+F313</f>
        <v/>
      </c>
      <c r="F314" s="124" t="n">
        <v>1</v>
      </c>
      <c r="G314" s="16" t="n"/>
      <c r="I314">
        <f>E314+33</f>
        <v/>
      </c>
    </row>
    <row r="315">
      <c r="B315" s="30" t="inlineStr">
        <is>
          <t xml:space="preserve">  07  :PREFIX:-REFERENCIA-ARQUIVO.</t>
        </is>
      </c>
      <c r="C315" s="127" t="n"/>
      <c r="D315" s="32" t="n"/>
      <c r="E315" s="128">
        <f>E314+F314</f>
        <v/>
      </c>
      <c r="F315" s="129" t="n"/>
      <c r="G315" s="130" t="n"/>
    </row>
    <row r="316">
      <c r="B316" s="10" t="inlineStr">
        <is>
          <t xml:space="preserve">    09  :PREFIX:-RA-GUID                PIC X(36).</t>
        </is>
      </c>
      <c r="C316" s="122" t="n"/>
      <c r="D316" s="16" t="inlineStr">
        <is>
          <t>Chave Única do documento</t>
        </is>
      </c>
      <c r="E316" s="123">
        <f>E315+F315</f>
        <v/>
      </c>
      <c r="F316" s="124" t="n">
        <v>36</v>
      </c>
      <c r="G316" s="16" t="n"/>
      <c r="I316">
        <f>E316+33</f>
        <v/>
      </c>
    </row>
    <row r="317">
      <c r="B317" s="30" t="inlineStr">
        <is>
          <t xml:space="preserve">  07  :PREFIX:-DADOS-ASF.</t>
        </is>
      </c>
      <c r="C317" s="127" t="n"/>
      <c r="D317" s="33" t="n"/>
      <c r="E317" s="128">
        <f>E316+F316</f>
        <v/>
      </c>
      <c r="F317" s="129" t="n"/>
      <c r="G317" s="130" t="n"/>
    </row>
    <row r="318">
      <c r="B318" s="10" t="inlineStr">
        <is>
          <t xml:space="preserve">    09  :PREFIX:-ASF-PREMIO.</t>
        </is>
      </c>
      <c r="C318" s="122" t="n"/>
      <c r="D318" s="25" t="n"/>
      <c r="E318" s="123">
        <f>E317+F317</f>
        <v/>
      </c>
      <c r="F318" s="124" t="n"/>
      <c r="G318" s="16" t="n"/>
      <c r="I318">
        <f>E318+33</f>
        <v/>
      </c>
    </row>
    <row r="319" ht="28.8" customHeight="1">
      <c r="B319" s="132" t="inlineStr">
        <is>
          <t xml:space="preserve">      11  :PREFIX:-AP-PR-TOT-ANO        PIC S9(12)V9(02)
                                            SIGN LEADING SEPARATE.</t>
        </is>
      </c>
      <c r="C319" s="122" t="n"/>
      <c r="D319" s="25" t="inlineStr">
        <is>
          <t>Valor do Prémio Total da Anuidade</t>
        </is>
      </c>
      <c r="E319" s="124">
        <f>E318+F318</f>
        <v/>
      </c>
      <c r="F319" s="124" t="n">
        <v>15</v>
      </c>
      <c r="G319" s="21" t="inlineStr">
        <is>
          <t>Opcional</t>
        </is>
      </c>
      <c r="I319">
        <f>E319+33</f>
        <v/>
      </c>
    </row>
    <row r="320" ht="28.8" customHeight="1">
      <c r="B320" s="132" t="inlineStr">
        <is>
          <t xml:space="preserve">      11  :PREFIX:-AP-PR-TOT-ANO-ANT    PIC S9(12)V9(02)
                                            SIGN LEADING SEPARATE.</t>
        </is>
      </c>
      <c r="C320" s="122" t="n"/>
      <c r="D320" s="25" t="inlineStr">
        <is>
          <t>Valor do Prémio Total da Anuidade anterior</t>
        </is>
      </c>
      <c r="E320" s="124">
        <f>E319+F319</f>
        <v/>
      </c>
      <c r="F320" s="124" t="n">
        <v>15</v>
      </c>
      <c r="G320" s="21" t="inlineStr">
        <is>
          <t>Opcional</t>
        </is>
      </c>
      <c r="I320">
        <f>E320+33</f>
        <v/>
      </c>
    </row>
    <row r="321">
      <c r="B321" s="10" t="inlineStr">
        <is>
          <t xml:space="preserve">    09  :PREFIX:-ASF-FATORES.</t>
        </is>
      </c>
      <c r="C321" s="122" t="n"/>
      <c r="D321" s="25" t="n"/>
      <c r="E321" s="123">
        <f>E320+F320</f>
        <v/>
      </c>
      <c r="F321" s="124" t="n"/>
      <c r="G321" s="16" t="n"/>
      <c r="I321">
        <f>E321+33</f>
        <v/>
      </c>
    </row>
    <row r="322" ht="28.8" customHeight="1">
      <c r="B322" s="132" t="inlineStr">
        <is>
          <t xml:space="preserve">      11  :PREFIX:-AF-VAR-PREMIO-TOT    PIC S9(3)V9(02)
                                            SIGN LEADING SEPARATE.</t>
        </is>
      </c>
      <c r="C322" s="122" t="n"/>
      <c r="D322" s="25" t="inlineStr">
        <is>
          <t>Percentagem da variação do Prémio Total</t>
        </is>
      </c>
      <c r="E322" s="124">
        <f>E321+F321</f>
        <v/>
      </c>
      <c r="F322" s="124" t="n">
        <v>6</v>
      </c>
      <c r="G322" s="21" t="inlineStr">
        <is>
          <t>Opcional</t>
        </is>
      </c>
      <c r="I322">
        <f>E322+33</f>
        <v/>
      </c>
    </row>
    <row r="323" ht="28.8" customHeight="1">
      <c r="B323" s="132" t="inlineStr">
        <is>
          <t xml:space="preserve">      11  :PREFIX:-AF-FAT-FISCALIDADE   PIC S9(3)V9(02)
                                            SIGN LEADING SEPARATE.</t>
        </is>
      </c>
      <c r="C323" s="122" t="n"/>
      <c r="D323" s="25" t="inlineStr">
        <is>
          <t>Percentagem da variação do Prémio atribuída ao Fator Fiscalidade</t>
        </is>
      </c>
      <c r="E323" s="124">
        <f>E322+F322</f>
        <v/>
      </c>
      <c r="F323" s="124" t="n">
        <v>6</v>
      </c>
      <c r="G323" s="21" t="inlineStr">
        <is>
          <t>Opcional</t>
        </is>
      </c>
      <c r="I323">
        <f>E323+33</f>
        <v/>
      </c>
    </row>
    <row r="324" ht="28.8" customHeight="1">
      <c r="B324" s="132" t="inlineStr">
        <is>
          <t xml:space="preserve">      11  :PREFIX:-AF-FAT-SINISTROS     PIC S9(3)V9(02)
                                            SIGN LEADING SEPARATE.</t>
        </is>
      </c>
      <c r="C324" s="122" t="n"/>
      <c r="D324" s="25" t="inlineStr">
        <is>
          <t>Percentagem da variação do Prémio atribuída ao Fator Sinistralidade</t>
        </is>
      </c>
      <c r="E324" s="124">
        <f>E323+F323</f>
        <v/>
      </c>
      <c r="F324" s="124" t="n">
        <v>6</v>
      </c>
      <c r="G324" s="21" t="inlineStr">
        <is>
          <t>Opcional</t>
        </is>
      </c>
      <c r="I324">
        <f>E324+33</f>
        <v/>
      </c>
    </row>
    <row r="325" ht="28.8" customHeight="1">
      <c r="B325" s="132" t="inlineStr">
        <is>
          <t xml:space="preserve">      11  :PREFIX:-AF-FAT-INFLACAO      PIC S9(3)V9(02)
                                            SIGN LEADING SEPARATE.</t>
        </is>
      </c>
      <c r="C325" s="122" t="n"/>
      <c r="D325" s="25" t="inlineStr">
        <is>
          <t>Percentagem da variação do Prémio atribuída ao Fator Inflação</t>
        </is>
      </c>
      <c r="E325" s="124">
        <f>E324+F324</f>
        <v/>
      </c>
      <c r="F325" s="124" t="n">
        <v>6</v>
      </c>
      <c r="G325" s="21" t="inlineStr">
        <is>
          <t>Opcional</t>
        </is>
      </c>
      <c r="I325">
        <f>E325+33</f>
        <v/>
      </c>
    </row>
    <row r="326" ht="28.8" customHeight="1">
      <c r="B326" s="132" t="inlineStr">
        <is>
          <t xml:space="preserve">      11  :PREFIX:-AF-FAT-VAR-CAPITAIS  PIC S9(3)V9(02)
                                            SIGN LEADING SEPARATE.</t>
        </is>
      </c>
      <c r="C326" s="122" t="n"/>
      <c r="D326" s="25" t="inlineStr">
        <is>
          <t>Percentagem da variação do Prémio atribuída ao Fator variação de Capitais</t>
        </is>
      </c>
      <c r="E326" s="124">
        <f>E325+F325</f>
        <v/>
      </c>
      <c r="F326" s="124" t="n">
        <v>6</v>
      </c>
      <c r="G326" s="21" t="inlineStr">
        <is>
          <t>Opcional</t>
        </is>
      </c>
      <c r="I326">
        <f>E326+33</f>
        <v/>
      </c>
    </row>
    <row r="327" ht="28.8" customHeight="1">
      <c r="B327" s="132" t="inlineStr">
        <is>
          <t xml:space="preserve">      11  :PREFIX:-AF-FAT-VITALITY      PIC S9(3)V9(02)
                                            SIGN LEADING SEPARATE.</t>
        </is>
      </c>
      <c r="C327" s="122" t="n"/>
      <c r="D327" s="25" t="inlineStr">
        <is>
          <t>Percentagem da variação do Prémio atribuída ao Fator Vitality ( só para Saúde)</t>
        </is>
      </c>
      <c r="E327" s="124">
        <f>E326+F326</f>
        <v/>
      </c>
      <c r="F327" s="124" t="n">
        <v>6</v>
      </c>
      <c r="G327" s="21" t="inlineStr">
        <is>
          <t>Opcional</t>
        </is>
      </c>
      <c r="I327">
        <f>E327+33</f>
        <v/>
      </c>
    </row>
    <row r="328" ht="28.8" customHeight="1">
      <c r="B328" s="132" t="inlineStr">
        <is>
          <t xml:space="preserve">      11  :PREFIX:-AF-FAT-IDADE         PIC S9(3)V9(02)
                                            SIGN LEADING SEPARATE.</t>
        </is>
      </c>
      <c r="C328" s="122" t="n"/>
      <c r="D328" s="25" t="inlineStr">
        <is>
          <t>Percentagem da variação do Prémio atribuída ao Fator Idade ( só para Saúde)</t>
        </is>
      </c>
      <c r="E328" s="124">
        <f>E327+F327</f>
        <v/>
      </c>
      <c r="F328" s="124" t="n">
        <v>6</v>
      </c>
      <c r="G328" s="21" t="inlineStr">
        <is>
          <t>Opcional</t>
        </is>
      </c>
      <c r="I328">
        <f>E328+33</f>
        <v/>
      </c>
    </row>
    <row r="329" ht="28.8" customHeight="1">
      <c r="B329" s="132" t="inlineStr">
        <is>
          <t xml:space="preserve">      11  :PREFIX:-AF-FAT-OUTROS        PIC S9(3)V9(02)
                                            SIGN LEADING SEPARATE.</t>
        </is>
      </c>
      <c r="C329" s="122" t="n"/>
      <c r="D329" s="25" t="inlineStr">
        <is>
          <t>Percentagem da variação do Prémio atribuída a outros Fatores</t>
        </is>
      </c>
      <c r="E329" s="124">
        <f>E328+F328</f>
        <v/>
      </c>
      <c r="F329" s="124" t="n">
        <v>6</v>
      </c>
      <c r="G329" s="21" t="inlineStr">
        <is>
          <t>Opcional</t>
        </is>
      </c>
      <c r="I329">
        <f>E329+33</f>
        <v/>
      </c>
    </row>
    <row r="330">
      <c r="B330" s="30" t="inlineStr">
        <is>
          <t xml:space="preserve">  07  :PREFIX:-DADOS-TAILOR.</t>
        </is>
      </c>
      <c r="C330" s="127" t="n"/>
      <c r="D330" s="33" t="n"/>
      <c r="E330" s="128">
        <f>E329+F329</f>
        <v/>
      </c>
      <c r="F330" s="129" t="n"/>
      <c r="G330" s="130" t="n"/>
    </row>
    <row r="331">
      <c r="B331" s="10" t="inlineStr">
        <is>
          <t xml:space="preserve">    09  :PREFIX:-DT-IND-APOL-AGREGADA   PIC X(01).</t>
        </is>
      </c>
      <c r="C331" s="122" t="n"/>
      <c r="D331" s="16" t="inlineStr">
        <is>
          <t>Indicador de Apólice Agregada (S/N)</t>
        </is>
      </c>
      <c r="E331" s="123">
        <f>E330+F330</f>
        <v/>
      </c>
      <c r="F331" s="124" t="n">
        <v>1</v>
      </c>
      <c r="G331" s="17" t="inlineStr">
        <is>
          <t>Obrigatório</t>
        </is>
      </c>
      <c r="I331">
        <f>E331+33</f>
        <v/>
      </c>
    </row>
    <row r="332">
      <c r="B332" s="10" t="inlineStr">
        <is>
          <t xml:space="preserve">        88  :PREFIX:-DT-APOL-TAILOR         VALUE 'S'.</t>
        </is>
      </c>
      <c r="C332" s="122" t="inlineStr">
        <is>
          <t xml:space="preserve"> </t>
        </is>
      </c>
      <c r="D332" s="136" t="inlineStr">
        <is>
          <t xml:space="preserve">     'S' - Apólice Tailor</t>
        </is>
      </c>
      <c r="E332" s="123" t="n"/>
      <c r="F332" s="124" t="n"/>
      <c r="G332" s="18" t="n"/>
      <c r="K332" s="126" t="n"/>
    </row>
    <row r="333">
      <c r="B333" s="99" t="inlineStr">
        <is>
          <t xml:space="preserve">  07  :PREFIX:-DADOS-PROGS-INTERNAC.</t>
        </is>
      </c>
      <c r="C333" s="99" t="n"/>
      <c r="D333" s="97" t="n"/>
      <c r="E333" s="144">
        <f>E331+F331</f>
        <v/>
      </c>
      <c r="F333" s="145" t="n"/>
      <c r="G333" s="130" t="n"/>
      <c r="I333">
        <f>E333+33</f>
        <v/>
      </c>
    </row>
    <row r="334">
      <c r="B334" s="80" t="inlineStr">
        <is>
          <t xml:space="preserve">    09  :PREFIX:-PI-POLICY-BUS-COUNTRY  PIC X(03).</t>
        </is>
      </c>
      <c r="C334" s="80" t="n"/>
      <c r="D334" s="39" t="inlineStr">
        <is>
          <t>País do negócio da Apólice</t>
        </is>
      </c>
      <c r="E334" s="90">
        <f>E333+F333</f>
        <v/>
      </c>
      <c r="F334" s="91" t="n">
        <v>3</v>
      </c>
      <c r="G334" s="19" t="inlineStr">
        <is>
          <t>Condicional</t>
        </is>
      </c>
      <c r="I334">
        <f>E334+33</f>
        <v/>
      </c>
    </row>
    <row r="335" ht="28.8" customHeight="1">
      <c r="B335" s="111" t="inlineStr">
        <is>
          <t xml:space="preserve">    09  :PREFIX:-PI-VLR-IMPOSTO         PIC S9(12)V9(02)
                                            SIGN LEADING SEPARATE.</t>
        </is>
      </c>
      <c r="C335" s="112" t="n"/>
      <c r="D335" s="146" t="inlineStr">
        <is>
          <t>Valor de Impostos para Apólices de programas Internacionais:
 somatório de impostos fiscais(VFISC), parafiscais(VPFIS) e consórcios(VCONS)</t>
        </is>
      </c>
      <c r="E335" s="90">
        <f>E334+F334</f>
        <v/>
      </c>
      <c r="F335" s="91" t="n">
        <v>15</v>
      </c>
      <c r="G335" s="19" t="inlineStr">
        <is>
          <t>Condicional</t>
        </is>
      </c>
      <c r="H335" s="131" t="n"/>
      <c r="I335">
        <f>E335+33</f>
        <v/>
      </c>
    </row>
    <row r="336">
      <c r="A336" s="147" t="n"/>
      <c r="B336" s="99" t="inlineStr">
        <is>
          <t xml:space="preserve">  07  :PREFIX:-DADOS-NOTA-ADICIONAL.</t>
        </is>
      </c>
      <c r="C336" s="99" t="n"/>
      <c r="D336" s="97" t="n"/>
      <c r="E336" s="144">
        <f>E335+F335</f>
        <v/>
      </c>
      <c r="F336" s="145" t="n"/>
      <c r="G336" s="130" t="n"/>
      <c r="I336">
        <f>E336+33</f>
        <v/>
      </c>
      <c r="L336" s="148" t="n">
        <v>202500071</v>
      </c>
    </row>
    <row r="337">
      <c r="A337" s="147" t="n"/>
      <c r="B337" s="80" t="inlineStr">
        <is>
          <t xml:space="preserve">    09  :PREFIX:-NC-IND-NOTA-ADIC       PIC X(01).</t>
        </is>
      </c>
      <c r="C337" s="80" t="n"/>
      <c r="D337" s="39" t="inlineStr">
        <is>
          <t>Indicador de existência de nota Adicional do Recibo de Acerto</t>
        </is>
      </c>
      <c r="E337" s="144">
        <f>E336+F336</f>
        <v/>
      </c>
      <c r="F337" s="91" t="n">
        <v>1</v>
      </c>
      <c r="G337" s="21" t="inlineStr">
        <is>
          <t>Opcional</t>
        </is>
      </c>
      <c r="I337">
        <f>E337+33</f>
        <v/>
      </c>
      <c r="L337" s="148" t="n">
        <v>202500071</v>
      </c>
    </row>
    <row r="338">
      <c r="A338" s="147" t="n"/>
      <c r="B338" s="99" t="inlineStr">
        <is>
          <t xml:space="preserve">  07  FILLER                            PIC X(445).</t>
        </is>
      </c>
      <c r="C338" s="99" t="n"/>
      <c r="D338" s="100" t="n"/>
      <c r="E338" s="144">
        <f>E337+F337</f>
        <v/>
      </c>
      <c r="F338" s="145">
        <f>E408-E338+1</f>
        <v/>
      </c>
      <c r="G338" s="130" t="n"/>
      <c r="I338">
        <f>E338+33</f>
        <v/>
      </c>
      <c r="L338" s="148" t="n">
        <v>202500071</v>
      </c>
    </row>
    <row r="339">
      <c r="B339" s="5" t="inlineStr">
        <is>
          <t>05  FILLER                        REDEFINES :PREFIX:-DADOS-DOCUMENTO.</t>
        </is>
      </c>
      <c r="C339" s="29" t="n"/>
      <c r="D339" s="7" t="n"/>
      <c r="E339" s="121" t="n"/>
      <c r="F339" s="121" t="n"/>
      <c r="G339" s="45" t="n"/>
    </row>
    <row r="340">
      <c r="B340" s="30" t="inlineStr">
        <is>
          <t xml:space="preserve">  07  :PREFIX:-DETALHE-EXTRATO.</t>
        </is>
      </c>
      <c r="C340" s="127" t="n"/>
      <c r="D340" s="32" t="inlineStr">
        <is>
          <t>Detalhe do extrato (Registo do tipo 2)</t>
        </is>
      </c>
      <c r="E340" s="128">
        <f>E46+F46</f>
        <v/>
      </c>
      <c r="F340" s="129" t="n"/>
      <c r="G340" s="130" t="n"/>
    </row>
    <row r="341">
      <c r="B341" s="10" t="inlineStr">
        <is>
          <t xml:space="preserve">    09  :PREFIX:-EXT2-INSTALMENT-NR     PIC X(03).</t>
        </is>
      </c>
      <c r="C341" s="122" t="n"/>
      <c r="D341" s="16" t="inlineStr">
        <is>
          <t>Número de fracção (Valores de 001 a 012, e 999)</t>
        </is>
      </c>
      <c r="E341" s="123">
        <f>E340+F340</f>
        <v/>
      </c>
      <c r="F341" s="124" t="n">
        <v>3</v>
      </c>
      <c r="G341" s="17" t="inlineStr">
        <is>
          <t>Obrigatório</t>
        </is>
      </c>
      <c r="I341">
        <f>E341+33</f>
        <v/>
      </c>
    </row>
    <row r="342">
      <c r="B342" s="10" t="inlineStr">
        <is>
          <t xml:space="preserve">    09  :PREFIX:-EXT2-DT-INI-REC        PIC X(08).</t>
        </is>
      </c>
      <c r="C342" s="122" t="n"/>
      <c r="D342" s="16" t="inlineStr">
        <is>
          <t>Data inicio [aaaammdd]</t>
        </is>
      </c>
      <c r="E342" s="123">
        <f>E341+F341</f>
        <v/>
      </c>
      <c r="F342" s="124" t="n">
        <v>8</v>
      </c>
      <c r="G342" s="17" t="inlineStr">
        <is>
          <t>Obrigatório</t>
        </is>
      </c>
      <c r="I342">
        <f>E342+33</f>
        <v/>
      </c>
    </row>
    <row r="343">
      <c r="B343" s="10" t="inlineStr">
        <is>
          <t xml:space="preserve">    09  :PREFIX:-EXT2-DT-FIM-REC        PIC X(08).</t>
        </is>
      </c>
      <c r="C343" s="122" t="n"/>
      <c r="D343" s="16" t="inlineStr">
        <is>
          <t>Data fim [aaaammdd]</t>
        </is>
      </c>
      <c r="E343" s="123">
        <f>E342+F342</f>
        <v/>
      </c>
      <c r="F343" s="124" t="n">
        <v>8</v>
      </c>
      <c r="G343" s="17" t="inlineStr">
        <is>
          <t>Obrigatório</t>
        </is>
      </c>
      <c r="I343">
        <f>E343+33</f>
        <v/>
      </c>
    </row>
    <row r="344" ht="28.8" customHeight="1">
      <c r="B344" s="40" t="inlineStr">
        <is>
          <t xml:space="preserve">    09  :PREFIX:-EXT2-VLR-MOV           PIC S9(12)V9(02)
                                            SIGN LEADING SEPARATE.</t>
        </is>
      </c>
      <c r="C344" s="42" t="n"/>
      <c r="D344" s="25" t="inlineStr">
        <is>
          <t>Valor do movimento</t>
        </is>
      </c>
      <c r="E344" s="123">
        <f>E343+F343</f>
        <v/>
      </c>
      <c r="F344" s="124" t="n">
        <v>15</v>
      </c>
      <c r="G344" s="17" t="inlineStr">
        <is>
          <t>Obrigatório</t>
        </is>
      </c>
      <c r="H344" s="131" t="n"/>
      <c r="I344">
        <f>E344+33</f>
        <v/>
      </c>
    </row>
    <row r="345">
      <c r="B345" s="10" t="inlineStr">
        <is>
          <t xml:space="preserve">    09  :PREFIX:-EXT2-DT-VENCIM         PIC X(08).</t>
        </is>
      </c>
      <c r="C345" s="122" t="n"/>
      <c r="D345" s="16" t="inlineStr">
        <is>
          <t>Data vencimento [aaaammdd]</t>
        </is>
      </c>
      <c r="E345" s="123">
        <f>E344+F344</f>
        <v/>
      </c>
      <c r="F345" s="124" t="n">
        <v>8</v>
      </c>
      <c r="G345" s="17" t="inlineStr">
        <is>
          <t>Obrigatório</t>
        </is>
      </c>
      <c r="H345" s="131" t="n"/>
      <c r="I345">
        <f>E345+33</f>
        <v/>
      </c>
    </row>
    <row r="346">
      <c r="B346" s="99" t="inlineStr">
        <is>
          <t xml:space="preserve">  07  FILLER                            PIC X(2864).</t>
        </is>
      </c>
      <c r="C346" s="127" t="n"/>
      <c r="D346" s="32" t="n"/>
      <c r="E346" s="128">
        <f>E345+F345</f>
        <v/>
      </c>
      <c r="F346" s="129">
        <f>E408-E346+1</f>
        <v/>
      </c>
      <c r="G346" s="130" t="n"/>
      <c r="I346">
        <f>E346+33</f>
        <v/>
      </c>
    </row>
    <row r="347">
      <c r="B347" s="5" t="inlineStr">
        <is>
          <t>05  FILLER                        REDEFINES :PREFIX:-DADOS-DOCUMENTO.</t>
        </is>
      </c>
      <c r="C347" s="29" t="n"/>
      <c r="D347" s="7" t="n"/>
      <c r="E347" s="121" t="n"/>
      <c r="F347" s="121" t="n"/>
      <c r="G347" s="45" t="n"/>
    </row>
    <row r="348">
      <c r="B348" s="30" t="inlineStr">
        <is>
          <t xml:space="preserve">  07  :PREFIX:-FOOTER-EXTRATO.</t>
        </is>
      </c>
      <c r="C348" s="127" t="n"/>
      <c r="D348" s="32" t="inlineStr">
        <is>
          <t>Footer do extrato (Registo do tipo 3)</t>
        </is>
      </c>
      <c r="E348" s="128">
        <f>E46+F46</f>
        <v/>
      </c>
      <c r="F348" s="129" t="n"/>
      <c r="G348" s="130" t="n"/>
    </row>
    <row r="349" ht="28.8" customHeight="1">
      <c r="B349" s="40" t="inlineStr">
        <is>
          <t xml:space="preserve">    09  :PREFIX:-EXT5-VLR-TOTAL         PIC S9(12)V9(02)
                                            SIGN LEADING SEPARATE.</t>
        </is>
      </c>
      <c r="C349" s="42" t="n"/>
      <c r="D349" s="25" t="inlineStr">
        <is>
          <t>Valor total</t>
        </is>
      </c>
      <c r="E349" s="123">
        <f>E348+F348</f>
        <v/>
      </c>
      <c r="F349" s="124" t="n">
        <v>15</v>
      </c>
      <c r="G349" s="17" t="inlineStr">
        <is>
          <t>Obrigatório</t>
        </is>
      </c>
      <c r="H349" s="131" t="n"/>
      <c r="I349">
        <f>E349+33</f>
        <v/>
      </c>
    </row>
    <row r="350">
      <c r="B350" s="99" t="inlineStr">
        <is>
          <t xml:space="preserve">  07  FILLER                            PIC X(2891).</t>
        </is>
      </c>
      <c r="C350" s="127" t="n"/>
      <c r="D350" s="32" t="n"/>
      <c r="E350" s="128">
        <f>E349+F349</f>
        <v/>
      </c>
      <c r="F350" s="129">
        <f>E408-E350+1</f>
        <v/>
      </c>
      <c r="G350" s="130" t="n"/>
      <c r="I350">
        <f>E350+33</f>
        <v/>
      </c>
    </row>
    <row r="351">
      <c r="B351" s="92" t="inlineStr">
        <is>
          <t>05  FILLER                        REDEFINES :PREFIX:-DADOS-DOCUMENTO.</t>
        </is>
      </c>
      <c r="C351" s="92" t="n"/>
      <c r="D351" s="74" t="n"/>
      <c r="E351" s="93" t="n"/>
      <c r="F351" s="93" t="n"/>
      <c r="G351" s="45" t="n"/>
    </row>
    <row r="352">
      <c r="B352" s="99" t="inlineStr">
        <is>
          <t xml:space="preserve">  07  :PREFIX:-DETALHE-TAILOR.</t>
        </is>
      </c>
      <c r="C352" s="99" t="n"/>
      <c r="D352" s="100" t="n"/>
      <c r="E352" s="144">
        <f>E46+F46</f>
        <v/>
      </c>
      <c r="F352" s="145" t="n"/>
      <c r="G352" s="130" t="n"/>
    </row>
    <row r="353">
      <c r="B353" s="80" t="inlineStr">
        <is>
          <t xml:space="preserve">    09  :PREFIX:-TA-NR-APOLICE          PIC X(16).</t>
        </is>
      </c>
      <c r="C353" s="80" t="n"/>
      <c r="D353" s="39" t="inlineStr">
        <is>
          <t>Número da Apólice</t>
        </is>
      </c>
      <c r="E353" s="90">
        <f>E352+F352</f>
        <v/>
      </c>
      <c r="F353" s="91" t="n">
        <v>16</v>
      </c>
      <c r="G353" s="17" t="inlineStr">
        <is>
          <t>Obrigatório</t>
        </is>
      </c>
      <c r="I353">
        <f>E353+33</f>
        <v/>
      </c>
    </row>
    <row r="354">
      <c r="B354" s="80" t="inlineStr">
        <is>
          <t xml:space="preserve">    09  :PREFIX:-TA-COD-PRODUTO         PIC X(10).</t>
        </is>
      </c>
      <c r="C354" s="80" t="n"/>
      <c r="D354" s="39" t="inlineStr">
        <is>
          <t>Código de Produto [Garantir que no máximo vem 6 posições]</t>
        </is>
      </c>
      <c r="E354" s="90">
        <f>E353+F353</f>
        <v/>
      </c>
      <c r="F354" s="91" t="n">
        <v>10</v>
      </c>
      <c r="G354" s="19" t="inlineStr">
        <is>
          <t>Condicional</t>
        </is>
      </c>
      <c r="I354">
        <f>E354+33</f>
        <v/>
      </c>
    </row>
    <row r="355">
      <c r="B355" s="80" t="inlineStr">
        <is>
          <t xml:space="preserve">    09  :PREFIX:-TA-COD-RAMO            PIC X(10).</t>
        </is>
      </c>
      <c r="C355" s="80" t="n"/>
      <c r="D355" s="39" t="inlineStr">
        <is>
          <t>Código do Ramo SO [Garantir que no máximo vem 6 posições]</t>
        </is>
      </c>
      <c r="E355" s="90">
        <f>E354+F354</f>
        <v/>
      </c>
      <c r="F355" s="91" t="n">
        <v>10</v>
      </c>
      <c r="G355" s="19" t="inlineStr">
        <is>
          <t>Condicional</t>
        </is>
      </c>
      <c r="I355">
        <f>E355+33</f>
        <v/>
      </c>
    </row>
    <row r="356">
      <c r="A356" s="131" t="n"/>
      <c r="B356" s="112" t="inlineStr">
        <is>
          <t xml:space="preserve">    09  :PREFIX:-TA-DESCR-RAMO-PROD     PIC X(40).</t>
        </is>
      </c>
      <c r="C356" s="112" t="n"/>
      <c r="D356" s="98" t="inlineStr">
        <is>
          <t>Descritivo do Ramo / Produto (Para apresentação no A-R)</t>
        </is>
      </c>
      <c r="E356" s="90">
        <f>E355+F355</f>
        <v/>
      </c>
      <c r="F356" s="91" t="n">
        <v>40</v>
      </c>
      <c r="G356" s="17" t="inlineStr">
        <is>
          <t>Obrigatório</t>
        </is>
      </c>
      <c r="I356">
        <f>E356+33</f>
        <v/>
      </c>
    </row>
    <row r="357">
      <c r="A357" s="131" t="n"/>
      <c r="B357" s="112" t="inlineStr">
        <is>
          <t xml:space="preserve">    09  :PREFIX:-TA-VI-TIPO-APOLICE     PIC X(02).</t>
        </is>
      </c>
      <c r="C357" s="112" t="n"/>
      <c r="D357" s="98" t="inlineStr">
        <is>
          <t>Tipo de Apólice Vida</t>
        </is>
      </c>
      <c r="E357" s="90">
        <f>E356+F356</f>
        <v/>
      </c>
      <c r="F357" s="91" t="n">
        <v>2</v>
      </c>
      <c r="G357" s="21" t="inlineStr">
        <is>
          <t>Opcional</t>
        </is>
      </c>
      <c r="I357">
        <f>E357+33</f>
        <v/>
      </c>
    </row>
    <row r="358">
      <c r="B358" s="80" t="inlineStr">
        <is>
          <t xml:space="preserve">    09  :PREFIX:-DET-VALORES-TAILOR.</t>
        </is>
      </c>
      <c r="C358" s="80" t="n"/>
      <c r="D358" s="39" t="n"/>
      <c r="E358" s="90">
        <f>E357+F357</f>
        <v/>
      </c>
      <c r="F358" s="91" t="n"/>
      <c r="G358" s="9" t="n"/>
      <c r="I358">
        <f>E358+33</f>
        <v/>
      </c>
      <c r="K358" s="126" t="n"/>
    </row>
    <row r="359" ht="28.8" customHeight="1">
      <c r="B359" s="111" t="inlineStr">
        <is>
          <t xml:space="preserve">      11  :PREFIX:-DT-VLR-CAPITAL-RECIBO PIC S9(12)V9(02)
                                             SIGN LEADING SEPARATE.</t>
        </is>
      </c>
      <c r="C359" s="112" t="n"/>
      <c r="D359" s="98" t="inlineStr">
        <is>
          <t>Valor do capital / valor da entrega - Descritivo: 'CAPITAL' | 'PREMIO INVEST' |'CAPITAL ENTREGUE'</t>
        </is>
      </c>
      <c r="E359" s="90">
        <f>E358+F358</f>
        <v/>
      </c>
      <c r="F359" s="91" t="n">
        <v>15</v>
      </c>
      <c r="G359" s="21" t="inlineStr">
        <is>
          <t>Opcional</t>
        </is>
      </c>
      <c r="H359" s="131" t="n"/>
      <c r="I359">
        <f>E359+33</f>
        <v/>
      </c>
      <c r="K359" s="126" t="n"/>
    </row>
    <row r="360" ht="28.8" customHeight="1">
      <c r="B360" s="111" t="inlineStr">
        <is>
          <t xml:space="preserve">      11  :PREFIX:-DT-VLR-PREMIO-RISCO   PIC S9(12)V9(02)
                                             SIGN LEADING SEPARATE.</t>
        </is>
      </c>
      <c r="C360" s="112" t="n"/>
      <c r="D360" s="98" t="inlineStr">
        <is>
          <t>Valor de Prémio de Risco - Descritivo: 'PRÉMIO RISCO'</t>
        </is>
      </c>
      <c r="E360" s="90">
        <f>E359+F359</f>
        <v/>
      </c>
      <c r="F360" s="91" t="n">
        <v>15</v>
      </c>
      <c r="G360" s="21" t="inlineStr">
        <is>
          <t>Opcional</t>
        </is>
      </c>
      <c r="H360" s="131" t="n"/>
      <c r="I360">
        <f>E360+33</f>
        <v/>
      </c>
      <c r="K360" s="126" t="n"/>
    </row>
    <row r="361" ht="28.8" customHeight="1">
      <c r="B361" s="111" t="inlineStr">
        <is>
          <t xml:space="preserve">      11  :PREFIX:-DT-VLR-BONIFICACAO    PIC S9(12)V9(02)
                                             SIGN LEADING SEPARATE.</t>
        </is>
      </c>
      <c r="C361" s="112" t="n"/>
      <c r="D361" s="98" t="inlineStr">
        <is>
          <t>Bonificação (Colheitas) - Descritivo: 'BONIFICAÇÃO'</t>
        </is>
      </c>
      <c r="E361" s="90">
        <f>E360+F360</f>
        <v/>
      </c>
      <c r="F361" s="91" t="n">
        <v>15</v>
      </c>
      <c r="G361" s="21" t="inlineStr">
        <is>
          <t>Opcional</t>
        </is>
      </c>
      <c r="H361" s="131" t="n"/>
      <c r="I361">
        <f>E361+33</f>
        <v/>
      </c>
      <c r="K361" s="126" t="n"/>
    </row>
    <row r="362" ht="28.8" customHeight="1">
      <c r="B362" s="111" t="inlineStr">
        <is>
          <t xml:space="preserve">      11  :PREFIX:-DT-VLR-TOTAL-RECIBO   PIC S9(12)V9(02)
                                             SIGN LEADING SEPARATE.</t>
        </is>
      </c>
      <c r="C362" s="112" t="n"/>
      <c r="D362" s="98" t="inlineStr">
        <is>
          <t>Prémio total recibo - Descritivo: 'VALOR A PAGAR' | 'VALOR A RECEBER' | 'TOTAL DE PRÉMIOS'</t>
        </is>
      </c>
      <c r="E362" s="90">
        <f>E361+F361</f>
        <v/>
      </c>
      <c r="F362" s="91" t="n">
        <v>15</v>
      </c>
      <c r="G362" s="21" t="inlineStr">
        <is>
          <t>Opcional</t>
        </is>
      </c>
      <c r="H362" s="131" t="n"/>
      <c r="I362">
        <f>E362+33</f>
        <v/>
      </c>
    </row>
    <row r="363" ht="28.8" customHeight="1">
      <c r="B363" s="111" t="inlineStr">
        <is>
          <t xml:space="preserve">      11  :PREFIX:-DT-VLR-FRACC          PIC S9(12)V9(02)
                                             SIGN LEADING SEPARATE.</t>
        </is>
      </c>
      <c r="C363" s="112" t="n"/>
      <c r="D363" s="98" t="inlineStr">
        <is>
          <t>Custo de Fraccionamento - Descritivo: 'CUSTO FRACCIONAMENTO'</t>
        </is>
      </c>
      <c r="E363" s="90">
        <f>E362+F362</f>
        <v/>
      </c>
      <c r="F363" s="91" t="n">
        <v>15</v>
      </c>
      <c r="G363" s="21" t="inlineStr">
        <is>
          <t>Opcional</t>
        </is>
      </c>
      <c r="H363" s="131" t="n"/>
      <c r="I363">
        <f>E363+33</f>
        <v/>
      </c>
    </row>
    <row r="364" ht="28.8" customHeight="1">
      <c r="B364" s="111" t="inlineStr">
        <is>
          <t xml:space="preserve">      11  :PREFIX:-DT-VLR-FAT            PIC S9(12)V9(02)
                                             SIGN LEADING SEPARATE.</t>
        </is>
      </c>
      <c r="C364" s="112" t="n"/>
      <c r="D364" s="98" t="inlineStr">
        <is>
          <t>Fundo de Garantia de Acidentes de Trabalho - Descritivo: 'CV / SNB / FAT'</t>
        </is>
      </c>
      <c r="E364" s="90">
        <f>E363+F363</f>
        <v/>
      </c>
      <c r="F364" s="91" t="n">
        <v>15</v>
      </c>
      <c r="G364" s="21" t="inlineStr">
        <is>
          <t>Opcional</t>
        </is>
      </c>
      <c r="H364" s="131" t="n"/>
      <c r="I364">
        <f>E364+33</f>
        <v/>
      </c>
    </row>
    <row r="365" ht="28.8" customHeight="1">
      <c r="B365" s="111" t="inlineStr">
        <is>
          <t xml:space="preserve">      11  :PREFIX:-DT-VLR-FGA            PIC S9(12)V9(02)
                                             SIGN LEADING SEPARATE.</t>
        </is>
      </c>
      <c r="C365" s="112" t="n"/>
      <c r="D365" s="98" t="inlineStr">
        <is>
          <t>Fundo de Garantia Automóvel - Descritivo: 'F.CALAM / FGA'</t>
        </is>
      </c>
      <c r="E365" s="90">
        <f>E364+F364</f>
        <v/>
      </c>
      <c r="F365" s="91" t="n">
        <v>15</v>
      </c>
      <c r="G365" s="21" t="inlineStr">
        <is>
          <t>Opcional</t>
        </is>
      </c>
      <c r="H365" s="131" t="n"/>
      <c r="I365">
        <f>E365+33</f>
        <v/>
      </c>
    </row>
    <row r="366" ht="28.8" customHeight="1">
      <c r="B366" s="111" t="inlineStr">
        <is>
          <t xml:space="preserve">      11  :PREFIX:-DT-VLR-SNB            PIC S9(12)V9(02)
                                             SIGN LEADING SEPARATE.</t>
        </is>
      </c>
      <c r="C366" s="112" t="n"/>
      <c r="D366" s="98" t="inlineStr">
        <is>
          <t>Imposto Serviço Nacional de Bombeiros - Descritivo: 'SNB' | 'CV / SNB / FAT'</t>
        </is>
      </c>
      <c r="E366" s="90">
        <f>E365+F365</f>
        <v/>
      </c>
      <c r="F366" s="91" t="n">
        <v>15</v>
      </c>
      <c r="G366" s="21" t="inlineStr">
        <is>
          <t>Opcional</t>
        </is>
      </c>
      <c r="H366" s="131" t="n"/>
      <c r="I366">
        <f>E366+33</f>
        <v/>
      </c>
    </row>
    <row r="367" ht="28.8" customHeight="1">
      <c r="B367" s="111" t="inlineStr">
        <is>
          <t xml:space="preserve">      11  :PREFIX:-DT-VLR-INEM           PIC S9(12)V9(02)
                                             SIGN LEADING SEPARATE.</t>
        </is>
      </c>
      <c r="C367" s="112" t="n"/>
      <c r="D367" s="98" t="inlineStr">
        <is>
          <t>Imposto INEM - Descritivo: 'INEM'</t>
        </is>
      </c>
      <c r="E367" s="90">
        <f>E366+F366</f>
        <v/>
      </c>
      <c r="F367" s="91" t="n">
        <v>15</v>
      </c>
      <c r="G367" s="21" t="inlineStr">
        <is>
          <t>Opcional</t>
        </is>
      </c>
      <c r="H367" s="131" t="n"/>
      <c r="I367">
        <f>E367+33</f>
        <v/>
      </c>
    </row>
    <row r="368" ht="28.8" customHeight="1">
      <c r="B368" s="111" t="inlineStr">
        <is>
          <t xml:space="preserve">      11  :PREFIX:-DT-VLR-CVERDE         PIC S9(12)V9(02)
                                             SIGN LEADING SEPARATE.</t>
        </is>
      </c>
      <c r="C368" s="112" t="n"/>
      <c r="D368" s="98" t="inlineStr">
        <is>
          <t>Custo da Carta Verde - Descritivo: 'CV / SNB / FAT'</t>
        </is>
      </c>
      <c r="E368" s="90">
        <f>E367+F367</f>
        <v/>
      </c>
      <c r="F368" s="91" t="n">
        <v>15</v>
      </c>
      <c r="G368" s="21" t="inlineStr">
        <is>
          <t>Opcional</t>
        </is>
      </c>
      <c r="H368" s="131" t="n"/>
      <c r="I368">
        <f>E368+33</f>
        <v/>
      </c>
    </row>
    <row r="369" ht="28.8" customHeight="1">
      <c r="B369" s="111" t="inlineStr">
        <is>
          <t xml:space="preserve">      11  :PREFIX:-DT-VLR-SELOS          PIC S9(12)V9(02)
                                             SIGN LEADING SEPARATE.</t>
        </is>
      </c>
      <c r="C369" s="112" t="n"/>
      <c r="D369" s="98" t="inlineStr">
        <is>
          <t>Descritivo: 'SELO de GARANTIA'</t>
        </is>
      </c>
      <c r="E369" s="90">
        <f>E368+F368</f>
        <v/>
      </c>
      <c r="F369" s="91" t="n">
        <v>15</v>
      </c>
      <c r="G369" s="21" t="inlineStr">
        <is>
          <t>Opcional</t>
        </is>
      </c>
      <c r="H369" s="131" t="n"/>
      <c r="I369">
        <f>E369+33</f>
        <v/>
      </c>
    </row>
    <row r="370" ht="28.8" customHeight="1">
      <c r="B370" s="111" t="inlineStr">
        <is>
          <t xml:space="preserve">      11  :PREFIX:-DT-VLR-ACTA           PIC S9(12)V9(02)
                                             SIGN LEADING SEPARATE.</t>
        </is>
      </c>
      <c r="C370" s="112" t="n"/>
      <c r="D370" s="146" t="inlineStr">
        <is>
          <t>Custo da Acta/Apólice - Descritivo: 'APÓLICE / ACTA' | 'CUSTO CERTIFICADO'</t>
        </is>
      </c>
      <c r="E370" s="90">
        <f>E369+F369</f>
        <v/>
      </c>
      <c r="F370" s="91" t="n">
        <v>15</v>
      </c>
      <c r="G370" s="21" t="inlineStr">
        <is>
          <t>Opcional</t>
        </is>
      </c>
      <c r="H370" s="131" t="n"/>
      <c r="I370">
        <f>E370+33</f>
        <v/>
      </c>
    </row>
    <row r="371" ht="28.8" customHeight="1">
      <c r="B371" s="111" t="inlineStr">
        <is>
          <t xml:space="preserve">      11  :PREFIX:-DT-VLR-IMP-SELO       PIC S9(12)V9(02)
                                             SIGN LEADING SEPARATE.</t>
        </is>
      </c>
      <c r="C371" s="112" t="n"/>
      <c r="D371" s="98" t="inlineStr">
        <is>
          <t>Imposto de Selo - Descritivo: 'SELO'</t>
        </is>
      </c>
      <c r="E371" s="90">
        <f>E370+F370</f>
        <v/>
      </c>
      <c r="F371" s="91" t="n">
        <v>15</v>
      </c>
      <c r="G371" s="21" t="inlineStr">
        <is>
          <t>Opcional</t>
        </is>
      </c>
      <c r="H371" s="131" t="n"/>
      <c r="I371">
        <f>E371+33</f>
        <v/>
      </c>
    </row>
    <row r="372" ht="28.8" customHeight="1">
      <c r="B372" s="111" t="inlineStr">
        <is>
          <t xml:space="preserve">      11  :PREFIX:-DT-VLR-FUND-CALAM     PIC S9(12)V9(02)
                                             SIGN LEADING SEPARATE.</t>
        </is>
      </c>
      <c r="C372" s="112" t="n"/>
      <c r="D372" s="98" t="inlineStr">
        <is>
          <t>Fundo de calamidades - Descritivo: 'F.CALAM / FGA'</t>
        </is>
      </c>
      <c r="E372" s="90">
        <f>E371+F371</f>
        <v/>
      </c>
      <c r="F372" s="91" t="n">
        <v>15</v>
      </c>
      <c r="G372" s="21" t="inlineStr">
        <is>
          <t>Opcional</t>
        </is>
      </c>
      <c r="H372" s="131" t="n"/>
      <c r="I372">
        <f>E372+33</f>
        <v/>
      </c>
    </row>
    <row r="373" ht="28.8" customHeight="1">
      <c r="B373" s="111" t="inlineStr">
        <is>
          <t xml:space="preserve">      11  :PREFIX:-DT-VLR-FGA-OCOBERT    PIC S9(12)V9(02)
                                             SIGN LEADING SEPARATE.</t>
        </is>
      </c>
      <c r="C373" s="112" t="n"/>
      <c r="D373" s="98" t="inlineStr">
        <is>
          <t>FGA, Outras Coberturas do Ramo Contabilistico - Descritivo: 'FGA-PR (*)'</t>
        </is>
      </c>
      <c r="E373" s="90">
        <f>E372+F372</f>
        <v/>
      </c>
      <c r="F373" s="91" t="n">
        <v>15</v>
      </c>
      <c r="G373" s="21" t="inlineStr">
        <is>
          <t>Opcional</t>
        </is>
      </c>
      <c r="H373" s="131" t="n"/>
      <c r="I373">
        <f>E373+33</f>
        <v/>
      </c>
    </row>
    <row r="374" ht="28.8" customHeight="1">
      <c r="B374" s="111" t="inlineStr">
        <is>
          <t xml:space="preserve">      11  :PREFIX:-DT-VLR-FGA-RCIVIL     PIC S9(12)V9(02)
                                             SIGN LEADING SEPARATE.</t>
        </is>
      </c>
      <c r="C374" s="112" t="n"/>
      <c r="D374" s="98" t="inlineStr">
        <is>
          <t>FGA, Responsabilidade Civil do Ramo Contabilistico - Descritivo: 'FGA (*)'</t>
        </is>
      </c>
      <c r="E374" s="90">
        <f>E373+F373</f>
        <v/>
      </c>
      <c r="F374" s="91" t="n">
        <v>15</v>
      </c>
      <c r="G374" s="21" t="inlineStr">
        <is>
          <t>Opcional</t>
        </is>
      </c>
      <c r="H374" s="131" t="n"/>
      <c r="I374">
        <f>E374+33</f>
        <v/>
      </c>
    </row>
    <row r="375" ht="28.8" customHeight="1">
      <c r="B375" s="111" t="inlineStr">
        <is>
          <t xml:space="preserve">      11  :PREFIX:-DT-VLR-BONUS          PIC S9(12)V9(02)
                                             SIGN LEADING SEPARATE.</t>
        </is>
      </c>
      <c r="C375" s="112" t="n"/>
      <c r="D375" s="98" t="inlineStr">
        <is>
          <t>Bónus - Descritivo: 'BONUS'</t>
        </is>
      </c>
      <c r="E375" s="90">
        <f>E374+F374</f>
        <v/>
      </c>
      <c r="F375" s="91" t="n">
        <v>15</v>
      </c>
      <c r="G375" s="21" t="inlineStr">
        <is>
          <t>Opcional</t>
        </is>
      </c>
      <c r="H375" s="131" t="n"/>
      <c r="I375">
        <f>E375+33</f>
        <v/>
      </c>
    </row>
    <row r="376" ht="28.8" customHeight="1">
      <c r="B376" s="111" t="inlineStr">
        <is>
          <t xml:space="preserve">      11  :PREFIX:-DT-VLR-PR-SIMPLES     PIC S9(12)V9(02)
                                             SIGN LEADING SEPARATE.</t>
        </is>
      </c>
      <c r="C376" s="112" t="n"/>
      <c r="D376" s="98" t="inlineStr">
        <is>
          <t>Prémio Simples - Descritivo: 'PRÉMIO COMERCIAL'</t>
        </is>
      </c>
      <c r="E376" s="90">
        <f>E375+F375</f>
        <v/>
      </c>
      <c r="F376" s="91" t="n">
        <v>15</v>
      </c>
      <c r="G376" s="21" t="inlineStr">
        <is>
          <t>Opcional</t>
        </is>
      </c>
      <c r="H376" s="131" t="n"/>
      <c r="I376">
        <f>E376+33</f>
        <v/>
      </c>
    </row>
    <row r="377" ht="28.8" customHeight="1">
      <c r="B377" s="111" t="inlineStr">
        <is>
          <t xml:space="preserve">      11  :PREFIX:-DT-VLR-PR-ANUAL       PIC S9(12)V9(02)
                                             SIGN LEADING SEPARATE.</t>
        </is>
      </c>
      <c r="C377" s="112" t="n"/>
      <c r="D377" s="98" t="inlineStr">
        <is>
          <t>Actualização do Prémio Anual</t>
        </is>
      </c>
      <c r="E377" s="90">
        <f>E376+F376</f>
        <v/>
      </c>
      <c r="F377" s="91" t="n">
        <v>15</v>
      </c>
      <c r="G377" s="21" t="inlineStr">
        <is>
          <t>Opcional</t>
        </is>
      </c>
      <c r="H377" s="131" t="n"/>
      <c r="I377">
        <f>E377+33</f>
        <v/>
      </c>
    </row>
    <row r="378" ht="28.8" customHeight="1">
      <c r="B378" s="111" t="inlineStr">
        <is>
          <t xml:space="preserve">      11  :PREFIX:-DT-VLR-ENC-AQUIS      PIC S9(12)V9(02)
                                             SIGN LEADING SEPARATE.</t>
        </is>
      </c>
      <c r="C378" s="112" t="n"/>
      <c r="D378" s="98" t="inlineStr">
        <is>
          <t>Valor dos encargos Aquisição - componente da parcela com Descritivo: 'ENCARGOS'</t>
        </is>
      </c>
      <c r="E378" s="90">
        <f>E377+F377</f>
        <v/>
      </c>
      <c r="F378" s="91" t="n">
        <v>15</v>
      </c>
      <c r="G378" s="21" t="inlineStr">
        <is>
          <t>Opcional</t>
        </is>
      </c>
      <c r="H378" s="131" t="n"/>
      <c r="I378">
        <f>E378+33</f>
        <v/>
      </c>
    </row>
    <row r="379" ht="28.8" customHeight="1">
      <c r="B379" s="111" t="inlineStr">
        <is>
          <t xml:space="preserve">      11  :PREFIX:-DT-VLR-ENC-PENAL      PIC S9(12)V9(02)
                                             SIGN LEADING SEPARATE.</t>
        </is>
      </c>
      <c r="C379" s="112" t="n"/>
      <c r="D379" s="146" t="inlineStr">
        <is>
          <t xml:space="preserve">Valor dos encargos Penalização - Parcela das Faturas de Indemnizações com Descritivo: ENCARGOS/COMISSÕES </t>
        </is>
      </c>
      <c r="E379" s="90">
        <f>E378+F378</f>
        <v/>
      </c>
      <c r="F379" s="91" t="n">
        <v>15</v>
      </c>
      <c r="G379" s="21" t="inlineStr">
        <is>
          <t>Opcional</t>
        </is>
      </c>
      <c r="H379" s="131" t="n"/>
      <c r="I379">
        <f>E379+33</f>
        <v/>
      </c>
    </row>
    <row r="380">
      <c r="B380" s="99" t="inlineStr">
        <is>
          <t xml:space="preserve">  07  FILLER                            PIC X(2513).</t>
        </is>
      </c>
      <c r="C380" s="99" t="n"/>
      <c r="D380" s="100" t="n"/>
      <c r="E380" s="144">
        <f>E379+F379</f>
        <v/>
      </c>
      <c r="F380" s="145">
        <f>E408-E380+1</f>
        <v/>
      </c>
      <c r="G380" s="130" t="n"/>
      <c r="I380">
        <f>E380+33</f>
        <v/>
      </c>
    </row>
    <row r="381">
      <c r="B381" s="92" t="inlineStr">
        <is>
          <t>05  FILLER                        REDEFINES :PREFIX:-DADOS-DOCUMENTO.</t>
        </is>
      </c>
      <c r="C381" s="92" t="n"/>
      <c r="D381" s="74" t="n"/>
      <c r="E381" s="93" t="n"/>
      <c r="F381" s="93" t="n"/>
      <c r="G381" s="45" t="n"/>
    </row>
    <row r="382">
      <c r="B382" s="99" t="inlineStr">
        <is>
          <t xml:space="preserve">  07  :PREFIX:-FOOTER-TAILOR.</t>
        </is>
      </c>
      <c r="C382" s="99" t="n"/>
      <c r="D382" s="100" t="n"/>
      <c r="E382" s="144">
        <f>E46+F46</f>
        <v/>
      </c>
      <c r="F382" s="145" t="n"/>
      <c r="G382" s="130" t="n"/>
    </row>
    <row r="383">
      <c r="B383" s="80" t="inlineStr">
        <is>
          <t xml:space="preserve">    09  :PREFIX:-FT-TOT-REGISTOS        PIC 9(05).</t>
        </is>
      </c>
      <c r="C383" s="80" t="n"/>
      <c r="D383" s="39" t="inlineStr">
        <is>
          <t>Quantidade de Apólices</t>
        </is>
      </c>
      <c r="E383" s="90">
        <f>E382+F382</f>
        <v/>
      </c>
      <c r="F383" s="91" t="n">
        <v>5</v>
      </c>
      <c r="G383" s="17" t="inlineStr">
        <is>
          <t>Obrigatório</t>
        </is>
      </c>
      <c r="I383">
        <f>E383+33</f>
        <v/>
      </c>
    </row>
    <row r="384">
      <c r="B384" s="80" t="inlineStr">
        <is>
          <t xml:space="preserve">    09  FILLER                          PIC X(73).</t>
        </is>
      </c>
      <c r="C384" s="80" t="n"/>
      <c r="D384" s="39" t="inlineStr">
        <is>
          <t>ESPAÇOS</t>
        </is>
      </c>
      <c r="E384" s="90">
        <f>E383+F383</f>
        <v/>
      </c>
      <c r="F384" s="91" t="n">
        <v>73</v>
      </c>
      <c r="G384" s="9" t="n"/>
      <c r="I384">
        <f>E384+33</f>
        <v/>
      </c>
    </row>
    <row r="385">
      <c r="B385" s="80" t="inlineStr">
        <is>
          <t xml:space="preserve">    09  :PREFIX:-FT-VALORES-TAILOR.</t>
        </is>
      </c>
      <c r="C385" s="80" t="n"/>
      <c r="D385" s="39" t="n"/>
      <c r="E385" s="90">
        <f>E384+F384</f>
        <v/>
      </c>
      <c r="F385" s="91" t="n"/>
      <c r="G385" s="9" t="n"/>
      <c r="I385">
        <f>E385+33</f>
        <v/>
      </c>
      <c r="K385" s="126" t="n"/>
    </row>
    <row r="386" ht="28.8" customHeight="1">
      <c r="B386" s="111" t="inlineStr">
        <is>
          <t xml:space="preserve">      11  :PREFIX:-FT-VLR-CAPITAL-RECIBO PIC S9(12)V9(02)
                                             SIGN LEADING SEPARATE.</t>
        </is>
      </c>
      <c r="C386" s="112" t="n"/>
      <c r="D386" s="98" t="inlineStr">
        <is>
          <t>Valor do capital / valor da entrega - Descritivo: 'CAPITAL' | 'PREMIO INVEST' |'CAPITAL ENTREGUE'</t>
        </is>
      </c>
      <c r="E386" s="90">
        <f>E385+F385</f>
        <v/>
      </c>
      <c r="F386" s="91" t="n">
        <v>15</v>
      </c>
      <c r="G386" s="21" t="inlineStr">
        <is>
          <t>Opcional</t>
        </is>
      </c>
      <c r="H386" s="131" t="n"/>
      <c r="I386">
        <f>E386+33</f>
        <v/>
      </c>
      <c r="K386" s="126" t="n"/>
    </row>
    <row r="387" ht="28.8" customHeight="1">
      <c r="B387" s="111" t="inlineStr">
        <is>
          <t xml:space="preserve">      11  :PREFIX:-FT-VLR-PREMIO-RISCO   PIC S9(12)V9(02)
                                             SIGN LEADING SEPARATE.</t>
        </is>
      </c>
      <c r="C387" s="112" t="n"/>
      <c r="D387" s="98" t="inlineStr">
        <is>
          <t>Valor de Prémio de Risco - Descritivo: 'PRÉMIO RISCO'</t>
        </is>
      </c>
      <c r="E387" s="90">
        <f>E386+F386</f>
        <v/>
      </c>
      <c r="F387" s="91" t="n">
        <v>15</v>
      </c>
      <c r="G387" s="21" t="inlineStr">
        <is>
          <t>Opcional</t>
        </is>
      </c>
      <c r="H387" s="131" t="n"/>
      <c r="I387">
        <f>E387+33</f>
        <v/>
      </c>
      <c r="K387" s="126" t="n"/>
    </row>
    <row r="388" ht="28.8" customHeight="1">
      <c r="B388" s="111" t="inlineStr">
        <is>
          <t xml:space="preserve">      11  :PREFIX:-FT-VLR-BONIFICACAO    PIC S9(12)V9(02)
                                             SIGN LEADING SEPARATE.</t>
        </is>
      </c>
      <c r="C388" s="112" t="n"/>
      <c r="D388" s="98" t="inlineStr">
        <is>
          <t>Bonificação (Colheitas) - Descritivo: 'BONIFICAÇÃO'</t>
        </is>
      </c>
      <c r="E388" s="90">
        <f>E387+F387</f>
        <v/>
      </c>
      <c r="F388" s="91" t="n">
        <v>15</v>
      </c>
      <c r="G388" s="21" t="inlineStr">
        <is>
          <t>Opcional</t>
        </is>
      </c>
      <c r="H388" s="131" t="n"/>
      <c r="I388">
        <f>E388+33</f>
        <v/>
      </c>
      <c r="K388" s="126" t="n"/>
    </row>
    <row r="389" ht="28.8" customHeight="1">
      <c r="B389" s="111" t="inlineStr">
        <is>
          <t xml:space="preserve">      11  :PREFIX:-FT-VLR-TOTAL-RECIBO   PIC S9(12)V9(02)
                                             SIGN LEADING SEPARATE.</t>
        </is>
      </c>
      <c r="C389" s="112" t="n"/>
      <c r="D389" s="98" t="inlineStr">
        <is>
          <t>Prémio total recibo - Descritivo: 'VALOR A PAGAR' | 'VALOR A RECEBER' | 'TOTAL DE PRÉMIOS'</t>
        </is>
      </c>
      <c r="E389" s="90">
        <f>E388+F388</f>
        <v/>
      </c>
      <c r="F389" s="91" t="n">
        <v>15</v>
      </c>
      <c r="G389" s="21" t="inlineStr">
        <is>
          <t>Opcional</t>
        </is>
      </c>
      <c r="H389" s="131" t="n"/>
      <c r="I389">
        <f>E389+33</f>
        <v/>
      </c>
    </row>
    <row r="390" ht="28.8" customHeight="1">
      <c r="B390" s="111" t="inlineStr">
        <is>
          <t xml:space="preserve">      11  :PREFIX:-FT-VLR-FRACC          PIC S9(12)V9(02)
                                             SIGN LEADING SEPARATE.</t>
        </is>
      </c>
      <c r="C390" s="112" t="n"/>
      <c r="D390" s="98" t="inlineStr">
        <is>
          <t>Custo de Fraccionamento - Descritivo: 'CUSTO FRACCIONAMENTO'</t>
        </is>
      </c>
      <c r="E390" s="90">
        <f>E389+F389</f>
        <v/>
      </c>
      <c r="F390" s="91" t="n">
        <v>15</v>
      </c>
      <c r="G390" s="21" t="inlineStr">
        <is>
          <t>Opcional</t>
        </is>
      </c>
      <c r="H390" s="131" t="n"/>
      <c r="I390">
        <f>E390+33</f>
        <v/>
      </c>
    </row>
    <row r="391" ht="28.8" customHeight="1">
      <c r="B391" s="111" t="inlineStr">
        <is>
          <t xml:space="preserve">      11  :PREFIX:-FT-VLR-FAT            PIC S9(12)V9(02)
                                             SIGN LEADING SEPARATE.</t>
        </is>
      </c>
      <c r="C391" s="112" t="n"/>
      <c r="D391" s="98" t="inlineStr">
        <is>
          <t>Fundo de Garantia de Acidentes de Trabalho - Descritivo: 'CV / SNB / FAT'</t>
        </is>
      </c>
      <c r="E391" s="90">
        <f>E390+F390</f>
        <v/>
      </c>
      <c r="F391" s="91" t="n">
        <v>15</v>
      </c>
      <c r="G391" s="21" t="inlineStr">
        <is>
          <t>Opcional</t>
        </is>
      </c>
      <c r="H391" s="131" t="n"/>
      <c r="I391">
        <f>E391+33</f>
        <v/>
      </c>
    </row>
    <row r="392" ht="28.8" customHeight="1">
      <c r="B392" s="111" t="inlineStr">
        <is>
          <t xml:space="preserve">      11  :PREFIX:-FT-VLR-FGA            PIC S9(12)V9(02)
                                             SIGN LEADING SEPARATE.</t>
        </is>
      </c>
      <c r="C392" s="112" t="n"/>
      <c r="D392" s="98" t="inlineStr">
        <is>
          <t>Fundo de Garantia Automóvel - Descritivo: 'F.CALAM / FGA'</t>
        </is>
      </c>
      <c r="E392" s="90">
        <f>E391+F391</f>
        <v/>
      </c>
      <c r="F392" s="91" t="n">
        <v>15</v>
      </c>
      <c r="G392" s="21" t="inlineStr">
        <is>
          <t>Opcional</t>
        </is>
      </c>
      <c r="H392" s="131" t="n"/>
      <c r="I392">
        <f>E392+33</f>
        <v/>
      </c>
    </row>
    <row r="393" ht="28.8" customHeight="1">
      <c r="B393" s="111" t="inlineStr">
        <is>
          <t xml:space="preserve">      11  :PREFIX:-FT-VLR-SNB            PIC S9(12)V9(02)
                                             SIGN LEADING SEPARATE.</t>
        </is>
      </c>
      <c r="C393" s="112" t="n"/>
      <c r="D393" s="98" t="inlineStr">
        <is>
          <t>Imposto Serviço Nacional de Bombeiros - Descritivo: 'SNB' | 'CV / SNB / FAT'</t>
        </is>
      </c>
      <c r="E393" s="90">
        <f>E392+F392</f>
        <v/>
      </c>
      <c r="F393" s="91" t="n">
        <v>15</v>
      </c>
      <c r="G393" s="21" t="inlineStr">
        <is>
          <t>Opcional</t>
        </is>
      </c>
      <c r="H393" s="131" t="n"/>
      <c r="I393">
        <f>E393+33</f>
        <v/>
      </c>
    </row>
    <row r="394" ht="28.8" customHeight="1">
      <c r="B394" s="111" t="inlineStr">
        <is>
          <t xml:space="preserve">      11  :PREFIX:-FT-VLR-INEM           PIC S9(12)V9(02)
                                             SIGN LEADING SEPARATE.</t>
        </is>
      </c>
      <c r="C394" s="112" t="n"/>
      <c r="D394" s="98" t="inlineStr">
        <is>
          <t>Imposto INEM - Descritivo: 'INEM'</t>
        </is>
      </c>
      <c r="E394" s="90">
        <f>E393+F393</f>
        <v/>
      </c>
      <c r="F394" s="91" t="n">
        <v>15</v>
      </c>
      <c r="G394" s="21" t="inlineStr">
        <is>
          <t>Opcional</t>
        </is>
      </c>
      <c r="H394" s="131" t="n"/>
      <c r="I394">
        <f>E394+33</f>
        <v/>
      </c>
    </row>
    <row r="395" ht="28.8" customHeight="1">
      <c r="B395" s="111" t="inlineStr">
        <is>
          <t xml:space="preserve">      11  :PREFIX:-FT-VLR-CVERDE         PIC S9(12)V9(02)
                                             SIGN LEADING SEPARATE.</t>
        </is>
      </c>
      <c r="C395" s="112" t="n"/>
      <c r="D395" s="98" t="inlineStr">
        <is>
          <t>Custo da Carta Verde - Descritivo: 'CV / SNB / FAT'</t>
        </is>
      </c>
      <c r="E395" s="90">
        <f>E394+F394</f>
        <v/>
      </c>
      <c r="F395" s="91" t="n">
        <v>15</v>
      </c>
      <c r="G395" s="21" t="inlineStr">
        <is>
          <t>Opcional</t>
        </is>
      </c>
      <c r="H395" s="131" t="n"/>
      <c r="I395">
        <f>E395+33</f>
        <v/>
      </c>
    </row>
    <row r="396" ht="28.8" customHeight="1">
      <c r="B396" s="111" t="inlineStr">
        <is>
          <t xml:space="preserve">      11  :PREFIX:-FT-VLR-SELOS          PIC S9(12)V9(02)
                                             SIGN LEADING SEPARATE.</t>
        </is>
      </c>
      <c r="C396" s="112" t="n"/>
      <c r="D396" s="98" t="inlineStr">
        <is>
          <t>Descritivo: 'SELO de GARANTIA'</t>
        </is>
      </c>
      <c r="E396" s="90">
        <f>E395+F395</f>
        <v/>
      </c>
      <c r="F396" s="91" t="n">
        <v>15</v>
      </c>
      <c r="G396" s="21" t="inlineStr">
        <is>
          <t>Opcional</t>
        </is>
      </c>
      <c r="H396" s="131" t="n"/>
      <c r="I396">
        <f>E396+33</f>
        <v/>
      </c>
    </row>
    <row r="397" ht="28.8" customHeight="1">
      <c r="B397" s="111" t="inlineStr">
        <is>
          <t xml:space="preserve">      11  :PREFIX:-FT-VLR-ACTA           PIC S9(12)V9(02)
                                             SIGN LEADING SEPARATE.</t>
        </is>
      </c>
      <c r="C397" s="112" t="n"/>
      <c r="D397" s="146" t="inlineStr">
        <is>
          <t>Custo da Acta/Apólice - Descritivo: 'APÓLICE / ACTA' | 'CUSTO CERTIFICADO'</t>
        </is>
      </c>
      <c r="E397" s="90">
        <f>E396+F396</f>
        <v/>
      </c>
      <c r="F397" s="91" t="n">
        <v>15</v>
      </c>
      <c r="G397" s="21" t="inlineStr">
        <is>
          <t>Opcional</t>
        </is>
      </c>
      <c r="H397" s="131" t="n"/>
      <c r="I397">
        <f>E397+33</f>
        <v/>
      </c>
    </row>
    <row r="398" ht="28.8" customHeight="1">
      <c r="B398" s="111" t="inlineStr">
        <is>
          <t xml:space="preserve">      11  :PREFIX:-FT-VLR-IMP-SELO       PIC S9(12)V9(02)
                                             SIGN LEADING SEPARATE.</t>
        </is>
      </c>
      <c r="C398" s="112" t="n"/>
      <c r="D398" s="98" t="inlineStr">
        <is>
          <t>Imposto de Selo - Descritivo: 'SELO'</t>
        </is>
      </c>
      <c r="E398" s="90">
        <f>E397+F397</f>
        <v/>
      </c>
      <c r="F398" s="91" t="n">
        <v>15</v>
      </c>
      <c r="G398" s="21" t="inlineStr">
        <is>
          <t>Opcional</t>
        </is>
      </c>
      <c r="H398" s="131" t="n"/>
      <c r="I398">
        <f>E398+33</f>
        <v/>
      </c>
    </row>
    <row r="399" ht="28.8" customHeight="1">
      <c r="B399" s="111" t="inlineStr">
        <is>
          <t xml:space="preserve">      11  :PREFIX:-FT-VLR-FUND-CALAM     PIC S9(12)V9(02)
                                             SIGN LEADING SEPARATE.</t>
        </is>
      </c>
      <c r="C399" s="112" t="n"/>
      <c r="D399" s="98" t="inlineStr">
        <is>
          <t>Fundo de calamidades - Descritivo: 'F.CALAM / FGA'</t>
        </is>
      </c>
      <c r="E399" s="90">
        <f>E398+F398</f>
        <v/>
      </c>
      <c r="F399" s="91" t="n">
        <v>15</v>
      </c>
      <c r="G399" s="21" t="inlineStr">
        <is>
          <t>Opcional</t>
        </is>
      </c>
      <c r="H399" s="131" t="n"/>
      <c r="I399">
        <f>E399+33</f>
        <v/>
      </c>
    </row>
    <row r="400" ht="28.8" customHeight="1">
      <c r="B400" s="111" t="inlineStr">
        <is>
          <t xml:space="preserve">      11  :PREFIX:-FT-VLR-FGA-OCOBERT    PIC S9(12)V9(02)
                                             SIGN LEADING SEPARATE.</t>
        </is>
      </c>
      <c r="C400" s="112" t="n"/>
      <c r="D400" s="98" t="inlineStr">
        <is>
          <t>FGA, Outras Coberturas do Ramo Contabilistico - Descritivo: 'FGA-PR (*)'</t>
        </is>
      </c>
      <c r="E400" s="90">
        <f>E399+F399</f>
        <v/>
      </c>
      <c r="F400" s="91" t="n">
        <v>15</v>
      </c>
      <c r="G400" s="21" t="inlineStr">
        <is>
          <t>Opcional</t>
        </is>
      </c>
      <c r="H400" s="131" t="n"/>
      <c r="I400">
        <f>E400+33</f>
        <v/>
      </c>
    </row>
    <row r="401" ht="28.8" customHeight="1">
      <c r="B401" s="111" t="inlineStr">
        <is>
          <t xml:space="preserve">      11  :PREFIX:-FT-VLR-FGA-RCIVIL     PIC S9(12)V9(02)
                                             SIGN LEADING SEPARATE.</t>
        </is>
      </c>
      <c r="C401" s="112" t="n"/>
      <c r="D401" s="98" t="inlineStr">
        <is>
          <t>FGA, Responsabilidade Civil do Ramo Contabilistico - Descritivo: 'FGA (*)'</t>
        </is>
      </c>
      <c r="E401" s="90">
        <f>E400+F400</f>
        <v/>
      </c>
      <c r="F401" s="91" t="n">
        <v>15</v>
      </c>
      <c r="G401" s="21" t="inlineStr">
        <is>
          <t>Opcional</t>
        </is>
      </c>
      <c r="H401" s="131" t="n"/>
      <c r="I401">
        <f>E401+33</f>
        <v/>
      </c>
    </row>
    <row r="402" ht="28.8" customHeight="1">
      <c r="B402" s="111" t="inlineStr">
        <is>
          <t xml:space="preserve">      11  :PREFIX:-FT-VLR-BONUS          PIC S9(12)V9(02)
                                             SIGN LEADING SEPARATE.</t>
        </is>
      </c>
      <c r="C402" s="112" t="n"/>
      <c r="D402" s="98" t="inlineStr">
        <is>
          <t>Bónus - Descritivo: 'BONUS'</t>
        </is>
      </c>
      <c r="E402" s="90">
        <f>E401+F401</f>
        <v/>
      </c>
      <c r="F402" s="91" t="n">
        <v>15</v>
      </c>
      <c r="G402" s="21" t="inlineStr">
        <is>
          <t>Opcional</t>
        </is>
      </c>
      <c r="H402" s="131" t="n"/>
      <c r="I402">
        <f>E402+33</f>
        <v/>
      </c>
    </row>
    <row r="403" ht="28.8" customHeight="1">
      <c r="B403" s="111" t="inlineStr">
        <is>
          <t xml:space="preserve">      11  :PREFIX:-FT-VLR-PR-SIMPLES     PIC S9(12)V9(02)
                                             SIGN LEADING SEPARATE.</t>
        </is>
      </c>
      <c r="C403" s="112" t="n"/>
      <c r="D403" s="98" t="inlineStr">
        <is>
          <t>Prémio Simples - Descritivo: 'PRÉMIO COMERCIAL'</t>
        </is>
      </c>
      <c r="E403" s="90">
        <f>E402+F402</f>
        <v/>
      </c>
      <c r="F403" s="91" t="n">
        <v>15</v>
      </c>
      <c r="G403" s="21" t="inlineStr">
        <is>
          <t>Opcional</t>
        </is>
      </c>
      <c r="H403" s="131" t="n"/>
      <c r="I403">
        <f>E403+33</f>
        <v/>
      </c>
    </row>
    <row r="404" ht="28.8" customHeight="1">
      <c r="B404" s="111" t="inlineStr">
        <is>
          <t xml:space="preserve">      11  :PREFIX:-FT-VLR-PR-ANUAL       PIC S9(12)V9(02)
                                             SIGN LEADING SEPARATE.</t>
        </is>
      </c>
      <c r="C404" s="112" t="n"/>
      <c r="D404" s="98" t="inlineStr">
        <is>
          <t>Actualização do Prémio Anual</t>
        </is>
      </c>
      <c r="E404" s="90">
        <f>E403+F403</f>
        <v/>
      </c>
      <c r="F404" s="91" t="n">
        <v>15</v>
      </c>
      <c r="G404" s="21" t="inlineStr">
        <is>
          <t>Opcional</t>
        </is>
      </c>
      <c r="H404" s="131" t="n"/>
      <c r="I404">
        <f>E404+33</f>
        <v/>
      </c>
    </row>
    <row r="405" ht="28.8" customHeight="1">
      <c r="B405" s="111" t="inlineStr">
        <is>
          <t xml:space="preserve">      11  :PREFIX:-FT-VLR-ENC-AQUIS      PIC S9(12)V9(02)
                                             SIGN LEADING SEPARATE.</t>
        </is>
      </c>
      <c r="C405" s="112" t="n"/>
      <c r="D405" s="98" t="inlineStr">
        <is>
          <t>Valor dos encargos Aquisição - componente da parcela com Descritivo: 'ENCARGOS'</t>
        </is>
      </c>
      <c r="E405" s="90">
        <f>E404+F404</f>
        <v/>
      </c>
      <c r="F405" s="91" t="n">
        <v>15</v>
      </c>
      <c r="G405" s="21" t="inlineStr">
        <is>
          <t>Opcional</t>
        </is>
      </c>
      <c r="H405" s="131" t="n"/>
      <c r="I405">
        <f>E405+33</f>
        <v/>
      </c>
    </row>
    <row r="406" ht="28.8" customHeight="1">
      <c r="B406" s="111" t="inlineStr">
        <is>
          <t xml:space="preserve">      11  :PREFIX:-FT-VLR-ENC-PENAL      PIC S9(12)V9(02)
                                             SIGN LEADING SEPARATE.</t>
        </is>
      </c>
      <c r="C406" s="112" t="n"/>
      <c r="D406" s="146" t="inlineStr">
        <is>
          <t xml:space="preserve">Valor dos encargos Penalização - Parcela das Faturas de Indemnizações com Descritivo: ENCARGOS/COMISSÕES </t>
        </is>
      </c>
      <c r="E406" s="90">
        <f>E405+F405</f>
        <v/>
      </c>
      <c r="F406" s="91" t="n">
        <v>15</v>
      </c>
      <c r="G406" s="21" t="inlineStr">
        <is>
          <t>Opcional</t>
        </is>
      </c>
      <c r="H406" s="131" t="n"/>
      <c r="I406">
        <f>E406+33</f>
        <v/>
      </c>
    </row>
    <row r="407">
      <c r="B407" s="99" t="inlineStr">
        <is>
          <t xml:space="preserve">  07  FILLER                            PIC X(2513).</t>
        </is>
      </c>
      <c r="C407" s="99" t="n"/>
      <c r="D407" s="100" t="n"/>
      <c r="E407" s="144">
        <f>E406+F406</f>
        <v/>
      </c>
      <c r="F407" s="145">
        <f>E408-E407+1</f>
        <v/>
      </c>
      <c r="G407" s="130" t="n"/>
      <c r="I407">
        <f>E407+33</f>
        <v/>
      </c>
    </row>
    <row r="408">
      <c r="D408" s="149" t="inlineStr">
        <is>
          <t>Total:</t>
        </is>
      </c>
      <c r="E408" s="150">
        <f>E46+F47</f>
        <v/>
      </c>
    </row>
  </sheetData>
  <mergeCells count="19">
    <mergeCell ref="G18:G22"/>
    <mergeCell ref="G54:G56"/>
    <mergeCell ref="G331:G332"/>
    <mergeCell ref="G7:G10"/>
    <mergeCell ref="G62:G83"/>
    <mergeCell ref="G97:G120"/>
    <mergeCell ref="G57:G60"/>
    <mergeCell ref="G4:G6"/>
    <mergeCell ref="G13:G16"/>
    <mergeCell ref="G134:G136"/>
    <mergeCell ref="G36:G45"/>
    <mergeCell ref="G90:G94"/>
    <mergeCell ref="G23:G30"/>
    <mergeCell ref="G218:G228"/>
    <mergeCell ref="G277:G280"/>
    <mergeCell ref="G242:G247"/>
    <mergeCell ref="G50:G53"/>
    <mergeCell ref="G31:G32"/>
    <mergeCell ref="G84:G89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12"/>
  <sheetViews>
    <sheetView workbookViewId="0">
      <selection activeCell="A1" sqref="A1"/>
    </sheetView>
  </sheetViews>
  <sheetFormatPr baseColWidth="8" defaultRowHeight="15"/>
  <cols>
    <col width="76.85546875" customWidth="1" min="1" max="1"/>
    <col width="7.7109375" customWidth="1" min="2" max="2"/>
    <col width="73.7109375" customWidth="1" min="3" max="3"/>
    <col width="9.140625" customWidth="1" min="4" max="4"/>
    <col width="9.140625" customWidth="1" min="5" max="5"/>
    <col width="11.7109375" customWidth="1" min="6" max="6"/>
  </cols>
  <sheetData>
    <row r="1" ht="8.449999999999999" customHeight="1"/>
    <row r="2">
      <c r="A2" s="2" t="inlineStr">
        <is>
          <t>Copybook</t>
        </is>
      </c>
      <c r="B2" s="2" t="inlineStr">
        <is>
          <t>Novo</t>
        </is>
      </c>
      <c r="C2" s="2" t="inlineStr">
        <is>
          <t>Descrição / Valores Possiveis / [Formato]</t>
        </is>
      </c>
      <c r="D2" s="3" t="inlineStr">
        <is>
          <t>Posição</t>
        </is>
      </c>
      <c r="E2" s="3" t="inlineStr">
        <is>
          <t>Tamanho</t>
        </is>
      </c>
      <c r="F2" s="4" t="inlineStr">
        <is>
          <t>Observações</t>
        </is>
      </c>
    </row>
    <row r="3">
      <c r="A3" s="5" t="inlineStr">
        <is>
          <t>05  :PREFIX:-DADOS-REGISTO.</t>
        </is>
      </c>
      <c r="B3" s="29" t="n"/>
      <c r="C3" s="7" t="n"/>
      <c r="D3" s="8" t="n">
        <v>1</v>
      </c>
      <c r="E3" s="8" t="n">
        <v>0</v>
      </c>
      <c r="F3" s="45" t="n"/>
    </row>
    <row r="4">
      <c r="A4" s="10" t="inlineStr">
        <is>
          <t xml:space="preserve">  07  :PREFIX:-COD-DOCUMENTO            PIC X(04).</t>
        </is>
      </c>
      <c r="B4" s="122" t="n"/>
      <c r="C4" s="12" t="inlineStr">
        <is>
          <t>Código de documento</t>
        </is>
      </c>
      <c r="D4" s="13">
        <f>D3+E3</f>
        <v/>
      </c>
      <c r="E4" s="13" t="n">
        <v>4</v>
      </c>
      <c r="F4" s="17" t="inlineStr">
        <is>
          <t>Obrigatório</t>
        </is>
      </c>
    </row>
    <row r="5">
      <c r="A5" s="10" t="inlineStr">
        <is>
          <t xml:space="preserve">      88  :PREFIX:-DOC-CHEQUE               VALUE 'CHEQ'.</t>
        </is>
      </c>
      <c r="B5" s="151" t="inlineStr">
        <is>
          <t>&lt;NEW&gt;</t>
        </is>
      </c>
      <c r="C5" s="12" t="inlineStr">
        <is>
          <t xml:space="preserve">     'CHEQ' - Carta Cheque</t>
        </is>
      </c>
      <c r="D5" s="13" t="n"/>
      <c r="E5" s="13" t="n"/>
      <c r="F5" s="15" t="n"/>
    </row>
    <row r="6">
      <c r="A6" s="10" t="inlineStr">
        <is>
          <t xml:space="preserve">      88  :PREFIX:-DOC-TRANSF               VALUE 'TRSF'.</t>
        </is>
      </c>
      <c r="B6" s="151" t="inlineStr">
        <is>
          <t>&lt;NEW&gt;</t>
        </is>
      </c>
      <c r="C6" s="12" t="inlineStr">
        <is>
          <t xml:space="preserve">     'TRSF' - Carta de Transferência</t>
        </is>
      </c>
      <c r="D6" s="13" t="n"/>
      <c r="E6" s="13" t="n"/>
      <c r="F6" s="18" t="n"/>
    </row>
    <row r="7">
      <c r="A7" s="10" t="inlineStr">
        <is>
          <t xml:space="preserve">  07  :PREFIX:-TIPO-REGISTO             PIC X(01).</t>
        </is>
      </c>
      <c r="B7" s="122" t="n"/>
      <c r="C7" s="16" t="inlineStr">
        <is>
          <t>Tipo de registo</t>
        </is>
      </c>
      <c r="D7" s="13">
        <f>D4+E4</f>
        <v/>
      </c>
      <c r="E7" s="16" t="n">
        <v>1</v>
      </c>
      <c r="F7" s="17" t="inlineStr">
        <is>
          <t>Obrigatório</t>
        </is>
      </c>
    </row>
    <row r="8">
      <c r="A8" s="10" t="inlineStr">
        <is>
          <t xml:space="preserve">      88  :PREFIX:-REG-TIPO1                VALUE '1'.</t>
        </is>
      </c>
      <c r="B8" s="122" t="n"/>
      <c r="C8" s="16" t="inlineStr">
        <is>
          <t xml:space="preserve">     '1' - Dados do Documento</t>
        </is>
      </c>
      <c r="D8" s="13" t="n"/>
      <c r="E8" s="16" t="n"/>
      <c r="F8" s="15" t="n"/>
    </row>
    <row r="9">
      <c r="A9" s="10" t="inlineStr">
        <is>
          <t xml:space="preserve">      88  :PREFIX:-REG-TIPO2                VALUE '2'.</t>
        </is>
      </c>
      <c r="B9" s="122" t="n"/>
      <c r="C9" s="16" t="inlineStr">
        <is>
          <t xml:space="preserve">     '2' - Detalhe da Carta</t>
        </is>
      </c>
      <c r="D9" s="13" t="n"/>
      <c r="E9" s="16" t="n"/>
      <c r="F9" s="15" t="n"/>
    </row>
    <row r="10">
      <c r="A10" s="10" t="inlineStr">
        <is>
          <t xml:space="preserve">      88  :PREFIX:-REG-TIPO3                VALUE '3'.</t>
        </is>
      </c>
      <c r="B10" s="122" t="n"/>
      <c r="C10" s="16" t="inlineStr">
        <is>
          <t xml:space="preserve">     '3' - Totais da Carta</t>
        </is>
      </c>
      <c r="D10" s="13" t="n"/>
      <c r="E10" s="16" t="n"/>
      <c r="F10" s="18" t="n"/>
    </row>
    <row r="11">
      <c r="A11" s="10" t="inlineStr">
        <is>
          <t xml:space="preserve">  07  :PREFIX:-TIPO-IMPRESSAO           PIC X(01).</t>
        </is>
      </c>
      <c r="B11" s="122" t="n"/>
      <c r="C11" s="12" t="inlineStr">
        <is>
          <t>Tipo de impressão</t>
        </is>
      </c>
      <c r="D11" s="13">
        <f>D7+E7</f>
        <v/>
      </c>
      <c r="E11" s="13" t="n">
        <v>1</v>
      </c>
      <c r="F11" s="17" t="inlineStr">
        <is>
          <t>Obrigatório</t>
        </is>
      </c>
    </row>
    <row r="12">
      <c r="A12" s="10" t="inlineStr">
        <is>
          <t xml:space="preserve">      88  :PREFIX:-IMP-ONLINE               VALUE 'I'.</t>
        </is>
      </c>
      <c r="B12" s="122" t="n"/>
      <c r="C12" s="12" t="inlineStr">
        <is>
          <t xml:space="preserve">     'I' - Impressão OnLine (Immediate)</t>
        </is>
      </c>
      <c r="D12" s="13" t="n"/>
      <c r="E12" s="13" t="n"/>
      <c r="F12" s="15" t="n"/>
    </row>
    <row r="13">
      <c r="A13" s="10" t="inlineStr">
        <is>
          <t xml:space="preserve">      88  :PREFIX:-IMP-BATCH                VALUE 'O'.</t>
        </is>
      </c>
      <c r="B13" s="122" t="n"/>
      <c r="C13" s="12" t="inlineStr">
        <is>
          <t xml:space="preserve">     'O' - Impressão via batch (Overnight)</t>
        </is>
      </c>
      <c r="D13" s="13" t="n"/>
      <c r="E13" s="13" t="n"/>
      <c r="F13" s="18" t="n"/>
    </row>
    <row r="14">
      <c r="A14" s="10" t="inlineStr">
        <is>
          <t xml:space="preserve">  07  :PREFIX:-USERID                   PIC X(08).</t>
        </is>
      </c>
      <c r="B14" s="122" t="n"/>
      <c r="C14" s="16" t="inlineStr">
        <is>
          <t>User Id da impressão OnLine</t>
        </is>
      </c>
      <c r="D14" s="13">
        <f>D11+E11</f>
        <v/>
      </c>
      <c r="E14" s="16" t="n">
        <v>8</v>
      </c>
      <c r="F14" s="19" t="inlineStr">
        <is>
          <t>Condicional</t>
        </is>
      </c>
    </row>
    <row r="15">
      <c r="A15" s="10" t="inlineStr">
        <is>
          <t xml:space="preserve">  07  :PREFIX:-COD-COMPANHIA            PIC X(03).</t>
        </is>
      </c>
      <c r="B15" s="125" t="n"/>
      <c r="C15" s="12" t="inlineStr">
        <is>
          <t>Código de identificação da Companhia</t>
        </is>
      </c>
      <c r="D15" s="13">
        <f>D14+E14</f>
        <v/>
      </c>
      <c r="E15" s="13" t="n">
        <v>3</v>
      </c>
      <c r="F15" s="17" t="inlineStr">
        <is>
          <t>Obrigatório</t>
        </is>
      </c>
    </row>
    <row r="16">
      <c r="A16" s="10" t="inlineStr">
        <is>
          <t xml:space="preserve">      88  :PREFIX:-COM-VIADIRECTA           VALUE '111'.</t>
        </is>
      </c>
      <c r="B16" s="125" t="n"/>
      <c r="C16" s="12" t="inlineStr">
        <is>
          <t xml:space="preserve">     '111' - Via Directa</t>
        </is>
      </c>
      <c r="D16" s="13" t="n"/>
      <c r="E16" s="13" t="n"/>
      <c r="F16" s="15" t="n"/>
    </row>
    <row r="17">
      <c r="A17" s="10" t="inlineStr">
        <is>
          <t xml:space="preserve">      88  :PREFIX:-COM-FIDELIDADE           VALUE '128'.</t>
        </is>
      </c>
      <c r="B17" s="125" t="n"/>
      <c r="C17" s="12" t="inlineStr">
        <is>
          <t xml:space="preserve">     '128' - Fidelidade</t>
        </is>
      </c>
      <c r="D17" s="13" t="n"/>
      <c r="E17" s="13" t="n"/>
      <c r="F17" s="15" t="n"/>
    </row>
    <row r="18">
      <c r="A18" s="10" t="inlineStr">
        <is>
          <t xml:space="preserve">      88  :PREFIX:-COM-IMPERIO              VALUE '138'.</t>
        </is>
      </c>
      <c r="B18" s="125" t="n"/>
      <c r="C18" s="12" t="inlineStr">
        <is>
          <t xml:space="preserve">     '138' - Império</t>
        </is>
      </c>
      <c r="D18" s="13" t="n"/>
      <c r="E18" s="13" t="n"/>
      <c r="F18" s="15" t="n"/>
    </row>
    <row r="19">
      <c r="A19" s="10" t="inlineStr">
        <is>
          <t xml:space="preserve">      88  :PREFIX:-COM-MULTICARE            VALUE '148'.</t>
        </is>
      </c>
      <c r="B19" s="122" t="n"/>
      <c r="C19" s="12" t="inlineStr">
        <is>
          <t xml:space="preserve">     '148' - Multicare</t>
        </is>
      </c>
      <c r="D19" s="16" t="n"/>
      <c r="E19" s="16" t="n"/>
      <c r="F19" s="18" t="n"/>
    </row>
    <row r="20">
      <c r="A20" s="10" t="inlineStr">
        <is>
          <t xml:space="preserve">  07  :PREFIX:-COD-MARCA                PIC X(03).</t>
        </is>
      </c>
      <c r="B20" s="122" t="n"/>
      <c r="C20" s="12" t="inlineStr">
        <is>
          <t>Código de identificação da Marca</t>
        </is>
      </c>
      <c r="D20" s="13">
        <f>D15+E15</f>
        <v/>
      </c>
      <c r="E20" s="16" t="n">
        <v>3</v>
      </c>
      <c r="F20" s="21" t="inlineStr">
        <is>
          <t>Opcional</t>
        </is>
      </c>
    </row>
    <row r="21">
      <c r="A21" s="10" t="inlineStr">
        <is>
          <t xml:space="preserve">      88  :PREFIX:-MAR-OKTELESEGURO         VALUE '001'.</t>
        </is>
      </c>
      <c r="B21" s="122" t="n"/>
      <c r="C21" s="12" t="inlineStr">
        <is>
          <t xml:space="preserve">     '001' - OK Teleseguro</t>
        </is>
      </c>
      <c r="D21" s="16" t="n"/>
      <c r="E21" s="16" t="n"/>
      <c r="F21" s="15" t="n"/>
    </row>
    <row r="22">
      <c r="A22" s="10" t="inlineStr">
        <is>
          <t xml:space="preserve">      88  :PREFIX:-MAR-FIDELIDADE           VALUE '002'.</t>
        </is>
      </c>
      <c r="B22" s="122" t="n"/>
      <c r="C22" s="12" t="inlineStr">
        <is>
          <t xml:space="preserve">     '002' - Fidelidade</t>
        </is>
      </c>
      <c r="D22" s="16" t="n"/>
      <c r="E22" s="16" t="n"/>
      <c r="F22" s="15" t="n"/>
    </row>
    <row r="23">
      <c r="A23" s="10" t="inlineStr">
        <is>
          <t xml:space="preserve">      88  :PREFIX:-MAR-IMPERIO              VALUE '003'.</t>
        </is>
      </c>
      <c r="B23" s="122" t="n"/>
      <c r="C23" s="12" t="inlineStr">
        <is>
          <t xml:space="preserve">     '003' - Império</t>
        </is>
      </c>
      <c r="D23" s="16" t="n"/>
      <c r="E23" s="16" t="n"/>
      <c r="F23" s="15" t="n"/>
    </row>
    <row r="24">
      <c r="A24" s="10" t="inlineStr">
        <is>
          <t xml:space="preserve">      88  :PREFIX:-MAR-ICI                  VALUE '004'.</t>
        </is>
      </c>
      <c r="B24" s="122" t="n"/>
      <c r="C24" s="12" t="inlineStr">
        <is>
          <t xml:space="preserve">     '004' - ICI</t>
        </is>
      </c>
      <c r="D24" s="16" t="n"/>
      <c r="E24" s="16" t="n"/>
      <c r="F24" s="15" t="n"/>
    </row>
    <row r="25">
      <c r="A25" s="10" t="inlineStr">
        <is>
          <t xml:space="preserve">      88  :PREFIX:-MAR-SONAE                VALUE '005'.</t>
        </is>
      </c>
      <c r="B25" s="122" t="n"/>
      <c r="C25" s="12" t="inlineStr">
        <is>
          <t xml:space="preserve">     '005' - Continente</t>
        </is>
      </c>
      <c r="D25" s="16" t="n"/>
      <c r="E25" s="16" t="n"/>
      <c r="F25" s="15" t="n"/>
    </row>
    <row r="26">
      <c r="A26" s="10" t="inlineStr">
        <is>
          <t xml:space="preserve">      88  :PREFIX:-MAR-MULTICARE            VALUE '006'.</t>
        </is>
      </c>
      <c r="B26" s="122" t="n"/>
      <c r="C26" s="12" t="inlineStr">
        <is>
          <t xml:space="preserve">     '006' - Multicare</t>
        </is>
      </c>
      <c r="D26" s="16" t="n"/>
      <c r="E26" s="16" t="n"/>
      <c r="F26" s="18" t="n"/>
    </row>
    <row r="27">
      <c r="A27" s="10" t="inlineStr">
        <is>
          <t xml:space="preserve">      88  :PREFIX:-MAR-EUROBIC              VALUE '028'.</t>
        </is>
      </c>
      <c r="B27" s="122" t="n"/>
      <c r="C27" s="12" t="inlineStr">
        <is>
          <t xml:space="preserve">     '028' - Eurobic</t>
        </is>
      </c>
      <c r="D27" s="16" t="n"/>
      <c r="E27" s="16" t="n"/>
      <c r="F27" s="152" t="n"/>
    </row>
    <row r="28">
      <c r="A28" s="10" t="inlineStr">
        <is>
          <t xml:space="preserve">  07  :PREFIX:-AUX-MARCA                PIC X(01).</t>
        </is>
      </c>
      <c r="B28" s="122" t="n"/>
      <c r="C28" s="12" t="n"/>
      <c r="D28" s="16">
        <f>D20+E20</f>
        <v/>
      </c>
      <c r="E28" s="16" t="n">
        <v>1</v>
      </c>
      <c r="F28" s="21" t="inlineStr">
        <is>
          <t>Opcional</t>
        </is>
      </c>
    </row>
    <row r="29" ht="30" customHeight="1">
      <c r="A29" s="22" t="inlineStr">
        <is>
          <t xml:space="preserve">      88  :PREFIX:-MAR-LEVE                 VALUE 'L'.</t>
        </is>
      </c>
      <c r="B29" s="42" t="n"/>
      <c r="C29" s="24" t="inlineStr">
        <is>
          <t xml:space="preserve">     'L' - Leve (Substitui 'L02' - FM Leve / 
                         'L03' - IB Leve, apenas para marca 002 ou 003)</t>
        </is>
      </c>
      <c r="D29" s="25" t="n"/>
      <c r="E29" s="25" t="n"/>
      <c r="F29" s="18" t="n"/>
    </row>
    <row r="30">
      <c r="A30" s="10" t="inlineStr">
        <is>
          <t xml:space="preserve">  07  :PREFIX:-NR-AGENTE                PIC X(10).</t>
        </is>
      </c>
      <c r="B30" s="122" t="n"/>
      <c r="C30" s="16" t="inlineStr">
        <is>
          <t>Número do Mediador</t>
        </is>
      </c>
      <c r="D30" s="13">
        <f>D28+E28</f>
        <v/>
      </c>
      <c r="E30" s="16" t="n">
        <v>10</v>
      </c>
      <c r="F30" s="19" t="inlineStr">
        <is>
          <t>Condicional</t>
        </is>
      </c>
    </row>
    <row r="31">
      <c r="A31" s="10" t="inlineStr">
        <is>
          <t xml:space="preserve">  07  :PREFIX:-NR-CLIENTE               PIC X(10).</t>
        </is>
      </c>
      <c r="B31" s="122" t="n"/>
      <c r="C31" s="16" t="inlineStr">
        <is>
          <t>Número do Cliente</t>
        </is>
      </c>
      <c r="D31" s="13">
        <f>D30+E30</f>
        <v/>
      </c>
      <c r="E31" s="16" t="n">
        <v>10</v>
      </c>
      <c r="F31" s="17" t="inlineStr">
        <is>
          <t>Obrigatório</t>
        </is>
      </c>
      <c r="G31" s="153" t="n"/>
    </row>
    <row r="32">
      <c r="A32" s="10" t="inlineStr">
        <is>
          <t xml:space="preserve">  07  :PREFIX:-NR-APOLICE               PIC X(16).</t>
        </is>
      </c>
      <c r="B32" s="122" t="n"/>
      <c r="C32" s="16" t="inlineStr">
        <is>
          <t xml:space="preserve">Número da Apólice: Preencher a espaços, uma vez que poderá existir várias apólices associadas </t>
        </is>
      </c>
      <c r="D32" s="13">
        <f>D31+E31</f>
        <v/>
      </c>
      <c r="E32" s="16" t="n">
        <v>16</v>
      </c>
      <c r="F32" s="9" t="n"/>
    </row>
    <row r="33">
      <c r="A33" s="10" t="inlineStr">
        <is>
          <t xml:space="preserve">  07  :PREFIX:-COD-ORIGEM               PIC X(03).</t>
        </is>
      </c>
      <c r="B33" s="122" t="n"/>
      <c r="C33" s="12" t="inlineStr">
        <is>
          <t>Código de identificação do Sistema Origem</t>
        </is>
      </c>
      <c r="D33" s="13">
        <f>D32+E32</f>
        <v/>
      </c>
      <c r="E33" s="16" t="n">
        <v>3</v>
      </c>
      <c r="F33" s="17" t="inlineStr">
        <is>
          <t>Obrigatório</t>
        </is>
      </c>
    </row>
    <row r="34">
      <c r="A34" s="10" t="inlineStr">
        <is>
          <t xml:space="preserve">      88  :PREFIX:-ORI-COGEN22              VALUE 'CG2'.</t>
        </is>
      </c>
      <c r="B34" s="122" t="n"/>
      <c r="C34" s="16" t="inlineStr">
        <is>
          <t xml:space="preserve">     'CG2' - Cogen 22</t>
        </is>
      </c>
      <c r="D34" s="16" t="n"/>
      <c r="E34" s="16" t="n"/>
      <c r="F34" s="15" t="n"/>
    </row>
    <row r="35">
      <c r="A35" s="10" t="inlineStr">
        <is>
          <t xml:space="preserve">      88  :PREFIX:-ORI-COGEN33              VALUE 'CGN'.</t>
        </is>
      </c>
      <c r="B35" s="122" t="n"/>
      <c r="C35" s="16" t="inlineStr">
        <is>
          <t xml:space="preserve">     'CGN' - Cogen 33</t>
        </is>
      </c>
      <c r="D35" s="16" t="n"/>
      <c r="E35" s="16" t="n"/>
      <c r="F35" s="15" t="n"/>
    </row>
    <row r="36">
      <c r="A36" s="10" t="inlineStr">
        <is>
          <t xml:space="preserve">      88  :PREFIX:-ORI-GIS                  VALUE 'GIS'.</t>
        </is>
      </c>
      <c r="B36" s="122" t="n"/>
      <c r="C36" s="16" t="inlineStr">
        <is>
          <t xml:space="preserve">     'GIS' - GIS</t>
        </is>
      </c>
      <c r="D36" s="16" t="n"/>
      <c r="E36" s="16" t="n"/>
      <c r="F36" s="15" t="n"/>
    </row>
    <row r="37">
      <c r="A37" s="10" t="inlineStr">
        <is>
          <t xml:space="preserve">      88  :PREFIX:-ORI-COLHEITAS            VALUE 'CLH'.</t>
        </is>
      </c>
      <c r="B37" s="122" t="n"/>
      <c r="C37" s="16" t="inlineStr">
        <is>
          <t xml:space="preserve">     'CLH' - Colheitas (GIC)</t>
        </is>
      </c>
      <c r="D37" s="16" t="n"/>
      <c r="E37" s="16" t="n"/>
      <c r="F37" s="15" t="n"/>
    </row>
    <row r="38">
      <c r="A38" s="10" t="inlineStr">
        <is>
          <t xml:space="preserve">      88  :PREFIX:-ORI-MULTICARE            VALUE 'MHS'.</t>
        </is>
      </c>
      <c r="B38" s="122" t="n"/>
      <c r="C38" s="16" t="inlineStr">
        <is>
          <t xml:space="preserve">     'MHS' - Multicare</t>
        </is>
      </c>
      <c r="D38" s="16" t="n"/>
      <c r="E38" s="16" t="n"/>
      <c r="F38" s="15" t="n"/>
    </row>
    <row r="39">
      <c r="A39" s="10" t="inlineStr">
        <is>
          <t xml:space="preserve">      88  :PREFIX:-ORI-SGF-GR               VALUE 'SPG'.</t>
        </is>
      </c>
      <c r="B39" s="122" t="n"/>
      <c r="C39" s="16" t="inlineStr">
        <is>
          <t xml:space="preserve">     'SPG' - SGF Grupo (Paxus)</t>
        </is>
      </c>
      <c r="D39" s="16" t="n"/>
      <c r="E39" s="16" t="n"/>
      <c r="F39" s="15" t="n"/>
    </row>
    <row r="40">
      <c r="A40" s="10" t="inlineStr">
        <is>
          <t xml:space="preserve">      88  :PREFIX:-ORI-SGF-IN               VALUE 'SPA'.</t>
        </is>
      </c>
      <c r="B40" s="122" t="n"/>
      <c r="C40" s="16" t="inlineStr">
        <is>
          <t xml:space="preserve">     'SPA' - SGF Individual (Paxus)</t>
        </is>
      </c>
      <c r="D40" s="16" t="n"/>
      <c r="E40" s="16" t="n"/>
      <c r="F40" s="15" t="n"/>
    </row>
    <row r="41">
      <c r="A41" s="10" t="inlineStr">
        <is>
          <t xml:space="preserve">      88  :PREFIX:-ORI-FGS                  VALUE 'FGS'.</t>
        </is>
      </c>
      <c r="B41" s="122" t="n"/>
      <c r="C41" s="16" t="inlineStr">
        <is>
          <t xml:space="preserve">     'FGS' - FGS</t>
        </is>
      </c>
      <c r="D41" s="16" t="n"/>
      <c r="E41" s="16" t="n"/>
      <c r="F41" s="15" t="n"/>
    </row>
    <row r="42">
      <c r="A42" s="10" t="inlineStr">
        <is>
          <t xml:space="preserve">      88  :PREFIX:-ORI-FCS                  VALUE 'FCS'.</t>
        </is>
      </c>
      <c r="B42" s="151" t="inlineStr">
        <is>
          <t>&lt;NEW&gt;</t>
        </is>
      </c>
      <c r="C42" s="16" t="inlineStr">
        <is>
          <t xml:space="preserve">     'FCS' - FCS</t>
        </is>
      </c>
      <c r="D42" s="16" t="n"/>
      <c r="E42" s="16" t="n"/>
      <c r="F42" s="18" t="n"/>
    </row>
    <row r="43">
      <c r="A43" s="10" t="inlineStr">
        <is>
          <t xml:space="preserve">  07  :PREFIX:-IND-FLYER                PIC X(01).</t>
        </is>
      </c>
      <c r="B43" s="122" t="n"/>
      <c r="C43" s="16" t="inlineStr">
        <is>
          <t>Indicador de inclusão de Flyer (ex: "V" - Cobertura PVC)</t>
        </is>
      </c>
      <c r="D43" s="13">
        <f>D33+E33</f>
        <v/>
      </c>
      <c r="E43" s="16" t="n">
        <v>1</v>
      </c>
      <c r="F43" s="21" t="inlineStr">
        <is>
          <t>Opcional</t>
        </is>
      </c>
    </row>
    <row r="44">
      <c r="A44" s="5" t="inlineStr">
        <is>
          <t>05  :PREFIX:-DADOS-DOCUMENTO            PIC X(2906).</t>
        </is>
      </c>
      <c r="B44" s="29" t="n"/>
      <c r="C44" s="7" t="n"/>
      <c r="D44" s="8">
        <f>D43+E43</f>
        <v/>
      </c>
      <c r="E44" s="8" t="n">
        <v>2906</v>
      </c>
      <c r="F44" s="45" t="n"/>
    </row>
    <row r="45">
      <c r="A45" s="5" t="inlineStr">
        <is>
          <t>05  FILLER  REDEFINES  :PREFIX:-DADOS-DOCUMENTO.</t>
        </is>
      </c>
      <c r="B45" s="29" t="n"/>
      <c r="C45" s="7" t="n"/>
      <c r="D45" s="8" t="n">
        <v>62</v>
      </c>
      <c r="E45" s="8" t="n">
        <v>0</v>
      </c>
      <c r="F45" s="45" t="n"/>
    </row>
    <row r="46">
      <c r="A46" s="30" t="inlineStr">
        <is>
          <t xml:space="preserve">  07  :PREFIX:-DADOS-CLIENTE.</t>
        </is>
      </c>
      <c r="B46" s="127" t="n"/>
      <c r="C46" s="32" t="inlineStr">
        <is>
          <t>(Registo tipo 1)</t>
        </is>
      </c>
      <c r="D46" s="38" t="n">
        <v>62</v>
      </c>
      <c r="E46" s="32" t="n">
        <v>0</v>
      </c>
      <c r="F46" s="32" t="n"/>
    </row>
    <row r="47">
      <c r="A47" s="10" t="inlineStr">
        <is>
          <t xml:space="preserve">    09  :PREFIX:-CL-NOME                PIC X(40).</t>
        </is>
      </c>
      <c r="B47" s="122" t="n"/>
      <c r="C47" s="16" t="inlineStr">
        <is>
          <t>Nome</t>
        </is>
      </c>
      <c r="D47" s="25">
        <f>D46+E46</f>
        <v/>
      </c>
      <c r="E47" s="16" t="n">
        <v>40</v>
      </c>
      <c r="F47" s="17" t="inlineStr">
        <is>
          <t>Obrigatório</t>
        </is>
      </c>
    </row>
    <row r="48">
      <c r="A48" s="10" t="inlineStr">
        <is>
          <t xml:space="preserve">    09  :PREFIX:-CL-LOCATION-REF        PIC X(04).</t>
        </is>
      </c>
      <c r="B48" s="122" t="n"/>
      <c r="C48" s="16" t="inlineStr">
        <is>
          <t>Referência da morada</t>
        </is>
      </c>
      <c r="D48" s="25">
        <f>D47+E47</f>
        <v/>
      </c>
      <c r="E48" s="16" t="n">
        <v>4</v>
      </c>
      <c r="F48" s="17" t="inlineStr">
        <is>
          <t>Obrigatório</t>
        </is>
      </c>
      <c r="G48" s="153" t="n"/>
    </row>
    <row r="49">
      <c r="A49" s="10" t="inlineStr">
        <is>
          <t xml:space="preserve">    09  :PREFIX:-CL-MORADA1             PIC X(40).</t>
        </is>
      </c>
      <c r="B49" s="122" t="n"/>
      <c r="C49" s="16" t="inlineStr">
        <is>
          <t>Dados de morada 1</t>
        </is>
      </c>
      <c r="D49" s="25">
        <f>D48+E48</f>
        <v/>
      </c>
      <c r="E49" s="16" t="n">
        <v>40</v>
      </c>
      <c r="F49" s="17" t="inlineStr">
        <is>
          <t>Obrigatório</t>
        </is>
      </c>
      <c r="G49" s="153" t="n"/>
    </row>
    <row r="50">
      <c r="A50" s="10" t="inlineStr">
        <is>
          <t xml:space="preserve">    09  :PREFIX:-CL-MORADA2             PIC X(40).</t>
        </is>
      </c>
      <c r="B50" s="122" t="n"/>
      <c r="C50" s="16" t="inlineStr">
        <is>
          <t>Dados de morada 2</t>
        </is>
      </c>
      <c r="D50" s="25">
        <f>D49+E49</f>
        <v/>
      </c>
      <c r="E50" s="16" t="n">
        <v>40</v>
      </c>
      <c r="F50" s="21" t="inlineStr">
        <is>
          <t>Opcional</t>
        </is>
      </c>
    </row>
    <row r="51">
      <c r="A51" s="10" t="inlineStr">
        <is>
          <t xml:space="preserve">    09  :PREFIX:-CL-LOCALIDADE          PIC X(40).</t>
        </is>
      </c>
      <c r="B51" s="122" t="n"/>
      <c r="C51" s="16" t="inlineStr">
        <is>
          <t>Localidade</t>
        </is>
      </c>
      <c r="D51" s="25">
        <f>D50+E50</f>
        <v/>
      </c>
      <c r="E51" s="16" t="n">
        <v>40</v>
      </c>
      <c r="F51" s="21" t="inlineStr">
        <is>
          <t>Opcional</t>
        </is>
      </c>
    </row>
    <row r="52">
      <c r="A52" s="10" t="inlineStr">
        <is>
          <t xml:space="preserve">    09  :PREFIX:-CL-CPOSTAL             PIC X(09).</t>
        </is>
      </c>
      <c r="B52" s="122" t="n"/>
      <c r="C52" s="16" t="inlineStr">
        <is>
          <t>Código postal (Se estrangeiro deverá vir a zeros) [9999-999]</t>
        </is>
      </c>
      <c r="D52" s="25">
        <f>D51+E51</f>
        <v/>
      </c>
      <c r="E52" s="16" t="n">
        <v>9</v>
      </c>
      <c r="F52" s="17" t="inlineStr">
        <is>
          <t>Obrigatório</t>
        </is>
      </c>
      <c r="G52" s="153" t="n"/>
    </row>
    <row r="53">
      <c r="A53" s="10" t="inlineStr">
        <is>
          <t xml:space="preserve">    09  :PREFIX:-CL-CPOSTAL-DESC        PIC X(40).</t>
        </is>
      </c>
      <c r="B53" s="122" t="n"/>
      <c r="C53" s="16" t="inlineStr">
        <is>
          <t>Descritivo do código postal</t>
        </is>
      </c>
      <c r="D53" s="25">
        <f>D52+E52</f>
        <v/>
      </c>
      <c r="E53" s="16" t="n">
        <v>40</v>
      </c>
      <c r="F53" s="17" t="inlineStr">
        <is>
          <t>Obrigatório</t>
        </is>
      </c>
      <c r="G53" s="153" t="n"/>
    </row>
    <row r="54">
      <c r="A54" s="10" t="inlineStr">
        <is>
          <t xml:space="preserve">    09  :PREFIX:-CL-CPAIS               PIC X(03).</t>
        </is>
      </c>
      <c r="B54" s="122" t="n"/>
      <c r="C54" s="16" t="inlineStr">
        <is>
          <t>Código do País (Se estrangeiro, diferente de 620)</t>
        </is>
      </c>
      <c r="D54" s="25">
        <f>D53+E53</f>
        <v/>
      </c>
      <c r="E54" s="16" t="n">
        <v>3</v>
      </c>
      <c r="F54" s="17" t="inlineStr">
        <is>
          <t>Obrigatório</t>
        </is>
      </c>
      <c r="G54" s="153" t="n"/>
    </row>
    <row r="55">
      <c r="A55" s="10" t="inlineStr">
        <is>
          <t xml:space="preserve">    09  :PREFIX:-CL-CPAIS-DESC          PIC X(40).</t>
        </is>
      </c>
      <c r="B55" s="122" t="n"/>
      <c r="C55" s="16" t="inlineStr">
        <is>
          <t>Descritivo do País</t>
        </is>
      </c>
      <c r="D55" s="25">
        <f>D54+E54</f>
        <v/>
      </c>
      <c r="E55" s="16" t="n">
        <v>40</v>
      </c>
      <c r="F55" s="17" t="inlineStr">
        <is>
          <t>Obrigatório</t>
        </is>
      </c>
      <c r="G55" s="153" t="n"/>
    </row>
    <row r="56">
      <c r="A56" s="22" t="inlineStr">
        <is>
          <t xml:space="preserve">    09  :PREFIX:-CL-IDP                 PIC X(04).</t>
        </is>
      </c>
      <c r="B56" s="42" t="n"/>
      <c r="C56" s="25" t="inlineStr">
        <is>
          <t>Identificação da Porta (no CBC)</t>
        </is>
      </c>
      <c r="D56" s="25">
        <f>D55+E55</f>
        <v/>
      </c>
      <c r="E56" s="25" t="n">
        <v>4</v>
      </c>
      <c r="F56" s="17" t="inlineStr">
        <is>
          <t>Obrigatório</t>
        </is>
      </c>
      <c r="G56" s="153" t="n"/>
    </row>
    <row r="57">
      <c r="A57" s="10" t="inlineStr">
        <is>
          <t xml:space="preserve">    09  :PREFIX:-CL-NIF                 PIC X(22).</t>
        </is>
      </c>
      <c r="B57" s="122" t="n"/>
      <c r="C57" s="16" t="inlineStr">
        <is>
          <t>Número de identificação fiscal (No caso de Portugal será PT999999999)</t>
        </is>
      </c>
      <c r="D57" s="25">
        <f>D56+E56</f>
        <v/>
      </c>
      <c r="E57" s="16" t="n">
        <v>22</v>
      </c>
      <c r="F57" s="17" t="inlineStr">
        <is>
          <t>Obrigatório</t>
        </is>
      </c>
      <c r="G57" s="153" t="n"/>
    </row>
    <row r="58">
      <c r="A58" s="10" t="inlineStr">
        <is>
          <t xml:space="preserve">    09  :PREFIX:-CL-TIPO-ENTIDADE       PIC X(01).</t>
        </is>
      </c>
      <c r="B58" s="122" t="n"/>
      <c r="C58" s="16" t="inlineStr">
        <is>
          <t>Tipo Entidade</t>
        </is>
      </c>
      <c r="D58" s="25">
        <f>D57+E57</f>
        <v/>
      </c>
      <c r="E58" s="16" t="n">
        <v>1</v>
      </c>
      <c r="F58" s="17" t="inlineStr">
        <is>
          <t>Obrigatório</t>
        </is>
      </c>
      <c r="G58" s="153" t="n"/>
    </row>
    <row r="59">
      <c r="A59" s="10" t="inlineStr">
        <is>
          <t xml:space="preserve">        88  :PREFIX:-CL-ENT-PARTICUL        VALUE '1'.</t>
        </is>
      </c>
      <c r="B59" s="122" t="n"/>
      <c r="C59" s="16" t="inlineStr">
        <is>
          <t xml:space="preserve">     '1' - Pessoa / Particular</t>
        </is>
      </c>
      <c r="D59" s="25" t="n"/>
      <c r="E59" s="16" t="n"/>
      <c r="F59" s="15" t="n"/>
      <c r="G59" s="153" t="n"/>
    </row>
    <row r="60">
      <c r="A60" s="10" t="inlineStr">
        <is>
          <t xml:space="preserve">        88  :PREFIX:-CL-ENT-COLETIVA        VALUE '2'.</t>
        </is>
      </c>
      <c r="B60" s="122" t="n"/>
      <c r="C60" s="16" t="inlineStr">
        <is>
          <t xml:space="preserve">     '2' - Colectivo/Conta Interna</t>
        </is>
      </c>
      <c r="D60" s="25" t="n"/>
      <c r="E60" s="16" t="n"/>
      <c r="F60" s="18" t="n"/>
      <c r="G60" s="153" t="n"/>
    </row>
    <row r="61">
      <c r="A61" s="30" t="inlineStr">
        <is>
          <t xml:space="preserve">  07  :PREFIX:-DADOS-ADVOGADO.</t>
        </is>
      </c>
      <c r="B61" s="127" t="n"/>
      <c r="C61" s="32" t="n"/>
      <c r="D61" s="32" t="n">
        <v>345</v>
      </c>
      <c r="E61" s="32" t="n">
        <v>0</v>
      </c>
      <c r="F61" s="32" t="n"/>
    </row>
    <row r="62">
      <c r="A62" s="10" t="inlineStr">
        <is>
          <t xml:space="preserve">    09  :PREFIX:-AD-NUMERO              PIC X(10).</t>
        </is>
      </c>
      <c r="B62" s="151" t="inlineStr">
        <is>
          <t>&lt;NEW&gt;</t>
        </is>
      </c>
      <c r="C62" s="16" t="inlineStr">
        <is>
          <t>Número de advogado</t>
        </is>
      </c>
      <c r="D62" s="25">
        <f>D61+E61</f>
        <v/>
      </c>
      <c r="E62" s="16" t="n">
        <v>10</v>
      </c>
      <c r="F62" s="19" t="inlineStr">
        <is>
          <t>Condicional</t>
        </is>
      </c>
    </row>
    <row r="63">
      <c r="A63" s="10" t="inlineStr">
        <is>
          <t xml:space="preserve">    09  :PREFIX:-AD-NOME                PIC X(40).</t>
        </is>
      </c>
      <c r="B63" s="151" t="inlineStr">
        <is>
          <t>&lt;NEW&gt;</t>
        </is>
      </c>
      <c r="C63" s="16" t="inlineStr">
        <is>
          <t>Nome</t>
        </is>
      </c>
      <c r="D63" s="25">
        <f>D62+E62</f>
        <v/>
      </c>
      <c r="E63" s="16" t="n">
        <v>40</v>
      </c>
      <c r="F63" s="19" t="inlineStr">
        <is>
          <t>Condicional</t>
        </is>
      </c>
    </row>
    <row r="64">
      <c r="A64" s="10" t="inlineStr">
        <is>
          <t xml:space="preserve">    09  :PREFIX:-AD-LOCATION-REF        PIC X(04).</t>
        </is>
      </c>
      <c r="B64" s="151" t="inlineStr">
        <is>
          <t>&lt;NEW&gt;</t>
        </is>
      </c>
      <c r="C64" s="16" t="inlineStr">
        <is>
          <t>Referência da morada</t>
        </is>
      </c>
      <c r="D64" s="25">
        <f>D63+E63</f>
        <v/>
      </c>
      <c r="E64" s="16" t="n">
        <v>4</v>
      </c>
      <c r="F64" s="19" t="inlineStr">
        <is>
          <t>Condicional</t>
        </is>
      </c>
    </row>
    <row r="65">
      <c r="A65" s="10" t="inlineStr">
        <is>
          <t xml:space="preserve">    09  :PREFIX:-AD-MORADA1             PIC X(40).</t>
        </is>
      </c>
      <c r="B65" s="151" t="inlineStr">
        <is>
          <t>&lt;NEW&gt;</t>
        </is>
      </c>
      <c r="C65" s="16" t="inlineStr">
        <is>
          <t>Dados de morada 1</t>
        </is>
      </c>
      <c r="D65" s="25">
        <f>D64+E64</f>
        <v/>
      </c>
      <c r="E65" s="16" t="n">
        <v>40</v>
      </c>
      <c r="F65" s="19" t="inlineStr">
        <is>
          <t>Condicional</t>
        </is>
      </c>
    </row>
    <row r="66">
      <c r="A66" s="10" t="inlineStr">
        <is>
          <t xml:space="preserve">    09  :PREFIX:-AD-MORADA2             PIC X(40).</t>
        </is>
      </c>
      <c r="B66" s="151" t="inlineStr">
        <is>
          <t>&lt;NEW&gt;</t>
        </is>
      </c>
      <c r="C66" s="16" t="inlineStr">
        <is>
          <t>Dados de morada 2</t>
        </is>
      </c>
      <c r="D66" s="25">
        <f>D65+E65</f>
        <v/>
      </c>
      <c r="E66" s="16" t="n">
        <v>40</v>
      </c>
      <c r="F66" s="21" t="inlineStr">
        <is>
          <t>Opcional</t>
        </is>
      </c>
    </row>
    <row r="67">
      <c r="A67" s="10" t="inlineStr">
        <is>
          <t xml:space="preserve">    09  :PREFIX:-AD-LOCALIDADE          PIC X(40).</t>
        </is>
      </c>
      <c r="B67" s="151" t="inlineStr">
        <is>
          <t>&lt;NEW&gt;</t>
        </is>
      </c>
      <c r="C67" s="16" t="inlineStr">
        <is>
          <t>Localidade</t>
        </is>
      </c>
      <c r="D67" s="25">
        <f>D66+E66</f>
        <v/>
      </c>
      <c r="E67" s="16" t="n">
        <v>40</v>
      </c>
      <c r="F67" s="21" t="inlineStr">
        <is>
          <t>Opcional</t>
        </is>
      </c>
    </row>
    <row r="68">
      <c r="A68" s="10" t="inlineStr">
        <is>
          <t xml:space="preserve">    09  :PREFIX:-AD-CPOSTAL             PIC X(09).</t>
        </is>
      </c>
      <c r="B68" s="151" t="inlineStr">
        <is>
          <t>&lt;NEW&gt;</t>
        </is>
      </c>
      <c r="C68" s="16" t="inlineStr">
        <is>
          <t>Código postal (Se estrangeiro deverá vir a zeros) [9999-999]</t>
        </is>
      </c>
      <c r="D68" s="25">
        <f>D67+E67</f>
        <v/>
      </c>
      <c r="E68" s="16" t="n">
        <v>9</v>
      </c>
      <c r="F68" s="19" t="inlineStr">
        <is>
          <t>Condicional</t>
        </is>
      </c>
    </row>
    <row r="69">
      <c r="A69" s="10" t="inlineStr">
        <is>
          <t xml:space="preserve">    09  :PREFIX:-AD-CPOSTAL-DESC        PIC X(40).</t>
        </is>
      </c>
      <c r="B69" s="151" t="inlineStr">
        <is>
          <t>&lt;NEW&gt;</t>
        </is>
      </c>
      <c r="C69" s="16" t="inlineStr">
        <is>
          <t>Descritivo do código postal</t>
        </is>
      </c>
      <c r="D69" s="25">
        <f>D68+E68</f>
        <v/>
      </c>
      <c r="E69" s="16" t="n">
        <v>40</v>
      </c>
      <c r="F69" s="19" t="inlineStr">
        <is>
          <t>Condicional</t>
        </is>
      </c>
    </row>
    <row r="70">
      <c r="A70" s="10" t="inlineStr">
        <is>
          <t xml:space="preserve">    09  :PREFIX:-AD-CPAIS               PIC X(03).</t>
        </is>
      </c>
      <c r="B70" s="151" t="inlineStr">
        <is>
          <t>&lt;NEW&gt;</t>
        </is>
      </c>
      <c r="C70" s="16" t="inlineStr">
        <is>
          <t>Código do País (Se estrangeiro, diferente de 620)</t>
        </is>
      </c>
      <c r="D70" s="25">
        <f>D69+E69</f>
        <v/>
      </c>
      <c r="E70" s="16" t="n">
        <v>3</v>
      </c>
      <c r="F70" s="19" t="inlineStr">
        <is>
          <t>Condicional</t>
        </is>
      </c>
    </row>
    <row r="71">
      <c r="A71" s="10" t="inlineStr">
        <is>
          <t xml:space="preserve">    09  :PREFIX:-AD-CPAIS-DESC          PIC X(40).</t>
        </is>
      </c>
      <c r="B71" s="151" t="inlineStr">
        <is>
          <t>&lt;NEW&gt;</t>
        </is>
      </c>
      <c r="C71" s="16" t="inlineStr">
        <is>
          <t>Descritivo do País</t>
        </is>
      </c>
      <c r="D71" s="25">
        <f>D70+E70</f>
        <v/>
      </c>
      <c r="E71" s="16" t="n">
        <v>40</v>
      </c>
      <c r="F71" s="19" t="inlineStr">
        <is>
          <t>Condicional</t>
        </is>
      </c>
    </row>
    <row r="72">
      <c r="A72" s="22" t="inlineStr">
        <is>
          <t xml:space="preserve">    09  :PREFIX:-AD-IDP                 PIC X(04).</t>
        </is>
      </c>
      <c r="B72" s="151" t="inlineStr">
        <is>
          <t>&lt;NEW&gt;</t>
        </is>
      </c>
      <c r="C72" s="25" t="inlineStr">
        <is>
          <t>Identificação da Porta (no CBC)</t>
        </is>
      </c>
      <c r="D72" s="25">
        <f>D71+E71</f>
        <v/>
      </c>
      <c r="E72" s="25" t="n">
        <v>4</v>
      </c>
      <c r="F72" s="19" t="inlineStr">
        <is>
          <t>Condicional</t>
        </is>
      </c>
    </row>
    <row r="73">
      <c r="A73" s="30" t="inlineStr">
        <is>
          <t xml:space="preserve">  07  :PREFIX:-DADOS-DATA.</t>
        </is>
      </c>
      <c r="B73" s="127" t="n"/>
      <c r="C73" s="32" t="n"/>
      <c r="D73" s="33">
        <f>D72+E72</f>
        <v/>
      </c>
      <c r="E73" s="32" t="n">
        <v>0</v>
      </c>
      <c r="F73" s="32" t="n"/>
    </row>
    <row r="74">
      <c r="A74" s="10" t="inlineStr">
        <is>
          <t xml:space="preserve">    09  :PREFIX:-DT-EMISSAO             PIC X(08).</t>
        </is>
      </c>
      <c r="B74" s="122" t="n"/>
      <c r="C74" s="16" t="inlineStr">
        <is>
          <t>Data de emissão [aaaammdd]</t>
        </is>
      </c>
      <c r="D74" s="25">
        <f>D73+E73</f>
        <v/>
      </c>
      <c r="E74" s="25" t="n">
        <v>10</v>
      </c>
      <c r="F74" s="17" t="inlineStr">
        <is>
          <t>Obrigatório</t>
        </is>
      </c>
    </row>
    <row r="75">
      <c r="A75" s="30" t="inlineStr">
        <is>
          <t xml:space="preserve">  07  :PREFIX:-DADOS-PAGAMENTO.</t>
        </is>
      </c>
      <c r="B75" s="127" t="n"/>
      <c r="C75" s="32" t="n"/>
      <c r="D75" s="33">
        <f>D74+E74</f>
        <v/>
      </c>
      <c r="E75" s="32" t="n">
        <v>0</v>
      </c>
      <c r="F75" s="32" t="n"/>
    </row>
    <row r="76">
      <c r="A76" s="10" t="inlineStr">
        <is>
          <t xml:space="preserve">    09  :PREFIX:-PG-DEBITO.</t>
        </is>
      </c>
      <c r="B76" s="122" t="n"/>
      <c r="C76" s="16" t="n"/>
      <c r="D76" s="25">
        <f>D75+E75</f>
        <v/>
      </c>
      <c r="E76" s="16" t="n">
        <v>0</v>
      </c>
      <c r="F76" s="17" t="inlineStr">
        <is>
          <t>Obrigatório</t>
        </is>
      </c>
    </row>
    <row r="77">
      <c r="A77" s="22" t="inlineStr">
        <is>
          <t xml:space="preserve">        11  :PREFIX:-DEB-NOME-BANCO     PIC X(60).</t>
        </is>
      </c>
      <c r="B77" s="42" t="n"/>
      <c r="C77" s="25" t="inlineStr">
        <is>
          <t>Nome do Banco</t>
        </is>
      </c>
      <c r="D77" s="25">
        <f>D76+E76</f>
        <v/>
      </c>
      <c r="E77" s="25" t="n">
        <v>60</v>
      </c>
      <c r="F77" s="17" t="inlineStr">
        <is>
          <t>Obrigatório</t>
        </is>
      </c>
    </row>
    <row r="78">
      <c r="A78" s="22" t="inlineStr">
        <is>
          <t xml:space="preserve">        11  :PREFIX:-DEB-IBAN           PIC X(34).</t>
        </is>
      </c>
      <c r="B78" s="42" t="n"/>
      <c r="C78" s="25" t="inlineStr">
        <is>
          <t>IBAN</t>
        </is>
      </c>
      <c r="D78" s="25">
        <f>D77+E77</f>
        <v/>
      </c>
      <c r="E78" s="25" t="n">
        <v>34</v>
      </c>
      <c r="F78" s="19" t="inlineStr">
        <is>
          <t>Condicional</t>
        </is>
      </c>
    </row>
    <row r="79">
      <c r="A79" s="22" t="inlineStr">
        <is>
          <t xml:space="preserve">        11  :PREFIX:-DEB-SWIFT          PIC X(11).</t>
        </is>
      </c>
      <c r="B79" s="42" t="n"/>
      <c r="C79" s="25" t="inlineStr">
        <is>
          <t>BICSWIFT</t>
        </is>
      </c>
      <c r="D79" s="25">
        <f>D78+E78</f>
        <v/>
      </c>
      <c r="E79" s="25" t="n">
        <v>11</v>
      </c>
      <c r="F79" s="19" t="inlineStr">
        <is>
          <t>Condicional</t>
        </is>
      </c>
    </row>
    <row r="80">
      <c r="A80" s="10" t="inlineStr">
        <is>
          <t xml:space="preserve">    09  :PREFIX:-PG-CHEQUE.</t>
        </is>
      </c>
      <c r="B80" s="122" t="n"/>
      <c r="C80" s="16" t="n"/>
      <c r="D80" s="25">
        <f>D79+E79</f>
        <v/>
      </c>
      <c r="E80" s="25" t="n">
        <v>0</v>
      </c>
      <c r="F80" s="16" t="n"/>
    </row>
    <row r="81">
      <c r="A81" s="22" t="inlineStr">
        <is>
          <t xml:space="preserve">        11  :PREFIX:-CH-NR-CHEQUE       PIC X(10).</t>
        </is>
      </c>
      <c r="B81" s="151" t="inlineStr">
        <is>
          <t>&lt;NEW&gt;</t>
        </is>
      </c>
      <c r="C81" s="25" t="inlineStr">
        <is>
          <t>Número do Cheque</t>
        </is>
      </c>
      <c r="D81" s="25">
        <f>D80+E80</f>
        <v/>
      </c>
      <c r="E81" s="25" t="n">
        <v>10</v>
      </c>
      <c r="F81" s="19" t="inlineStr">
        <is>
          <t>Condicional</t>
        </is>
      </c>
    </row>
    <row r="82">
      <c r="A82" s="22" t="inlineStr">
        <is>
          <t xml:space="preserve">        11  :PREFIX:-CH-DATA-CHEQUE     PIC X(08).</t>
        </is>
      </c>
      <c r="B82" s="151" t="inlineStr">
        <is>
          <t>&lt;NEW&gt;</t>
        </is>
      </c>
      <c r="C82" s="25" t="inlineStr">
        <is>
          <t>Data do cheque - formato AAAAMMDD</t>
        </is>
      </c>
      <c r="D82" s="25">
        <f>D81+E81</f>
        <v/>
      </c>
      <c r="E82" s="25" t="n">
        <v>8</v>
      </c>
      <c r="F82" s="19" t="inlineStr">
        <is>
          <t>Condicional</t>
        </is>
      </c>
    </row>
    <row r="83">
      <c r="A83" s="22" t="inlineStr">
        <is>
          <t xml:space="preserve">        11  :PREFIX:-CH-LINHA-OTICA     PIC X(52).</t>
        </is>
      </c>
      <c r="B83" s="151" t="inlineStr">
        <is>
          <t>&lt;NEW&gt;</t>
        </is>
      </c>
      <c r="C83" s="25" t="inlineStr">
        <is>
          <t>Linha otica do cheque</t>
        </is>
      </c>
      <c r="D83" s="25">
        <f>D82+E82</f>
        <v/>
      </c>
      <c r="E83" s="25" t="n">
        <v>52</v>
      </c>
      <c r="F83" s="19" t="inlineStr">
        <is>
          <t>Condicional</t>
        </is>
      </c>
    </row>
    <row r="84">
      <c r="A84" s="22" t="inlineStr">
        <is>
          <t xml:space="preserve">        11  :PREFIX:-CH-EXTENSO-L1      PIC X(100).</t>
        </is>
      </c>
      <c r="B84" s="151" t="inlineStr">
        <is>
          <t>&lt;NEW&gt;</t>
        </is>
      </c>
      <c r="C84" s="25" t="inlineStr">
        <is>
          <t>Valor por extenso - preenchido com "*" até fim</t>
        </is>
      </c>
      <c r="D84" s="25">
        <f>D83+E83</f>
        <v/>
      </c>
      <c r="E84" s="25" t="n">
        <v>100</v>
      </c>
      <c r="F84" s="19" t="inlineStr">
        <is>
          <t>Condicional</t>
        </is>
      </c>
    </row>
    <row r="85">
      <c r="A85" s="22" t="inlineStr">
        <is>
          <t xml:space="preserve">        11  :PREFIX:-CH-EXTENSO-L2      PIC X(100).</t>
        </is>
      </c>
      <c r="B85" s="151" t="inlineStr">
        <is>
          <t>&lt;NEW&gt;</t>
        </is>
      </c>
      <c r="C85" s="25" t="inlineStr">
        <is>
          <t>Linha2 do valor por extenso (se necessário)</t>
        </is>
      </c>
      <c r="D85" s="25">
        <f>D84+E84</f>
        <v/>
      </c>
      <c r="E85" s="25" t="n">
        <v>100</v>
      </c>
      <c r="F85" s="19" t="inlineStr">
        <is>
          <t>Condicional</t>
        </is>
      </c>
    </row>
    <row r="86">
      <c r="A86" s="30" t="inlineStr">
        <is>
          <t xml:space="preserve">  07  :PREFIX:-DADOS-CARTA.</t>
        </is>
      </c>
      <c r="B86" s="127" t="n"/>
      <c r="C86" s="32" t="n"/>
      <c r="D86" s="33">
        <f>D85+E85</f>
        <v/>
      </c>
      <c r="E86" s="154" t="n">
        <v>0</v>
      </c>
      <c r="F86" s="130" t="n"/>
    </row>
    <row r="87">
      <c r="A87" s="35" t="inlineStr">
        <is>
          <t xml:space="preserve">    09  :PREFIX:-COD-MOEDA              PIC X(03).</t>
        </is>
      </c>
      <c r="B87" s="122" t="n"/>
      <c r="C87" s="36" t="inlineStr">
        <is>
          <t>Código de moeda (ex: EUR)</t>
        </is>
      </c>
      <c r="D87" s="25">
        <f>D86+E86</f>
        <v/>
      </c>
      <c r="E87" s="36" t="n">
        <v>3</v>
      </c>
      <c r="F87" s="17" t="inlineStr">
        <is>
          <t>Obrigatório</t>
        </is>
      </c>
    </row>
    <row r="88">
      <c r="A88" s="35" t="inlineStr">
        <is>
          <t xml:space="preserve">    09  :PREFIX:-QTE-LIN-DET            PIC X(05).</t>
        </is>
      </c>
      <c r="B88" s="151" t="inlineStr">
        <is>
          <t>&lt;NEW&gt;</t>
        </is>
      </c>
      <c r="C88" s="36" t="inlineStr">
        <is>
          <t>Quantidade de linhas de detalhe / máximo de 37 linhas para carta cheque</t>
        </is>
      </c>
      <c r="D88" s="25">
        <f>D87+E87</f>
        <v/>
      </c>
      <c r="E88" s="36" t="n">
        <v>5</v>
      </c>
      <c r="F88" s="17" t="inlineStr">
        <is>
          <t>Obrigatório</t>
        </is>
      </c>
      <c r="G88" s="153" t="n"/>
    </row>
    <row r="89">
      <c r="A89" s="30" t="inlineStr">
        <is>
          <t xml:space="preserve">  07  FILLER                            PIC X(1962).</t>
        </is>
      </c>
      <c r="B89" s="127" t="n"/>
      <c r="C89" s="32" t="n"/>
      <c r="D89" s="33">
        <f>D88+E88</f>
        <v/>
      </c>
      <c r="E89" s="32" t="n">
        <v>1962</v>
      </c>
      <c r="F89" s="32" t="n"/>
    </row>
    <row r="90">
      <c r="A90" s="5" t="inlineStr">
        <is>
          <t>05  FILLER  REDEFINES  :PREFIX:-DADOS-DOCUMENTO.</t>
        </is>
      </c>
      <c r="B90" s="29" t="n"/>
      <c r="C90" s="37" t="inlineStr">
        <is>
          <t>(*) Este bloco repete n vezes</t>
        </is>
      </c>
      <c r="D90" s="8" t="n"/>
      <c r="E90" s="8" t="n"/>
      <c r="F90" s="8" t="n"/>
    </row>
    <row r="91">
      <c r="A91" s="30" t="inlineStr">
        <is>
          <t xml:space="preserve">  07  :PREFIX:-DETALHE-CARTA.</t>
        </is>
      </c>
      <c r="B91" s="127" t="n"/>
      <c r="C91" s="32" t="inlineStr">
        <is>
          <t>Detalhe da Carta (Registo do tipo 2)</t>
        </is>
      </c>
      <c r="D91" s="38" t="n">
        <v>62</v>
      </c>
      <c r="E91" s="32" t="n">
        <v>0</v>
      </c>
      <c r="F91" s="32" t="n"/>
    </row>
    <row r="92">
      <c r="A92" s="10" t="inlineStr">
        <is>
          <t xml:space="preserve">    09  :PREFIX:-DT-COD-RAMO            PIC X(10).</t>
        </is>
      </c>
      <c r="B92" s="151" t="inlineStr">
        <is>
          <t>&lt;NEW&gt;</t>
        </is>
      </c>
      <c r="C92" s="16" t="inlineStr">
        <is>
          <t>Código de Ramo</t>
        </is>
      </c>
      <c r="D92" s="13">
        <f>D91+E91</f>
        <v/>
      </c>
      <c r="E92" s="16" t="n">
        <v>10</v>
      </c>
      <c r="F92" s="17" t="inlineStr">
        <is>
          <t>Obrigatório</t>
        </is>
      </c>
    </row>
    <row r="93">
      <c r="A93" s="10" t="inlineStr">
        <is>
          <t xml:space="preserve">    09  :PREFIX:-DT-NR-SINISTRO         PIC X(12).</t>
        </is>
      </c>
      <c r="B93" s="151" t="inlineStr">
        <is>
          <t>&lt;NEW&gt;</t>
        </is>
      </c>
      <c r="C93" s="25" t="inlineStr">
        <is>
          <t>Número do Sinistro</t>
        </is>
      </c>
      <c r="D93" s="25">
        <f>D92+E92</f>
        <v/>
      </c>
      <c r="E93" s="25" t="n">
        <v>12</v>
      </c>
      <c r="F93" s="17" t="inlineStr">
        <is>
          <t>Obrigatório</t>
        </is>
      </c>
      <c r="G93" s="153" t="n"/>
    </row>
    <row r="94">
      <c r="A94" s="10" t="inlineStr">
        <is>
          <t xml:space="preserve">    09  :PREFIX:-DT-NR-RECIBO           PIC X(16).</t>
        </is>
      </c>
      <c r="B94" s="151" t="inlineStr">
        <is>
          <t>&lt;NEW&gt;</t>
        </is>
      </c>
      <c r="C94" s="16" t="inlineStr">
        <is>
          <t>Número do Recibo [Garantir que no máximo vem 11 posições Vida / 10 posições nos restantes]</t>
        </is>
      </c>
      <c r="D94" s="16">
        <f>D93+E93</f>
        <v/>
      </c>
      <c r="E94" s="16" t="n">
        <v>16</v>
      </c>
      <c r="F94" s="17" t="inlineStr">
        <is>
          <t>Obrigatório</t>
        </is>
      </c>
    </row>
    <row r="95">
      <c r="A95" s="22" t="inlineStr">
        <is>
          <t xml:space="preserve">    09  :PREFIX:-DT-NR-APOLICE          PIC X(16).</t>
        </is>
      </c>
      <c r="B95" s="151" t="inlineStr">
        <is>
          <t>&lt;NEW&gt;</t>
        </is>
      </c>
      <c r="C95" s="25" t="inlineStr">
        <is>
          <t>Número da Apólice</t>
        </is>
      </c>
      <c r="D95" s="16">
        <f>D94+E94</f>
        <v/>
      </c>
      <c r="E95" s="25" t="n">
        <v>16</v>
      </c>
      <c r="F95" s="17" t="inlineStr">
        <is>
          <t>Obrigatório</t>
        </is>
      </c>
      <c r="G95" s="153" t="n"/>
    </row>
    <row r="96">
      <c r="A96" s="22" t="inlineStr">
        <is>
          <t xml:space="preserve">    09  :PREFIX:-DT-DESCRITIVO.</t>
        </is>
      </c>
      <c r="B96" s="151" t="inlineStr">
        <is>
          <t>&lt;NEW&gt;</t>
        </is>
      </c>
      <c r="C96" s="25" t="inlineStr">
        <is>
          <t>Cada linha conta como uma linha para a escrita no papel</t>
        </is>
      </c>
      <c r="D96" s="16">
        <f>D95+E95</f>
        <v/>
      </c>
      <c r="E96" s="25" t="n">
        <v>0</v>
      </c>
      <c r="F96" s="17" t="n"/>
    </row>
    <row r="97">
      <c r="A97" s="22" t="inlineStr">
        <is>
          <t xml:space="preserve">        11  :PREFIX:-DT-DESCRITIVO1     PIC X(65).</t>
        </is>
      </c>
      <c r="B97" s="151" t="inlineStr">
        <is>
          <t>&lt;NEW&gt;</t>
        </is>
      </c>
      <c r="C97" s="25" t="inlineStr">
        <is>
          <t>Descritivo linha 1</t>
        </is>
      </c>
      <c r="D97" s="16">
        <f>D96+E96</f>
        <v/>
      </c>
      <c r="E97" s="25" t="n">
        <v>65</v>
      </c>
      <c r="F97" s="17" t="inlineStr">
        <is>
          <t>Obrigatório</t>
        </is>
      </c>
    </row>
    <row r="98">
      <c r="A98" s="22" t="inlineStr">
        <is>
          <t xml:space="preserve">        11  :PREFIX:-DT-DESCRITIVO2     PIC X(65).</t>
        </is>
      </c>
      <c r="B98" s="151" t="inlineStr">
        <is>
          <t>&lt;NEW&gt;</t>
        </is>
      </c>
      <c r="C98" s="25" t="inlineStr">
        <is>
          <t>Descritivo linha 2</t>
        </is>
      </c>
      <c r="D98" s="16">
        <f>D97+E97</f>
        <v/>
      </c>
      <c r="E98" s="25" t="n">
        <v>65</v>
      </c>
      <c r="F98" s="21" t="inlineStr">
        <is>
          <t>Opcional</t>
        </is>
      </c>
    </row>
    <row r="99">
      <c r="A99" s="22" t="inlineStr">
        <is>
          <t xml:space="preserve">        11  :PREFIX:-DT-DESCRITIVO3     PIC X(65).</t>
        </is>
      </c>
      <c r="B99" s="151" t="inlineStr">
        <is>
          <t>&lt;NEW&gt;</t>
        </is>
      </c>
      <c r="C99" s="25" t="inlineStr">
        <is>
          <t>Descritivo linha 3</t>
        </is>
      </c>
      <c r="D99" s="16">
        <f>D98+E98</f>
        <v/>
      </c>
      <c r="E99" s="25" t="n">
        <v>65</v>
      </c>
      <c r="F99" s="21" t="inlineStr">
        <is>
          <t>Opcional</t>
        </is>
      </c>
    </row>
    <row r="100">
      <c r="A100" s="22" t="inlineStr">
        <is>
          <t xml:space="preserve">        11  :PREFIX:-DT-DESCRITIVO4     PIC X(65).</t>
        </is>
      </c>
      <c r="B100" s="151" t="inlineStr">
        <is>
          <t>&lt;NEW&gt;</t>
        </is>
      </c>
      <c r="C100" s="25" t="inlineStr">
        <is>
          <t>Descritivo linha 4</t>
        </is>
      </c>
      <c r="D100" s="16">
        <f>D99+E99</f>
        <v/>
      </c>
      <c r="E100" s="25" t="n">
        <v>65</v>
      </c>
      <c r="F100" s="21" t="inlineStr">
        <is>
          <t>Opcional</t>
        </is>
      </c>
    </row>
    <row r="101" ht="30" customHeight="1">
      <c r="A101" s="40" t="inlineStr">
        <is>
          <t xml:space="preserve">    09  :PREFIX:-DT-VLR-IRS             PIC S9(12)V9(02)
                                   SIGN LEADING SEPARATE.</t>
        </is>
      </c>
      <c r="B101" s="151" t="inlineStr">
        <is>
          <t>&lt;NEW&gt;</t>
        </is>
      </c>
      <c r="C101" s="25" t="inlineStr">
        <is>
          <t>Valor Base Sujeito IRS</t>
        </is>
      </c>
      <c r="D101" s="16">
        <f>D100+E100</f>
        <v/>
      </c>
      <c r="E101" s="25" t="n">
        <v>15</v>
      </c>
      <c r="F101" s="17" t="inlineStr">
        <is>
          <t>Obrigatório</t>
        </is>
      </c>
    </row>
    <row r="102" ht="30" customHeight="1">
      <c r="A102" s="40" t="inlineStr">
        <is>
          <t xml:space="preserve">    09  :PREFIX:-DT-VLR-RECIBO          PIC S9(12)V9(02)
                                   SIGN LEADING SEPARATE.</t>
        </is>
      </c>
      <c r="B102" s="151" t="inlineStr">
        <is>
          <t>&lt;NEW&gt;</t>
        </is>
      </c>
      <c r="C102" s="25" t="inlineStr">
        <is>
          <t>Valor Recibo</t>
        </is>
      </c>
      <c r="D102" s="16">
        <f>D101+E101</f>
        <v/>
      </c>
      <c r="E102" s="25" t="n">
        <v>15</v>
      </c>
      <c r="F102" s="17" t="inlineStr">
        <is>
          <t>Obrigatório</t>
        </is>
      </c>
    </row>
    <row r="103">
      <c r="A103" s="30" t="inlineStr">
        <is>
          <t xml:space="preserve">  07  FILLER                            PIC X(2562).</t>
        </is>
      </c>
      <c r="B103" s="127" t="n"/>
      <c r="C103" s="32" t="n"/>
      <c r="D103" s="155">
        <f>D102+E102</f>
        <v/>
      </c>
      <c r="E103" s="32" t="n">
        <v>2562</v>
      </c>
      <c r="F103" s="32" t="n"/>
    </row>
    <row r="104">
      <c r="A104" s="5" t="inlineStr">
        <is>
          <t>05  FILLER  REDEFINES  :PREFIX:-DADOS-DOCUMENTO.</t>
        </is>
      </c>
      <c r="B104" s="29" t="n"/>
      <c r="C104" s="7" t="n"/>
      <c r="D104" s="8" t="n">
        <v>62</v>
      </c>
      <c r="E104" s="8" t="n">
        <v>0</v>
      </c>
      <c r="F104" s="8" t="n"/>
    </row>
    <row r="105">
      <c r="A105" s="30" t="inlineStr">
        <is>
          <t xml:space="preserve">  07  :PREFIX:-TOTAIS-CARTA.</t>
        </is>
      </c>
      <c r="B105" s="127" t="n"/>
      <c r="C105" s="32" t="inlineStr">
        <is>
          <t>Totais da Carta (Registo do tipo 3)</t>
        </is>
      </c>
      <c r="D105" s="38">
        <f>D104+E104</f>
        <v/>
      </c>
      <c r="E105" s="32" t="n">
        <v>0</v>
      </c>
      <c r="F105" s="32" t="n"/>
    </row>
    <row r="106" ht="30" customHeight="1">
      <c r="A106" s="40" t="inlineStr">
        <is>
          <t xml:space="preserve">    09  :PREFIX:-TT-VLR-IRS             PIC S9(12)V9(02)
                                   SIGN LEADING SEPARATE.</t>
        </is>
      </c>
      <c r="B106" s="151" t="inlineStr">
        <is>
          <t>&lt;NEW&gt;</t>
        </is>
      </c>
      <c r="C106" s="16" t="inlineStr">
        <is>
          <t>Total Valor Base Sujeito IRS</t>
        </is>
      </c>
      <c r="D106" s="156">
        <f>D105+E105</f>
        <v/>
      </c>
      <c r="E106" s="16" t="n">
        <v>15</v>
      </c>
      <c r="F106" s="17" t="inlineStr">
        <is>
          <t>Obrigatório</t>
        </is>
      </c>
    </row>
    <row r="107" ht="30" customHeight="1">
      <c r="A107" s="40" t="inlineStr">
        <is>
          <t xml:space="preserve">    09  :PREFIX:-TT-VLR-RECIBO          PIC S9(12)V9(02)
                                   SIGN LEADING SEPARATE.</t>
        </is>
      </c>
      <c r="B107" s="151" t="inlineStr">
        <is>
          <t>&lt;NEW&gt;</t>
        </is>
      </c>
      <c r="C107" s="16" t="inlineStr">
        <is>
          <t>Total Valor Recibo</t>
        </is>
      </c>
      <c r="D107" s="156">
        <f>D106+E106</f>
        <v/>
      </c>
      <c r="E107" s="16" t="n">
        <v>15</v>
      </c>
      <c r="F107" s="17" t="inlineStr">
        <is>
          <t>Obrigatório</t>
        </is>
      </c>
    </row>
    <row r="108" ht="30" customHeight="1">
      <c r="A108" s="40" t="inlineStr">
        <is>
          <t xml:space="preserve">    09  :PREFIX:-TT-VLR-RET             PIC S9(12)V9(02)
                                   SIGN LEADING SEPARATE.</t>
        </is>
      </c>
      <c r="B108" s="151" t="inlineStr">
        <is>
          <t>&lt;NEW&gt;</t>
        </is>
      </c>
      <c r="C108" s="16" t="inlineStr">
        <is>
          <t>Total Valor IRS - Retenção Efetuada</t>
        </is>
      </c>
      <c r="D108" s="156">
        <f>D107+E107</f>
        <v/>
      </c>
      <c r="E108" s="16" t="n">
        <v>15</v>
      </c>
      <c r="F108" s="17" t="inlineStr">
        <is>
          <t>Obrigatório</t>
        </is>
      </c>
    </row>
    <row r="109" ht="30" customHeight="1">
      <c r="A109" s="40" t="inlineStr">
        <is>
          <t xml:space="preserve">    09  :PREFIX:-TT-VLR-TOT             PIC S9(12)V9(02)
                                   SIGN LEADING SEPARATE.</t>
        </is>
      </c>
      <c r="B109" s="151" t="inlineStr">
        <is>
          <t>&lt;NEW&gt;</t>
        </is>
      </c>
      <c r="C109" s="16" t="inlineStr">
        <is>
          <t xml:space="preserve">Total Valor </t>
        </is>
      </c>
      <c r="D109" s="156">
        <f>D108+E108</f>
        <v/>
      </c>
      <c r="E109" s="16" t="n">
        <v>10</v>
      </c>
      <c r="F109" s="17" t="inlineStr">
        <is>
          <t>Obrigatório</t>
        </is>
      </c>
    </row>
    <row r="110" ht="30" customHeight="1">
      <c r="A110" s="40" t="inlineStr">
        <is>
          <t xml:space="preserve">    09  :PREFIX:-TT-VLR-TOTT       REDEFINES
        :PREFIX:-TT-VLR-TOT             PIC S9(15). </t>
        </is>
      </c>
      <c r="B110" s="151" t="inlineStr">
        <is>
          <t>&lt;NEW&gt;</t>
        </is>
      </c>
      <c r="C110" s="16" t="inlineStr">
        <is>
          <t>Total Valor</t>
        </is>
      </c>
      <c r="D110" s="156" t="n"/>
      <c r="E110" s="16" t="n"/>
      <c r="F110" s="17" t="n"/>
    </row>
    <row r="111">
      <c r="A111" s="30" t="inlineStr">
        <is>
          <t xml:space="preserve">  07  FILLER                            PIC X(2846).</t>
        </is>
      </c>
      <c r="B111" s="127" t="n"/>
      <c r="C111" s="32" t="n"/>
      <c r="D111" s="155">
        <f>D109+E109</f>
        <v/>
      </c>
      <c r="E111" s="32" t="n">
        <v>2846</v>
      </c>
      <c r="F111" s="32" t="n"/>
    </row>
    <row r="112">
      <c r="C112" s="149" t="inlineStr">
        <is>
          <t>Total:</t>
        </is>
      </c>
      <c r="D112" s="150">
        <f>D44+E44</f>
        <v/>
      </c>
    </row>
  </sheetData>
  <mergeCells count="8">
    <mergeCell ref="F7:F10"/>
    <mergeCell ref="F28:F29"/>
    <mergeCell ref="F33:F42"/>
    <mergeCell ref="F58:F60"/>
    <mergeCell ref="F11:F13"/>
    <mergeCell ref="F20:F26"/>
    <mergeCell ref="F15:F19"/>
    <mergeCell ref="F4:F6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51" topLeftCell="A52" activePane="bottomLeft" state="frozen"/>
      <selection pane="bottomLeft" activeCell="A1" sqref="A1"/>
    </sheetView>
  </sheetViews>
  <sheetFormatPr baseColWidth="8" defaultRowHeight="14.4"/>
  <cols>
    <col width="1.6640625" customWidth="1" min="1" max="1"/>
    <col width="91.44140625" customWidth="1" min="2" max="2"/>
    <col width="7.6640625" customWidth="1" min="3" max="3"/>
    <col width="61.88671875" customWidth="1" min="4" max="4"/>
    <col width="9.109375" customWidth="1" min="5" max="5"/>
    <col width="9.109375" customWidth="1" min="6" max="6"/>
    <col width="12.6640625" customWidth="1" min="7" max="7"/>
    <col width="1.6640625" customWidth="1" min="8" max="8"/>
    <col width="10.77734375" customWidth="1" min="9" max="9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G2" s="4" t="inlineStr">
        <is>
          <t>Observações</t>
        </is>
      </c>
      <c r="I2" s="157" t="n"/>
    </row>
    <row r="3">
      <c r="B3" s="5" t="inlineStr">
        <is>
          <t>05  :PREFIX:-DADOS-REGISTO.</t>
        </is>
      </c>
      <c r="C3" s="29" t="n"/>
      <c r="D3" s="7" t="n"/>
      <c r="E3" s="8" t="n">
        <v>1</v>
      </c>
      <c r="F3" s="8" t="n">
        <v>0</v>
      </c>
      <c r="G3" s="45" t="n"/>
    </row>
    <row r="4">
      <c r="B4" s="10" t="inlineStr">
        <is>
          <t xml:space="preserve">  07  :PREFIX:-COD-DOCUMENTO            PIC X(04).</t>
        </is>
      </c>
      <c r="C4" s="122" t="n"/>
      <c r="D4" s="12" t="inlineStr">
        <is>
          <t>Código de documento</t>
        </is>
      </c>
      <c r="E4" s="13">
        <f>E3+F3</f>
        <v/>
      </c>
      <c r="F4" s="13" t="n">
        <v>4</v>
      </c>
      <c r="G4" s="17" t="inlineStr">
        <is>
          <t>Obrigatório</t>
        </is>
      </c>
    </row>
    <row r="5">
      <c r="B5" s="10" t="inlineStr">
        <is>
          <t xml:space="preserve">      88  :PREFIX:-DOC-MED-REMESP          VALUE 'REES'.</t>
        </is>
      </c>
      <c r="C5" s="135" t="n"/>
      <c r="D5" s="12" t="inlineStr">
        <is>
          <t xml:space="preserve">     'REES' - Carta mediador Remuneração em especie </t>
        </is>
      </c>
      <c r="E5" s="13" t="n"/>
      <c r="F5" s="13" t="n"/>
      <c r="G5" s="158" t="n"/>
    </row>
    <row r="6">
      <c r="B6" s="10" t="inlineStr">
        <is>
          <t xml:space="preserve">  07  :PREFIX:-TIPO-REGISTO             PIC X(01).</t>
        </is>
      </c>
      <c r="C6" s="122" t="n"/>
      <c r="D6" s="16" t="inlineStr">
        <is>
          <t>Tipo de registo</t>
        </is>
      </c>
      <c r="E6" s="13">
        <f>E4+F4</f>
        <v/>
      </c>
      <c r="F6" s="16" t="n">
        <v>1</v>
      </c>
      <c r="G6" s="17" t="inlineStr">
        <is>
          <t>Obrigatório</t>
        </is>
      </c>
      <c r="I6" s="159" t="n"/>
    </row>
    <row r="7">
      <c r="B7" s="10" t="inlineStr">
        <is>
          <t xml:space="preserve">      88  :PREFIX:-REG-TIPO1                VALUE '1'.</t>
        </is>
      </c>
      <c r="C7" s="122" t="n"/>
      <c r="D7" s="16" t="inlineStr">
        <is>
          <t xml:space="preserve">     '1' - Dados Gerais</t>
        </is>
      </c>
      <c r="E7" s="13" t="n"/>
      <c r="F7" s="16" t="n"/>
      <c r="G7" s="158" t="n"/>
    </row>
    <row r="8">
      <c r="B8" s="10" t="inlineStr">
        <is>
          <t xml:space="preserve">      88  :PREFIX:-REG-TIPO2                VALUE '2'.</t>
        </is>
      </c>
      <c r="C8" s="135" t="n"/>
      <c r="D8" s="16" t="inlineStr">
        <is>
          <t xml:space="preserve">     '2' - Linha de Detalhe</t>
        </is>
      </c>
      <c r="E8" s="13" t="n"/>
      <c r="F8" s="16" t="n"/>
      <c r="G8" s="158" t="n"/>
      <c r="I8" s="160" t="n"/>
    </row>
    <row r="9">
      <c r="B9" s="10" t="inlineStr">
        <is>
          <t xml:space="preserve">      88  :PREFIX:-REG-TIPO3                VALUE '3'.</t>
        </is>
      </c>
      <c r="C9" s="135" t="n"/>
      <c r="D9" s="16" t="inlineStr">
        <is>
          <t xml:space="preserve">     '3' - Totais</t>
        </is>
      </c>
      <c r="E9" s="13" t="n"/>
      <c r="F9" s="16" t="n"/>
      <c r="G9" s="158" t="n"/>
    </row>
    <row r="10">
      <c r="B10" s="10" t="inlineStr">
        <is>
          <t xml:space="preserve">  07  :PREFIX:-TIPO-IMPRESSAO           PIC X(01).</t>
        </is>
      </c>
      <c r="C10" s="122" t="n"/>
      <c r="D10" s="12" t="inlineStr">
        <is>
          <t>Tipo de impressão</t>
        </is>
      </c>
      <c r="E10" s="13">
        <f>E6+F6</f>
        <v/>
      </c>
      <c r="F10" s="13" t="n">
        <v>1</v>
      </c>
      <c r="G10" s="17" t="inlineStr">
        <is>
          <t>Obrigatório</t>
        </is>
      </c>
      <c r="I10" s="159" t="n"/>
    </row>
    <row r="11">
      <c r="B11" s="10" t="inlineStr">
        <is>
          <t xml:space="preserve">      88  :PREFIX:-IMP-ONLINE               VALUE 'I'.</t>
        </is>
      </c>
      <c r="C11" s="122" t="n"/>
      <c r="D11" s="12" t="inlineStr">
        <is>
          <t xml:space="preserve">     'I' - Impressão OnLine (Immediate)</t>
        </is>
      </c>
      <c r="E11" s="13" t="n"/>
      <c r="F11" s="13" t="n"/>
      <c r="G11" s="158" t="n"/>
    </row>
    <row r="12">
      <c r="B12" s="10" t="inlineStr">
        <is>
          <t xml:space="preserve">      88  :PREFIX:-IMP-BATCH                VALUE 'O'.</t>
        </is>
      </c>
      <c r="C12" s="122" t="n"/>
      <c r="D12" s="12" t="inlineStr">
        <is>
          <t xml:space="preserve">     'O' - Impressão via batch (Overnight)</t>
        </is>
      </c>
      <c r="E12" s="13" t="n"/>
      <c r="F12" s="13" t="n"/>
      <c r="G12" s="158" t="n"/>
    </row>
    <row r="13">
      <c r="B13" s="10" t="inlineStr">
        <is>
          <t xml:space="preserve">  07  :PREFIX:-USERID                   PIC X(08).</t>
        </is>
      </c>
      <c r="C13" s="122" t="n"/>
      <c r="D13" s="16" t="inlineStr">
        <is>
          <t>User Id da impressão OnLine</t>
        </is>
      </c>
      <c r="E13" s="13">
        <f>E10+F10</f>
        <v/>
      </c>
      <c r="F13" s="16" t="n">
        <v>8</v>
      </c>
      <c r="G13" s="19" t="inlineStr">
        <is>
          <t>Condicional</t>
        </is>
      </c>
    </row>
    <row r="14">
      <c r="B14" s="10" t="inlineStr">
        <is>
          <t xml:space="preserve">  07  :PREFIX:-COD-COMPANHIA            PIC X(03).</t>
        </is>
      </c>
      <c r="C14" s="122" t="n"/>
      <c r="D14" s="12" t="inlineStr">
        <is>
          <t>Código de identificação da Companhia</t>
        </is>
      </c>
      <c r="E14" s="13">
        <f>E13+F13</f>
        <v/>
      </c>
      <c r="F14" s="13" t="n">
        <v>3</v>
      </c>
      <c r="G14" s="17" t="inlineStr">
        <is>
          <t>Obrigatório</t>
        </is>
      </c>
      <c r="I14" s="159" t="n"/>
    </row>
    <row r="15">
      <c r="B15" s="10" t="inlineStr">
        <is>
          <t xml:space="preserve">      88  :PREFIX:-COM-VIADIRECTA           VALUE '111'.</t>
        </is>
      </c>
      <c r="C15" s="125" t="n"/>
      <c r="D15" s="12" t="inlineStr">
        <is>
          <t xml:space="preserve">     '111' - Via Directa</t>
        </is>
      </c>
      <c r="E15" s="13" t="n"/>
      <c r="F15" s="13" t="n"/>
      <c r="G15" s="158" t="n"/>
    </row>
    <row r="16">
      <c r="B16" s="10" t="inlineStr">
        <is>
          <t xml:space="preserve">      88  :PREFIX:-COM-FIDELIDADE           VALUE '128'.</t>
        </is>
      </c>
      <c r="C16" s="125" t="n"/>
      <c r="D16" s="12" t="inlineStr">
        <is>
          <t xml:space="preserve">     '128' - Fidelidade</t>
        </is>
      </c>
      <c r="E16" s="13" t="n"/>
      <c r="F16" s="13" t="n"/>
      <c r="G16" s="158" t="n"/>
    </row>
    <row r="17">
      <c r="B17" s="10" t="inlineStr">
        <is>
          <t xml:space="preserve">      88  :PREFIX:-COM-IMPERIO              VALUE '138'.</t>
        </is>
      </c>
      <c r="C17" s="125" t="n"/>
      <c r="D17" s="12" t="inlineStr">
        <is>
          <t xml:space="preserve">     '138' - Império</t>
        </is>
      </c>
      <c r="E17" s="13" t="n"/>
      <c r="F17" s="13" t="n"/>
      <c r="G17" s="158" t="n"/>
    </row>
    <row r="18">
      <c r="B18" s="10" t="inlineStr">
        <is>
          <t xml:space="preserve">      88  :PREFIX:-COM-MULTICARE            VALUE '148'.</t>
        </is>
      </c>
      <c r="C18" s="122" t="n"/>
      <c r="D18" s="12" t="inlineStr">
        <is>
          <t xml:space="preserve">     '148' - Multicare</t>
        </is>
      </c>
      <c r="E18" s="16" t="n"/>
      <c r="F18" s="16" t="n"/>
      <c r="G18" s="158" t="n"/>
    </row>
    <row r="19">
      <c r="B19" s="10" t="inlineStr">
        <is>
          <t xml:space="preserve">  07  :PREFIX:-COD-MARCA                PIC X(03).</t>
        </is>
      </c>
      <c r="C19" s="122" t="n"/>
      <c r="D19" s="12" t="inlineStr">
        <is>
          <t>Código de identificação da Marca</t>
        </is>
      </c>
      <c r="E19" s="13">
        <f>E14+F14</f>
        <v/>
      </c>
      <c r="F19" s="16" t="n">
        <v>3</v>
      </c>
      <c r="G19" s="17" t="inlineStr">
        <is>
          <t>Obrigatório</t>
        </is>
      </c>
      <c r="I19" s="159" t="n"/>
    </row>
    <row r="20">
      <c r="B20" s="10" t="inlineStr">
        <is>
          <t xml:space="preserve">      88  :PREFIX:-MAR-OKTELESEGURO         VALUE '001'.</t>
        </is>
      </c>
      <c r="C20" s="122" t="n"/>
      <c r="D20" s="12" t="inlineStr">
        <is>
          <t xml:space="preserve">     '001' - OK Teleseguro</t>
        </is>
      </c>
      <c r="E20" s="16" t="n"/>
      <c r="F20" s="16" t="n"/>
      <c r="G20" s="158" t="n"/>
    </row>
    <row r="21">
      <c r="B21" s="10" t="inlineStr">
        <is>
          <t xml:space="preserve">      88  :PREFIX:-MAR-FIDELIDADE           VALUE '002'.</t>
        </is>
      </c>
      <c r="C21" s="122" t="n"/>
      <c r="D21" s="12" t="inlineStr">
        <is>
          <t xml:space="preserve">     '002' - Fidelidade</t>
        </is>
      </c>
      <c r="E21" s="16" t="n"/>
      <c r="F21" s="16" t="n"/>
      <c r="G21" s="158" t="n"/>
    </row>
    <row r="22">
      <c r="B22" s="10" t="inlineStr">
        <is>
          <t xml:space="preserve">      88  :PREFIX:-MAR-IMPERIO              VALUE '003'.</t>
        </is>
      </c>
      <c r="C22" s="122" t="n"/>
      <c r="D22" s="12" t="inlineStr">
        <is>
          <t xml:space="preserve">     '003' - Imperio</t>
        </is>
      </c>
      <c r="E22" s="16" t="n"/>
      <c r="F22" s="16" t="n"/>
      <c r="G22" s="158" t="n"/>
    </row>
    <row r="23">
      <c r="B23" s="10" t="inlineStr">
        <is>
          <t xml:space="preserve">      88  :PREFIX:-MAR-ICI                  VALUE '004'.</t>
        </is>
      </c>
      <c r="C23" s="122" t="n"/>
      <c r="D23" s="12" t="inlineStr">
        <is>
          <t xml:space="preserve">     '004' - ICI</t>
        </is>
      </c>
      <c r="E23" s="16" t="n"/>
      <c r="F23" s="16" t="n"/>
      <c r="G23" s="158" t="n"/>
    </row>
    <row r="24">
      <c r="B24" s="10" t="inlineStr">
        <is>
          <t xml:space="preserve">      88  :PREFIX:-MAR-SONAE                VALUE '005'.</t>
        </is>
      </c>
      <c r="C24" s="122" t="n"/>
      <c r="D24" s="12" t="inlineStr">
        <is>
          <t xml:space="preserve">     '005' - Continente</t>
        </is>
      </c>
      <c r="E24" s="16" t="n"/>
      <c r="F24" s="16" t="n"/>
      <c r="G24" s="158" t="n"/>
    </row>
    <row r="25">
      <c r="B25" s="10" t="inlineStr">
        <is>
          <t xml:space="preserve">      88  :PREFIX:-MAR-MULTICARE            VALUE '006'.</t>
        </is>
      </c>
      <c r="C25" s="122" t="n"/>
      <c r="D25" s="12" t="inlineStr">
        <is>
          <t xml:space="preserve">     '006' - Multicare</t>
        </is>
      </c>
      <c r="E25" s="16" t="n"/>
      <c r="F25" s="16" t="n"/>
      <c r="G25" s="158" t="n"/>
    </row>
    <row r="26">
      <c r="B26" s="10" t="inlineStr">
        <is>
          <t xml:space="preserve">  07  :PREFIX:-AUX-MARCA                PIC X(01).</t>
        </is>
      </c>
      <c r="C26" s="122" t="n"/>
      <c r="D26" s="12" t="n"/>
      <c r="E26" s="16">
        <f>E19+F19</f>
        <v/>
      </c>
      <c r="F26" s="16" t="n">
        <v>1</v>
      </c>
      <c r="G26" s="21" t="inlineStr">
        <is>
          <t>Opcional</t>
        </is>
      </c>
    </row>
    <row r="27" ht="28.8" customHeight="1">
      <c r="B27" s="22" t="inlineStr">
        <is>
          <t xml:space="preserve">      88  :PREFIX:-MAR-LEVE                 VALUE 'L'.</t>
        </is>
      </c>
      <c r="C27" s="42" t="n"/>
      <c r="D27" s="24" t="inlineStr">
        <is>
          <t xml:space="preserve">     'L' - Leve (Substitui 'L02' - FM Leve / 
                         'L03' - IB Leve, apenas para marca 002 ou 003)</t>
        </is>
      </c>
      <c r="E27" s="25" t="n"/>
      <c r="F27" s="25" t="n"/>
      <c r="G27" s="158" t="n"/>
    </row>
    <row r="28">
      <c r="B28" s="10" t="inlineStr">
        <is>
          <t xml:space="preserve">  07  :PREFIX:-NR-AGENTE                PIC X(10).</t>
        </is>
      </c>
      <c r="C28" s="122" t="n"/>
      <c r="D28" s="16" t="inlineStr">
        <is>
          <t>Número do Mediador</t>
        </is>
      </c>
      <c r="E28" s="13">
        <f>E26+F26</f>
        <v/>
      </c>
      <c r="F28" s="16" t="n">
        <v>10</v>
      </c>
      <c r="G28" s="17" t="inlineStr">
        <is>
          <t>Obrigatório</t>
        </is>
      </c>
      <c r="I28" s="160" t="n"/>
    </row>
    <row r="29">
      <c r="B29" s="10" t="inlineStr">
        <is>
          <t xml:space="preserve">  07  :PREFIX:-NR-CLIENTE               PIC X(10).</t>
        </is>
      </c>
      <c r="C29" s="122" t="n"/>
      <c r="D29" s="16" t="inlineStr">
        <is>
          <t>Número do Cliente</t>
        </is>
      </c>
      <c r="E29" s="13">
        <f>E28+F28</f>
        <v/>
      </c>
      <c r="F29" s="16" t="n">
        <v>10</v>
      </c>
      <c r="G29" s="161" t="inlineStr">
        <is>
          <t>Não é utilizado</t>
        </is>
      </c>
      <c r="I29" s="160" t="n"/>
    </row>
    <row r="30">
      <c r="B30" s="10" t="inlineStr">
        <is>
          <t xml:space="preserve">  07  :PREFIX:-NR-APOLICE               PIC X(16).</t>
        </is>
      </c>
      <c r="C30" s="122" t="n"/>
      <c r="D30" s="16" t="inlineStr">
        <is>
          <t>Número da Apólice</t>
        </is>
      </c>
      <c r="E30" s="13">
        <f>E29+F29</f>
        <v/>
      </c>
      <c r="F30" s="16" t="n">
        <v>16</v>
      </c>
      <c r="G30" s="161" t="inlineStr">
        <is>
          <t>Não é utilizado</t>
        </is>
      </c>
      <c r="I30" s="160" t="n"/>
    </row>
    <row r="31">
      <c r="B31" s="10" t="inlineStr">
        <is>
          <t xml:space="preserve">  07  :PREFIX:-COD-ORIGEM               PIC X(03).</t>
        </is>
      </c>
      <c r="C31" s="122" t="n"/>
      <c r="D31" s="12" t="inlineStr">
        <is>
          <t>Código de identificação do Sistema Origem</t>
        </is>
      </c>
      <c r="E31" s="13">
        <f>E30+F30</f>
        <v/>
      </c>
      <c r="F31" s="16" t="n">
        <v>3</v>
      </c>
      <c r="G31" s="17" t="inlineStr">
        <is>
          <t>Obrigatório</t>
        </is>
      </c>
    </row>
    <row r="32">
      <c r="B32" s="10" t="inlineStr">
        <is>
          <t xml:space="preserve">      88  :PREFIX:-ORI-COGEN22              VALUE 'CG2'.</t>
        </is>
      </c>
      <c r="C32" s="122" t="n"/>
      <c r="D32" s="16" t="inlineStr">
        <is>
          <t xml:space="preserve">     'CG2' - Cogen 22</t>
        </is>
      </c>
      <c r="E32" s="16" t="n"/>
      <c r="F32" s="16" t="n"/>
      <c r="G32" s="9" t="n"/>
    </row>
    <row r="33">
      <c r="B33" s="10" t="inlineStr">
        <is>
          <t xml:space="preserve">      88  :PREFIX:-ORI-COGEN33              VALUE 'CGN'.</t>
        </is>
      </c>
      <c r="C33" s="122" t="n"/>
      <c r="D33" s="16" t="inlineStr">
        <is>
          <t xml:space="preserve">     'CGN' - Cogen 33</t>
        </is>
      </c>
      <c r="E33" s="16" t="n"/>
      <c r="F33" s="16" t="n"/>
      <c r="G33" s="9" t="n"/>
    </row>
    <row r="34">
      <c r="B34" s="10" t="inlineStr">
        <is>
          <t xml:space="preserve">      88  :PREFIX:-ORI-GIS                  VALUE 'GIS'.</t>
        </is>
      </c>
      <c r="C34" s="122" t="n"/>
      <c r="D34" s="16" t="inlineStr">
        <is>
          <t xml:space="preserve">     'GIS' - GIS</t>
        </is>
      </c>
      <c r="E34" s="16" t="n"/>
      <c r="F34" s="16" t="n"/>
      <c r="G34" s="9" t="n"/>
    </row>
    <row r="35">
      <c r="B35" s="10" t="inlineStr">
        <is>
          <t xml:space="preserve">      88  :PREFIX:-ORI-COLHEITAS            VALUE 'CLH'.</t>
        </is>
      </c>
      <c r="C35" s="122" t="n"/>
      <c r="D35" s="16" t="inlineStr">
        <is>
          <t xml:space="preserve">     'CLH' - Colheitas (GIC)</t>
        </is>
      </c>
      <c r="E35" s="16" t="n"/>
      <c r="F35" s="16" t="n"/>
      <c r="G35" s="9" t="n"/>
    </row>
    <row r="36">
      <c r="B36" s="10" t="inlineStr">
        <is>
          <t xml:space="preserve">      88  :PREFIX:-ORI-MULTICARE            VALUE 'MHS'.</t>
        </is>
      </c>
      <c r="C36" s="122" t="n"/>
      <c r="D36" s="16" t="inlineStr">
        <is>
          <t xml:space="preserve">     'MHS' - Multicare</t>
        </is>
      </c>
      <c r="E36" s="16" t="n"/>
      <c r="F36" s="16" t="n"/>
      <c r="G36" s="9" t="n"/>
    </row>
    <row r="37">
      <c r="B37" s="10" t="inlineStr">
        <is>
          <t xml:space="preserve">      88  :PREFIX:-ORI-SGF-GR               VALUE 'SPG'.</t>
        </is>
      </c>
      <c r="C37" s="122" t="n"/>
      <c r="D37" s="16" t="inlineStr">
        <is>
          <t xml:space="preserve">     'SPG' - SGF-GR</t>
        </is>
      </c>
      <c r="E37" s="16" t="n"/>
      <c r="F37" s="16" t="n"/>
      <c r="G37" s="9" t="n"/>
    </row>
    <row r="38">
      <c r="B38" s="10" t="inlineStr">
        <is>
          <t xml:space="preserve">      88  :PREFIX:-ORI-SGF-IN               VALUE 'SPA'.</t>
        </is>
      </c>
      <c r="C38" s="122" t="n"/>
      <c r="D38" s="16" t="inlineStr">
        <is>
          <t xml:space="preserve">     'SPA' - SGF-IN</t>
        </is>
      </c>
      <c r="E38" s="16" t="n"/>
      <c r="F38" s="16" t="n"/>
      <c r="G38" s="9" t="n"/>
    </row>
    <row r="39">
      <c r="B39" s="10" t="inlineStr">
        <is>
          <t xml:space="preserve">      88  :PREFIX:-ORI-FGS                  VALUE 'FGS'.</t>
        </is>
      </c>
      <c r="C39" s="122" t="n"/>
      <c r="D39" s="16" t="inlineStr">
        <is>
          <t xml:space="preserve">     'FGS' - FGS</t>
        </is>
      </c>
      <c r="E39" s="16" t="n"/>
      <c r="F39" s="16" t="n"/>
      <c r="G39" s="9" t="n"/>
    </row>
    <row r="40">
      <c r="B40" s="10" t="inlineStr">
        <is>
          <t xml:space="preserve">      88  :PREFIX:-ORI-FCS                  VALUE 'FCS'.</t>
        </is>
      </c>
      <c r="C40" s="122" t="n"/>
      <c r="D40" s="16" t="inlineStr">
        <is>
          <t xml:space="preserve">     'FCS' - FCS</t>
        </is>
      </c>
      <c r="E40" s="16" t="n"/>
      <c r="F40" s="16" t="n"/>
      <c r="G40" s="9" t="n"/>
    </row>
    <row r="41">
      <c r="B41" s="10" t="inlineStr">
        <is>
          <t xml:space="preserve">  07  :PREFIX:-IND-FLYER                PIC X(01).</t>
        </is>
      </c>
      <c r="C41" s="122" t="n"/>
      <c r="D41" s="16" t="inlineStr">
        <is>
          <t>Indicador de inclusão de Flyer (ex: "V" - Cobertura PVC)</t>
        </is>
      </c>
      <c r="E41" s="13">
        <f>E31+F31</f>
        <v/>
      </c>
      <c r="F41" s="16" t="n">
        <v>1</v>
      </c>
      <c r="G41" s="21" t="inlineStr">
        <is>
          <t>Opcional</t>
        </is>
      </c>
    </row>
    <row r="42">
      <c r="B42" s="5" t="inlineStr">
        <is>
          <t>05  :PREFIX:-DADOS-DOCUMENTO            PIC X(2138).</t>
        </is>
      </c>
      <c r="C42" s="29" t="n"/>
      <c r="D42" s="7" t="n"/>
      <c r="E42" s="8">
        <f>E41+F41</f>
        <v/>
      </c>
      <c r="F42" s="8" t="n">
        <v>2138</v>
      </c>
      <c r="G42" s="45" t="n"/>
    </row>
    <row r="43">
      <c r="B43" s="30" t="inlineStr">
        <is>
          <t xml:space="preserve">  07  :PREFIX:-DADOS-GERAIS.</t>
        </is>
      </c>
      <c r="C43" s="127" t="n"/>
      <c r="D43" s="32" t="n"/>
      <c r="E43" s="38">
        <f>E42</f>
        <v/>
      </c>
      <c r="F43" s="32" t="n">
        <v>0</v>
      </c>
      <c r="G43" s="130" t="n"/>
    </row>
    <row r="44">
      <c r="B44" s="35" t="inlineStr">
        <is>
          <t xml:space="preserve">    09  :PREFIX:-COD-MOEDA              PIC X(03).</t>
        </is>
      </c>
      <c r="C44" s="122" t="n"/>
      <c r="D44" s="36" t="inlineStr">
        <is>
          <t>Código de moeda (ex: EUR)</t>
        </is>
      </c>
      <c r="E44" s="13">
        <f>E43+F43</f>
        <v/>
      </c>
      <c r="F44" s="36" t="n">
        <v>3</v>
      </c>
      <c r="G44" s="17" t="inlineStr">
        <is>
          <t>Obrigatório</t>
        </is>
      </c>
    </row>
    <row r="45">
      <c r="A45" s="131" t="n"/>
      <c r="B45" s="80" t="inlineStr">
        <is>
          <t xml:space="preserve">    09  :PREFIX:-QTE-LIN-DET            PIC X(05).</t>
        </is>
      </c>
      <c r="C45" s="135" t="n"/>
      <c r="D45" s="36" t="inlineStr">
        <is>
          <t xml:space="preserve">Quantidade de linhas de detalhe </t>
        </is>
      </c>
      <c r="E45" s="13">
        <f>E44+F44</f>
        <v/>
      </c>
      <c r="F45" s="25" t="n">
        <v>5</v>
      </c>
      <c r="G45" s="17" t="inlineStr">
        <is>
          <t>Obrigatório</t>
        </is>
      </c>
    </row>
    <row r="46">
      <c r="B46" s="30" t="inlineStr">
        <is>
          <t xml:space="preserve">  07  :PREFIX:-DADOS-DATA.</t>
        </is>
      </c>
      <c r="C46" s="127" t="n"/>
      <c r="D46" s="32" t="n"/>
      <c r="E46" s="38">
        <f>E45+F45</f>
        <v/>
      </c>
      <c r="F46" s="32" t="n">
        <v>0</v>
      </c>
      <c r="G46" s="130" t="n"/>
    </row>
    <row r="47">
      <c r="B47" s="162" t="inlineStr">
        <is>
          <t xml:space="preserve">    09  :PREFIX:-DT-CARTA               PIC X(08).</t>
        </is>
      </c>
      <c r="C47" s="163" t="n"/>
      <c r="D47" s="164" t="inlineStr">
        <is>
          <t>Data emissão da carta [aaaammdd]</t>
        </is>
      </c>
      <c r="E47" s="13">
        <f>E46+F46</f>
        <v/>
      </c>
      <c r="F47" s="164" t="n">
        <v>8</v>
      </c>
      <c r="G47" s="17" t="inlineStr">
        <is>
          <t>Obrigatório</t>
        </is>
      </c>
    </row>
    <row r="48">
      <c r="B48" s="30" t="inlineStr">
        <is>
          <t xml:space="preserve">  07  :PREFIX:-DADOS-VALOR.</t>
        </is>
      </c>
      <c r="C48" s="127" t="n"/>
      <c r="D48" s="32" t="n"/>
      <c r="E48" s="38">
        <f>E47+F47</f>
        <v/>
      </c>
      <c r="F48" s="32" t="n">
        <v>0</v>
      </c>
      <c r="G48" s="130" t="n"/>
    </row>
    <row r="49" ht="28.8" customHeight="1">
      <c r="B49" s="165" t="inlineStr">
        <is>
          <t xml:space="preserve">    09  :PREFIX:-VLR-RECEBER            PIC S9(12)V9(02)
                                   SIGN LEADING SEPARATE.</t>
        </is>
      </c>
      <c r="C49" s="163" t="n"/>
      <c r="D49" s="164" t="inlineStr">
        <is>
          <t>Valor a receber</t>
        </is>
      </c>
      <c r="E49" s="13">
        <f>E48+F48</f>
        <v/>
      </c>
      <c r="F49" s="164" t="n">
        <v>15</v>
      </c>
      <c r="G49" s="17" t="inlineStr">
        <is>
          <t>Obrigatório</t>
        </is>
      </c>
    </row>
    <row r="50">
      <c r="B50" s="30" t="inlineStr">
        <is>
          <t xml:space="preserve">  07  :PREFIX:-DADOS-MEDIADOR.</t>
        </is>
      </c>
      <c r="C50" s="127" t="n"/>
      <c r="D50" s="32" t="n"/>
      <c r="E50" s="38">
        <f>E49+F49</f>
        <v/>
      </c>
      <c r="F50" s="32" t="n">
        <v>0</v>
      </c>
      <c r="G50" s="130" t="n"/>
    </row>
    <row r="51">
      <c r="B51" s="10" t="inlineStr">
        <is>
          <t xml:space="preserve">    09  :PREFIX:-MD-NOME                PIC X(40).</t>
        </is>
      </c>
      <c r="C51" s="135" t="n"/>
      <c r="D51" s="16" t="inlineStr">
        <is>
          <t>Nome</t>
        </is>
      </c>
      <c r="E51" s="13">
        <f>E50+F50</f>
        <v/>
      </c>
      <c r="F51" s="16" t="n">
        <v>40</v>
      </c>
      <c r="G51" s="17" t="inlineStr">
        <is>
          <t>Obrigatório</t>
        </is>
      </c>
    </row>
    <row r="52">
      <c r="B52" s="10" t="inlineStr">
        <is>
          <t xml:space="preserve">    09  :PREFIX:-MD-LOCATION-REF        PIC X(04).</t>
        </is>
      </c>
      <c r="C52" s="135" t="n"/>
      <c r="D52" s="16" t="inlineStr">
        <is>
          <t>Referência da morada</t>
        </is>
      </c>
      <c r="E52" s="13">
        <f>E51+F51</f>
        <v/>
      </c>
      <c r="F52" s="16" t="n">
        <v>4</v>
      </c>
      <c r="G52" s="17" t="inlineStr">
        <is>
          <t>Obrigatório</t>
        </is>
      </c>
    </row>
    <row r="53">
      <c r="B53" s="10" t="inlineStr">
        <is>
          <t xml:space="preserve">    09  :PREFIX:-MD-MORADA1             PIC X(40).</t>
        </is>
      </c>
      <c r="C53" s="135" t="n"/>
      <c r="D53" s="16" t="inlineStr">
        <is>
          <t>Dados de morada 1</t>
        </is>
      </c>
      <c r="E53" s="13">
        <f>E52+F52</f>
        <v/>
      </c>
      <c r="F53" s="16" t="n">
        <v>40</v>
      </c>
      <c r="G53" s="17" t="inlineStr">
        <is>
          <t>Obrigatório</t>
        </is>
      </c>
    </row>
    <row r="54">
      <c r="B54" s="10" t="inlineStr">
        <is>
          <t xml:space="preserve">    09  :PREFIX:-MD-MORADA2             PIC X(40).</t>
        </is>
      </c>
      <c r="C54" s="135" t="n"/>
      <c r="D54" s="16" t="inlineStr">
        <is>
          <t>Dados de morada 2</t>
        </is>
      </c>
      <c r="E54" s="13">
        <f>E53+F53</f>
        <v/>
      </c>
      <c r="F54" s="16" t="n">
        <v>40</v>
      </c>
      <c r="G54" s="21" t="inlineStr">
        <is>
          <t>Opcional</t>
        </is>
      </c>
    </row>
    <row r="55">
      <c r="B55" s="10" t="inlineStr">
        <is>
          <t xml:space="preserve">    09  :PREFIX:-MD-LOCALIDADE          PIC X(40).</t>
        </is>
      </c>
      <c r="C55" s="135" t="n"/>
      <c r="D55" s="16" t="inlineStr">
        <is>
          <t>Localidade</t>
        </is>
      </c>
      <c r="E55" s="13">
        <f>E54+F54</f>
        <v/>
      </c>
      <c r="F55" s="16" t="n">
        <v>40</v>
      </c>
      <c r="G55" s="21" t="inlineStr">
        <is>
          <t>Opcional</t>
        </is>
      </c>
    </row>
    <row r="56">
      <c r="B56" s="10" t="inlineStr">
        <is>
          <t xml:space="preserve">    09  :PREFIX:-MD-CPOSTAL             PIC X(09).</t>
        </is>
      </c>
      <c r="C56" s="135" t="n"/>
      <c r="D56" s="16" t="inlineStr">
        <is>
          <t>Código postal (Se estrangeiro deverá vir a zeros) [9999-999]</t>
        </is>
      </c>
      <c r="E56" s="13">
        <f>E55+F55</f>
        <v/>
      </c>
      <c r="F56" s="16" t="n">
        <v>9</v>
      </c>
      <c r="G56" s="17" t="inlineStr">
        <is>
          <t>Obrigatório</t>
        </is>
      </c>
    </row>
    <row r="57">
      <c r="B57" s="10" t="inlineStr">
        <is>
          <t xml:space="preserve">    09  :PREFIX:-MD-CPOSTAL-DESC        PIC X(40).</t>
        </is>
      </c>
      <c r="C57" s="135" t="n"/>
      <c r="D57" s="16" t="inlineStr">
        <is>
          <t>Descritivo do código postal</t>
        </is>
      </c>
      <c r="E57" s="13">
        <f>E56+F56</f>
        <v/>
      </c>
      <c r="F57" s="16" t="n">
        <v>40</v>
      </c>
      <c r="G57" s="17" t="inlineStr">
        <is>
          <t>Obrigatório</t>
        </is>
      </c>
    </row>
    <row r="58">
      <c r="B58" s="10" t="inlineStr">
        <is>
          <t xml:space="preserve">    09  :PREFIX:-MD-CPAIS               PIC X(03).</t>
        </is>
      </c>
      <c r="C58" s="135" t="n"/>
      <c r="D58" s="16" t="inlineStr">
        <is>
          <t>Código do País (Se estrangeiro, diferente de 620)</t>
        </is>
      </c>
      <c r="E58" s="13">
        <f>E57+F57</f>
        <v/>
      </c>
      <c r="F58" s="16" t="n">
        <v>3</v>
      </c>
      <c r="G58" s="17" t="inlineStr">
        <is>
          <t>Obrigatório</t>
        </is>
      </c>
    </row>
    <row r="59">
      <c r="B59" s="10" t="inlineStr">
        <is>
          <t xml:space="preserve">    09  :PREFIX:-MD-CPAIS-DESC          PIC X(40).</t>
        </is>
      </c>
      <c r="C59" s="135" t="n"/>
      <c r="D59" s="16" t="inlineStr">
        <is>
          <t>Descritivo do País</t>
        </is>
      </c>
      <c r="E59" s="13">
        <f>E58+F58</f>
        <v/>
      </c>
      <c r="F59" s="16" t="n">
        <v>40</v>
      </c>
      <c r="G59" s="17" t="inlineStr">
        <is>
          <t>Obrigatório</t>
        </is>
      </c>
    </row>
    <row r="60">
      <c r="B60" s="22" t="inlineStr">
        <is>
          <t xml:space="preserve">    09  :PREFIX:-MD-IDP                 PIC X(04).</t>
        </is>
      </c>
      <c r="C60" s="135" t="n"/>
      <c r="D60" s="25" t="inlineStr">
        <is>
          <t>Identificação da Porta (no CBC)</t>
        </is>
      </c>
      <c r="E60" s="13">
        <f>E59+F59</f>
        <v/>
      </c>
      <c r="F60" s="25" t="n">
        <v>4</v>
      </c>
      <c r="G60" s="17" t="inlineStr">
        <is>
          <t>Obrigatório</t>
        </is>
      </c>
    </row>
    <row r="61">
      <c r="B61" s="10" t="inlineStr">
        <is>
          <t xml:space="preserve">    09  :PREFIX:-MD-NIF                 PIC X(22).</t>
        </is>
      </c>
      <c r="C61" s="135" t="n"/>
      <c r="D61" s="16" t="inlineStr">
        <is>
          <t>Número de identificação fiscal (No caso de Portugal será PT999999999)</t>
        </is>
      </c>
      <c r="E61" s="13">
        <f>E60+F60</f>
        <v/>
      </c>
      <c r="F61" s="16" t="n">
        <v>22</v>
      </c>
      <c r="G61" s="17" t="inlineStr">
        <is>
          <t>Obrigatório</t>
        </is>
      </c>
    </row>
    <row r="62">
      <c r="B62" s="10" t="inlineStr">
        <is>
          <t xml:space="preserve">    09  :PREFIX:-MD-TIPO-ENTIDADE       PIC X(01).</t>
        </is>
      </c>
      <c r="C62" s="135" t="n"/>
      <c r="D62" s="16" t="inlineStr">
        <is>
          <t>Tipo Entidade</t>
        </is>
      </c>
      <c r="E62" s="13">
        <f>E61+F61</f>
        <v/>
      </c>
      <c r="F62" s="16" t="n">
        <v>1</v>
      </c>
      <c r="G62" s="21" t="inlineStr">
        <is>
          <t>Opcional</t>
        </is>
      </c>
    </row>
    <row r="63">
      <c r="B63" s="10" t="inlineStr">
        <is>
          <t xml:space="preserve">        88  :PREFIX:-MD-ENT-PARTICUL        VALUE '1'.</t>
        </is>
      </c>
      <c r="C63" s="135" t="n"/>
      <c r="D63" s="16" t="inlineStr">
        <is>
          <t xml:space="preserve">     '1' - Pessoa / Particular</t>
        </is>
      </c>
      <c r="E63" s="13">
        <f>E62+F62</f>
        <v/>
      </c>
      <c r="F63" s="16" t="n"/>
      <c r="G63" s="158" t="n"/>
    </row>
    <row r="64">
      <c r="B64" s="10" t="inlineStr">
        <is>
          <t xml:space="preserve">        88  :PREFIX:-MD-ENT-COLETIVA        VALUE '2'.</t>
        </is>
      </c>
      <c r="C64" s="135" t="n"/>
      <c r="D64" s="16" t="inlineStr">
        <is>
          <t xml:space="preserve">     '2' - Colectivo/Conta Interna</t>
        </is>
      </c>
      <c r="E64" s="13">
        <f>E63+F63</f>
        <v/>
      </c>
      <c r="F64" s="16" t="n"/>
      <c r="G64" s="158" t="n"/>
    </row>
    <row r="65">
      <c r="B65" s="30" t="inlineStr">
        <is>
          <t xml:space="preserve">  07  FILLER                            PIC X(1824).</t>
        </is>
      </c>
      <c r="C65" s="127" t="n"/>
      <c r="D65" s="32" t="n"/>
      <c r="E65" s="38">
        <f>E64+F64</f>
        <v/>
      </c>
      <c r="F65" s="32" t="n">
        <v>1824</v>
      </c>
      <c r="G65" s="130" t="n"/>
    </row>
    <row r="66">
      <c r="B66" s="5" t="inlineStr">
        <is>
          <t>05  FILLER  REDEFINES  :PREFIX:-DADOS-DOCUMENTO.</t>
        </is>
      </c>
      <c r="C66" s="138" t="n"/>
      <c r="D66" s="37" t="inlineStr">
        <is>
          <t>(*) Este bloco repete n vezes</t>
        </is>
      </c>
      <c r="E66" s="8" t="n"/>
      <c r="F66" s="8" t="n"/>
      <c r="G66" s="139" t="n"/>
    </row>
    <row r="67">
      <c r="B67" s="30" t="inlineStr">
        <is>
          <t xml:space="preserve">  07  :PREFIX:-DETALHE-CARTA.</t>
        </is>
      </c>
      <c r="C67" s="127" t="n"/>
      <c r="D67" s="32" t="inlineStr">
        <is>
          <t>Detalhe da Carta (Registo do tipo 2)</t>
        </is>
      </c>
      <c r="E67" s="32" t="n">
        <v>62</v>
      </c>
      <c r="F67" s="32" t="n"/>
      <c r="G67" s="130" t="n"/>
    </row>
    <row r="68">
      <c r="B68" s="10" t="inlineStr">
        <is>
          <t xml:space="preserve">    09  :PREFIX:-DT-DESCRITIVO          PIC X(60).</t>
        </is>
      </c>
      <c r="C68" s="135" t="n"/>
      <c r="D68" s="16" t="inlineStr">
        <is>
          <t>Descritivo da remuneração</t>
        </is>
      </c>
      <c r="E68" s="13">
        <f>E67+F67</f>
        <v/>
      </c>
      <c r="F68" s="16" t="n">
        <v>60</v>
      </c>
      <c r="G68" s="17" t="inlineStr">
        <is>
          <t>Obrigatório</t>
        </is>
      </c>
    </row>
    <row r="69" ht="28.8" customHeight="1">
      <c r="B69" s="132" t="inlineStr">
        <is>
          <t xml:space="preserve">    09  :PREFIX:-DT-VLR-DESCR           PIC S9(12)V9(02)
                                   SIGN LEADING SEPARATE.</t>
        </is>
      </c>
      <c r="C69" s="122" t="n"/>
      <c r="D69" s="16" t="inlineStr">
        <is>
          <t>Valor da remuneração</t>
        </is>
      </c>
      <c r="E69" s="13">
        <f>E68+F68</f>
        <v/>
      </c>
      <c r="F69" s="16" t="n">
        <v>15</v>
      </c>
      <c r="G69" s="17" t="inlineStr">
        <is>
          <t>Obrigatório</t>
        </is>
      </c>
    </row>
    <row r="70">
      <c r="B70" s="30" t="inlineStr">
        <is>
          <t xml:space="preserve">  07  FILLER                            PIC X(2063).</t>
        </is>
      </c>
      <c r="C70" s="32" t="n"/>
      <c r="D70" s="33" t="n"/>
      <c r="E70" s="38">
        <f>E69+F69</f>
        <v/>
      </c>
      <c r="F70" s="32" t="n">
        <v>2063</v>
      </c>
      <c r="G70" s="32" t="n"/>
    </row>
    <row r="71">
      <c r="B71" s="5" t="inlineStr">
        <is>
          <t>05  FILLER  REDEFINES  :PREFIX:-DADOS-DOCUMENTO.</t>
        </is>
      </c>
      <c r="C71" s="138" t="n"/>
      <c r="D71" s="37" t="n"/>
      <c r="E71" s="8" t="n"/>
      <c r="F71" s="8" t="n"/>
      <c r="G71" s="139" t="n"/>
      <c r="I71" s="160" t="n"/>
    </row>
    <row r="72">
      <c r="B72" s="30" t="inlineStr">
        <is>
          <t xml:space="preserve">  07  :PREFIX:-TOTAIS.</t>
        </is>
      </c>
      <c r="C72" s="127" t="n"/>
      <c r="D72" s="32" t="inlineStr">
        <is>
          <t>Detalhe da Carta (Registo do tipo 2)</t>
        </is>
      </c>
      <c r="E72" s="32" t="n">
        <v>62</v>
      </c>
      <c r="F72" s="32" t="n"/>
      <c r="G72" s="130" t="n"/>
    </row>
    <row r="73" ht="28.8" customHeight="1">
      <c r="B73" s="132" t="inlineStr">
        <is>
          <t xml:space="preserve">    09  :PREFIX:-TT-VALOR               PIC S9(12)V9(02)
                                   SIGN LEADING SEPARATE.</t>
        </is>
      </c>
      <c r="C73" s="122" t="n"/>
      <c r="D73" s="16" t="inlineStr">
        <is>
          <t>Valor total da remuneração</t>
        </is>
      </c>
      <c r="E73" s="13">
        <f>E72+F72</f>
        <v/>
      </c>
      <c r="F73" s="16" t="n">
        <v>15</v>
      </c>
      <c r="G73" s="17" t="inlineStr">
        <is>
          <t>Obrigatório</t>
        </is>
      </c>
    </row>
    <row r="74">
      <c r="B74" s="30" t="inlineStr">
        <is>
          <t xml:space="preserve">  07  FILLER                            PIC X(2123).</t>
        </is>
      </c>
      <c r="C74" s="32" t="n"/>
      <c r="D74" s="33" t="n"/>
      <c r="E74" s="38">
        <f>E73+F73</f>
        <v/>
      </c>
      <c r="F74" s="32" t="n">
        <v>2123</v>
      </c>
      <c r="G74" s="32" t="n"/>
    </row>
    <row r="75">
      <c r="D75" s="149" t="inlineStr">
        <is>
          <t>Total:</t>
        </is>
      </c>
      <c r="E75" s="150">
        <f>E65+F65</f>
        <v/>
      </c>
    </row>
  </sheetData>
  <pageMargins left="0.7086614173228347" right="0.7086614173228347" top="0.7480314960629921" bottom="0.7480314960629921" header="0.3149606299212598" footer="0.3149606299212598"/>
  <pageSetup orientation="landscape" paperSize="9" scale="64" fitToHeight="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4.45"/>
  <cols>
    <col width="1.7109375" customWidth="1" min="1" max="1"/>
    <col width="11.140625" customWidth="1" min="2" max="2"/>
    <col width="47.7109375" customWidth="1" min="3" max="3"/>
    <col width="10.28515625" customWidth="1" min="4" max="4"/>
    <col width="10.28515625" customWidth="1" min="5" max="5"/>
    <col width="10.7109375" customWidth="1" min="6" max="6"/>
    <col width="1.7109375" customWidth="1" min="7" max="7"/>
    <col width="4.7109375" customWidth="1" min="8" max="8"/>
    <col width="6.7109375" customWidth="1" min="9" max="9"/>
    <col width="5.5703125" customWidth="1" min="10" max="10"/>
    <col width="6.42578125" customWidth="1" min="11" max="11"/>
    <col width="44.42578125" customWidth="1" min="13" max="13"/>
    <col width="39.28515625" customWidth="1" min="14" max="14"/>
    <col width="44" customWidth="1" min="15" max="15"/>
  </cols>
  <sheetData>
    <row r="1"/>
    <row r="2" ht="21.6" customHeight="1">
      <c r="B2" s="2" t="inlineStr">
        <is>
          <t>Tarefa</t>
        </is>
      </c>
      <c r="C2" s="2" t="inlineStr">
        <is>
          <t>Descrição</t>
        </is>
      </c>
      <c r="D2" s="3" t="inlineStr">
        <is>
          <t>Programas</t>
        </is>
      </c>
      <c r="E2" s="96" t="n"/>
      <c r="F2" s="2" t="inlineStr">
        <is>
          <t>Copybooks</t>
        </is>
      </c>
      <c r="G2" s="166" t="n"/>
      <c r="H2" s="167" t="n"/>
      <c r="I2" s="167" t="n"/>
      <c r="J2" s="167" t="n"/>
      <c r="K2" s="167" t="inlineStr">
        <is>
          <t>Situação</t>
        </is>
      </c>
      <c r="L2" s="168" t="inlineStr">
        <is>
          <t>CHAPAO NOVO</t>
        </is>
      </c>
      <c r="M2" s="169" t="inlineStr">
        <is>
          <t>Overlays a replicar (após informação do que fica e como fica)</t>
        </is>
      </c>
    </row>
    <row r="3" ht="91.90000000000001" customHeight="1">
      <c r="B3" s="170" t="inlineStr">
        <is>
          <t>HGO010DN</t>
        </is>
      </c>
      <c r="C3" s="171" t="inlineStr">
        <is>
          <t>Cartas de Cancelamento (PRIC)
   - CHIP: Pré-Aviso p/ Entidade Interessada
   - ENTI: Carta Canc. p/ Entidade Interessada
   - CTAD: Carta Canc. p/ Agente Cobrador</t>
        </is>
      </c>
      <c r="D3" s="172" t="inlineStr">
        <is>
          <t>PGOA405</t>
        </is>
      </c>
      <c r="E3" s="96" t="n"/>
      <c r="F3" s="173" t="inlineStr">
        <is>
          <t>BGOW9001</t>
        </is>
      </c>
      <c r="G3" s="174" t="n"/>
      <c r="H3" s="175" t="inlineStr">
        <is>
          <t>X080</t>
        </is>
      </c>
      <c r="I3" s="176" t="n"/>
      <c r="J3" s="177" t="inlineStr">
        <is>
          <t>PF5C80</t>
        </is>
      </c>
      <c r="K3" s="177" t="n"/>
      <c r="L3" s="177" t="n"/>
      <c r="M3" s="178" t="inlineStr">
        <is>
          <t>CHIP - Continuado regime geral - OM5BK0
CHIP - Continuado regime especial - OM5BK1
CHIP - Nao continuado regime geral - OM5BK2</t>
        </is>
      </c>
      <c r="N3" s="179" t="inlineStr">
        <is>
          <t>ENTI - Entidade Interessada - OM4AJ3</t>
        </is>
      </c>
      <c r="O3" s="178" t="inlineStr">
        <is>
          <t>CTAD - FS   - Pendente - OM5AL OM5AL7 OFX095 (X080BNCTP)
CTAD - MC - Pendente - OM5AL OM5AL7 OFX099 (X080BNCTP2)
CTAD - FS - REsp_TRecCE - OM5AL4 (X080BNCT4)
CTAD - FS   - REsp_TRecCP - OM5AL3 OI5AL5 (X080BNCT3)
CTAD - FS   - REsp_ou_RGeral - OM5AL OFX095 (X080BNCTL)
CTAD - MC - REsp_ou_RGeral - OM5AL OFX099 (X080BNCTLM)
CTAD - FS   - Agente_REsp_TRec-ne-CE_ou_RGeral - OM5AL1 (X080BNCT1)
CTAD - FS   - Agente_REsp_TRecCE - OM5AL0 (X080BNCT0)</t>
        </is>
      </c>
    </row>
    <row r="4" ht="15" customHeight="1">
      <c r="B4" s="180" t="inlineStr">
        <is>
          <t>HGO010DO</t>
        </is>
      </c>
      <c r="C4" s="181" t="inlineStr">
        <is>
          <t>Cartas de Cancelamento (PRIC)
   - CDC1: Carta Canc. p/ Cliente</t>
        </is>
      </c>
      <c r="D4" s="182" t="inlineStr">
        <is>
          <t>PGOC029</t>
        </is>
      </c>
      <c r="E4" s="183" t="inlineStr">
        <is>
          <t>PGOC029A</t>
        </is>
      </c>
      <c r="F4" s="183" t="inlineStr">
        <is>
          <t>BGOW9001</t>
        </is>
      </c>
      <c r="G4" s="184" t="n"/>
      <c r="H4" s="185" t="inlineStr">
        <is>
          <t>X002</t>
        </is>
      </c>
      <c r="I4" s="186" t="inlineStr">
        <is>
          <t>BGOW0014</t>
        </is>
      </c>
      <c r="J4" s="186" t="inlineStr">
        <is>
          <t>PFX002</t>
        </is>
      </c>
      <c r="K4" s="187" t="inlineStr">
        <is>
          <t>AGUARDA TESTE</t>
        </is>
      </c>
      <c r="L4" s="188" t="inlineStr">
        <is>
          <t>1006
1040</t>
        </is>
      </c>
      <c r="M4" s="189" t="inlineStr">
        <is>
          <t xml:space="preserve">CDC1 - FM - Premio sem agente - OFX085 OFX113 OFX095 
CDC1 - IB   - Premio sem agente - OFX085 OFX114 OFX095
CDC1 - MC - Premio sem agente - OFX085 OFX112 OFX099
CDC1 - FM - Premio com agente - OFX097 OFX115 OFX095
CDC1 - IB   - Premio com agente - OFX097 OFX116 OFX095
CDC1 - MC - Premio com agente - OFX097 OFX156 OFX099
</t>
        </is>
      </c>
      <c r="N4" s="189" t="inlineStr">
        <is>
          <t xml:space="preserve">CDC1 - FM - Estorno sem agente - OFX090 OFX092 OFX117 OFX095  
CDC1 - IB   - Estorno sem agente - OFX090 OFX092 OFX118 OFX095
CDC1 - MC - Estorno sem agente - OFX090 OFX099
CDC1 - FM - Estorno com agente - OFX098 OFX119 OFX095
CDC1 - IB   - Estorno com agente - OFX098 OFX120 OFX095
CDC1 - MC - Estorno com agente - OFX098 OFX157 OFX099
</t>
        </is>
      </c>
      <c r="O4" s="189" t="inlineStr">
        <is>
          <t xml:space="preserve">CDC1 - FS  - Valor a zeros sem divida - OFX091 OFX095
CDC1 - MC - Valor a zeros sem divida - OFX091 OFX099
CDC1 - FS  - Perda Total - OFX093 OFX094
</t>
        </is>
      </c>
    </row>
    <row r="5" ht="15" customHeight="1">
      <c r="B5" s="18" t="n"/>
      <c r="C5" s="18" t="n"/>
      <c r="D5" s="18" t="n"/>
      <c r="E5" s="183" t="inlineStr">
        <is>
          <t>PGOC011A</t>
        </is>
      </c>
      <c r="F5" s="183" t="inlineStr">
        <is>
          <t>BGOW0013</t>
        </is>
      </c>
      <c r="G5" s="184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 ht="15" customHeight="1">
      <c r="B6" s="180" t="inlineStr">
        <is>
          <t>HGO010DT</t>
        </is>
      </c>
      <c r="C6" s="181" t="inlineStr">
        <is>
          <t>Cartas de Cancelamento (C33)
   - CDC1: Carta Canc. p/ Cliente</t>
        </is>
      </c>
      <c r="D6" s="182" t="inlineStr">
        <is>
          <t>PGOC009</t>
        </is>
      </c>
      <c r="E6" s="190" t="inlineStr">
        <is>
          <t>PGOC009A</t>
        </is>
      </c>
      <c r="F6" s="190" t="inlineStr">
        <is>
          <t>BGOW9003</t>
        </is>
      </c>
      <c r="G6" s="174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 ht="20.45" customHeight="1">
      <c r="B7" s="18" t="n"/>
      <c r="C7" s="18" t="n"/>
      <c r="D7" s="18" t="n"/>
      <c r="E7" s="183" t="inlineStr">
        <is>
          <t>PGOC011A</t>
        </is>
      </c>
      <c r="F7" s="183" t="inlineStr">
        <is>
          <t>BGOW0013</t>
        </is>
      </c>
      <c r="G7" s="184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57.6" customHeight="1">
      <c r="B8" s="170" t="inlineStr">
        <is>
          <t>HGO010DV</t>
        </is>
      </c>
      <c r="C8" s="24" t="inlineStr">
        <is>
          <t>Certificado Tarifação e Carta Companhia Leasing
   - NCDC: Certificado de Tarifação
   - ENT1: Carta Resolução Contracto
   - ENT2: Carta Canc. Averbamento</t>
        </is>
      </c>
      <c r="D8" s="172" t="inlineStr">
        <is>
          <t>PGOC032</t>
        </is>
      </c>
      <c r="E8" s="96" t="n"/>
      <c r="F8" s="191" t="inlineStr">
        <is>
          <t>BGOW9009</t>
        </is>
      </c>
      <c r="G8" s="184" t="n"/>
      <c r="H8" s="175" t="inlineStr">
        <is>
          <t>X007</t>
        </is>
      </c>
      <c r="I8" s="176" t="n"/>
      <c r="J8" s="177" t="inlineStr">
        <is>
          <t>PFX007</t>
        </is>
      </c>
      <c r="K8" s="177" t="n"/>
      <c r="L8" s="177" t="n"/>
      <c r="M8" s="178" t="inlineStr">
        <is>
          <t xml:space="preserve">ENT1 - OFX122
ENT2 - OFX123
 * AMBAS REGISTADAS
</t>
        </is>
      </c>
      <c r="N8" s="192" t="n"/>
    </row>
    <row r="9" ht="40.9" customHeight="1">
      <c r="B9" s="180" t="inlineStr">
        <is>
          <t>HGO011DH</t>
        </is>
      </c>
      <c r="C9" s="181" t="inlineStr">
        <is>
          <t>Carta Credor Hipotecário – CHIP (C3.3)
   - CHIP: Carta Credor Hipotecário</t>
        </is>
      </c>
      <c r="D9" s="193" t="inlineStr">
        <is>
          <t>PGOC050</t>
        </is>
      </c>
      <c r="E9" s="96" t="n"/>
      <c r="F9" s="183" t="inlineStr">
        <is>
          <t>BGOW9016</t>
        </is>
      </c>
      <c r="G9" s="184" t="n"/>
      <c r="H9" s="185" t="inlineStr">
        <is>
          <t>X002</t>
        </is>
      </c>
      <c r="I9" s="194" t="n"/>
      <c r="J9" s="195" t="inlineStr">
        <is>
          <t>PFX002</t>
        </is>
      </c>
      <c r="K9" s="195" t="n"/>
      <c r="L9" s="195" t="n"/>
      <c r="M9" s="196" t="inlineStr">
        <is>
          <t>CHIP - Continuado regime geral - OFX261
CHIP - Continuado regime especial - OFX262
CHIP - Nao continuado regime geral - OFX263
* REGISTADAS</t>
        </is>
      </c>
      <c r="N9" s="192" t="n"/>
    </row>
    <row r="10" ht="61.15" customHeight="1">
      <c r="B10" s="180" t="inlineStr">
        <is>
          <t>HGO011DJ</t>
        </is>
      </c>
      <c r="C10" s="181" t="inlineStr">
        <is>
          <t>Carta de Advogado - CTAD (C3.3)
   - CTAD: Carta de Advogado</t>
        </is>
      </c>
      <c r="D10" s="193" t="inlineStr">
        <is>
          <t>PGOC051</t>
        </is>
      </c>
      <c r="E10" s="96" t="n"/>
      <c r="F10" s="183" t="inlineStr">
        <is>
          <t>BGOW9017</t>
        </is>
      </c>
      <c r="G10" s="184" t="n"/>
      <c r="H10" s="185" t="inlineStr">
        <is>
          <t>X041</t>
        </is>
      </c>
      <c r="I10" s="194" t="n"/>
      <c r="J10" s="195" t="inlineStr">
        <is>
          <t>PFX041</t>
        </is>
      </c>
      <c r="K10" s="195" t="n"/>
      <c r="L10" s="195" t="n"/>
      <c r="M10" s="178" t="inlineStr">
        <is>
          <t>CTAD - Regime Geral - OFX270 OFX095 (X041BNCTDL)
CTAD - Recibo Pendente e RGeral - OFX270 OFX269 OFX095 (X041BNCTDP)
CTAD - Valor negativo e REspecial - OFX271 (X041BNCTD2)
CTAD - Respecial (só online) - OFX272 (X041BNCTD3)
CTAD - Agente com Estorno - OFX273 (X041BNCTD4)
CTAD - Agente com Prémio - OFX274 (X041BNCTD5)</t>
        </is>
      </c>
      <c r="N10" s="192" t="n"/>
    </row>
    <row r="11" ht="28.9" customHeight="1">
      <c r="B11" s="180" t="inlineStr">
        <is>
          <t>HGO011DV</t>
        </is>
      </c>
      <c r="C11" s="181" t="inlineStr">
        <is>
          <t>Cartas Pré-Contencioso (C3.3)
   - Cartas Advogada (PC01)</t>
        </is>
      </c>
      <c r="D11" s="193" t="inlineStr">
        <is>
          <t>PGOC102</t>
        </is>
      </c>
      <c r="E11" s="96" t="n"/>
      <c r="F11" s="183" t="inlineStr">
        <is>
          <t>BGOW9051</t>
        </is>
      </c>
      <c r="G11" s="184" t="n"/>
      <c r="H11" s="185" t="inlineStr">
        <is>
          <t>X046</t>
        </is>
      </c>
      <c r="I11" s="194" t="n"/>
      <c r="J11" s="195" t="inlineStr">
        <is>
          <t>PFX046</t>
        </is>
      </c>
      <c r="K11" s="195" t="n"/>
      <c r="L11" s="188" t="inlineStr">
        <is>
          <t>1023
1090</t>
        </is>
      </c>
      <c r="M11" s="196" t="inlineStr">
        <is>
          <t>PC01 - FM - Advogada Ana Claro - OFX281
PC01 - IB   - Advogada Sofia M. Botelho - OFX282</t>
        </is>
      </c>
      <c r="N11" s="192" t="n"/>
    </row>
    <row r="12">
      <c r="B12" s="197" t="inlineStr">
        <is>
          <t>HGO012DD</t>
        </is>
      </c>
      <c r="C12" s="198" t="inlineStr">
        <is>
          <t>Cartas + Certificados (UNIX/FGS)</t>
        </is>
      </c>
      <c r="D12" s="199" t="inlineStr">
        <is>
          <t>PGOC023A</t>
        </is>
      </c>
      <c r="E12" s="96" t="n"/>
      <c r="F12" s="200" t="inlineStr">
        <is>
          <t>BGOW0015</t>
        </is>
      </c>
      <c r="G12" s="184" t="n"/>
      <c r="H12" s="201" t="n"/>
      <c r="I12" s="167" t="n"/>
      <c r="J12" s="167" t="n"/>
      <c r="K12" s="167" t="n"/>
      <c r="L12" s="167" t="n"/>
      <c r="M12" s="192" t="n"/>
      <c r="N12" s="192" t="n"/>
    </row>
    <row r="13">
      <c r="B13" s="197" t="inlineStr">
        <is>
          <t>HGO012DE</t>
        </is>
      </c>
      <c r="C13" s="198" t="inlineStr">
        <is>
          <t>Cartas + Extratos + Cond. Part. (AS400/GIS)</t>
        </is>
      </c>
      <c r="D13" s="199" t="inlineStr">
        <is>
          <t>PGOC038A</t>
        </is>
      </c>
      <c r="E13" s="96" t="n"/>
      <c r="F13" s="200" t="inlineStr">
        <is>
          <t>BGOW0019</t>
        </is>
      </c>
      <c r="G13" s="184" t="n"/>
      <c r="H13" s="201" t="n"/>
      <c r="I13" s="167" t="n"/>
      <c r="J13" s="167" t="n"/>
      <c r="K13" s="167" t="n"/>
      <c r="L13" s="167" t="n"/>
      <c r="M13" s="192" t="n"/>
      <c r="N13" s="192" t="n"/>
    </row>
    <row r="14">
      <c r="B14" s="197" t="inlineStr">
        <is>
          <t>HGO013DB</t>
        </is>
      </c>
      <c r="C14" s="197" t="inlineStr">
        <is>
          <t>Cartas de Cancelamento (CLA)</t>
        </is>
      </c>
      <c r="D14" s="199" t="inlineStr">
        <is>
          <t>PGOC043A</t>
        </is>
      </c>
      <c r="E14" s="96" t="n"/>
      <c r="F14" s="200" t="inlineStr">
        <is>
          <t>BGOW9014</t>
        </is>
      </c>
      <c r="G14" s="184" t="n"/>
      <c r="H14" s="202" t="n"/>
      <c r="I14" s="203" t="n"/>
      <c r="J14" s="203" t="n"/>
      <c r="K14" s="203" t="n"/>
      <c r="L14" s="203" t="n"/>
      <c r="N14" s="192" t="n"/>
    </row>
    <row r="15">
      <c r="B15" s="197" t="inlineStr">
        <is>
          <t>HGO955OA</t>
        </is>
      </c>
      <c r="C15" s="198" t="inlineStr">
        <is>
          <t>Cartas anulação Vida Risco - Credores (DCO)</t>
        </is>
      </c>
      <c r="D15" s="199" t="inlineStr">
        <is>
          <t>PGOC421A</t>
        </is>
      </c>
      <c r="E15" s="204" t="n"/>
      <c r="F15" s="199" t="inlineStr">
        <is>
          <t>BGOW0027</t>
        </is>
      </c>
      <c r="G15" s="205" t="n"/>
      <c r="H15" s="201" t="n"/>
      <c r="I15" s="167" t="n"/>
      <c r="J15" s="167" t="n"/>
      <c r="K15" s="167" t="n"/>
      <c r="L15" s="167" t="n"/>
      <c r="N15" s="192" t="n"/>
    </row>
    <row r="16">
      <c r="B16" s="197" t="inlineStr">
        <is>
          <t>HGO917OA</t>
        </is>
      </c>
      <c r="C16" s="198" t="inlineStr">
        <is>
          <t>Cartas anulação Vida Risco - Tomadores (DCO)</t>
        </is>
      </c>
      <c r="D16" s="206" t="n"/>
      <c r="E16" s="207" t="n"/>
      <c r="F16" s="18" t="n"/>
      <c r="G16" s="205" t="n"/>
      <c r="H16" s="201" t="n"/>
      <c r="I16" s="167" t="n"/>
      <c r="J16" s="167" t="n"/>
      <c r="K16" s="167" t="n"/>
      <c r="L16" s="167" t="n"/>
      <c r="N16" s="192" t="n"/>
    </row>
    <row r="17">
      <c r="N17" s="192" t="n"/>
    </row>
  </sheetData>
  <mergeCells count="25">
    <mergeCell ref="F15:F16"/>
    <mergeCell ref="H4:H7"/>
    <mergeCell ref="N4:N7"/>
    <mergeCell ref="D10:E10"/>
    <mergeCell ref="C4:C5"/>
    <mergeCell ref="D15:E16"/>
    <mergeCell ref="D2:E2"/>
    <mergeCell ref="O4:O7"/>
    <mergeCell ref="D11:E11"/>
    <mergeCell ref="D13:E13"/>
    <mergeCell ref="D4:D5"/>
    <mergeCell ref="B6:B7"/>
    <mergeCell ref="J4:J7"/>
    <mergeCell ref="L4:L7"/>
    <mergeCell ref="D3:E3"/>
    <mergeCell ref="D9:E9"/>
    <mergeCell ref="D12:E12"/>
    <mergeCell ref="D8:E8"/>
    <mergeCell ref="I4:I7"/>
    <mergeCell ref="B4:B5"/>
    <mergeCell ref="K4:K7"/>
    <mergeCell ref="M4:M7"/>
    <mergeCell ref="D14:E14"/>
    <mergeCell ref="C6:C7"/>
    <mergeCell ref="D6:D7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92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.7109375" customWidth="1" min="1" max="1"/>
    <col width="91.42578125" customWidth="1" min="2" max="2"/>
    <col width="7.7109375" customWidth="1" min="3" max="3"/>
    <col width="62.85546875" customWidth="1" min="4" max="4"/>
    <col width="9.140625" customWidth="1" min="5" max="5"/>
    <col width="9.140625" customWidth="1" min="6" max="6"/>
    <col width="12.7109375" customWidth="1" min="7" max="7"/>
    <col width="1.7109375" customWidth="1" min="8" max="8"/>
    <col width="20.5703125" customWidth="1" min="9" max="9"/>
    <col width="24.28515625" customWidth="1" min="10" max="10"/>
    <col width="26.28515625" customWidth="1" min="11" max="11"/>
    <col width="28" customWidth="1" min="12" max="12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G2" s="4" t="inlineStr">
        <is>
          <t>Observações</t>
        </is>
      </c>
      <c r="I2" s="157" t="n"/>
      <c r="J2" s="208" t="inlineStr">
        <is>
          <t>BGOW9021</t>
        </is>
      </c>
      <c r="K2" s="208" t="inlineStr">
        <is>
          <t>BGOW9022</t>
        </is>
      </c>
      <c r="L2" s="208" t="inlineStr">
        <is>
          <t>BGOW9045</t>
        </is>
      </c>
      <c r="M2" s="208" t="inlineStr">
        <is>
          <t>BGOW9046</t>
        </is>
      </c>
    </row>
    <row r="3">
      <c r="B3" s="5" t="inlineStr">
        <is>
          <t>05  :PREFIX:-DADOS-REGISTO.</t>
        </is>
      </c>
      <c r="C3" s="29" t="n"/>
      <c r="D3" s="7" t="n"/>
      <c r="E3" s="8" t="n">
        <v>1</v>
      </c>
      <c r="F3" s="8" t="n">
        <v>0</v>
      </c>
      <c r="G3" s="45" t="n"/>
      <c r="J3" s="208" t="inlineStr">
        <is>
          <t>RDEB</t>
        </is>
      </c>
      <c r="K3" s="208" t="inlineStr">
        <is>
          <t>IMPC</t>
        </is>
      </c>
      <c r="L3" s="208" t="inlineStr">
        <is>
          <t>RNOK</t>
        </is>
      </c>
      <c r="M3" s="208" t="inlineStr">
        <is>
          <t>RESG</t>
        </is>
      </c>
    </row>
    <row r="4">
      <c r="B4" s="10" t="inlineStr">
        <is>
          <t xml:space="preserve">  07  :PREFIX:-COD-DOCUMENTO            PIC X(04).</t>
        </is>
      </c>
      <c r="C4" s="122" t="n"/>
      <c r="D4" s="12" t="inlineStr">
        <is>
          <t>Código de documento</t>
        </is>
      </c>
      <c r="E4" s="13">
        <f>E3+F3</f>
        <v/>
      </c>
      <c r="F4" s="13" t="n">
        <v>4</v>
      </c>
      <c r="G4" s="17" t="inlineStr">
        <is>
          <t>Obrigatório</t>
        </is>
      </c>
      <c r="J4" s="208" t="inlineStr">
        <is>
          <t>F160-XX-NOME-MAPA</t>
        </is>
      </c>
      <c r="K4" s="208" t="inlineStr">
        <is>
          <t>F161-XX-NOME-MAPA</t>
        </is>
      </c>
      <c r="L4" s="208" t="inlineStr">
        <is>
          <t>F163-67-NOME-MAPA</t>
        </is>
      </c>
      <c r="M4" s="208" t="inlineStr">
        <is>
          <t>F164-68-NOME-MAPA</t>
        </is>
      </c>
    </row>
    <row r="5">
      <c r="B5" s="10" t="inlineStr">
        <is>
          <t xml:space="preserve">      88  :PREFIX:-DOC-CRT-RESG            VALUE 'RESG'.</t>
        </is>
      </c>
      <c r="C5" s="122" t="n"/>
      <c r="D5" s="12" t="inlineStr">
        <is>
          <t xml:space="preserve">     'RESG' - Carta comprovativo de resgate Poupança Auto</t>
        </is>
      </c>
      <c r="E5" s="13" t="n"/>
      <c r="F5" s="13" t="n"/>
      <c r="G5" s="158" t="n"/>
    </row>
    <row r="6">
      <c r="B6" s="10" t="inlineStr">
        <is>
          <t xml:space="preserve">      88  :PREFIX:-DOC-CRT-IMPRESG         VALUE 'IMPR'.</t>
        </is>
      </c>
      <c r="C6" s="122" t="n"/>
      <c r="D6" s="12" t="inlineStr">
        <is>
          <t xml:space="preserve">     'IMPR' - Carta impossibilidade de cobrança Poupança Auto</t>
        </is>
      </c>
      <c r="E6" s="13" t="n"/>
      <c r="F6" s="13" t="n"/>
      <c r="G6" s="158" t="n"/>
    </row>
    <row r="7">
      <c r="B7" s="10" t="inlineStr">
        <is>
          <t xml:space="preserve">      88  :PREFIX:-DOC-CRT-REJDEB          VALUE 'RDEB'.</t>
        </is>
      </c>
      <c r="C7" s="122" t="n"/>
      <c r="D7" s="12" t="inlineStr">
        <is>
          <t xml:space="preserve">     'RDEB' - Carta rejeição de débito</t>
        </is>
      </c>
      <c r="E7" s="13" t="n"/>
      <c r="F7" s="13" t="n"/>
      <c r="G7" s="158" t="n"/>
    </row>
    <row r="8">
      <c r="B8" s="10" t="inlineStr">
        <is>
          <t xml:space="preserve">      88  :PREFIX:-DOC-CRT-IMPCOB          VALUE 'IMPC'.</t>
        </is>
      </c>
      <c r="C8" s="122" t="n"/>
      <c r="D8" s="12" t="inlineStr">
        <is>
          <t xml:space="preserve">     'IMPC' - Carta impossibilidade de cobrança</t>
        </is>
      </c>
      <c r="E8" s="13" t="n"/>
      <c r="F8" s="13" t="n"/>
      <c r="G8" s="158" t="n"/>
    </row>
    <row r="9">
      <c r="B9" s="10" t="inlineStr">
        <is>
          <t xml:space="preserve">  07  :PREFIX:-TIPO-REGISTO             PIC X(01).</t>
        </is>
      </c>
      <c r="C9" s="122" t="n"/>
      <c r="D9" s="16" t="inlineStr">
        <is>
          <t>Tipo de registo</t>
        </is>
      </c>
      <c r="E9" s="13">
        <f>E4+F4</f>
        <v/>
      </c>
      <c r="F9" s="16" t="n">
        <v>1</v>
      </c>
      <c r="G9" s="17" t="inlineStr">
        <is>
          <t>Obrigatório</t>
        </is>
      </c>
    </row>
    <row r="10">
      <c r="B10" s="10" t="inlineStr">
        <is>
          <t xml:space="preserve">      88  :PREFIX:-REG-TIPO1                VALUE '1'.</t>
        </is>
      </c>
      <c r="C10" s="122" t="n"/>
      <c r="D10" s="16" t="inlineStr">
        <is>
          <t xml:space="preserve">     '1' - Carta de Pagamento</t>
        </is>
      </c>
      <c r="E10" s="13" t="n"/>
      <c r="F10" s="16" t="n"/>
      <c r="G10" s="158" t="n"/>
    </row>
    <row r="11">
      <c r="B11" s="10" t="inlineStr">
        <is>
          <t xml:space="preserve">      88  :PREFIX:-REG-TIPO2                VALUE '2'.</t>
        </is>
      </c>
      <c r="C11" s="122" t="n"/>
      <c r="D11" s="16" t="n"/>
      <c r="E11" s="13" t="n"/>
      <c r="F11" s="16" t="n"/>
      <c r="G11" s="209" t="inlineStr">
        <is>
          <t>Não utilizado</t>
        </is>
      </c>
    </row>
    <row r="12">
      <c r="B12" s="10" t="inlineStr">
        <is>
          <t xml:space="preserve">      88  :PREFIX:-REG-TIPO3                VALUE '3'.</t>
        </is>
      </c>
      <c r="C12" s="122" t="n"/>
      <c r="D12" s="16" t="n"/>
      <c r="E12" s="13" t="n"/>
      <c r="F12" s="16" t="n"/>
      <c r="G12" s="209" t="inlineStr">
        <is>
          <t>Não utilizado</t>
        </is>
      </c>
    </row>
    <row r="13">
      <c r="B13" s="10" t="inlineStr">
        <is>
          <t xml:space="preserve">  07  :PREFIX:-TIPO-IMPRESSAO           PIC X(01).</t>
        </is>
      </c>
      <c r="C13" s="122" t="n"/>
      <c r="D13" s="12" t="inlineStr">
        <is>
          <t>Tipo de impressão</t>
        </is>
      </c>
      <c r="E13" s="13">
        <f>E9+F9</f>
        <v/>
      </c>
      <c r="F13" s="13" t="n">
        <v>1</v>
      </c>
      <c r="G13" s="17" t="inlineStr">
        <is>
          <t>Obrigatório</t>
        </is>
      </c>
    </row>
    <row r="14">
      <c r="B14" s="10" t="inlineStr">
        <is>
          <t xml:space="preserve">      88  :PREFIX:-IMP-ONLINE               VALUE 'I'.</t>
        </is>
      </c>
      <c r="C14" s="122" t="n"/>
      <c r="D14" s="12" t="inlineStr">
        <is>
          <t xml:space="preserve">     'I' - Impressão OnLine (Immediate)</t>
        </is>
      </c>
      <c r="E14" s="13" t="n"/>
      <c r="F14" s="13" t="n"/>
      <c r="G14" s="158" t="n"/>
    </row>
    <row r="15">
      <c r="B15" s="10" t="inlineStr">
        <is>
          <t xml:space="preserve">      88  :PREFIX:-IMP-BATCH                VALUE 'O'.</t>
        </is>
      </c>
      <c r="C15" s="122" t="n"/>
      <c r="D15" s="12" t="inlineStr">
        <is>
          <t xml:space="preserve">     'O' - Impressão via batch (Overnight)</t>
        </is>
      </c>
      <c r="E15" s="13" t="n"/>
      <c r="F15" s="13" t="n"/>
      <c r="G15" s="158" t="n"/>
    </row>
    <row r="16">
      <c r="B16" s="10" t="inlineStr">
        <is>
          <t xml:space="preserve">  07  :PREFIX:-USERID                   PIC X(08).</t>
        </is>
      </c>
      <c r="C16" s="122" t="n"/>
      <c r="D16" s="16" t="inlineStr">
        <is>
          <t>User Id da impressão OnLine</t>
        </is>
      </c>
      <c r="E16" s="13">
        <f>E13+F13</f>
        <v/>
      </c>
      <c r="F16" s="16" t="n">
        <v>8</v>
      </c>
      <c r="G16" s="19" t="inlineStr">
        <is>
          <t>Condicional</t>
        </is>
      </c>
    </row>
    <row r="17">
      <c r="B17" s="10" t="inlineStr">
        <is>
          <t xml:space="preserve">  07  :PREFIX:-COD-COMPANHIA            PIC X(03).</t>
        </is>
      </c>
      <c r="C17" s="125" t="n"/>
      <c r="D17" s="12" t="inlineStr">
        <is>
          <t>Código de identificação da Companhia</t>
        </is>
      </c>
      <c r="E17" s="13">
        <f>E16+F16</f>
        <v/>
      </c>
      <c r="F17" s="13" t="n">
        <v>3</v>
      </c>
      <c r="G17" s="17" t="inlineStr">
        <is>
          <t>Obrigatório</t>
        </is>
      </c>
      <c r="J17" s="208" t="inlineStr">
        <is>
          <t>F160-XX-COMPANHIA</t>
        </is>
      </c>
      <c r="K17" s="210" t="inlineStr">
        <is>
          <t>X</t>
        </is>
      </c>
      <c r="L17" s="208" t="inlineStr">
        <is>
          <t>F163-67-COMPANHIA</t>
        </is>
      </c>
      <c r="M17" s="208" t="inlineStr">
        <is>
          <t>F164-68-COMPANHIA</t>
        </is>
      </c>
    </row>
    <row r="18">
      <c r="B18" s="10" t="inlineStr">
        <is>
          <t xml:space="preserve">      88  :PREFIX:-COM-VIADIRECTA           VALUE '111'.</t>
        </is>
      </c>
      <c r="C18" s="125" t="n"/>
      <c r="D18" s="12" t="inlineStr">
        <is>
          <t xml:space="preserve">     '111' - Via Directa</t>
        </is>
      </c>
      <c r="E18" s="13" t="n"/>
      <c r="F18" s="13" t="n"/>
      <c r="G18" s="158" t="n"/>
    </row>
    <row r="19">
      <c r="B19" s="10" t="inlineStr">
        <is>
          <t xml:space="preserve">      88  :PREFIX:-COM-FIDELIDADE           VALUE '128'.</t>
        </is>
      </c>
      <c r="C19" s="125" t="n"/>
      <c r="D19" s="12" t="inlineStr">
        <is>
          <t xml:space="preserve">     '128' - Fidelidade</t>
        </is>
      </c>
      <c r="E19" s="13" t="n"/>
      <c r="F19" s="13" t="n"/>
      <c r="G19" s="158" t="n"/>
    </row>
    <row r="20">
      <c r="B20" s="10" t="inlineStr">
        <is>
          <t xml:space="preserve">      88  :PREFIX:-COM-IMPERIO              VALUE '138'.</t>
        </is>
      </c>
      <c r="C20" s="125" t="n"/>
      <c r="D20" s="12" t="inlineStr">
        <is>
          <t xml:space="preserve">     '138' - Império</t>
        </is>
      </c>
      <c r="E20" s="13" t="n"/>
      <c r="F20" s="13" t="n"/>
      <c r="G20" s="158" t="n"/>
    </row>
    <row r="21">
      <c r="B21" s="10" t="inlineStr">
        <is>
          <t xml:space="preserve">      88  :PREFIX:-COM-MULTICARE            VALUE '148'.</t>
        </is>
      </c>
      <c r="C21" s="122" t="n"/>
      <c r="D21" s="12" t="inlineStr">
        <is>
          <t xml:space="preserve">     '148' - Multicare</t>
        </is>
      </c>
      <c r="E21" s="16" t="n"/>
      <c r="F21" s="16" t="n"/>
      <c r="G21" s="158" t="n"/>
    </row>
    <row r="22">
      <c r="B22" s="10" t="inlineStr">
        <is>
          <t xml:space="preserve">  07  :PREFIX:-COD-MARCA                PIC X(03).</t>
        </is>
      </c>
      <c r="C22" s="122" t="n"/>
      <c r="D22" s="12" t="inlineStr">
        <is>
          <t>Código de identificação da Marca</t>
        </is>
      </c>
      <c r="E22" s="13">
        <f>E17+F17</f>
        <v/>
      </c>
      <c r="F22" s="16" t="n">
        <v>3</v>
      </c>
      <c r="G22" s="17" t="inlineStr">
        <is>
          <t>Obrigatório</t>
        </is>
      </c>
      <c r="J22" s="208" t="inlineStr">
        <is>
          <t>F160-XX-MARCA</t>
        </is>
      </c>
      <c r="K22" s="208" t="inlineStr">
        <is>
          <t>F161-99-C-MARC-SGRA-RCIB</t>
        </is>
      </c>
      <c r="L22" s="208" t="inlineStr">
        <is>
          <t>F163-67-MARCA</t>
        </is>
      </c>
      <c r="M22" s="208" t="inlineStr">
        <is>
          <t>F164-68-MARCA</t>
        </is>
      </c>
    </row>
    <row r="23">
      <c r="B23" s="10" t="inlineStr">
        <is>
          <t xml:space="preserve">      88  :PREFIX:-MAR-OKTELESEGURO         VALUE '001'.</t>
        </is>
      </c>
      <c r="C23" s="122" t="n"/>
      <c r="D23" s="12" t="inlineStr">
        <is>
          <t xml:space="preserve">     '001' - OK Teleseguro</t>
        </is>
      </c>
      <c r="E23" s="16" t="n"/>
      <c r="F23" s="16" t="n"/>
      <c r="G23" s="158" t="n"/>
    </row>
    <row r="24">
      <c r="B24" s="10" t="inlineStr">
        <is>
          <t xml:space="preserve">      88  :PREFIX:-MAR-FIDELIDADE           VALUE '002'.</t>
        </is>
      </c>
      <c r="C24" s="122" t="n"/>
      <c r="D24" s="12" t="inlineStr">
        <is>
          <t xml:space="preserve">     '002' - Fidelidade</t>
        </is>
      </c>
      <c r="E24" s="16" t="n"/>
      <c r="F24" s="16" t="n"/>
      <c r="G24" s="158" t="n"/>
    </row>
    <row r="25">
      <c r="B25" s="10" t="inlineStr">
        <is>
          <t xml:space="preserve">      88  :PREFIX:-MAR-IMPERIO              VALUE '003'.</t>
        </is>
      </c>
      <c r="C25" s="122" t="n"/>
      <c r="D25" s="12" t="inlineStr">
        <is>
          <t xml:space="preserve">     '003' - Imperio</t>
        </is>
      </c>
      <c r="E25" s="16" t="n"/>
      <c r="F25" s="16" t="n"/>
      <c r="G25" s="158" t="n"/>
    </row>
    <row r="26">
      <c r="B26" s="10" t="inlineStr">
        <is>
          <t xml:space="preserve">      88  :PREFIX:-MAR-ICI                  VALUE '004'.</t>
        </is>
      </c>
      <c r="C26" s="122" t="n"/>
      <c r="D26" s="12" t="inlineStr">
        <is>
          <t xml:space="preserve">     '004' - ICI</t>
        </is>
      </c>
      <c r="E26" s="16" t="n"/>
      <c r="F26" s="16" t="n"/>
      <c r="G26" s="158" t="n"/>
    </row>
    <row r="27">
      <c r="B27" s="10" t="inlineStr">
        <is>
          <t xml:space="preserve">      88  :PREFIX:-MAR-SONAE                VALUE '005'.</t>
        </is>
      </c>
      <c r="C27" s="122" t="n"/>
      <c r="D27" s="12" t="inlineStr">
        <is>
          <t xml:space="preserve">     '005' - Continente</t>
        </is>
      </c>
      <c r="E27" s="16" t="n"/>
      <c r="F27" s="16" t="n"/>
      <c r="G27" s="158" t="n"/>
    </row>
    <row r="28">
      <c r="B28" s="10" t="inlineStr">
        <is>
          <t xml:space="preserve">      88  :PREFIX:-MAR-MULTICARE            VALUE '006'.</t>
        </is>
      </c>
      <c r="C28" s="122" t="n"/>
      <c r="D28" s="12" t="inlineStr">
        <is>
          <t xml:space="preserve">     '006' - Multicare</t>
        </is>
      </c>
      <c r="E28" s="16" t="n"/>
      <c r="F28" s="16" t="n"/>
      <c r="G28" s="158" t="n"/>
    </row>
    <row r="29">
      <c r="B29" s="10" t="inlineStr">
        <is>
          <t xml:space="preserve">      88  :PREFIX:-MAR-EUROBIC              VALUE '028'.</t>
        </is>
      </c>
      <c r="C29" s="122" t="n"/>
      <c r="D29" s="12" t="inlineStr">
        <is>
          <t xml:space="preserve">     '028' - Eurobic</t>
        </is>
      </c>
      <c r="E29" s="16" t="n"/>
      <c r="F29" s="16" t="n"/>
      <c r="G29" s="158" t="n"/>
    </row>
    <row r="30">
      <c r="B30" s="10" t="inlineStr">
        <is>
          <t xml:space="preserve">  07  :PREFIX:-AUX-MARCA                PIC X(01).</t>
        </is>
      </c>
      <c r="C30" s="122" t="n"/>
      <c r="D30" s="12" t="n"/>
      <c r="E30" s="16">
        <f>E22+F22</f>
        <v/>
      </c>
      <c r="F30" s="16" t="n">
        <v>1</v>
      </c>
      <c r="G30" s="21" t="inlineStr">
        <is>
          <t>Opcional</t>
        </is>
      </c>
    </row>
    <row r="31" ht="30" customHeight="1">
      <c r="B31" s="22" t="inlineStr">
        <is>
          <t xml:space="preserve">      88  :PREFIX:-MAR-LEVE                 VALUE 'L'.</t>
        </is>
      </c>
      <c r="C31" s="42" t="n"/>
      <c r="D31" s="24" t="inlineStr">
        <is>
          <t xml:space="preserve">     'L' - Leve (Substitui 'L02' - FM Leve / 
                         'L03' - IB Leve, apenas para marca 002 ou 003)</t>
        </is>
      </c>
      <c r="E31" s="25" t="n"/>
      <c r="F31" s="25" t="n"/>
      <c r="G31" s="158" t="n"/>
    </row>
    <row r="32">
      <c r="B32" s="10" t="inlineStr">
        <is>
          <t xml:space="preserve">  07  :PREFIX:-NR-AGENTE                PIC X(10).</t>
        </is>
      </c>
      <c r="C32" s="122" t="n"/>
      <c r="D32" s="16" t="inlineStr">
        <is>
          <t>Número do Mediador</t>
        </is>
      </c>
      <c r="E32" s="13">
        <f>E30+F30</f>
        <v/>
      </c>
      <c r="F32" s="16" t="n">
        <v>10</v>
      </c>
      <c r="G32" s="209" t="inlineStr">
        <is>
          <t>Não utilizado</t>
        </is>
      </c>
      <c r="J32" s="210" t="inlineStr">
        <is>
          <t>X</t>
        </is>
      </c>
      <c r="K32" s="210" t="inlineStr">
        <is>
          <t>X</t>
        </is>
      </c>
      <c r="L32" s="210" t="inlineStr">
        <is>
          <t>X</t>
        </is>
      </c>
      <c r="M32" s="210" t="inlineStr">
        <is>
          <t>X</t>
        </is>
      </c>
    </row>
    <row r="33">
      <c r="B33" s="10" t="inlineStr">
        <is>
          <t xml:space="preserve">  07  :PREFIX:-NR-CLIENTE               PIC X(10).</t>
        </is>
      </c>
      <c r="C33" s="122" t="n"/>
      <c r="D33" s="16" t="inlineStr">
        <is>
          <t>Número do Cliente</t>
        </is>
      </c>
      <c r="E33" s="13">
        <f>E32+F32</f>
        <v/>
      </c>
      <c r="F33" s="16" t="n">
        <v>10</v>
      </c>
      <c r="G33" s="17" t="inlineStr">
        <is>
          <t>Obrigatório</t>
        </is>
      </c>
      <c r="J33" s="208" t="inlineStr">
        <is>
          <t>F160-XX-CLIENTE</t>
        </is>
      </c>
      <c r="K33" s="208" t="inlineStr">
        <is>
          <t>F161-99-CLIENTE</t>
        </is>
      </c>
      <c r="L33" s="208" t="inlineStr">
        <is>
          <t>F163-67-CLIENTE</t>
        </is>
      </c>
      <c r="M33" s="208" t="inlineStr">
        <is>
          <t>F164-68-CLIENTE</t>
        </is>
      </c>
    </row>
    <row r="34">
      <c r="B34" s="10" t="inlineStr">
        <is>
          <t xml:space="preserve">  07  :PREFIX:-NR-APOLICE               PIC X(16).</t>
        </is>
      </c>
      <c r="C34" s="122" t="n"/>
      <c r="D34" s="16" t="inlineStr">
        <is>
          <t>Número da Apólice</t>
        </is>
      </c>
      <c r="E34" s="13">
        <f>E33+F33</f>
        <v/>
      </c>
      <c r="F34" s="16" t="n">
        <v>16</v>
      </c>
      <c r="G34" s="17" t="inlineStr">
        <is>
          <t>Obrigatório</t>
        </is>
      </c>
      <c r="J34" s="208" t="inlineStr">
        <is>
          <t>F160-61-N-APOLICE</t>
        </is>
      </c>
      <c r="K34" s="208" t="inlineStr">
        <is>
          <t>F161-XX-N-APOLICE</t>
        </is>
      </c>
      <c r="L34" s="208" t="inlineStr">
        <is>
          <t>F163-67-N-APOLICE</t>
        </is>
      </c>
      <c r="M34" s="208" t="inlineStr">
        <is>
          <t>F164-68-N-APOLICE</t>
        </is>
      </c>
    </row>
    <row r="35">
      <c r="B35" s="10" t="inlineStr">
        <is>
          <t xml:space="preserve">  07  :PREFIX:-COD-ORIGEM               PIC X(03).</t>
        </is>
      </c>
      <c r="C35" s="122" t="n"/>
      <c r="D35" s="12" t="inlineStr">
        <is>
          <t>Código de identificação do Sistema Origem</t>
        </is>
      </c>
      <c r="E35" s="13">
        <f>E34+F34</f>
        <v/>
      </c>
      <c r="F35" s="16" t="n">
        <v>3</v>
      </c>
      <c r="G35" s="17" t="inlineStr">
        <is>
          <t>Obrigatório</t>
        </is>
      </c>
      <c r="J35" s="210" t="inlineStr">
        <is>
          <t>X</t>
        </is>
      </c>
      <c r="K35" s="210" t="inlineStr">
        <is>
          <t>X</t>
        </is>
      </c>
      <c r="L35" s="210" t="inlineStr">
        <is>
          <t>X</t>
        </is>
      </c>
      <c r="M35" s="210" t="inlineStr">
        <is>
          <t>X</t>
        </is>
      </c>
    </row>
    <row r="36">
      <c r="B36" s="10" t="inlineStr">
        <is>
          <t xml:space="preserve">      88  :PREFIX:-ORI-COGEN22              VALUE 'CG2'.</t>
        </is>
      </c>
      <c r="C36" s="122" t="n"/>
      <c r="D36" s="16" t="inlineStr">
        <is>
          <t xml:space="preserve">     'CG2' - Cogen 22</t>
        </is>
      </c>
      <c r="E36" s="16" t="n"/>
      <c r="F36" s="16" t="n"/>
      <c r="G36" s="9" t="n"/>
    </row>
    <row r="37">
      <c r="B37" s="10" t="inlineStr">
        <is>
          <t xml:space="preserve">      88  :PREFIX:-ORI-COGEN33              VALUE 'CGN'.</t>
        </is>
      </c>
      <c r="C37" s="122" t="n"/>
      <c r="D37" s="16" t="inlineStr">
        <is>
          <t xml:space="preserve">     'CGN' - Cogen 33</t>
        </is>
      </c>
      <c r="E37" s="16" t="n"/>
      <c r="F37" s="16" t="n"/>
      <c r="G37" s="9" t="n"/>
    </row>
    <row r="38">
      <c r="B38" s="10" t="inlineStr">
        <is>
          <t xml:space="preserve">      88  :PREFIX:-ORI-GIS                  VALUE 'GIS'.</t>
        </is>
      </c>
      <c r="C38" s="122" t="n"/>
      <c r="D38" s="16" t="inlineStr">
        <is>
          <t xml:space="preserve">     'GIS' - GIS</t>
        </is>
      </c>
      <c r="E38" s="16" t="n"/>
      <c r="F38" s="16" t="n"/>
      <c r="G38" s="9" t="n"/>
    </row>
    <row r="39">
      <c r="B39" s="10" t="inlineStr">
        <is>
          <t xml:space="preserve">      88  :PREFIX:-ORI-COLHEITAS            VALUE 'CLH'.</t>
        </is>
      </c>
      <c r="C39" s="122" t="n"/>
      <c r="D39" s="16" t="inlineStr">
        <is>
          <t xml:space="preserve">     'CLH' - Colheitas (GIC)</t>
        </is>
      </c>
      <c r="E39" s="16" t="n"/>
      <c r="F39" s="16" t="n"/>
      <c r="G39" s="9" t="n"/>
    </row>
    <row r="40">
      <c r="B40" s="10" t="inlineStr">
        <is>
          <t xml:space="preserve">      88  :PREFIX:-ORI-MULTICARE            VALUE 'MHS'.</t>
        </is>
      </c>
      <c r="C40" s="122" t="n"/>
      <c r="D40" s="16" t="inlineStr">
        <is>
          <t xml:space="preserve">     'MHS' - Multicare</t>
        </is>
      </c>
      <c r="E40" s="16" t="n"/>
      <c r="F40" s="16" t="n"/>
      <c r="G40" s="9" t="n"/>
    </row>
    <row r="41">
      <c r="B41" s="10" t="inlineStr">
        <is>
          <t xml:space="preserve">      88  :PREFIX:-ORI-SGF-GR               VALUE 'SPG'.</t>
        </is>
      </c>
      <c r="C41" s="122" t="n"/>
      <c r="D41" s="16" t="inlineStr">
        <is>
          <t xml:space="preserve">     'SPG' - SGF-GR</t>
        </is>
      </c>
      <c r="E41" s="16" t="n"/>
      <c r="F41" s="16" t="n"/>
      <c r="G41" s="9" t="n"/>
    </row>
    <row r="42">
      <c r="B42" s="10" t="inlineStr">
        <is>
          <t xml:space="preserve">      88  :PREFIX:-ORI-SGF-IN               VALUE 'SPA'.</t>
        </is>
      </c>
      <c r="C42" s="122" t="n"/>
      <c r="D42" s="16" t="inlineStr">
        <is>
          <t xml:space="preserve">     'SPA' - SGF-IN</t>
        </is>
      </c>
      <c r="E42" s="16" t="n"/>
      <c r="F42" s="16" t="n"/>
      <c r="G42" s="9" t="n"/>
    </row>
    <row r="43">
      <c r="B43" s="10" t="inlineStr">
        <is>
          <t xml:space="preserve">      88  :PREFIX:-ORI-FGS                  VALUE 'FGS'.</t>
        </is>
      </c>
      <c r="C43" s="122" t="n"/>
      <c r="D43" s="16" t="inlineStr">
        <is>
          <t xml:space="preserve">     'FGS' - FGS</t>
        </is>
      </c>
      <c r="E43" s="16" t="n"/>
      <c r="F43" s="16" t="n"/>
      <c r="G43" s="9" t="n"/>
    </row>
    <row r="44">
      <c r="B44" s="10" t="inlineStr">
        <is>
          <t xml:space="preserve">      88  :PREFIX:-ORI-FCS                  VALUE 'FCS'.</t>
        </is>
      </c>
      <c r="C44" s="122" t="n"/>
      <c r="D44" s="16" t="inlineStr">
        <is>
          <t xml:space="preserve">     'FCS' - FCS</t>
        </is>
      </c>
      <c r="E44" s="16" t="n"/>
      <c r="F44" s="16" t="n"/>
      <c r="G44" s="9" t="n"/>
    </row>
    <row r="45">
      <c r="B45" s="10" t="inlineStr">
        <is>
          <t xml:space="preserve">  07  :PREFIX:-IND-FLYER                PIC X(01).</t>
        </is>
      </c>
      <c r="C45" s="122" t="n"/>
      <c r="D45" s="16" t="inlineStr">
        <is>
          <t>Indicador de inclusão de Flyer (ex: "V" - Cobertura PVC)</t>
        </is>
      </c>
      <c r="E45" s="13">
        <f>E35+F35</f>
        <v/>
      </c>
      <c r="F45" s="16" t="n">
        <v>1</v>
      </c>
      <c r="G45" s="21" t="inlineStr">
        <is>
          <t>Opcional</t>
        </is>
      </c>
    </row>
    <row r="46">
      <c r="B46" s="5" t="inlineStr">
        <is>
          <t>05  :PREFIX:-DADOS-DOCUMENTO            PIC X(2906).</t>
        </is>
      </c>
      <c r="C46" s="29" t="n"/>
      <c r="D46" s="7" t="n"/>
      <c r="E46" s="8">
        <f>E45+F45</f>
        <v/>
      </c>
      <c r="F46" s="8" t="n">
        <v>2906</v>
      </c>
      <c r="G46" s="158" t="n"/>
    </row>
    <row r="47">
      <c r="B47" s="30" t="inlineStr">
        <is>
          <t xml:space="preserve">  07  :PREFIX:-DADOS-CARTA-PAG.</t>
        </is>
      </c>
      <c r="C47" s="127" t="n"/>
      <c r="D47" s="32" t="n"/>
      <c r="E47" s="38">
        <f>E46</f>
        <v/>
      </c>
      <c r="F47" s="32" t="n">
        <v>0</v>
      </c>
      <c r="G47" s="158" t="n"/>
    </row>
    <row r="48">
      <c r="B48" s="10" t="inlineStr">
        <is>
          <t xml:space="preserve">    09  :PREFIX:-TIPO-CARTA             PIC X(02).</t>
        </is>
      </c>
      <c r="C48" s="122" t="n"/>
      <c r="D48" s="16" t="inlineStr">
        <is>
          <t>Tipo de Carta</t>
        </is>
      </c>
      <c r="E48" s="13">
        <f>E47+F47</f>
        <v/>
      </c>
      <c r="F48" s="16" t="n">
        <v>2</v>
      </c>
      <c r="G48" s="19" t="inlineStr">
        <is>
          <t>Condicional</t>
        </is>
      </c>
      <c r="J48" s="208" t="inlineStr">
        <is>
          <t>F160-61-TP-CARTA</t>
        </is>
      </c>
      <c r="K48" s="210" t="inlineStr">
        <is>
          <t>X</t>
        </is>
      </c>
      <c r="L48" s="210" t="inlineStr">
        <is>
          <t>X</t>
        </is>
      </c>
      <c r="M48" s="210" t="inlineStr">
        <is>
          <t>X</t>
        </is>
      </c>
    </row>
    <row r="49">
      <c r="A49" s="10" t="n"/>
      <c r="B49" s="10" t="inlineStr">
        <is>
          <t xml:space="preserve">      88  :PREFIX:-TIPO-A1                  VALUE 'A1'.</t>
        </is>
      </c>
      <c r="C49" s="122" t="n"/>
      <c r="D49" s="16" t="inlineStr">
        <is>
          <t>Falha ADD - Outros motivos</t>
        </is>
      </c>
      <c r="E49" s="16" t="n"/>
      <c r="F49" s="16" t="n"/>
      <c r="G49" s="158" t="n"/>
      <c r="J49" s="19" t="inlineStr">
        <is>
          <t>Condicional</t>
        </is>
      </c>
    </row>
    <row r="50">
      <c r="A50" s="10" t="n"/>
      <c r="B50" s="10" t="inlineStr">
        <is>
          <t xml:space="preserve">      88  :PREFIX:-TIPO-B1                  VALUE 'B1'.</t>
        </is>
      </c>
      <c r="C50" s="122" t="n"/>
      <c r="D50" s="16" t="inlineStr">
        <is>
          <t>Falha ADD - Mudança de periodicidade</t>
        </is>
      </c>
      <c r="E50" s="16" t="n"/>
      <c r="F50" s="16" t="n"/>
      <c r="G50" s="158" t="n"/>
      <c r="J50" s="19" t="inlineStr">
        <is>
          <t>Condicional</t>
        </is>
      </c>
    </row>
    <row r="51">
      <c r="B51" s="10" t="inlineStr">
        <is>
          <t xml:space="preserve">    09  :PREFIX:-COD-MOTIVO             PIC X(04).</t>
        </is>
      </c>
      <c r="C51" s="122" t="n"/>
      <c r="D51" s="16" t="inlineStr">
        <is>
          <t>Código do motivo de rejeição SEPA</t>
        </is>
      </c>
      <c r="E51" s="13">
        <f>E48+F48</f>
        <v/>
      </c>
      <c r="F51" s="16" t="n">
        <v>4</v>
      </c>
      <c r="G51" s="19" t="inlineStr">
        <is>
          <t>Condicional</t>
        </is>
      </c>
      <c r="L51" s="210" t="n"/>
      <c r="M51" s="210" t="n"/>
    </row>
    <row r="52">
      <c r="B52" s="10" t="inlineStr">
        <is>
          <t xml:space="preserve">    09  :PREFIX:-DESCR-MOTIVO           PIC X(60).</t>
        </is>
      </c>
      <c r="C52" s="122" t="n"/>
      <c r="D52" s="16" t="inlineStr">
        <is>
          <t>Descritivo do motivo de rejeição SEPA</t>
        </is>
      </c>
      <c r="E52" s="13">
        <f>E51+F51</f>
        <v/>
      </c>
      <c r="F52" s="211" t="n">
        <v>60</v>
      </c>
      <c r="G52" s="19" t="inlineStr">
        <is>
          <t>Condicional</t>
        </is>
      </c>
      <c r="J52" s="208" t="inlineStr">
        <is>
          <t>F160-DS-MOTIVO</t>
        </is>
      </c>
      <c r="K52" s="208" t="inlineStr">
        <is>
          <t>F161-99-DS-MOTIVO</t>
        </is>
      </c>
      <c r="L52" s="210" t="inlineStr">
        <is>
          <t>X</t>
        </is>
      </c>
      <c r="M52" s="210" t="inlineStr">
        <is>
          <t>X</t>
        </is>
      </c>
    </row>
    <row r="53">
      <c r="B53" s="10" t="inlineStr">
        <is>
          <t xml:space="preserve">    09  :PREFIX:-NR-APOLICE-SO          PIC X(16).</t>
        </is>
      </c>
      <c r="C53" s="122" t="n"/>
      <c r="D53" s="16" t="inlineStr">
        <is>
          <t>Número da apólice Poupança Auto</t>
        </is>
      </c>
      <c r="E53" s="13">
        <f>E52+F52</f>
        <v/>
      </c>
      <c r="F53" s="16" t="n">
        <v>16</v>
      </c>
      <c r="G53" s="19" t="inlineStr">
        <is>
          <t>Condicional</t>
        </is>
      </c>
      <c r="J53" s="212" t="inlineStr">
        <is>
          <t>F163-67-N-APCE-GIS</t>
        </is>
      </c>
      <c r="K53" s="210" t="inlineStr">
        <is>
          <t>X</t>
        </is>
      </c>
      <c r="L53" s="210" t="inlineStr">
        <is>
          <t>X</t>
        </is>
      </c>
      <c r="M53" s="208" t="inlineStr">
        <is>
          <t>F164-68-N-APOLICE-GIS</t>
        </is>
      </c>
    </row>
    <row r="54">
      <c r="B54" s="213" t="inlineStr">
        <is>
          <t xml:space="preserve">    09  :PREFIX:-NR-RECIBO-SO           PIC X(16).</t>
        </is>
      </c>
      <c r="C54" s="214" t="inlineStr">
        <is>
          <t>&lt;NEW&gt;</t>
        </is>
      </c>
      <c r="D54" s="215" t="inlineStr">
        <is>
          <t>Número do Recibo [Garantir que no máximo vem 11 posições Vida / 10 posições nos restantes]</t>
        </is>
      </c>
      <c r="E54" s="67">
        <f>E53+F53</f>
        <v/>
      </c>
      <c r="F54" s="215" t="n">
        <v>16</v>
      </c>
      <c r="G54" s="19" t="inlineStr">
        <is>
          <t>Condicional</t>
        </is>
      </c>
      <c r="J54" s="212" t="n"/>
      <c r="K54" s="210" t="n"/>
      <c r="L54" s="210" t="n"/>
    </row>
    <row r="55">
      <c r="B55" s="35" t="inlineStr">
        <is>
          <t xml:space="preserve">    09  :PREFIX:-COD-MOEDA              PIC X(03).</t>
        </is>
      </c>
      <c r="C55" s="135" t="n"/>
      <c r="D55" s="36" t="inlineStr">
        <is>
          <t>Código de moeda (ex: EUR)</t>
        </is>
      </c>
      <c r="E55" s="13">
        <f>E54+F54</f>
        <v/>
      </c>
      <c r="F55" s="36" t="n">
        <v>3</v>
      </c>
      <c r="G55" s="17" t="inlineStr">
        <is>
          <t>Obrigatório</t>
        </is>
      </c>
      <c r="J55" s="210" t="inlineStr">
        <is>
          <t>X</t>
        </is>
      </c>
      <c r="K55" s="210" t="inlineStr">
        <is>
          <t>X</t>
        </is>
      </c>
      <c r="L55" s="210" t="inlineStr">
        <is>
          <t>X</t>
        </is>
      </c>
      <c r="M55" s="210" t="inlineStr">
        <is>
          <t>X</t>
        </is>
      </c>
    </row>
    <row r="56">
      <c r="B56" s="10" t="inlineStr">
        <is>
          <t xml:space="preserve">    09  :PREFIX:-COD-PRODUTO            PIC X(10).</t>
        </is>
      </c>
      <c r="C56" s="122" t="n"/>
      <c r="D56" s="16" t="inlineStr">
        <is>
          <t xml:space="preserve">Código de Produto </t>
        </is>
      </c>
      <c r="E56" s="13">
        <f>E55+F55</f>
        <v/>
      </c>
      <c r="F56" s="16" t="n">
        <v>10</v>
      </c>
      <c r="G56" s="17" t="inlineStr">
        <is>
          <t>Obrigatório</t>
        </is>
      </c>
      <c r="J56" s="210" t="inlineStr">
        <is>
          <t>X</t>
        </is>
      </c>
      <c r="K56" s="210" t="inlineStr">
        <is>
          <t>X</t>
        </is>
      </c>
      <c r="L56" s="210" t="inlineStr">
        <is>
          <t>X</t>
        </is>
      </c>
      <c r="M56" s="210" t="inlineStr">
        <is>
          <t>X</t>
        </is>
      </c>
    </row>
    <row r="57">
      <c r="B57" s="10" t="inlineStr">
        <is>
          <t xml:space="preserve">    09  :PREFIX:-COD-RAMO               PIC X(10).</t>
        </is>
      </c>
      <c r="C57" s="122" t="n"/>
      <c r="D57" s="16" t="inlineStr">
        <is>
          <t>Código do Ramo SO</t>
        </is>
      </c>
      <c r="E57" s="13">
        <f>E56+F56</f>
        <v/>
      </c>
      <c r="F57" s="16" t="n">
        <v>10</v>
      </c>
      <c r="G57" s="17" t="inlineStr">
        <is>
          <t>Obrigatório</t>
        </is>
      </c>
      <c r="J57" s="208" t="inlineStr">
        <is>
          <t>F160-61-CD-RAMO</t>
        </is>
      </c>
      <c r="K57" s="212" t="inlineStr">
        <is>
          <t>F161-XX-CD-RAMO</t>
        </is>
      </c>
      <c r="L57" s="210" t="inlineStr">
        <is>
          <t>X</t>
        </is>
      </c>
      <c r="M57" s="210" t="inlineStr">
        <is>
          <t>X</t>
        </is>
      </c>
    </row>
    <row r="58">
      <c r="B58" s="22" t="inlineStr">
        <is>
          <t xml:space="preserve">    09  :PREFIX:-DESCR-RAMO-PROD        PIC X(40).</t>
        </is>
      </c>
      <c r="C58" s="42" t="n"/>
      <c r="D58" s="25" t="inlineStr">
        <is>
          <t>Descritivo do Ramo / Produto</t>
        </is>
      </c>
      <c r="E58" s="156">
        <f>E57+F57</f>
        <v/>
      </c>
      <c r="F58" s="25" t="n">
        <v>40</v>
      </c>
      <c r="G58" s="17" t="inlineStr">
        <is>
          <t>Obrigatório</t>
        </is>
      </c>
      <c r="J58" s="216" t="inlineStr">
        <is>
          <t>F160-61-DS-RAMO</t>
        </is>
      </c>
      <c r="K58" s="216" t="inlineStr">
        <is>
          <t>F161-XX-DS-RAMO</t>
        </is>
      </c>
      <c r="L58" s="210" t="inlineStr">
        <is>
          <t>X</t>
        </is>
      </c>
      <c r="M58" s="210" t="inlineStr">
        <is>
          <t>X</t>
        </is>
      </c>
    </row>
    <row r="59">
      <c r="B59" s="30" t="inlineStr">
        <is>
          <t xml:space="preserve">  07  :PREFIX:-DADOS-CLIENTE.</t>
        </is>
      </c>
      <c r="C59" s="127" t="n"/>
      <c r="D59" s="32" t="n"/>
      <c r="E59" s="38">
        <f>E58+F58</f>
        <v/>
      </c>
      <c r="F59" s="32" t="n">
        <v>0</v>
      </c>
      <c r="G59" s="130" t="n"/>
    </row>
    <row r="60">
      <c r="B60" s="162" t="inlineStr">
        <is>
          <t xml:space="preserve">    09  :PREFIX:-CL-NOME                PIC X(40).</t>
        </is>
      </c>
      <c r="C60" s="163" t="n"/>
      <c r="D60" s="164" t="inlineStr">
        <is>
          <t>Nome</t>
        </is>
      </c>
      <c r="E60" s="44">
        <f>E59+F59</f>
        <v/>
      </c>
      <c r="F60" s="164" t="n">
        <v>40</v>
      </c>
      <c r="G60" s="17" t="inlineStr">
        <is>
          <t>Obrigatório</t>
        </is>
      </c>
      <c r="J60" s="208" t="inlineStr">
        <is>
          <t>F160-XX-NOME-ENTIDADE</t>
        </is>
      </c>
      <c r="K60" s="208" t="inlineStr">
        <is>
          <t>F161-XX-NOME-ENTIDADE</t>
        </is>
      </c>
      <c r="L60" s="212" t="inlineStr">
        <is>
          <t>F163-67-NOME-ENTIDADE</t>
        </is>
      </c>
      <c r="M60" s="212" t="inlineStr">
        <is>
          <t>F164-68-NOME-ENTIDADE</t>
        </is>
      </c>
    </row>
    <row r="61">
      <c r="B61" s="162" t="inlineStr">
        <is>
          <t xml:space="preserve">    09  :PREFIX:-CL-LOCATION-REF        PIC X(04).</t>
        </is>
      </c>
      <c r="C61" s="163" t="n"/>
      <c r="D61" s="164" t="inlineStr">
        <is>
          <t>Referência da morada</t>
        </is>
      </c>
      <c r="E61" s="44">
        <f>E60+F60</f>
        <v/>
      </c>
      <c r="F61" s="164" t="n">
        <v>4</v>
      </c>
      <c r="G61" s="17" t="inlineStr">
        <is>
          <t>Obrigatório</t>
        </is>
      </c>
      <c r="J61" s="210" t="inlineStr">
        <is>
          <t>X</t>
        </is>
      </c>
      <c r="K61" s="210" t="inlineStr">
        <is>
          <t>X</t>
        </is>
      </c>
      <c r="L61" s="210" t="inlineStr">
        <is>
          <t>X</t>
        </is>
      </c>
      <c r="M61" s="210" t="inlineStr">
        <is>
          <t>X</t>
        </is>
      </c>
    </row>
    <row r="62">
      <c r="B62" s="162" t="inlineStr">
        <is>
          <t xml:space="preserve">    09  :PREFIX:-CL-MORADA1             PIC X(40).</t>
        </is>
      </c>
      <c r="C62" s="163" t="n"/>
      <c r="D62" s="164" t="inlineStr">
        <is>
          <t>Dados de morada 1</t>
        </is>
      </c>
      <c r="E62" s="44">
        <f>E61+F61</f>
        <v/>
      </c>
      <c r="F62" s="164" t="n">
        <v>40</v>
      </c>
      <c r="G62" s="17" t="inlineStr">
        <is>
          <t>Obrigatório</t>
        </is>
      </c>
      <c r="J62" s="208" t="inlineStr">
        <is>
          <t>F160-XX-MORADA-1</t>
        </is>
      </c>
      <c r="K62" s="208" t="inlineStr">
        <is>
          <t>F161-XX-MORADA-1</t>
        </is>
      </c>
      <c r="L62" s="208" t="inlineStr">
        <is>
          <t>F163-67-MORADA-1</t>
        </is>
      </c>
      <c r="M62" s="208" t="inlineStr">
        <is>
          <t>F164-68-MORADA-1</t>
        </is>
      </c>
    </row>
    <row r="63">
      <c r="B63" s="162" t="inlineStr">
        <is>
          <t xml:space="preserve">    09  :PREFIX:-CL-MORADA2             PIC X(40).</t>
        </is>
      </c>
      <c r="C63" s="163" t="n"/>
      <c r="D63" s="164" t="inlineStr">
        <is>
          <t>Dados de morada 2</t>
        </is>
      </c>
      <c r="E63" s="44">
        <f>E62+F62</f>
        <v/>
      </c>
      <c r="F63" s="164" t="n">
        <v>40</v>
      </c>
      <c r="G63" s="21" t="inlineStr">
        <is>
          <t>Opcional</t>
        </is>
      </c>
      <c r="J63" s="208" t="inlineStr">
        <is>
          <t>F160-XX-MORADA-2</t>
        </is>
      </c>
      <c r="K63" s="208" t="inlineStr">
        <is>
          <t>F161-XX-MORADA-2</t>
        </is>
      </c>
      <c r="L63" s="208" t="inlineStr">
        <is>
          <t>F163-67-MORADA-2</t>
        </is>
      </c>
      <c r="M63" s="208" t="inlineStr">
        <is>
          <t>F164-68-MORADA-2</t>
        </is>
      </c>
    </row>
    <row r="64">
      <c r="B64" s="162" t="inlineStr">
        <is>
          <t xml:space="preserve">    09  :PREFIX:-CL-LOCALIDADE          PIC X(40).</t>
        </is>
      </c>
      <c r="C64" s="163" t="n"/>
      <c r="D64" s="164" t="inlineStr">
        <is>
          <t>Localidade</t>
        </is>
      </c>
      <c r="E64" s="44">
        <f>E63+F63</f>
        <v/>
      </c>
      <c r="F64" s="164" t="n">
        <v>40</v>
      </c>
      <c r="G64" s="21" t="inlineStr">
        <is>
          <t>Opcional</t>
        </is>
      </c>
      <c r="J64" s="208" t="n"/>
      <c r="K64" s="208" t="n"/>
      <c r="L64" s="208" t="n"/>
      <c r="M64" s="208" t="n"/>
    </row>
    <row r="65">
      <c r="B65" s="162" t="inlineStr">
        <is>
          <t xml:space="preserve">    09  :PREFIX:-CL-CPOSTAL             PIC X(09).</t>
        </is>
      </c>
      <c r="C65" s="163" t="n"/>
      <c r="D65" s="164" t="inlineStr">
        <is>
          <t>Código postal (Se estrangeiro deverá vir a zeros) [9999-999]</t>
        </is>
      </c>
      <c r="E65" s="44">
        <f>E64+F64</f>
        <v/>
      </c>
      <c r="F65" s="164" t="n">
        <v>9</v>
      </c>
      <c r="G65" s="17" t="inlineStr">
        <is>
          <t>Obrigatório</t>
        </is>
      </c>
      <c r="J65" s="208" t="inlineStr">
        <is>
          <t>F160-XX-CODIGO-BARRAS</t>
        </is>
      </c>
      <c r="K65" s="208" t="inlineStr">
        <is>
          <t>F161-XX-CODIGO-BARRAS</t>
        </is>
      </c>
      <c r="L65" s="208" t="inlineStr">
        <is>
          <t>F163-67-COD-POSTAL-CLIENTE</t>
        </is>
      </c>
      <c r="M65" s="208" t="inlineStr">
        <is>
          <t>F164-68-COD-POSTAL-CLIENTE</t>
        </is>
      </c>
    </row>
    <row r="66">
      <c r="B66" s="162" t="inlineStr">
        <is>
          <t xml:space="preserve">    09  :PREFIX:-CL-CPOSTAL-DESC        PIC X(40).</t>
        </is>
      </c>
      <c r="C66" s="163" t="n"/>
      <c r="D66" s="164" t="inlineStr">
        <is>
          <t>Descritivo do código postal</t>
        </is>
      </c>
      <c r="E66" s="44">
        <f>E65+F65</f>
        <v/>
      </c>
      <c r="F66" s="164" t="n">
        <v>40</v>
      </c>
      <c r="G66" s="17" t="inlineStr">
        <is>
          <t>Obrigatório</t>
        </is>
      </c>
      <c r="J66" s="210" t="inlineStr">
        <is>
          <t>X</t>
        </is>
      </c>
      <c r="K66" s="210" t="inlineStr">
        <is>
          <t>X</t>
        </is>
      </c>
      <c r="L66" s="210" t="inlineStr">
        <is>
          <t>X</t>
        </is>
      </c>
      <c r="M66" s="210" t="inlineStr">
        <is>
          <t>X</t>
        </is>
      </c>
    </row>
    <row r="67">
      <c r="B67" s="162" t="inlineStr">
        <is>
          <t xml:space="preserve">    09  :PREFIX:-CL-CPAIS               PIC X(03).</t>
        </is>
      </c>
      <c r="C67" s="163" t="n"/>
      <c r="D67" s="164" t="inlineStr">
        <is>
          <t>Código do País (Se estrangeiro, diferente de 620)</t>
        </is>
      </c>
      <c r="E67" s="44">
        <f>E66+F66</f>
        <v/>
      </c>
      <c r="F67" s="164" t="n">
        <v>3</v>
      </c>
      <c r="G67" s="17" t="inlineStr">
        <is>
          <t>Obrigatório</t>
        </is>
      </c>
      <c r="J67" s="210" t="inlineStr">
        <is>
          <t>X</t>
        </is>
      </c>
      <c r="K67" s="210" t="inlineStr">
        <is>
          <t>X</t>
        </is>
      </c>
      <c r="L67" s="210" t="inlineStr">
        <is>
          <t>X</t>
        </is>
      </c>
      <c r="M67" s="210" t="inlineStr">
        <is>
          <t>X</t>
        </is>
      </c>
    </row>
    <row r="68">
      <c r="B68" s="162" t="inlineStr">
        <is>
          <t xml:space="preserve">    09  :PREFIX:-CL-CPAIS-DESC          PIC X(40).</t>
        </is>
      </c>
      <c r="C68" s="163" t="n"/>
      <c r="D68" s="164" t="inlineStr">
        <is>
          <t>Descritivo do País</t>
        </is>
      </c>
      <c r="E68" s="44">
        <f>E67+F67</f>
        <v/>
      </c>
      <c r="F68" s="164" t="n">
        <v>40</v>
      </c>
      <c r="G68" s="17" t="inlineStr">
        <is>
          <t>Obrigatório</t>
        </is>
      </c>
      <c r="J68" s="210" t="inlineStr">
        <is>
          <t>X</t>
        </is>
      </c>
      <c r="K68" s="210" t="inlineStr">
        <is>
          <t>X</t>
        </is>
      </c>
      <c r="L68" s="210" t="inlineStr">
        <is>
          <t>X</t>
        </is>
      </c>
      <c r="M68" s="210" t="inlineStr">
        <is>
          <t>X</t>
        </is>
      </c>
    </row>
    <row r="69">
      <c r="B69" s="217" t="inlineStr">
        <is>
          <t xml:space="preserve">    09  :PREFIX:-CL-IDP                 PIC X(04).</t>
        </is>
      </c>
      <c r="C69" s="218" t="n"/>
      <c r="D69" s="219" t="inlineStr">
        <is>
          <t>Identificação da Porta (no CBC)</t>
        </is>
      </c>
      <c r="E69" s="44">
        <f>E68+F68</f>
        <v/>
      </c>
      <c r="F69" s="219" t="n">
        <v>4</v>
      </c>
      <c r="G69" s="17" t="inlineStr">
        <is>
          <t>Obrigatório</t>
        </is>
      </c>
      <c r="J69" s="210" t="inlineStr">
        <is>
          <t>X</t>
        </is>
      </c>
      <c r="K69" s="210" t="inlineStr">
        <is>
          <t>X</t>
        </is>
      </c>
      <c r="L69" s="210" t="inlineStr">
        <is>
          <t>X</t>
        </is>
      </c>
      <c r="M69" s="210" t="inlineStr">
        <is>
          <t>X</t>
        </is>
      </c>
    </row>
    <row r="70">
      <c r="B70" s="162" t="inlineStr">
        <is>
          <t xml:space="preserve">    09  :PREFIX:-CL-NIF                 PIC X(22).</t>
        </is>
      </c>
      <c r="C70" s="163" t="n"/>
      <c r="D70" s="164" t="inlineStr">
        <is>
          <t>Número de identificação fiscal (No caso de Portugal será PT999999999)</t>
        </is>
      </c>
      <c r="E70" s="44">
        <f>E69+F69</f>
        <v/>
      </c>
      <c r="F70" s="164" t="n">
        <v>22</v>
      </c>
      <c r="G70" s="17" t="inlineStr">
        <is>
          <t>Obrigatório</t>
        </is>
      </c>
      <c r="J70" s="210" t="inlineStr">
        <is>
          <t>X</t>
        </is>
      </c>
      <c r="K70" s="210" t="inlineStr">
        <is>
          <t>X</t>
        </is>
      </c>
      <c r="L70" s="210" t="inlineStr">
        <is>
          <t>X</t>
        </is>
      </c>
      <c r="M70" s="210" t="inlineStr">
        <is>
          <t>X</t>
        </is>
      </c>
    </row>
    <row r="71">
      <c r="B71" s="162" t="inlineStr">
        <is>
          <t xml:space="preserve">    09  :PREFIX:-CL-TIPO-ENTIDADE       PIC X(01).</t>
        </is>
      </c>
      <c r="C71" s="163" t="n"/>
      <c r="D71" s="164" t="inlineStr">
        <is>
          <t>Tipo Entidade</t>
        </is>
      </c>
      <c r="E71" s="44">
        <f>E70+F70</f>
        <v/>
      </c>
      <c r="F71" s="164" t="n">
        <v>1</v>
      </c>
      <c r="G71" s="21" t="inlineStr">
        <is>
          <t>Opcional</t>
        </is>
      </c>
      <c r="J71" s="210" t="inlineStr">
        <is>
          <t>X</t>
        </is>
      </c>
      <c r="K71" s="210" t="inlineStr">
        <is>
          <t>X</t>
        </is>
      </c>
      <c r="L71" s="210" t="inlineStr">
        <is>
          <t>X</t>
        </is>
      </c>
      <c r="M71" s="210" t="inlineStr">
        <is>
          <t>X</t>
        </is>
      </c>
    </row>
    <row r="72">
      <c r="B72" s="162" t="inlineStr">
        <is>
          <t xml:space="preserve">        88  :PREFIX:-CL-ENT-PARTICUL        VALUE '1'.</t>
        </is>
      </c>
      <c r="C72" s="163" t="n"/>
      <c r="D72" s="164" t="inlineStr">
        <is>
          <t xml:space="preserve">     '1' - Pessoa / Particular</t>
        </is>
      </c>
      <c r="E72" s="44" t="n"/>
      <c r="F72" s="164" t="n"/>
      <c r="G72" s="158" t="n"/>
      <c r="J72" s="208" t="n"/>
      <c r="K72" s="208" t="n"/>
      <c r="L72" s="208" t="n"/>
      <c r="M72" s="208" t="n"/>
    </row>
    <row r="73">
      <c r="B73" s="162" t="inlineStr">
        <is>
          <t xml:space="preserve">        88  :PREFIX:-CL-ENT-COLETIVA        VALUE '2'.</t>
        </is>
      </c>
      <c r="C73" s="163" t="n"/>
      <c r="D73" s="164" t="inlineStr">
        <is>
          <t xml:space="preserve">     '2' - Colectivo/Conta Interna</t>
        </is>
      </c>
      <c r="E73" s="44" t="n"/>
      <c r="F73" s="164" t="n"/>
      <c r="G73" s="158" t="n"/>
      <c r="J73" s="208" t="n"/>
      <c r="K73" s="208" t="n"/>
      <c r="L73" s="208" t="n"/>
      <c r="M73" s="208" t="n"/>
    </row>
    <row r="74">
      <c r="B74" s="30" t="inlineStr">
        <is>
          <t xml:space="preserve">  07  :PREFIX:-DADOS-DATA.</t>
        </is>
      </c>
      <c r="C74" s="127" t="n"/>
      <c r="D74" s="32" t="n"/>
      <c r="E74" s="38">
        <f>E71+F71</f>
        <v/>
      </c>
      <c r="F74" s="32" t="n">
        <v>0</v>
      </c>
      <c r="G74" s="130" t="n"/>
    </row>
    <row r="75">
      <c r="B75" s="162" t="inlineStr">
        <is>
          <t xml:space="preserve">    09  :PREFIX:-DT-CARTA               PIC X(08).</t>
        </is>
      </c>
      <c r="C75" s="163" t="n"/>
      <c r="D75" s="164" t="inlineStr">
        <is>
          <t>Data emissão da carta [aaaammdd]</t>
        </is>
      </c>
      <c r="E75" s="44">
        <f>E74+F74</f>
        <v/>
      </c>
      <c r="F75" s="164" t="n">
        <v>8</v>
      </c>
      <c r="G75" s="17" t="inlineStr">
        <is>
          <t>Obrigatório</t>
        </is>
      </c>
      <c r="J75" s="208" t="inlineStr">
        <is>
          <t>F160-XX-DT-CARTA</t>
        </is>
      </c>
      <c r="K75" s="208" t="inlineStr">
        <is>
          <t>F161-XX-DT-CARTA</t>
        </is>
      </c>
      <c r="L75" s="208" t="inlineStr">
        <is>
          <t>F163-67-DT-CARTA</t>
        </is>
      </c>
      <c r="M75" s="208" t="inlineStr">
        <is>
          <t>F164-68-DT-CARTA</t>
        </is>
      </c>
    </row>
    <row r="76">
      <c r="B76" s="162" t="inlineStr">
        <is>
          <t xml:space="preserve">    09  :PREFIX:-DT-VENCIMENTO          PIC X(08).</t>
        </is>
      </c>
      <c r="C76" s="163" t="n"/>
      <c r="D76" s="164" t="inlineStr">
        <is>
          <t>Data vencimento [aaaammdd]</t>
        </is>
      </c>
      <c r="E76" s="44">
        <f>E75+F75</f>
        <v/>
      </c>
      <c r="F76" s="164" t="n">
        <v>8</v>
      </c>
      <c r="G76" s="19" t="inlineStr">
        <is>
          <t>Condicional</t>
        </is>
      </c>
      <c r="J76" s="208" t="n"/>
      <c r="K76" s="208" t="n"/>
      <c r="L76" s="208" t="inlineStr">
        <is>
          <t>F163-67-DT-DEVIDO</t>
        </is>
      </c>
      <c r="M76" s="208" t="n"/>
    </row>
    <row r="77">
      <c r="B77" s="162" t="inlineStr">
        <is>
          <t xml:space="preserve">    09  :PREFIX:-DT-RESGATE             PIC X(08).</t>
        </is>
      </c>
      <c r="C77" s="163" t="n"/>
      <c r="D77" s="164" t="inlineStr">
        <is>
          <t>Data de resgate [aaaammdd]</t>
        </is>
      </c>
      <c r="E77" s="44">
        <f>E76+F76</f>
        <v/>
      </c>
      <c r="F77" s="164" t="n">
        <v>8</v>
      </c>
      <c r="G77" s="19" t="inlineStr">
        <is>
          <t>Condicional</t>
        </is>
      </c>
      <c r="J77" s="210" t="inlineStr">
        <is>
          <t>X</t>
        </is>
      </c>
      <c r="K77" s="210" t="inlineStr">
        <is>
          <t>X</t>
        </is>
      </c>
      <c r="L77" s="210" t="inlineStr">
        <is>
          <t>X</t>
        </is>
      </c>
      <c r="M77" s="208" t="inlineStr">
        <is>
          <t>F164-68-DT-RESGATE</t>
        </is>
      </c>
    </row>
    <row r="78">
      <c r="B78" s="162" t="inlineStr">
        <is>
          <t xml:space="preserve">    09  :PREFIX:-DT-LIMITE-PAG          PIC X(08).</t>
        </is>
      </c>
      <c r="C78" s="163" t="n"/>
      <c r="D78" s="164" t="inlineStr">
        <is>
          <t>Data limite de pagamento [aaaammdd]</t>
        </is>
      </c>
      <c r="E78" s="44">
        <f>E77+F77</f>
        <v/>
      </c>
      <c r="F78" s="164" t="n">
        <v>8</v>
      </c>
      <c r="G78" s="19" t="inlineStr">
        <is>
          <t>Condicional</t>
        </is>
      </c>
      <c r="J78" s="210" t="inlineStr">
        <is>
          <t>X</t>
        </is>
      </c>
      <c r="K78" s="208" t="inlineStr">
        <is>
          <t>F161-XX-DT-DEVIDO</t>
        </is>
      </c>
      <c r="L78" s="212" t="inlineStr">
        <is>
          <t>F163-67-DT-PAGAMENTO</t>
        </is>
      </c>
      <c r="M78" s="210" t="inlineStr">
        <is>
          <t>X</t>
        </is>
      </c>
    </row>
    <row r="79">
      <c r="B79" s="30" t="inlineStr">
        <is>
          <t xml:space="preserve">  07  :PREFIX:-DADOS-VALOR.</t>
        </is>
      </c>
      <c r="C79" s="127" t="n"/>
      <c r="D79" s="32" t="n"/>
      <c r="E79" s="38">
        <f>E78+F78</f>
        <v/>
      </c>
      <c r="F79" s="32" t="n">
        <v>0</v>
      </c>
      <c r="G79" s="130" t="n"/>
    </row>
    <row r="80" ht="30" customHeight="1">
      <c r="B80" s="165" t="inlineStr">
        <is>
          <t xml:space="preserve">    09  :PREFIX:-VLR-PAGAMENTO          PIC S9(12)V9(02)
                                   SIGN LEADING SEPARATE.</t>
        </is>
      </c>
      <c r="C80" s="163" t="n"/>
      <c r="D80" s="164" t="inlineStr">
        <is>
          <t>Valor em divida ou resgatado</t>
        </is>
      </c>
      <c r="E80" s="44">
        <f>E79+F79</f>
        <v/>
      </c>
      <c r="F80" s="164" t="n">
        <v>15</v>
      </c>
      <c r="G80" s="17" t="inlineStr">
        <is>
          <t>Obrigatório</t>
        </is>
      </c>
      <c r="J80" s="208" t="inlineStr">
        <is>
          <t>F160-61-M-RECIBO</t>
        </is>
      </c>
      <c r="K80" s="208" t="inlineStr">
        <is>
          <t>F161-XX-M-RECIBO</t>
        </is>
      </c>
      <c r="L80" s="208" t="inlineStr">
        <is>
          <t>F163-67-VALOR-ATM</t>
        </is>
      </c>
      <c r="M80" s="208" t="inlineStr">
        <is>
          <t>F164-68-M-VALOR RESGATE</t>
        </is>
      </c>
    </row>
    <row r="81">
      <c r="B81" s="30" t="inlineStr">
        <is>
          <t xml:space="preserve">  07  :PREFIX:-DADOS-PAGAMENTO.</t>
        </is>
      </c>
      <c r="C81" s="127" t="n"/>
      <c r="D81" s="32" t="n"/>
      <c r="E81" s="38">
        <f>E80+F80</f>
        <v/>
      </c>
      <c r="F81" s="32" t="n">
        <v>0</v>
      </c>
      <c r="G81" s="130" t="n"/>
    </row>
    <row r="82">
      <c r="B82" s="10" t="inlineStr">
        <is>
          <t xml:space="preserve">    09  :PREFIX:-PG-CONTA.</t>
        </is>
      </c>
      <c r="C82" s="122" t="n"/>
      <c r="D82" s="16" t="n"/>
      <c r="E82" s="13">
        <f>E81+F81</f>
        <v/>
      </c>
      <c r="F82" s="16" t="n">
        <v>0</v>
      </c>
      <c r="G82" s="9" t="n"/>
    </row>
    <row r="83">
      <c r="B83" s="10" t="inlineStr">
        <is>
          <t xml:space="preserve">      11  :PREFIX:-CNT-NOME-BANCO       PIC X(60).</t>
        </is>
      </c>
      <c r="C83" s="122" t="n"/>
      <c r="D83" s="16" t="inlineStr">
        <is>
          <t>Nome do banco</t>
        </is>
      </c>
      <c r="E83" s="13">
        <f>E82+F82</f>
        <v/>
      </c>
      <c r="F83" s="16" t="n">
        <v>60</v>
      </c>
      <c r="G83" s="19" t="inlineStr">
        <is>
          <t>Condicional</t>
        </is>
      </c>
      <c r="J83" s="210" t="inlineStr">
        <is>
          <t>X</t>
        </is>
      </c>
      <c r="K83" s="210" t="inlineStr">
        <is>
          <t>X</t>
        </is>
      </c>
      <c r="L83" s="210" t="inlineStr">
        <is>
          <t>X</t>
        </is>
      </c>
      <c r="M83" s="210" t="inlineStr">
        <is>
          <t>X</t>
        </is>
      </c>
    </row>
    <row r="84">
      <c r="B84" s="10" t="inlineStr">
        <is>
          <t xml:space="preserve">      11  :PREFIX:-CNT-IBAN             PIC X(34).</t>
        </is>
      </c>
      <c r="C84" s="122" t="n"/>
      <c r="D84" s="16" t="inlineStr">
        <is>
          <t>IBAN (SEPA)</t>
        </is>
      </c>
      <c r="E84" s="13">
        <f>E83+F83</f>
        <v/>
      </c>
      <c r="F84" s="16" t="n">
        <v>34</v>
      </c>
      <c r="G84" s="19" t="inlineStr">
        <is>
          <t>Condicional</t>
        </is>
      </c>
      <c r="J84" s="208" t="inlineStr">
        <is>
          <t>F160-61-IBAN</t>
        </is>
      </c>
      <c r="K84" s="210" t="inlineStr">
        <is>
          <t>X</t>
        </is>
      </c>
      <c r="L84" s="210" t="inlineStr">
        <is>
          <t>X</t>
        </is>
      </c>
      <c r="M84" s="210" t="inlineStr">
        <is>
          <t>X</t>
        </is>
      </c>
    </row>
    <row r="85">
      <c r="B85" s="10" t="inlineStr">
        <is>
          <t xml:space="preserve">      11  :PREFIX:-CNT-SWIFT            PIC X(11).</t>
        </is>
      </c>
      <c r="C85" s="122" t="n"/>
      <c r="D85" s="16" t="inlineStr">
        <is>
          <t>SWIFT (SEPA)</t>
        </is>
      </c>
      <c r="E85" s="13">
        <f>E84+F84</f>
        <v/>
      </c>
      <c r="F85" s="16" t="n">
        <v>11</v>
      </c>
      <c r="G85" s="19" t="inlineStr">
        <is>
          <t>Condicional</t>
        </is>
      </c>
      <c r="J85" s="208" t="inlineStr">
        <is>
          <t>F160-61-BIC-SWIFT</t>
        </is>
      </c>
      <c r="K85" s="210" t="inlineStr">
        <is>
          <t>X</t>
        </is>
      </c>
      <c r="L85" s="210" t="inlineStr">
        <is>
          <t>X</t>
        </is>
      </c>
      <c r="M85" s="210" t="inlineStr">
        <is>
          <t>X</t>
        </is>
      </c>
    </row>
    <row r="86">
      <c r="B86" s="10" t="inlineStr">
        <is>
          <t xml:space="preserve">      11  :PREFIX:-ID-CREDOR            PIC X(35).</t>
        </is>
      </c>
      <c r="C86" s="122" t="n"/>
      <c r="D86" s="16" t="inlineStr">
        <is>
          <t>Identificação do credor (SEPA)</t>
        </is>
      </c>
      <c r="E86" s="156">
        <f>E85+F85</f>
        <v/>
      </c>
      <c r="F86" s="16" t="n">
        <v>35</v>
      </c>
      <c r="G86" s="19" t="inlineStr">
        <is>
          <t>Condicional</t>
        </is>
      </c>
      <c r="J86" s="208" t="inlineStr">
        <is>
          <t>F160-61-ID-CREDOR</t>
        </is>
      </c>
      <c r="K86" s="208" t="inlineStr">
        <is>
          <t>F161-XX-ID-CREDOR</t>
        </is>
      </c>
      <c r="L86" s="210" t="inlineStr">
        <is>
          <t>X</t>
        </is>
      </c>
      <c r="M86" s="210" t="inlineStr">
        <is>
          <t>X</t>
        </is>
      </c>
    </row>
    <row r="87">
      <c r="B87" s="10" t="inlineStr">
        <is>
          <t xml:space="preserve">      11  :PREFIX:-DEB-ADD              PIC X(11).</t>
        </is>
      </c>
      <c r="C87" s="122" t="n"/>
      <c r="D87" s="16" t="inlineStr">
        <is>
          <t>Número da ADD</t>
        </is>
      </c>
      <c r="E87" s="13">
        <f>E86+F86</f>
        <v/>
      </c>
      <c r="F87" s="16" t="n">
        <v>11</v>
      </c>
      <c r="G87" s="19" t="inlineStr">
        <is>
          <t>Condicional</t>
        </is>
      </c>
    </row>
    <row r="88">
      <c r="B88" s="10" t="inlineStr">
        <is>
          <t xml:space="preserve">    09  :PREFIX:-PG-ATM.</t>
        </is>
      </c>
      <c r="C88" s="122" t="n"/>
      <c r="D88" s="16" t="n"/>
      <c r="E88" s="13">
        <f>E87+F87</f>
        <v/>
      </c>
      <c r="F88" s="16" t="n">
        <v>0</v>
      </c>
      <c r="G88" s="9" t="n"/>
    </row>
    <row r="89">
      <c r="B89" s="162" t="inlineStr">
        <is>
          <t xml:space="preserve">      11  :PREFIX:-ATM-ENTIDADE         PIC X(05).</t>
        </is>
      </c>
      <c r="C89" s="163" t="n"/>
      <c r="D89" s="164" t="inlineStr">
        <is>
          <t>Entidade</t>
        </is>
      </c>
      <c r="E89" s="44">
        <f>E88+F88</f>
        <v/>
      </c>
      <c r="F89" s="164" t="n">
        <v>5</v>
      </c>
      <c r="G89" s="19" t="inlineStr">
        <is>
          <t>Condicional</t>
        </is>
      </c>
      <c r="J89" s="208" t="inlineStr">
        <is>
          <t>F160-61-ENTIDADE-ATM</t>
        </is>
      </c>
      <c r="K89" s="210" t="inlineStr">
        <is>
          <t>X</t>
        </is>
      </c>
      <c r="L89" s="208" t="inlineStr">
        <is>
          <t>F163-67-ENTIDADE-ATM</t>
        </is>
      </c>
      <c r="M89" s="210" t="inlineStr">
        <is>
          <t>X</t>
        </is>
      </c>
    </row>
    <row r="90">
      <c r="B90" s="162" t="inlineStr">
        <is>
          <t xml:space="preserve">      11  :PREFIX:-ATM-REF              PIC X(09).</t>
        </is>
      </c>
      <c r="C90" s="163" t="n"/>
      <c r="D90" s="164" t="inlineStr">
        <is>
          <t>Referência</t>
        </is>
      </c>
      <c r="E90" s="44">
        <f>E89+F89</f>
        <v/>
      </c>
      <c r="F90" s="164" t="n">
        <v>9</v>
      </c>
      <c r="G90" s="19" t="inlineStr">
        <is>
          <t>Condicional</t>
        </is>
      </c>
      <c r="J90" s="208" t="inlineStr">
        <is>
          <t>F160-61-REFERENCIA-ATM</t>
        </is>
      </c>
      <c r="K90" s="210" t="inlineStr">
        <is>
          <t>X</t>
        </is>
      </c>
      <c r="L90" s="208" t="inlineStr">
        <is>
          <t>F163-67-REFERENCIA-ATM</t>
        </is>
      </c>
      <c r="M90" s="210" t="inlineStr">
        <is>
          <t>X</t>
        </is>
      </c>
    </row>
    <row r="91">
      <c r="B91" s="30" t="inlineStr">
        <is>
          <t xml:space="preserve">  07  :PREFIX:-FILLER</t>
        </is>
      </c>
      <c r="C91" s="127" t="n"/>
      <c r="D91" s="32" t="n"/>
      <c r="E91" s="38">
        <f>E90+F90</f>
        <v/>
      </c>
      <c r="F91" s="32" t="n">
        <v>2250</v>
      </c>
      <c r="G91" s="130" t="n"/>
    </row>
    <row r="92">
      <c r="D92" s="149" t="inlineStr">
        <is>
          <t>Total:</t>
        </is>
      </c>
      <c r="E92" s="150">
        <f>E91+F91</f>
        <v/>
      </c>
    </row>
  </sheetData>
  <pageMargins left="0.7086614173228347" right="0.7086614173228347" top="0.7480314960629921" bottom="0.7480314960629921" header="0.3149606299212598" footer="0.3149606299212598"/>
  <pageSetup orientation="landscape" paperSize="9" scale="64" fitToHeight="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W288"/>
  <sheetViews>
    <sheetView workbookViewId="0">
      <selection activeCell="A1" sqref="A1"/>
    </sheetView>
  </sheetViews>
  <sheetFormatPr baseColWidth="8" defaultRowHeight="15"/>
  <cols>
    <col width="1.85546875" customWidth="1" min="1" max="1"/>
    <col width="93.85546875" customWidth="1" min="2" max="2"/>
    <col width="7.85546875" customWidth="1" min="3" max="3"/>
    <col width="90.85546875" customWidth="1" min="4" max="4"/>
    <col width="9.140625" customWidth="1" min="5" max="5"/>
    <col width="11.42578125" customWidth="1" min="6" max="6"/>
    <col width="12.140625" customWidth="1" min="7" max="7"/>
    <col width="1.85546875" customWidth="1" min="8" max="8"/>
    <col width="8.85546875" customWidth="1" min="10" max="10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G2" s="4" t="inlineStr">
        <is>
          <t>Observações</t>
        </is>
      </c>
    </row>
    <row r="3">
      <c r="B3" s="5" t="inlineStr">
        <is>
          <t>05  :PREFIX:-DADOS-REGISTO.</t>
        </is>
      </c>
      <c r="C3" s="29" t="n"/>
      <c r="D3" s="7" t="n"/>
      <c r="E3" s="8" t="n">
        <v>1</v>
      </c>
      <c r="F3" s="8" t="n"/>
      <c r="G3" s="45" t="n"/>
    </row>
    <row r="4">
      <c r="B4" s="10" t="inlineStr">
        <is>
          <t xml:space="preserve">  07  :PREFIX:-COD-DOCUMENTO            PIC X(04).</t>
        </is>
      </c>
      <c r="C4" s="122" t="n"/>
      <c r="D4" s="12" t="inlineStr">
        <is>
          <t>Código de documento</t>
        </is>
      </c>
      <c r="E4" s="13">
        <f>E3+F3</f>
        <v/>
      </c>
      <c r="F4" s="13" t="n">
        <v>4</v>
      </c>
      <c r="G4" s="17" t="inlineStr">
        <is>
          <t>Obrigatório</t>
        </is>
      </c>
      <c r="I4">
        <f>33+E4</f>
        <v/>
      </c>
    </row>
    <row r="5">
      <c r="B5" s="10" t="inlineStr">
        <is>
          <t xml:space="preserve">      88  :PREFIX:-DOC-FATR                 VALUE 'FATR'.</t>
        </is>
      </c>
      <c r="C5" s="122" t="n"/>
      <c r="D5" s="12" t="inlineStr">
        <is>
          <t xml:space="preserve">     'FATR' - Fatura</t>
        </is>
      </c>
      <c r="E5" s="13" t="n"/>
      <c r="F5" s="13" t="n"/>
      <c r="G5" s="15" t="n"/>
    </row>
    <row r="6">
      <c r="B6" s="10" t="inlineStr">
        <is>
          <t xml:space="preserve">      88  :PREFIX:-DOC-NTCR                 VALUE 'NTCR'.</t>
        </is>
      </c>
      <c r="C6" s="122" t="n"/>
      <c r="D6" s="12" t="inlineStr">
        <is>
          <t xml:space="preserve">     'NTCR' - Nota de Crédito</t>
        </is>
      </c>
      <c r="E6" s="13" t="n"/>
      <c r="F6" s="13" t="n"/>
      <c r="G6" s="18" t="n"/>
    </row>
    <row r="7">
      <c r="B7" s="10" t="inlineStr">
        <is>
          <t xml:space="preserve">  07  :PREFIX:-TIPO-REGISTO             PIC X(01).</t>
        </is>
      </c>
      <c r="C7" s="122" t="n"/>
      <c r="D7" s="16" t="inlineStr">
        <is>
          <t>Tipo de registo</t>
        </is>
      </c>
      <c r="E7" s="13">
        <f>E4+F4</f>
        <v/>
      </c>
      <c r="F7" s="16" t="n">
        <v>1</v>
      </c>
      <c r="G7" s="14" t="inlineStr">
        <is>
          <t>Obrigatório</t>
        </is>
      </c>
      <c r="I7">
        <f>33+E7</f>
        <v/>
      </c>
    </row>
    <row r="8">
      <c r="B8" s="10" t="inlineStr">
        <is>
          <t xml:space="preserve">      88  :PREFIX:-REG-TIPO1                VALUE '1'.</t>
        </is>
      </c>
      <c r="C8" s="122" t="n"/>
      <c r="D8" s="16" t="inlineStr">
        <is>
          <t xml:space="preserve">     '1' - Aviso-Recibo / Fatura / NotaCrédito</t>
        </is>
      </c>
      <c r="E8" s="13" t="n"/>
      <c r="F8" s="16" t="n"/>
      <c r="G8" s="15" t="n"/>
    </row>
    <row r="9">
      <c r="B9" s="10" t="inlineStr">
        <is>
          <t xml:space="preserve">      88  :PREFIX:-REG-TIPO2                VALUE '2'.</t>
        </is>
      </c>
      <c r="C9" s="122" t="n"/>
      <c r="D9" s="16" t="inlineStr">
        <is>
          <t xml:space="preserve">     '2' - Detalhe do extrato</t>
        </is>
      </c>
      <c r="E9" s="13" t="n"/>
      <c r="F9" s="16" t="n"/>
      <c r="G9" s="15" t="n"/>
    </row>
    <row r="10">
      <c r="B10" s="10" t="inlineStr">
        <is>
          <t xml:space="preserve">      88  :PREFIX:-REG-TIPO3                VALUE '3'.</t>
        </is>
      </c>
      <c r="C10" s="122" t="n"/>
      <c r="D10" s="16" t="inlineStr">
        <is>
          <t xml:space="preserve">     '3' - Footer do extrato</t>
        </is>
      </c>
      <c r="E10" s="13" t="n"/>
      <c r="F10" s="16" t="n"/>
      <c r="G10" s="15" t="n"/>
    </row>
    <row r="11">
      <c r="B11" s="10" t="inlineStr">
        <is>
          <t xml:space="preserve">      88  :PREFIX:-REG-TIPO4                VALUE '4'.</t>
        </is>
      </c>
      <c r="C11" s="122" t="n"/>
      <c r="D11" s="16" t="inlineStr">
        <is>
          <t xml:space="preserve">     '4' - Detalhe do Tailor</t>
        </is>
      </c>
      <c r="E11" s="13" t="n"/>
      <c r="F11" s="16" t="n"/>
      <c r="G11" s="61" t="n"/>
    </row>
    <row r="12">
      <c r="B12" s="10" t="inlineStr">
        <is>
          <t xml:space="preserve">      88  :PREFIX:-REG-TIPO5                VALUE '5'.</t>
        </is>
      </c>
      <c r="C12" s="122" t="n"/>
      <c r="D12" s="16" t="inlineStr">
        <is>
          <t xml:space="preserve">     '5' - Footer do Tailor</t>
        </is>
      </c>
      <c r="E12" s="13" t="n"/>
      <c r="F12" s="16" t="n"/>
      <c r="G12" s="61" t="n"/>
    </row>
    <row r="13">
      <c r="B13" s="10" t="inlineStr">
        <is>
          <t xml:space="preserve">  07  :PREFIX:-TIPO-IMPRESSAO           PIC X(01).</t>
        </is>
      </c>
      <c r="C13" s="122" t="n"/>
      <c r="D13" s="12" t="inlineStr">
        <is>
          <t>Tipo de impressão</t>
        </is>
      </c>
      <c r="E13" s="13">
        <f>E7+F7</f>
        <v/>
      </c>
      <c r="F13" s="13" t="n">
        <v>1</v>
      </c>
      <c r="G13" s="17" t="inlineStr">
        <is>
          <t>Obrigatório</t>
        </is>
      </c>
      <c r="I13">
        <f>33+E13</f>
        <v/>
      </c>
    </row>
    <row r="14">
      <c r="B14" s="10" t="inlineStr">
        <is>
          <t xml:space="preserve">      88  :PREFIX:-IMP-ARQ-IMED             VALUE '128'</t>
        </is>
      </c>
      <c r="C14" s="122" t="n"/>
      <c r="D14" s="12" t="inlineStr">
        <is>
          <t xml:space="preserve">     'E' - Impressão OnLine (Arquivar sem expedir)</t>
        </is>
      </c>
      <c r="E14" s="13" t="n"/>
      <c r="F14" s="13" t="n"/>
      <c r="G14" s="15" t="n"/>
    </row>
    <row r="15">
      <c r="B15" s="10" t="inlineStr">
        <is>
          <t xml:space="preserve">      88  :PREFIX:-IMP-ONLINE               VALUE 'I'.</t>
        </is>
      </c>
      <c r="C15" s="122" t="n"/>
      <c r="D15" s="12" t="inlineStr">
        <is>
          <t xml:space="preserve">     'I' - Impressão OnLine (Immediate)</t>
        </is>
      </c>
      <c r="E15" s="13" t="n"/>
      <c r="F15" s="13" t="n"/>
      <c r="G15" s="15" t="n"/>
    </row>
    <row r="16">
      <c r="B16" s="10" t="inlineStr">
        <is>
          <t xml:space="preserve">      88  :PREFIX:-IMP-BATCH                VALUE 'O'.</t>
        </is>
      </c>
      <c r="C16" s="122" t="n"/>
      <c r="D16" s="12" t="inlineStr">
        <is>
          <t xml:space="preserve">     'O' - Impressão via batch (Overnight)</t>
        </is>
      </c>
      <c r="E16" s="13" t="n"/>
      <c r="F16" s="13" t="n"/>
      <c r="G16" s="18" t="n"/>
    </row>
    <row r="17">
      <c r="B17" s="10" t="inlineStr">
        <is>
          <t xml:space="preserve">  07  :PREFIX:-USERID                   PIC X(08).</t>
        </is>
      </c>
      <c r="C17" s="122" t="n"/>
      <c r="D17" s="16" t="inlineStr">
        <is>
          <t>User Id da impressão OnLine</t>
        </is>
      </c>
      <c r="E17" s="13">
        <f>E13+F13</f>
        <v/>
      </c>
      <c r="F17" s="16" t="n">
        <v>8</v>
      </c>
      <c r="G17" s="19" t="inlineStr">
        <is>
          <t>Condicional</t>
        </is>
      </c>
      <c r="I17">
        <f>33+E17</f>
        <v/>
      </c>
    </row>
    <row r="18">
      <c r="B18" s="10" t="inlineStr">
        <is>
          <t xml:space="preserve">  07  :PREFIX:-COD-COMPANHIA            PIC X(03).</t>
        </is>
      </c>
      <c r="C18" s="125" t="n"/>
      <c r="D18" s="12" t="inlineStr">
        <is>
          <t>Código de identificação da Companhia</t>
        </is>
      </c>
      <c r="E18" s="13">
        <f>E17+F17</f>
        <v/>
      </c>
      <c r="F18" s="13" t="n">
        <v>3</v>
      </c>
      <c r="G18" s="17" t="inlineStr">
        <is>
          <t>Obrigatório</t>
        </is>
      </c>
      <c r="I18">
        <f>33+E18</f>
        <v/>
      </c>
    </row>
    <row r="19">
      <c r="B19" s="10" t="inlineStr">
        <is>
          <t xml:space="preserve">      88  :PREFIX:-COM-VIADIRECTA           VALUE '111'.</t>
        </is>
      </c>
      <c r="C19" s="125" t="n"/>
      <c r="D19" s="12" t="inlineStr">
        <is>
          <t xml:space="preserve">     '111' - Via Directa</t>
        </is>
      </c>
      <c r="E19" s="13" t="n"/>
      <c r="F19" s="13" t="n"/>
      <c r="G19" s="15" t="n"/>
    </row>
    <row r="20">
      <c r="B20" s="10" t="inlineStr">
        <is>
          <t xml:space="preserve">      88  :PREFIX:-COM-FIDELIDADE           VALUE '128'.</t>
        </is>
      </c>
      <c r="C20" s="125" t="n"/>
      <c r="D20" s="12" t="inlineStr">
        <is>
          <t xml:space="preserve">     '128' - Fidelidade</t>
        </is>
      </c>
      <c r="E20" s="13" t="n"/>
      <c r="F20" s="13" t="n"/>
      <c r="G20" s="15" t="n"/>
    </row>
    <row r="21">
      <c r="B21" s="10" t="inlineStr">
        <is>
          <t xml:space="preserve">      88  :PREFIX:-COM-IMPERIO              VALUE '138'.</t>
        </is>
      </c>
      <c r="C21" s="125" t="n"/>
      <c r="D21" s="12" t="inlineStr">
        <is>
          <t xml:space="preserve">     '138' - Império</t>
        </is>
      </c>
      <c r="E21" s="13" t="n"/>
      <c r="F21" s="13" t="n"/>
      <c r="G21" s="15" t="n"/>
    </row>
    <row r="22">
      <c r="B22" s="10" t="inlineStr">
        <is>
          <t xml:space="preserve">      88  :PREFIX:-COM-MULTICARE            VALUE '148'.</t>
        </is>
      </c>
      <c r="C22" s="122" t="n"/>
      <c r="D22" s="12" t="inlineStr">
        <is>
          <t xml:space="preserve">     '148' - Multicare</t>
        </is>
      </c>
      <c r="E22" s="16" t="n"/>
      <c r="F22" s="16" t="n"/>
      <c r="G22" s="18" t="n"/>
    </row>
    <row r="23">
      <c r="B23" s="10" t="inlineStr">
        <is>
          <t xml:space="preserve">  07  :PREFIX:-COD-MARCA                PIC X(03).</t>
        </is>
      </c>
      <c r="C23" s="122" t="n"/>
      <c r="D23" s="12" t="inlineStr">
        <is>
          <t>Código de identificação da Marca</t>
        </is>
      </c>
      <c r="E23" s="13">
        <f>E18+F18</f>
        <v/>
      </c>
      <c r="F23" s="16" t="n">
        <v>3</v>
      </c>
      <c r="G23" s="17" t="inlineStr">
        <is>
          <t>Obrigatório</t>
        </is>
      </c>
      <c r="I23">
        <f>33+E23</f>
        <v/>
      </c>
    </row>
    <row r="24">
      <c r="B24" s="10" t="inlineStr">
        <is>
          <t xml:space="preserve">      88  :PREFIX:-MAR-OKTELESEGURO         VALUE '001'.</t>
        </is>
      </c>
      <c r="C24" s="122" t="n"/>
      <c r="D24" s="12" t="inlineStr">
        <is>
          <t xml:space="preserve">     '001' - OK Teleseguro</t>
        </is>
      </c>
      <c r="E24" s="16" t="n"/>
      <c r="F24" s="16" t="n"/>
      <c r="G24" s="15" t="n"/>
    </row>
    <row r="25">
      <c r="B25" s="10" t="inlineStr">
        <is>
          <t xml:space="preserve">      88  :PREFIX:-MAR-FIDELIDADE           VALUE '002'.</t>
        </is>
      </c>
      <c r="C25" s="122" t="n"/>
      <c r="D25" s="12" t="inlineStr">
        <is>
          <t xml:space="preserve">     '002' - Fidelidade</t>
        </is>
      </c>
      <c r="E25" s="16" t="n"/>
      <c r="F25" s="16" t="n"/>
      <c r="G25" s="15" t="n"/>
    </row>
    <row r="26">
      <c r="B26" s="10" t="inlineStr">
        <is>
          <t xml:space="preserve">      88  :PREFIX:-MAR-IMPERIO              VALUE '003'.</t>
        </is>
      </c>
      <c r="C26" s="122" t="n"/>
      <c r="D26" s="12" t="inlineStr">
        <is>
          <t xml:space="preserve">     '003' - Império</t>
        </is>
      </c>
      <c r="E26" s="16" t="n"/>
      <c r="F26" s="16" t="n"/>
      <c r="G26" s="15" t="n"/>
    </row>
    <row r="27">
      <c r="B27" s="10" t="inlineStr">
        <is>
          <t xml:space="preserve">      88  :PREFIX:-MAR-ICI                  VALUE '004'.</t>
        </is>
      </c>
      <c r="C27" s="122" t="n"/>
      <c r="D27" s="12" t="inlineStr">
        <is>
          <t xml:space="preserve">     '004' - ICI</t>
        </is>
      </c>
      <c r="E27" s="16" t="n"/>
      <c r="F27" s="16" t="n"/>
      <c r="G27" s="15" t="n"/>
    </row>
    <row r="28">
      <c r="B28" s="10" t="inlineStr">
        <is>
          <t xml:space="preserve">      88  :PREFIX:-MAR-SONAE                VALUE '005'.</t>
        </is>
      </c>
      <c r="C28" s="122" t="n"/>
      <c r="D28" s="12" t="inlineStr">
        <is>
          <t xml:space="preserve">     '005' - Continente</t>
        </is>
      </c>
      <c r="E28" s="16" t="n"/>
      <c r="F28" s="16" t="n"/>
      <c r="G28" s="15" t="n"/>
    </row>
    <row r="29">
      <c r="B29" s="10" t="inlineStr">
        <is>
          <t xml:space="preserve">      88  :PREFIX:-MAR-MULTICARE            VALUE '006'.</t>
        </is>
      </c>
      <c r="C29" s="122" t="n"/>
      <c r="D29" s="12" t="inlineStr">
        <is>
          <t xml:space="preserve">     '006' - Multicare</t>
        </is>
      </c>
      <c r="E29" s="16" t="n"/>
      <c r="F29" s="16" t="n"/>
      <c r="G29" s="15" t="n"/>
    </row>
    <row r="30">
      <c r="B30" s="10" t="inlineStr">
        <is>
          <t xml:space="preserve">      88  :PREFIX:-MAR-EUROBIC              VALUE '028'.</t>
        </is>
      </c>
      <c r="C30" s="122" t="n"/>
      <c r="D30" s="12" t="inlineStr">
        <is>
          <t xml:space="preserve">     '028' - EuroBic</t>
        </is>
      </c>
      <c r="E30" s="16" t="n"/>
      <c r="F30" s="16" t="n"/>
      <c r="G30" s="18" t="n"/>
    </row>
    <row r="31">
      <c r="B31" s="10" t="inlineStr">
        <is>
          <t xml:space="preserve">  07  :PREFIX:-AUX-MARCA                PIC X(01).</t>
        </is>
      </c>
      <c r="C31" s="122" t="n"/>
      <c r="D31" s="12" t="n"/>
      <c r="E31" s="16">
        <f>E23+F23</f>
        <v/>
      </c>
      <c r="F31" s="16" t="n">
        <v>1</v>
      </c>
      <c r="G31" s="21" t="inlineStr">
        <is>
          <t>Opcional</t>
        </is>
      </c>
      <c r="I31">
        <f>33+E31</f>
        <v/>
      </c>
    </row>
    <row r="32">
      <c r="B32" s="10" t="inlineStr">
        <is>
          <t xml:space="preserve">      88  :PREFIX:-MAR-LEVE                 VALUE 'L'.</t>
        </is>
      </c>
      <c r="C32" s="122" t="n"/>
      <c r="D32" s="12" t="inlineStr">
        <is>
          <t xml:space="preserve">     'L' - Leve (Substitui 'L02' - FM Leve / 'L03' - IB Leve, apenas para marca 002 ou 003)</t>
        </is>
      </c>
      <c r="E32" s="16" t="n"/>
      <c r="F32" s="16" t="n"/>
      <c r="G32" s="18" t="n"/>
    </row>
    <row r="33">
      <c r="B33" s="10" t="inlineStr">
        <is>
          <t xml:space="preserve">  07  :PREFIX:-NR-AGENTE                PIC X(10).</t>
        </is>
      </c>
      <c r="C33" s="122" t="n"/>
      <c r="D33" s="16" t="inlineStr">
        <is>
          <t>Número do Mediador</t>
        </is>
      </c>
      <c r="E33" s="13">
        <f>E31+F31</f>
        <v/>
      </c>
      <c r="F33" s="16" t="n">
        <v>10</v>
      </c>
      <c r="G33" s="19" t="inlineStr">
        <is>
          <t>Condicional</t>
        </is>
      </c>
      <c r="I33">
        <f>33+E33</f>
        <v/>
      </c>
    </row>
    <row r="34">
      <c r="B34" s="10" t="inlineStr">
        <is>
          <t xml:space="preserve">  07  :PREFIX:-NR-CLIENTE               PIC X(10).</t>
        </is>
      </c>
      <c r="C34" s="122" t="n"/>
      <c r="D34" s="16" t="inlineStr">
        <is>
          <t>Número do Cliente</t>
        </is>
      </c>
      <c r="E34" s="13">
        <f>E33+F33</f>
        <v/>
      </c>
      <c r="F34" s="16" t="n">
        <v>10</v>
      </c>
      <c r="G34" s="19" t="inlineStr">
        <is>
          <t>Condicional</t>
        </is>
      </c>
      <c r="I34">
        <f>33+E34</f>
        <v/>
      </c>
    </row>
    <row r="35">
      <c r="B35" s="10" t="inlineStr">
        <is>
          <t xml:space="preserve">  07  :PREFIX:-NR-APOLICE               PIC X(16).</t>
        </is>
      </c>
      <c r="C35" s="122" t="n"/>
      <c r="D35" s="16" t="inlineStr">
        <is>
          <t>Número da Apólice</t>
        </is>
      </c>
      <c r="E35" s="13">
        <f>E34+F34</f>
        <v/>
      </c>
      <c r="F35" s="16" t="n">
        <v>16</v>
      </c>
      <c r="G35" s="17" t="inlineStr">
        <is>
          <t>Obrigatório</t>
        </is>
      </c>
      <c r="I35">
        <f>33+E35</f>
        <v/>
      </c>
    </row>
    <row r="36">
      <c r="B36" s="10" t="inlineStr">
        <is>
          <t xml:space="preserve">  07  :PREFIX:-COD-ORIGEM               PIC X(03).</t>
        </is>
      </c>
      <c r="C36" s="122" t="n"/>
      <c r="D36" s="12" t="inlineStr">
        <is>
          <t>Código de identificação do Sistema Origem</t>
        </is>
      </c>
      <c r="E36" s="13">
        <f>E35+F35</f>
        <v/>
      </c>
      <c r="F36" s="16" t="n">
        <v>3</v>
      </c>
      <c r="G36" s="17" t="inlineStr">
        <is>
          <t>Obrigatório</t>
        </is>
      </c>
      <c r="I36">
        <f>33+E36</f>
        <v/>
      </c>
    </row>
    <row r="37">
      <c r="B37" s="10" t="inlineStr">
        <is>
          <t xml:space="preserve">      88  :PREFIX:-ORI-COGEN22              VALUE 'CG2'.</t>
        </is>
      </c>
      <c r="C37" s="122" t="n"/>
      <c r="D37" s="16" t="inlineStr">
        <is>
          <t xml:space="preserve">     'CG2' - Cogen 22</t>
        </is>
      </c>
      <c r="E37" s="16" t="n"/>
      <c r="F37" s="16" t="n"/>
      <c r="G37" s="15" t="n"/>
    </row>
    <row r="38">
      <c r="B38" s="10" t="inlineStr">
        <is>
          <t xml:space="preserve">      88  :PREFIX:-ORI-COGEN33              VALUE 'CGN'.</t>
        </is>
      </c>
      <c r="C38" s="122" t="n"/>
      <c r="D38" s="16" t="inlineStr">
        <is>
          <t xml:space="preserve">     'CGN' - Cogen 33</t>
        </is>
      </c>
      <c r="E38" s="16" t="n"/>
      <c r="F38" s="16" t="n"/>
      <c r="G38" s="15" t="n"/>
    </row>
    <row r="39">
      <c r="B39" s="10" t="inlineStr">
        <is>
          <t xml:space="preserve">      88  :PREFIX:-ORI-GIS                  VALUE 'GIS'.</t>
        </is>
      </c>
      <c r="C39" s="122" t="n"/>
      <c r="D39" s="16" t="inlineStr">
        <is>
          <t xml:space="preserve">     'GIS' - GIS</t>
        </is>
      </c>
      <c r="E39" s="16" t="n"/>
      <c r="F39" s="16" t="n"/>
      <c r="G39" s="15" t="n"/>
    </row>
    <row r="40">
      <c r="B40" s="10" t="inlineStr">
        <is>
          <t xml:space="preserve">      88  :PREFIX:-ORI-COLHEITAS            VALUE 'CLH'.</t>
        </is>
      </c>
      <c r="C40" s="122" t="n"/>
      <c r="D40" s="16" t="inlineStr">
        <is>
          <t xml:space="preserve">     'CLH' - Colheitas (GIC)</t>
        </is>
      </c>
      <c r="E40" s="16" t="n"/>
      <c r="F40" s="16" t="n"/>
      <c r="G40" s="15" t="n"/>
    </row>
    <row r="41">
      <c r="B41" s="10" t="inlineStr">
        <is>
          <t xml:space="preserve">      88  :PREFIX:-ORI-MULTICARE            VALUE 'MHS'.</t>
        </is>
      </c>
      <c r="C41" s="122" t="n"/>
      <c r="D41" s="16" t="inlineStr">
        <is>
          <t xml:space="preserve">     'MHS' - Multicare</t>
        </is>
      </c>
      <c r="E41" s="16" t="n"/>
      <c r="F41" s="16" t="n"/>
      <c r="G41" s="15" t="n"/>
    </row>
    <row r="42">
      <c r="B42" s="10" t="inlineStr">
        <is>
          <t xml:space="preserve">      88  :PREFIX:-ORI-SGF-GR               VALUE 'SPG'.</t>
        </is>
      </c>
      <c r="C42" s="122" t="inlineStr">
        <is>
          <t xml:space="preserve"> </t>
        </is>
      </c>
      <c r="D42" s="16" t="inlineStr">
        <is>
          <t xml:space="preserve">     'SPG' - SGF Grupo (Paxus)</t>
        </is>
      </c>
      <c r="E42" s="16" t="n"/>
      <c r="F42" s="16" t="n"/>
      <c r="G42" s="15" t="n"/>
    </row>
    <row r="43">
      <c r="B43" s="10" t="inlineStr">
        <is>
          <t xml:space="preserve">      88  :PREFIX:-ORI-SGF-IN               VALUE 'SPA'.</t>
        </is>
      </c>
      <c r="C43" s="122" t="inlineStr">
        <is>
          <t xml:space="preserve"> </t>
        </is>
      </c>
      <c r="D43" s="16" t="inlineStr">
        <is>
          <t xml:space="preserve">     'SPA' - SGF Individual (Paxus)</t>
        </is>
      </c>
      <c r="E43" s="16" t="n"/>
      <c r="F43" s="16" t="n"/>
      <c r="G43" s="15" t="n"/>
    </row>
    <row r="44">
      <c r="B44" s="10" t="inlineStr">
        <is>
          <t xml:space="preserve">      88  :PREFIX:-ORI-FGS                  VALUE 'FGS'.</t>
        </is>
      </c>
      <c r="C44" s="122" t="inlineStr">
        <is>
          <t xml:space="preserve"> </t>
        </is>
      </c>
      <c r="D44" s="16" t="inlineStr">
        <is>
          <t xml:space="preserve">     'FGS' - FGS</t>
        </is>
      </c>
      <c r="E44" s="16" t="n"/>
      <c r="F44" s="16" t="n"/>
      <c r="G44" s="15" t="n"/>
    </row>
    <row r="45">
      <c r="B45" s="10" t="inlineStr">
        <is>
          <t xml:space="preserve">      88  :PREFIX:-ORI-FCS                  VALUE 'FCS'.</t>
        </is>
      </c>
      <c r="C45" s="122" t="inlineStr">
        <is>
          <t xml:space="preserve"> </t>
        </is>
      </c>
      <c r="D45" s="16" t="inlineStr">
        <is>
          <t xml:space="preserve">     'FCS' - FCS</t>
        </is>
      </c>
      <c r="E45" s="16" t="n"/>
      <c r="F45" s="16" t="n"/>
      <c r="G45" s="18" t="n"/>
    </row>
    <row r="46">
      <c r="B46" s="10" t="inlineStr">
        <is>
          <t xml:space="preserve">  07  :PREFIX:-IND-FLYER                PIC X(01).</t>
        </is>
      </c>
      <c r="C46" s="122" t="n"/>
      <c r="D46" s="16" t="inlineStr">
        <is>
          <t>Indicador de inclusão de Flyer (ex: "V" - Cobertura PVC)</t>
        </is>
      </c>
      <c r="E46" s="13">
        <f>E36+F36</f>
        <v/>
      </c>
      <c r="F46" s="16" t="n">
        <v>1</v>
      </c>
      <c r="G46" s="21" t="inlineStr">
        <is>
          <t>Opcional</t>
        </is>
      </c>
      <c r="I46">
        <f>33+E46</f>
        <v/>
      </c>
    </row>
    <row r="47">
      <c r="B47" s="5" t="inlineStr">
        <is>
          <t>05  :PREFIX:-DADOS-DOCUMENTO            PIC X(2906).</t>
        </is>
      </c>
      <c r="C47" s="29" t="n"/>
      <c r="D47" s="7" t="n"/>
      <c r="E47" s="8">
        <f>E46+F46</f>
        <v/>
      </c>
      <c r="F47" s="8" t="n">
        <v>2906</v>
      </c>
      <c r="G47" s="45" t="n"/>
      <c r="I47">
        <f>33+E47</f>
        <v/>
      </c>
    </row>
    <row r="48">
      <c r="B48" s="5" t="inlineStr">
        <is>
          <t>05  FILLER                        REDEFINES :PREFIX:-DADOS-DOCUMENTO.</t>
        </is>
      </c>
      <c r="C48" s="29" t="n"/>
      <c r="D48" s="7" t="inlineStr">
        <is>
          <t>TIPO-REGISTO 1: FATURA + NOTA CRÉDITO</t>
        </is>
      </c>
      <c r="E48" s="8" t="n"/>
      <c r="F48" s="8" t="n"/>
      <c r="G48" s="45" t="n"/>
    </row>
    <row r="49">
      <c r="B49" s="30" t="inlineStr">
        <is>
          <t xml:space="preserve">  07  :PREFIX:-DADOS-AVISO.</t>
        </is>
      </c>
      <c r="C49" s="127" t="n"/>
      <c r="D49" s="32" t="n"/>
      <c r="E49" s="38" t="n"/>
      <c r="F49" s="32" t="n"/>
      <c r="G49" s="130" t="n"/>
    </row>
    <row r="50">
      <c r="B50" s="10" t="inlineStr">
        <is>
          <t xml:space="preserve">    09  :PREFIX:-TIPO-DOCUMENTO         PIC X(01).</t>
        </is>
      </c>
      <c r="C50" s="122" t="n"/>
      <c r="D50" s="16" t="inlineStr">
        <is>
          <t>Tipo de Documento</t>
        </is>
      </c>
      <c r="E50" s="16">
        <f>E47</f>
        <v/>
      </c>
      <c r="F50" s="16" t="n">
        <v>1</v>
      </c>
      <c r="G50" s="14" t="inlineStr">
        <is>
          <t>Obrigatório</t>
        </is>
      </c>
      <c r="I50">
        <f>33+E50</f>
        <v/>
      </c>
    </row>
    <row r="51">
      <c r="B51" s="10" t="inlineStr">
        <is>
          <t xml:space="preserve">        88  :PREFIX:-DOC-AGENTE             VALUE 'A'.</t>
        </is>
      </c>
      <c r="C51" s="122" t="n"/>
      <c r="D51" s="16" t="inlineStr">
        <is>
          <t xml:space="preserve">     'A' - Documento para agente (Recibo)</t>
        </is>
      </c>
      <c r="E51" s="16" t="n"/>
      <c r="F51" s="16" t="n"/>
      <c r="G51" s="15" t="n"/>
    </row>
    <row r="52">
      <c r="B52" s="10" t="inlineStr">
        <is>
          <t xml:space="preserve">        88  :PREFIX:-DOC-CLIENTE            VALUE 'C'.</t>
        </is>
      </c>
      <c r="C52" s="122" t="n"/>
      <c r="D52" s="16" t="inlineStr">
        <is>
          <t xml:space="preserve">     'C' - Documento para cliente (Aviso-Recibo)</t>
        </is>
      </c>
      <c r="E52" s="16" t="n"/>
      <c r="F52" s="16" t="n"/>
      <c r="G52" s="15" t="n"/>
    </row>
    <row r="53">
      <c r="B53" s="10" t="inlineStr">
        <is>
          <t xml:space="preserve">    09  :PREFIX:-TIPO-RECIBO            PIC X(02).</t>
        </is>
      </c>
      <c r="C53" s="122" t="n"/>
      <c r="D53" s="16" t="inlineStr">
        <is>
          <t>Tipo de Recibo</t>
        </is>
      </c>
      <c r="E53" s="16">
        <f>E50+F50</f>
        <v/>
      </c>
      <c r="F53" s="16" t="n">
        <v>2</v>
      </c>
      <c r="G53" s="19" t="inlineStr">
        <is>
          <t>Condicional</t>
        </is>
      </c>
      <c r="I53">
        <f>33+E53</f>
        <v/>
      </c>
    </row>
    <row r="54">
      <c r="B54" s="10" t="inlineStr">
        <is>
          <t xml:space="preserve">        88  :PREFIX:-REC-PREMIO             VALUE 'PR'.</t>
        </is>
      </c>
      <c r="C54" s="122" t="n"/>
      <c r="D54" s="16" t="inlineStr">
        <is>
          <t xml:space="preserve">     'PR' - Prémio</t>
        </is>
      </c>
      <c r="E54" s="16" t="n"/>
      <c r="F54" s="16" t="n"/>
      <c r="G54" s="15" t="n"/>
    </row>
    <row r="55">
      <c r="B55" s="10" t="inlineStr">
        <is>
          <t xml:space="preserve">        88  :PREFIX:-REC-ESTORNO            VALUE 'ES'.</t>
        </is>
      </c>
      <c r="C55" s="122" t="n"/>
      <c r="D55" s="16" t="inlineStr">
        <is>
          <t xml:space="preserve">     'ES' - Estorno</t>
        </is>
      </c>
      <c r="E55" s="16" t="n"/>
      <c r="F55" s="16" t="n"/>
      <c r="G55" s="18" t="n"/>
    </row>
    <row r="56">
      <c r="B56" s="10" t="inlineStr">
        <is>
          <t xml:space="preserve">        88  :PREFIX:-REC-INDEMNIZACAO       VALUE 'IN'.</t>
        </is>
      </c>
      <c r="C56" s="122" t="n"/>
      <c r="D56" s="16" t="inlineStr">
        <is>
          <t xml:space="preserve">     'IN' - Indemnização</t>
        </is>
      </c>
      <c r="E56" s="16" t="n"/>
      <c r="F56" s="16" t="n"/>
      <c r="G56" s="220" t="n"/>
    </row>
    <row r="57">
      <c r="B57" s="10" t="inlineStr">
        <is>
          <t xml:space="preserve">        88  :PREFIX:-REC-REEMBOLSO          VALUE 'RE'.</t>
        </is>
      </c>
      <c r="C57" s="122" t="n"/>
      <c r="D57" s="16" t="inlineStr">
        <is>
          <t xml:space="preserve">     'RE' - Reembolso</t>
        </is>
      </c>
      <c r="E57" s="16" t="n"/>
      <c r="F57" s="16" t="n"/>
      <c r="G57" s="220" t="n"/>
    </row>
    <row r="58">
      <c r="B58" s="10" t="inlineStr">
        <is>
          <t xml:space="preserve">    09  FILLER                          PIC X(02).</t>
        </is>
      </c>
      <c r="C58" s="122" t="n"/>
      <c r="D58" s="16" t="inlineStr">
        <is>
          <t>(originalmente Tipo de Cobrança)</t>
        </is>
      </c>
      <c r="E58" s="16">
        <f>E53+F53</f>
        <v/>
      </c>
      <c r="F58" s="16" t="n">
        <v>2</v>
      </c>
      <c r="G58" s="221" t="inlineStr">
        <is>
          <t>Condicional</t>
        </is>
      </c>
      <c r="I58">
        <f>33+E58</f>
        <v/>
      </c>
    </row>
    <row r="59">
      <c r="B59" s="10" t="inlineStr">
        <is>
          <t xml:space="preserve">    09  :PREFIX:-NR-RECIBO              PIC X(16).</t>
        </is>
      </c>
      <c r="C59" s="122" t="n"/>
      <c r="D59" s="16" t="inlineStr">
        <is>
          <t>Número do Recibo [Garantir que no máximo vem 11 posições Vida / 10 posições nos restantes]</t>
        </is>
      </c>
      <c r="E59" s="13">
        <f>E58+F58</f>
        <v/>
      </c>
      <c r="F59" s="16" t="n">
        <v>16</v>
      </c>
      <c r="G59" s="17" t="inlineStr">
        <is>
          <t>Obrigatório</t>
        </is>
      </c>
      <c r="I59">
        <f>33+E59</f>
        <v/>
      </c>
    </row>
    <row r="60">
      <c r="B60" s="10" t="inlineStr">
        <is>
          <t xml:space="preserve">    09  FILLER                          PIC X(06).</t>
        </is>
      </c>
      <c r="C60" s="122" t="n"/>
      <c r="D60" s="16" t="inlineStr">
        <is>
          <t>(originalmente Espécie de Recibo + Fraccionamento + Modo Renovação)</t>
        </is>
      </c>
      <c r="E60" s="13">
        <f>E59+F59</f>
        <v/>
      </c>
      <c r="F60" s="16" t="n">
        <v>6</v>
      </c>
      <c r="G60" s="14" t="inlineStr">
        <is>
          <t>Obrigatório</t>
        </is>
      </c>
      <c r="I60">
        <f>33+E60</f>
        <v/>
      </c>
    </row>
    <row r="61">
      <c r="B61" s="35" t="inlineStr">
        <is>
          <t xml:space="preserve">    09  :PREFIX:-COD-MOEDA              PIC X(03).</t>
        </is>
      </c>
      <c r="C61" s="135" t="n"/>
      <c r="D61" s="36" t="inlineStr">
        <is>
          <t>Código de moeda (ex: EUR)</t>
        </is>
      </c>
      <c r="E61" s="13">
        <f>E60+F60</f>
        <v/>
      </c>
      <c r="F61" s="36" t="n">
        <v>3</v>
      </c>
      <c r="G61" s="17" t="inlineStr">
        <is>
          <t>Obrigatório</t>
        </is>
      </c>
      <c r="I61">
        <f>33+E61</f>
        <v/>
      </c>
    </row>
    <row r="62">
      <c r="B62" s="10" t="inlineStr">
        <is>
          <t xml:space="preserve">    09  :PREFIX:-COD-PRODUTO            PIC X(10).</t>
        </is>
      </c>
      <c r="C62" s="122" t="n"/>
      <c r="D62" s="16" t="inlineStr">
        <is>
          <t>Código de Produto [Garantir que no máximo vem 6 posições]</t>
        </is>
      </c>
      <c r="E62" s="13">
        <f>E61+F61</f>
        <v/>
      </c>
      <c r="F62" s="16" t="n">
        <v>10</v>
      </c>
      <c r="G62" s="17" t="inlineStr">
        <is>
          <t>Obrigatório</t>
        </is>
      </c>
      <c r="I62">
        <f>33+E62</f>
        <v/>
      </c>
    </row>
    <row r="63">
      <c r="B63" s="10" t="inlineStr">
        <is>
          <t xml:space="preserve">    09  :PREFIX:-COD-RAMO               PIC X(10).</t>
        </is>
      </c>
      <c r="C63" s="122" t="n"/>
      <c r="D63" s="16" t="inlineStr">
        <is>
          <t>Código do Ramo SO [Garantir que no máximo vem 6 posições]</t>
        </is>
      </c>
      <c r="E63" s="13">
        <f>E62+F62</f>
        <v/>
      </c>
      <c r="F63" s="16" t="n">
        <v>10</v>
      </c>
      <c r="G63" s="14" t="inlineStr">
        <is>
          <t>Obrigatório</t>
        </is>
      </c>
      <c r="I63">
        <f>33+E63</f>
        <v/>
      </c>
    </row>
    <row r="64">
      <c r="B64" s="10" t="inlineStr">
        <is>
          <t xml:space="preserve">        88  :PREFIX:-RAM-NVIDA              VALUE '0201  '</t>
        </is>
      </c>
      <c r="C64" s="122" t="n"/>
      <c r="D64" s="16" t="inlineStr">
        <is>
          <t>Ramos não vida</t>
        </is>
      </c>
      <c r="E64" s="13" t="n"/>
      <c r="F64" s="16" t="n"/>
      <c r="G64" s="15" t="n"/>
    </row>
    <row r="65">
      <c r="B65" s="10" t="inlineStr">
        <is>
          <t xml:space="preserve">              '0205  ' '0210  ' '0301  ' '0305  ' '0310  '</t>
        </is>
      </c>
      <c r="C65" s="122" t="n"/>
      <c r="D65" s="16" t="n"/>
      <c r="E65" s="13" t="n"/>
      <c r="F65" s="16" t="n"/>
      <c r="G65" s="15" t="n"/>
    </row>
    <row r="66">
      <c r="B66" s="10" t="inlineStr">
        <is>
          <t xml:space="preserve">              '0350  ' '0351  ' '0352  ' '0353  ' '0354  '</t>
        </is>
      </c>
      <c r="C66" s="122" t="n"/>
      <c r="D66" s="16" t="n"/>
      <c r="E66" s="13" t="n"/>
      <c r="F66" s="16" t="n"/>
      <c r="G66" s="15" t="n"/>
    </row>
    <row r="67">
      <c r="B67" s="10" t="inlineStr">
        <is>
          <t xml:space="preserve">              '0355  ' '0356  ' '0357  ' '0358  ' '0359  '</t>
        </is>
      </c>
      <c r="C67" s="122" t="n"/>
      <c r="D67" s="16" t="n"/>
      <c r="E67" s="13" t="n"/>
      <c r="F67" s="16" t="n"/>
      <c r="G67" s="15" t="n"/>
    </row>
    <row r="68">
      <c r="B68" s="10" t="inlineStr">
        <is>
          <t xml:space="preserve">              '0360  ' '0370  ' '0380  ' '0390  ' '0395  '</t>
        </is>
      </c>
      <c r="C68" s="122" t="n"/>
      <c r="D68" s="16" t="n"/>
      <c r="E68" s="13" t="n"/>
      <c r="F68" s="16" t="n"/>
      <c r="G68" s="15" t="n"/>
    </row>
    <row r="69">
      <c r="B69" s="10" t="inlineStr">
        <is>
          <t xml:space="preserve">              '0401  ' '0405  ' '0501  ' '0510  ' '0515  '</t>
        </is>
      </c>
      <c r="C69" s="122" t="n"/>
      <c r="D69" s="16" t="n"/>
      <c r="E69" s="13" t="n"/>
      <c r="F69" s="16" t="n"/>
      <c r="G69" s="15" t="n"/>
    </row>
    <row r="70">
      <c r="B70" s="10" t="inlineStr">
        <is>
          <t xml:space="preserve">              '0520  ' '0525  ' '0601  ' '0701  ' '0705  '</t>
        </is>
      </c>
      <c r="C70" s="122" t="n"/>
      <c r="D70" s="16" t="n"/>
      <c r="E70" s="13" t="n"/>
      <c r="F70" s="16" t="n"/>
      <c r="G70" s="15" t="n"/>
    </row>
    <row r="71">
      <c r="B71" s="10" t="inlineStr">
        <is>
          <t xml:space="preserve">              '0750  ' '0905  ' '2001  ' '2010  ' '2101  '</t>
        </is>
      </c>
      <c r="C71" s="122" t="n"/>
      <c r="D71" s="16" t="n"/>
      <c r="E71" s="13" t="n"/>
      <c r="F71" s="16" t="n"/>
      <c r="G71" s="15" t="n"/>
    </row>
    <row r="72">
      <c r="B72" s="10" t="inlineStr">
        <is>
          <t xml:space="preserve">              '22000 ' '22002 ' '22003 ' '2201  ' '2210  '</t>
        </is>
      </c>
      <c r="C72" s="122" t="n"/>
      <c r="D72" s="16" t="n"/>
      <c r="E72" s="13" t="n"/>
      <c r="F72" s="16" t="n"/>
      <c r="G72" s="15" t="n"/>
    </row>
    <row r="73">
      <c r="B73" s="10" t="inlineStr">
        <is>
          <t xml:space="preserve">              '2211  ' '2215  ' '2220  ' '2250  ' '2301  '</t>
        </is>
      </c>
      <c r="C73" s="122" t="n"/>
      <c r="D73" s="16" t="n"/>
      <c r="E73" s="13" t="n"/>
      <c r="F73" s="16" t="n"/>
      <c r="G73" s="15" t="n"/>
    </row>
    <row r="74">
      <c r="B74" s="10" t="inlineStr">
        <is>
          <t xml:space="preserve">              '2401  ' '2402  ' '2501  ' '2601  ' '2605  '</t>
        </is>
      </c>
      <c r="C74" s="122" t="n"/>
      <c r="D74" s="16" t="n"/>
      <c r="E74" s="13" t="n"/>
      <c r="F74" s="16" t="n"/>
      <c r="G74" s="15" t="n"/>
    </row>
    <row r="75">
      <c r="B75" s="10" t="inlineStr">
        <is>
          <t xml:space="preserve">              '2705  ' '2801  ' '3102  ' '3109  ' '3150  '</t>
        </is>
      </c>
      <c r="C75" s="122" t="n"/>
      <c r="D75" s="16" t="n"/>
      <c r="E75" s="13" t="n"/>
      <c r="F75" s="16" t="n"/>
      <c r="G75" s="15" t="n"/>
    </row>
    <row r="76">
      <c r="B76" s="10" t="inlineStr">
        <is>
          <t xml:space="preserve">              '3201  ' '3205  ' '3210  ' '3215  ' '3301  '</t>
        </is>
      </c>
      <c r="C76" s="122" t="n"/>
      <c r="D76" s="16" t="n"/>
      <c r="E76" s="13" t="n"/>
      <c r="F76" s="16" t="n"/>
      <c r="G76" s="15" t="n"/>
    </row>
    <row r="77">
      <c r="B77" s="10" t="inlineStr">
        <is>
          <t xml:space="preserve">              '3401  ' '3405  ' '3410  ' '3420  ' '3425  '</t>
        </is>
      </c>
      <c r="C77" s="122" t="n"/>
      <c r="D77" s="16" t="n"/>
      <c r="E77" s="13" t="n"/>
      <c r="F77" s="16" t="n"/>
      <c r="G77" s="15" t="n"/>
    </row>
    <row r="78">
      <c r="B78" s="10" t="inlineStr">
        <is>
          <t xml:space="preserve">              '3430  ' '3501  ' '3505  ' '3601  ' '3605  '</t>
        </is>
      </c>
      <c r="C78" s="122" t="n"/>
      <c r="D78" s="16" t="n"/>
      <c r="E78" s="13" t="n"/>
      <c r="F78" s="16" t="n"/>
      <c r="G78" s="15" t="n"/>
    </row>
    <row r="79">
      <c r="B79" s="10" t="inlineStr">
        <is>
          <t xml:space="preserve">              '3625  ' '3701  ' '3801  ' '3802  ' '3803  '</t>
        </is>
      </c>
      <c r="C79" s="122" t="n"/>
      <c r="D79" s="16" t="n"/>
      <c r="E79" s="13" t="n"/>
      <c r="F79" s="16" t="n"/>
      <c r="G79" s="15" t="n"/>
    </row>
    <row r="80">
      <c r="B80" s="10" t="inlineStr">
        <is>
          <t xml:space="preserve">              '3901  '.</t>
        </is>
      </c>
      <c r="C80" s="122" t="n"/>
      <c r="D80" s="16" t="n"/>
      <c r="E80" s="13" t="n"/>
      <c r="F80" s="16" t="n"/>
      <c r="G80" s="15" t="n"/>
    </row>
    <row r="81">
      <c r="B81" s="10" t="inlineStr">
        <is>
          <t xml:space="preserve">        88  :PREFIX:-RAM-NVIDA-CLH          VALUE '22000 '</t>
        </is>
      </c>
      <c r="C81" s="122" t="n"/>
      <c r="D81" s="16" t="inlineStr">
        <is>
          <t>Ramos não vida: Colheitas</t>
        </is>
      </c>
      <c r="E81" s="13" t="n"/>
      <c r="F81" s="16" t="n"/>
      <c r="G81" s="15" t="n"/>
    </row>
    <row r="82">
      <c r="B82" s="10" t="inlineStr">
        <is>
          <t xml:space="preserve">              '22002 ' '22003 '.</t>
        </is>
      </c>
      <c r="C82" s="122" t="n"/>
      <c r="D82" s="16" t="n"/>
      <c r="E82" s="13" t="n"/>
      <c r="F82" s="16" t="n"/>
      <c r="G82" s="15" t="n"/>
    </row>
    <row r="83">
      <c r="B83" s="10" t="inlineStr">
        <is>
          <t xml:space="preserve">        88  :PREFIX:-RAM-NVIDA-MHS          VALUE '3102  '</t>
        </is>
      </c>
      <c r="C83" s="122" t="n"/>
      <c r="D83" s="16" t="inlineStr">
        <is>
          <t>Ramos não vida: Saúde</t>
        </is>
      </c>
      <c r="E83" s="13" t="n"/>
      <c r="F83" s="16" t="n"/>
      <c r="G83" s="15" t="n"/>
    </row>
    <row r="84">
      <c r="B84" s="10" t="inlineStr">
        <is>
          <t xml:space="preserve">              '3109  '.</t>
        </is>
      </c>
      <c r="C84" s="122" t="n"/>
      <c r="D84" s="16" t="n"/>
      <c r="E84" s="13" t="n"/>
      <c r="F84" s="16" t="n"/>
      <c r="G84" s="15" t="n"/>
    </row>
    <row r="85">
      <c r="B85" s="10" t="inlineStr">
        <is>
          <t xml:space="preserve">        88  :PREFIX:-RAM-VIDA               VALUE '11    '</t>
        </is>
      </c>
      <c r="C85" s="122" t="n"/>
      <c r="D85" s="16" t="inlineStr">
        <is>
          <t>Ramos Vida</t>
        </is>
      </c>
      <c r="E85" s="13" t="n"/>
      <c r="F85" s="16" t="n"/>
      <c r="G85" s="15" t="n"/>
    </row>
    <row r="86">
      <c r="B86" s="10" t="inlineStr">
        <is>
          <t xml:space="preserve">              '13    ' '14    '.</t>
        </is>
      </c>
      <c r="C86" s="122" t="n"/>
      <c r="D86" s="16" t="n"/>
      <c r="E86" s="13" t="n"/>
      <c r="F86" s="16" t="n"/>
      <c r="G86" s="15" t="n"/>
    </row>
    <row r="87">
      <c r="A87" s="131" t="n"/>
      <c r="B87" s="22" t="inlineStr">
        <is>
          <t xml:space="preserve">    09  :PREFIX:-DESCR-RAMO-PROD        PIC X(40).</t>
        </is>
      </c>
      <c r="C87" s="42" t="n"/>
      <c r="D87" s="25" t="inlineStr">
        <is>
          <t>Descritivo do Ramo / Produto (Para apresentação no A-R)</t>
        </is>
      </c>
      <c r="E87" s="156">
        <f>E63+F63</f>
        <v/>
      </c>
      <c r="F87" s="25" t="n">
        <v>40</v>
      </c>
      <c r="G87" s="17" t="inlineStr">
        <is>
          <t>Obrigatório</t>
        </is>
      </c>
      <c r="I87">
        <f>33+E87</f>
        <v/>
      </c>
    </row>
    <row r="88">
      <c r="B88" s="30" t="inlineStr">
        <is>
          <t xml:space="preserve">  07  :PREFIX:-DADOS-CLIENTE.</t>
        </is>
      </c>
      <c r="C88" s="127" t="n"/>
      <c r="D88" s="32" t="n"/>
      <c r="E88" s="38">
        <f>E87+F87</f>
        <v/>
      </c>
      <c r="F88" s="32" t="n"/>
      <c r="G88" s="130" t="n"/>
    </row>
    <row r="89">
      <c r="B89" s="10" t="inlineStr">
        <is>
          <t xml:space="preserve">    09  :PREFIX:-CL-NOME                PIC X(40).</t>
        </is>
      </c>
      <c r="C89" s="122" t="n"/>
      <c r="D89" s="16" t="inlineStr">
        <is>
          <t>Nome</t>
        </is>
      </c>
      <c r="E89" s="13">
        <f>E88+F88</f>
        <v/>
      </c>
      <c r="F89" s="16" t="n">
        <v>40</v>
      </c>
      <c r="G89" s="19" t="inlineStr">
        <is>
          <t>Condicional</t>
        </is>
      </c>
      <c r="I89">
        <f>33+E89</f>
        <v/>
      </c>
    </row>
    <row r="90">
      <c r="B90" s="10" t="inlineStr">
        <is>
          <t xml:space="preserve">    09  :PREFIX:-CL-LOCATION-REF        PIC X(04).</t>
        </is>
      </c>
      <c r="C90" s="122" t="n"/>
      <c r="D90" s="16" t="inlineStr">
        <is>
          <t>Referência da morada</t>
        </is>
      </c>
      <c r="E90" s="13">
        <f>E89+F89</f>
        <v/>
      </c>
      <c r="F90" s="16" t="n">
        <v>4</v>
      </c>
      <c r="G90" s="19" t="inlineStr">
        <is>
          <t>Condicional</t>
        </is>
      </c>
      <c r="I90">
        <f>33+E90</f>
        <v/>
      </c>
    </row>
    <row r="91">
      <c r="B91" s="10" t="inlineStr">
        <is>
          <t xml:space="preserve">    09  :PREFIX:-CL-MORADA1             PIC X(40).</t>
        </is>
      </c>
      <c r="C91" s="122" t="n"/>
      <c r="D91" s="16" t="inlineStr">
        <is>
          <t>Dados de morada 1</t>
        </is>
      </c>
      <c r="E91" s="13">
        <f>E90+F90</f>
        <v/>
      </c>
      <c r="F91" s="16" t="n">
        <v>40</v>
      </c>
      <c r="G91" s="19" t="inlineStr">
        <is>
          <t>Condicional</t>
        </is>
      </c>
      <c r="I91">
        <f>33+E91</f>
        <v/>
      </c>
    </row>
    <row r="92">
      <c r="B92" s="10" t="inlineStr">
        <is>
          <t xml:space="preserve">    09  :PREFIX:-CL-MORADA2             PIC X(40).</t>
        </is>
      </c>
      <c r="C92" s="122" t="n"/>
      <c r="D92" s="16" t="inlineStr">
        <is>
          <t>Dados de morada 2</t>
        </is>
      </c>
      <c r="E92" s="13">
        <f>E91+F91</f>
        <v/>
      </c>
      <c r="F92" s="16" t="n">
        <v>40</v>
      </c>
      <c r="G92" s="21" t="inlineStr">
        <is>
          <t>Opcional</t>
        </is>
      </c>
      <c r="I92">
        <f>33+E92</f>
        <v/>
      </c>
    </row>
    <row r="93">
      <c r="B93" s="10" t="inlineStr">
        <is>
          <t xml:space="preserve">    09  :PREFIX:-CL-LOCALIDADE          PIC X(40).</t>
        </is>
      </c>
      <c r="C93" s="122" t="n"/>
      <c r="D93" s="16" t="inlineStr">
        <is>
          <t>Localidade</t>
        </is>
      </c>
      <c r="E93" s="13">
        <f>E92+F92</f>
        <v/>
      </c>
      <c r="F93" s="16" t="n">
        <v>40</v>
      </c>
      <c r="G93" s="21" t="inlineStr">
        <is>
          <t>Opcional</t>
        </is>
      </c>
      <c r="I93">
        <f>33+E93</f>
        <v/>
      </c>
    </row>
    <row r="94">
      <c r="B94" s="10" t="inlineStr">
        <is>
          <t xml:space="preserve">    09  :PREFIX:-CL-CPOSTAL             PIC X(09).</t>
        </is>
      </c>
      <c r="C94" s="122" t="n"/>
      <c r="D94" s="16" t="inlineStr">
        <is>
          <t>Código postal (Se estrangeiro deverá vir a zeros) [9999-999]</t>
        </is>
      </c>
      <c r="E94" s="13">
        <f>E93+F93</f>
        <v/>
      </c>
      <c r="F94" s="16" t="n">
        <v>9</v>
      </c>
      <c r="G94" s="19" t="inlineStr">
        <is>
          <t>Condicional</t>
        </is>
      </c>
      <c r="I94">
        <f>33+E94</f>
        <v/>
      </c>
    </row>
    <row r="95">
      <c r="B95" s="10" t="inlineStr">
        <is>
          <t xml:space="preserve">    09  :PREFIX:-CL-CPOSTAL-DESC        PIC X(40).</t>
        </is>
      </c>
      <c r="C95" s="122" t="n"/>
      <c r="D95" s="16" t="inlineStr">
        <is>
          <t>Descritivo do código postal</t>
        </is>
      </c>
      <c r="E95" s="13">
        <f>E94+F94</f>
        <v/>
      </c>
      <c r="F95" s="16" t="n">
        <v>40</v>
      </c>
      <c r="G95" s="19" t="inlineStr">
        <is>
          <t>Condicional</t>
        </is>
      </c>
      <c r="I95">
        <f>33+E95</f>
        <v/>
      </c>
    </row>
    <row r="96">
      <c r="B96" s="10" t="inlineStr">
        <is>
          <t xml:space="preserve">    09  :PREFIX:-CL-CPAIS               PIC X(03).</t>
        </is>
      </c>
      <c r="C96" s="122" t="n"/>
      <c r="D96" s="16" t="inlineStr">
        <is>
          <t>Código do País (Se estrangeiro, diferente de 620)</t>
        </is>
      </c>
      <c r="E96" s="13">
        <f>E95+F95</f>
        <v/>
      </c>
      <c r="F96" s="16" t="n">
        <v>3</v>
      </c>
      <c r="G96" s="19" t="inlineStr">
        <is>
          <t>Condicional</t>
        </is>
      </c>
      <c r="I96">
        <f>33+E96</f>
        <v/>
      </c>
    </row>
    <row r="97">
      <c r="B97" s="10" t="inlineStr">
        <is>
          <t xml:space="preserve">    09  :PREFIX:-CL-CPAIS-DESC          PIC X(40).</t>
        </is>
      </c>
      <c r="C97" s="122" t="n"/>
      <c r="D97" s="16" t="inlineStr">
        <is>
          <t>Descritivo do País</t>
        </is>
      </c>
      <c r="E97" s="13">
        <f>E96+F96</f>
        <v/>
      </c>
      <c r="F97" s="16" t="n">
        <v>40</v>
      </c>
      <c r="G97" s="19" t="inlineStr">
        <is>
          <t>Condicional</t>
        </is>
      </c>
      <c r="I97">
        <f>33+E97</f>
        <v/>
      </c>
    </row>
    <row r="98">
      <c r="B98" s="10" t="inlineStr">
        <is>
          <t xml:space="preserve">    09  :PREFIX:-CL-IDP                 PIC X(04).</t>
        </is>
      </c>
      <c r="C98" s="122" t="n"/>
      <c r="D98" s="16" t="inlineStr">
        <is>
          <t>Identificação da Porta (no CBC)</t>
        </is>
      </c>
      <c r="E98" s="13">
        <f>E97+F97</f>
        <v/>
      </c>
      <c r="F98" s="16" t="n">
        <v>4</v>
      </c>
      <c r="G98" s="19" t="inlineStr">
        <is>
          <t>Condicional</t>
        </is>
      </c>
      <c r="I98">
        <f>33+E98</f>
        <v/>
      </c>
    </row>
    <row r="99">
      <c r="B99" s="10" t="inlineStr">
        <is>
          <t xml:space="preserve">    09  :PREFIX:-CL-NIF                 PIC X(22).</t>
        </is>
      </c>
      <c r="C99" s="122" t="n"/>
      <c r="D99" s="16" t="inlineStr">
        <is>
          <t>Número de identificação fiscal (No caso de Portugal será PT999999999)</t>
        </is>
      </c>
      <c r="E99" s="13">
        <f>E98+F98</f>
        <v/>
      </c>
      <c r="F99" s="16" t="n">
        <v>22</v>
      </c>
      <c r="G99" s="19" t="inlineStr">
        <is>
          <t>Condicional</t>
        </is>
      </c>
      <c r="I99">
        <f>33+E99</f>
        <v/>
      </c>
    </row>
    <row r="100">
      <c r="B100" s="10" t="inlineStr">
        <is>
          <t xml:space="preserve">    09  :PREFIX:-CL-TIPO-ENTIDADE       PIC X(01).</t>
        </is>
      </c>
      <c r="C100" s="122" t="n"/>
      <c r="D100" s="16" t="inlineStr">
        <is>
          <t>Tipo Entidade</t>
        </is>
      </c>
      <c r="E100" s="13">
        <f>E99+F99</f>
        <v/>
      </c>
      <c r="F100" s="16" t="n">
        <v>1</v>
      </c>
      <c r="G100" s="19" t="inlineStr">
        <is>
          <t>Condicional</t>
        </is>
      </c>
      <c r="I100">
        <f>33+E100</f>
        <v/>
      </c>
    </row>
    <row r="101">
      <c r="B101" s="10" t="inlineStr">
        <is>
          <t xml:space="preserve">        88  :PREFIX:-CL-ENT-PARTICUL        VALUE '1'.</t>
        </is>
      </c>
      <c r="C101" s="122" t="n"/>
      <c r="D101" s="16" t="inlineStr">
        <is>
          <t xml:space="preserve">     '1' - Pessoa / Particular</t>
        </is>
      </c>
      <c r="E101" s="13" t="n"/>
      <c r="F101" s="16" t="n"/>
      <c r="G101" s="15" t="n"/>
    </row>
    <row r="102">
      <c r="B102" s="10" t="inlineStr">
        <is>
          <t xml:space="preserve">        88  :PREFIX:-CL-ENT-COLETIVA        VALUE '2'.</t>
        </is>
      </c>
      <c r="C102" s="122" t="n"/>
      <c r="D102" s="16" t="inlineStr">
        <is>
          <t xml:space="preserve">     '2' - Colectivo/Conta Interna</t>
        </is>
      </c>
      <c r="E102" s="13" t="n"/>
      <c r="F102" s="16" t="n"/>
      <c r="G102" s="18" t="n"/>
    </row>
    <row r="103">
      <c r="B103" s="30" t="inlineStr">
        <is>
          <t xml:space="preserve">  07  :PREFIX:-DADOS-DATA.</t>
        </is>
      </c>
      <c r="C103" s="127" t="n"/>
      <c r="D103" s="32" t="n"/>
      <c r="E103" s="38">
        <f>E100+F100</f>
        <v/>
      </c>
      <c r="F103" s="32" t="n"/>
      <c r="G103" s="130" t="n"/>
    </row>
    <row r="104">
      <c r="B104" s="10" t="inlineStr">
        <is>
          <t xml:space="preserve">    09  :PREFIX:-DT-INI-RECI            PIC X(08).</t>
        </is>
      </c>
      <c r="C104" s="122" t="n"/>
      <c r="D104" s="16" t="inlineStr">
        <is>
          <t>Periodo do recibo - inicio [aaaammdd]</t>
        </is>
      </c>
      <c r="E104" s="13">
        <f>E103+F103</f>
        <v/>
      </c>
      <c r="F104" s="16" t="n">
        <v>8</v>
      </c>
      <c r="G104" s="19" t="inlineStr">
        <is>
          <t>Condicional</t>
        </is>
      </c>
    </row>
    <row r="105">
      <c r="B105" s="10" t="inlineStr">
        <is>
          <t xml:space="preserve">    09  :PREFIX:-DT-FIM-RECI            PIC X(08).</t>
        </is>
      </c>
      <c r="C105" s="122" t="n"/>
      <c r="D105" s="16" t="inlineStr">
        <is>
          <t>Periodo do recibo - fim [aaaammdd]</t>
        </is>
      </c>
      <c r="E105" s="13">
        <f>E104+F104</f>
        <v/>
      </c>
      <c r="F105" s="16" t="n">
        <v>8</v>
      </c>
      <c r="G105" s="19" t="inlineStr">
        <is>
          <t>Condicional</t>
        </is>
      </c>
    </row>
    <row r="106">
      <c r="B106" s="10" t="inlineStr">
        <is>
          <t xml:space="preserve">    09  :PREFIX:-DT-CRI-RECI            PIC X(08).</t>
        </is>
      </c>
      <c r="C106" s="122" t="n"/>
      <c r="D106" s="16" t="inlineStr">
        <is>
          <t>Emissão do recibo [aaaammdd]</t>
        </is>
      </c>
      <c r="E106" s="13">
        <f>E105+F105</f>
        <v/>
      </c>
      <c r="F106" s="16" t="n">
        <v>8</v>
      </c>
      <c r="G106" s="17" t="inlineStr">
        <is>
          <t>Obrigatório</t>
        </is>
      </c>
    </row>
    <row r="107">
      <c r="B107" s="10" t="inlineStr">
        <is>
          <t xml:space="preserve">    09  :PREFIX:-DT-LIM-PAG             PIC X(08).</t>
        </is>
      </c>
      <c r="C107" s="122" t="n"/>
      <c r="D107" s="16" t="inlineStr">
        <is>
          <t>Data Limite de Pagamento [aaaammdd]</t>
        </is>
      </c>
      <c r="E107" s="13">
        <f>E106+F106</f>
        <v/>
      </c>
      <c r="F107" s="16" t="n">
        <v>8</v>
      </c>
      <c r="G107" s="19" t="inlineStr">
        <is>
          <t>Condicional</t>
        </is>
      </c>
    </row>
    <row r="108">
      <c r="B108" s="10" t="inlineStr">
        <is>
          <t xml:space="preserve">    09  :PREFIX:-DT-LIM-DEVOL           PIC X(08).</t>
        </is>
      </c>
      <c r="C108" s="122" t="n"/>
      <c r="D108" s="16" t="inlineStr">
        <is>
          <t>Data Limite de Devolução [aaaammdd]</t>
        </is>
      </c>
      <c r="E108" s="13">
        <f>E107+F107</f>
        <v/>
      </c>
      <c r="F108" s="16" t="n">
        <v>8</v>
      </c>
      <c r="G108" s="19" t="inlineStr">
        <is>
          <t>Condicional</t>
        </is>
      </c>
    </row>
    <row r="109">
      <c r="B109" s="10" t="inlineStr">
        <is>
          <t xml:space="preserve">    09  :PREFIX:-DT-CESSACAO            PIC X(08).</t>
        </is>
      </c>
      <c r="C109" s="122" t="n"/>
      <c r="D109" s="16" t="inlineStr">
        <is>
          <t>Data de Cessação [aaaammdd]</t>
        </is>
      </c>
      <c r="E109" s="13">
        <f>E108+F108</f>
        <v/>
      </c>
      <c r="F109" s="16" t="n">
        <v>8</v>
      </c>
      <c r="G109" s="19" t="inlineStr">
        <is>
          <t>Condicional</t>
        </is>
      </c>
    </row>
    <row r="110">
      <c r="B110" s="30" t="inlineStr">
        <is>
          <t xml:space="preserve">  07  :PREFIX:-DADOS-VALOR.</t>
        </is>
      </c>
      <c r="C110" s="127" t="n"/>
      <c r="D110" s="32" t="n"/>
      <c r="E110" s="38">
        <f>E109+F109</f>
        <v/>
      </c>
      <c r="F110" s="32" t="n"/>
      <c r="G110" s="130" t="n"/>
    </row>
    <row r="111" ht="30" customHeight="1">
      <c r="B111" s="40" t="inlineStr">
        <is>
          <t xml:space="preserve">    09  :PREFIX:-VLR-CAPITAL-RECIBO     PIC S9(12)V9(02)
                                            SIGN LEADING SEPARATE.</t>
        </is>
      </c>
      <c r="C111" s="42" t="n"/>
      <c r="D111" s="98" t="inlineStr">
        <is>
          <t>Valor do capital / valor da entrega - Descritivo: 'CAPITAL' | 'PREMIO INVEST' |'CAPITAL ENTREGUE'</t>
        </is>
      </c>
      <c r="E111" s="123">
        <f>E110+F110</f>
        <v/>
      </c>
      <c r="F111" s="124" t="n">
        <v>15</v>
      </c>
      <c r="G111" s="21" t="inlineStr">
        <is>
          <t>Opcional</t>
        </is>
      </c>
      <c r="H111" s="131" t="n"/>
      <c r="I111">
        <f>E111+33</f>
        <v/>
      </c>
    </row>
    <row r="112" ht="30" customHeight="1">
      <c r="B112" s="111" t="inlineStr">
        <is>
          <t xml:space="preserve">    09  :PREFIX:-VLR-PREMIO-RISCO       PIC S9(12)V9(02)
                                            SIGN LEADING SEPARATE.</t>
        </is>
      </c>
      <c r="C112" s="112" t="n"/>
      <c r="D112" s="98" t="inlineStr">
        <is>
          <t>Valor de Prémio de Risco - Descritivo: 'PRÉMIO RISCO'</t>
        </is>
      </c>
      <c r="E112" s="123">
        <f>E111+F111</f>
        <v/>
      </c>
      <c r="F112" s="124" t="n">
        <v>15</v>
      </c>
      <c r="G112" s="21" t="inlineStr">
        <is>
          <t>Opcional</t>
        </is>
      </c>
      <c r="H112" s="131" t="n"/>
      <c r="I112">
        <f>E112+33</f>
        <v/>
      </c>
    </row>
    <row r="113" ht="30" customHeight="1">
      <c r="B113" s="40" t="inlineStr">
        <is>
          <t xml:space="preserve">    09  :PREFIX:-VLR-BONIFICACAO        PIC S9(12)V9(02)
                                            SIGN LEADING SEPARATE.</t>
        </is>
      </c>
      <c r="C113" s="42" t="n"/>
      <c r="D113" s="25" t="inlineStr">
        <is>
          <t>Bonificação (Colheitas) - Descritivo: 'BONIFICAÇÃO'</t>
        </is>
      </c>
      <c r="E113" s="156">
        <f>E112+F112</f>
        <v/>
      </c>
      <c r="F113" s="25" t="n">
        <v>15</v>
      </c>
      <c r="G113" s="21" t="inlineStr">
        <is>
          <t>Opcional</t>
        </is>
      </c>
      <c r="H113" s="131" t="n"/>
      <c r="I113">
        <f>E113+33</f>
        <v/>
      </c>
    </row>
    <row r="114" ht="30" customHeight="1">
      <c r="B114" s="40" t="inlineStr">
        <is>
          <t xml:space="preserve">    09  :PREFIX:-VLR-TOTAL-RECIBO       PIC S9(12)V9(02)
                                            SIGN LEADING SEPARATE.</t>
        </is>
      </c>
      <c r="C114" s="42" t="n"/>
      <c r="D114" s="25" t="inlineStr">
        <is>
          <t>Prémio total recibo - Descritivo: 'VALOR A PAGAR' | 'VALOR A RECEBER' | 'TOTAL DE PRÉMIOS'</t>
        </is>
      </c>
      <c r="E114" s="156">
        <f>E113+F113</f>
        <v/>
      </c>
      <c r="F114" s="25" t="n">
        <v>15</v>
      </c>
      <c r="G114" s="21" t="inlineStr">
        <is>
          <t>Opcional</t>
        </is>
      </c>
      <c r="H114" s="131" t="n"/>
      <c r="I114">
        <f>E114+33</f>
        <v/>
      </c>
    </row>
    <row r="115" ht="30" customHeight="1">
      <c r="B115" s="40" t="inlineStr">
        <is>
          <t xml:space="preserve">    09  :PREFIX:-VLR-FRACC              PIC S9(12)V9(02)
                                            SIGN LEADING SEPARATE.</t>
        </is>
      </c>
      <c r="C115" s="42" t="n"/>
      <c r="D115" s="25" t="inlineStr">
        <is>
          <t>Custo de Fraccionamento - Descritivo: 'CUSTO FRACCIONAMENTO'</t>
        </is>
      </c>
      <c r="E115" s="156">
        <f>E114+F114</f>
        <v/>
      </c>
      <c r="F115" s="25" t="n">
        <v>15</v>
      </c>
      <c r="G115" s="21" t="inlineStr">
        <is>
          <t>Opcional</t>
        </is>
      </c>
      <c r="H115" s="131" t="n"/>
      <c r="I115">
        <f>E115+33</f>
        <v/>
      </c>
    </row>
    <row r="116" ht="30" customHeight="1">
      <c r="B116" s="40" t="inlineStr">
        <is>
          <t xml:space="preserve">    09  :PREFIX:-VLR-FAT                PIC S9(12)V9(02)
                                            SIGN LEADING SEPARATE.</t>
        </is>
      </c>
      <c r="C116" s="42" t="n"/>
      <c r="D116" s="25" t="inlineStr">
        <is>
          <t>Fundo de Garantia de Acidentes de Trabalho - Descritivo: 'CV / SNB / FAT'</t>
        </is>
      </c>
      <c r="E116" s="156">
        <f>E115+F115</f>
        <v/>
      </c>
      <c r="F116" s="25" t="n">
        <v>15</v>
      </c>
      <c r="G116" s="21" t="inlineStr">
        <is>
          <t>Opcional</t>
        </is>
      </c>
      <c r="H116" s="131" t="n"/>
      <c r="I116">
        <f>E116+33</f>
        <v/>
      </c>
    </row>
    <row r="117" ht="30" customHeight="1">
      <c r="B117" s="40" t="inlineStr">
        <is>
          <t xml:space="preserve">    09  :PREFIX:-VLR-FGA                PIC S9(12)V9(02)
                                            SIGN LEADING SEPARATE.</t>
        </is>
      </c>
      <c r="C117" s="42" t="n"/>
      <c r="D117" s="25" t="inlineStr">
        <is>
          <t>Fundo de Garantia Automóvel - Descritivo: 'F.CALAM / FGA'</t>
        </is>
      </c>
      <c r="E117" s="156">
        <f>E116+F116</f>
        <v/>
      </c>
      <c r="F117" s="25" t="n">
        <v>15</v>
      </c>
      <c r="G117" s="21" t="inlineStr">
        <is>
          <t>Opcional</t>
        </is>
      </c>
      <c r="H117" s="131" t="n"/>
      <c r="I117">
        <f>E117+33</f>
        <v/>
      </c>
    </row>
    <row r="118" ht="30" customHeight="1">
      <c r="B118" s="40" t="inlineStr">
        <is>
          <t xml:space="preserve">    09  :PREFIX:-VLR-SNB                PIC S9(12)V9(02)
                                            SIGN LEADING SEPARATE.</t>
        </is>
      </c>
      <c r="C118" s="42" t="n"/>
      <c r="D118" s="25" t="inlineStr">
        <is>
          <t>Imposto Serviço Nacional de Bombeiros - Descritivo: 'SNB' | 'CV / SNB / FAT'</t>
        </is>
      </c>
      <c r="E118" s="156">
        <f>E117+F117</f>
        <v/>
      </c>
      <c r="F118" s="25" t="n">
        <v>15</v>
      </c>
      <c r="G118" s="21" t="inlineStr">
        <is>
          <t>Opcional</t>
        </is>
      </c>
      <c r="H118" s="131" t="n"/>
      <c r="I118">
        <f>E118+33</f>
        <v/>
      </c>
    </row>
    <row r="119" ht="30" customHeight="1">
      <c r="B119" s="40" t="inlineStr">
        <is>
          <t xml:space="preserve">    09  :PREFIX:-VLR-INEM               PIC S9(12)V9(02)
                                            SIGN LEADING SEPARATE.</t>
        </is>
      </c>
      <c r="C119" s="42" t="n"/>
      <c r="D119" s="25" t="inlineStr">
        <is>
          <t>Imposto INEM - Descritivo: 'INEM'</t>
        </is>
      </c>
      <c r="E119" s="156">
        <f>E118+F118</f>
        <v/>
      </c>
      <c r="F119" s="25" t="n">
        <v>15</v>
      </c>
      <c r="G119" s="21" t="inlineStr">
        <is>
          <t>Opcional</t>
        </is>
      </c>
      <c r="H119" s="131" t="n"/>
      <c r="I119">
        <f>E119+33</f>
        <v/>
      </c>
    </row>
    <row r="120" ht="30" customHeight="1">
      <c r="B120" s="40" t="inlineStr">
        <is>
          <t xml:space="preserve">    09  :PREFIX:-VLR-CVERDE             PIC S9(12)V9(02)
                                            SIGN LEADING SEPARATE.</t>
        </is>
      </c>
      <c r="C120" s="42" t="n"/>
      <c r="D120" s="25" t="inlineStr">
        <is>
          <t>Custo da Carta Verde - Descritivo: 'CV / SNB / FAT'</t>
        </is>
      </c>
      <c r="E120" s="156">
        <f>E119+F119</f>
        <v/>
      </c>
      <c r="F120" s="25" t="n">
        <v>15</v>
      </c>
      <c r="G120" s="21" t="inlineStr">
        <is>
          <t>Opcional</t>
        </is>
      </c>
      <c r="H120" s="131" t="n"/>
      <c r="I120">
        <f>E120+33</f>
        <v/>
      </c>
    </row>
    <row r="121" ht="30" customHeight="1">
      <c r="B121" s="40" t="inlineStr">
        <is>
          <t xml:space="preserve">    09  :PREFIX:-VLR-SELOS              PIC S9(12)V9(02)
                                            SIGN LEADING SEPARATE.</t>
        </is>
      </c>
      <c r="C121" s="42" t="n"/>
      <c r="D121" s="25" t="inlineStr">
        <is>
          <t>Descritivo: 'SELO de GARANTIA'</t>
        </is>
      </c>
      <c r="E121" s="156">
        <f>E120+F120</f>
        <v/>
      </c>
      <c r="F121" s="25" t="n">
        <v>15</v>
      </c>
      <c r="G121" s="21" t="inlineStr">
        <is>
          <t>Opcional</t>
        </is>
      </c>
      <c r="H121" s="131" t="n"/>
      <c r="I121">
        <f>E121+33</f>
        <v/>
      </c>
    </row>
    <row r="122" ht="30" customHeight="1">
      <c r="B122" s="40" t="inlineStr">
        <is>
          <t xml:space="preserve">    09  :PREFIX:-VLR-ACTA               PIC S9(12)V9(02)
                                            SIGN LEADING SEPARATE.</t>
        </is>
      </c>
      <c r="C122" s="42" t="n"/>
      <c r="D122" s="136" t="inlineStr">
        <is>
          <t>Custo da Acta/Apólice - Descritivo: 'APÓLICE / ACTA' | 'CUSTO CERTIFICADO'</t>
        </is>
      </c>
      <c r="E122" s="156">
        <f>E121+F121</f>
        <v/>
      </c>
      <c r="F122" s="25" t="n">
        <v>15</v>
      </c>
      <c r="G122" s="21" t="inlineStr">
        <is>
          <t>Opcional</t>
        </is>
      </c>
      <c r="H122" s="131" t="n"/>
      <c r="I122">
        <f>E122+33</f>
        <v/>
      </c>
    </row>
    <row r="123" ht="30" customHeight="1">
      <c r="B123" s="40" t="inlineStr">
        <is>
          <t xml:space="preserve">    09  :PREFIX:-VLR-IMP-SELO           PIC S9(12)V9(02)
                                            SIGN LEADING SEPARATE.</t>
        </is>
      </c>
      <c r="C123" s="42" t="n"/>
      <c r="D123" s="25" t="inlineStr">
        <is>
          <t>Imposto de Selo - Descritivo: 'SELO'</t>
        </is>
      </c>
      <c r="E123" s="156">
        <f>E122+F122</f>
        <v/>
      </c>
      <c r="F123" s="25" t="n">
        <v>15</v>
      </c>
      <c r="G123" s="21" t="inlineStr">
        <is>
          <t>Opcional</t>
        </is>
      </c>
      <c r="H123" s="131" t="n"/>
      <c r="I123">
        <f>E123+33</f>
        <v/>
      </c>
    </row>
    <row r="124" ht="30" customHeight="1">
      <c r="B124" s="40" t="inlineStr">
        <is>
          <t xml:space="preserve">    09  :PREFIX:-VLR-FUND-CALAM         PIC S9(12)V9(02)
                                            SIGN LEADING SEPARATE.</t>
        </is>
      </c>
      <c r="C124" s="42" t="n"/>
      <c r="D124" s="25" t="inlineStr">
        <is>
          <t>Fundo de calamidades - Descritivo: 'F.CALAM / FGA'</t>
        </is>
      </c>
      <c r="E124" s="156">
        <f>E123+F123</f>
        <v/>
      </c>
      <c r="F124" s="25" t="n">
        <v>15</v>
      </c>
      <c r="G124" s="21" t="inlineStr">
        <is>
          <t>Opcional</t>
        </is>
      </c>
      <c r="H124" s="131" t="n"/>
      <c r="I124">
        <f>E124+33</f>
        <v/>
      </c>
    </row>
    <row r="125" ht="30" customHeight="1">
      <c r="B125" s="40" t="inlineStr">
        <is>
          <t xml:space="preserve">    09  :PREFIX:-VLR-FGA-OCOBERT        PIC S9(12)V9(02)
                                            SIGN LEADING SEPARATE.</t>
        </is>
      </c>
      <c r="C125" s="42" t="n"/>
      <c r="D125" s="25" t="inlineStr">
        <is>
          <t>FGA, Outras Coberturas do Ramo Contabilistico - Descritivo: 'FGA-PR (*)'</t>
        </is>
      </c>
      <c r="E125" s="156">
        <f>E124+F124</f>
        <v/>
      </c>
      <c r="F125" s="25" t="n">
        <v>15</v>
      </c>
      <c r="G125" s="21" t="inlineStr">
        <is>
          <t>Opcional</t>
        </is>
      </c>
      <c r="H125" s="131" t="n"/>
      <c r="I125">
        <f>E125+33</f>
        <v/>
      </c>
    </row>
    <row r="126" ht="30" customHeight="1">
      <c r="B126" s="40" t="inlineStr">
        <is>
          <t xml:space="preserve">    09  :PREFIX:-VLR-FGA-RCIVIL         PIC S9(12)V9(02)
                                            SIGN LEADING SEPARATE.</t>
        </is>
      </c>
      <c r="C126" s="42" t="n"/>
      <c r="D126" s="25" t="inlineStr">
        <is>
          <t>FGA, Responsabilidade Civil do Ramo Contabilistico - Descritivo: 'FGA (*)'</t>
        </is>
      </c>
      <c r="E126" s="156">
        <f>E125+F125</f>
        <v/>
      </c>
      <c r="F126" s="25" t="n">
        <v>15</v>
      </c>
      <c r="G126" s="21" t="inlineStr">
        <is>
          <t>Opcional</t>
        </is>
      </c>
      <c r="H126" s="131" t="n"/>
      <c r="I126">
        <f>E126+33</f>
        <v/>
      </c>
    </row>
    <row r="127" ht="30" customHeight="1">
      <c r="B127" s="40" t="inlineStr">
        <is>
          <t xml:space="preserve">    09  :PREFIX:-VLR-BONUS              PIC S9(12)V9(02)
                                            SIGN LEADING SEPARATE.</t>
        </is>
      </c>
      <c r="C127" s="42" t="n"/>
      <c r="D127" s="25" t="inlineStr">
        <is>
          <t>Bónus - Descritivo: 'BONUS'</t>
        </is>
      </c>
      <c r="E127" s="156">
        <f>E126+F126</f>
        <v/>
      </c>
      <c r="F127" s="25" t="n">
        <v>15</v>
      </c>
      <c r="G127" s="21" t="inlineStr">
        <is>
          <t>Opcional</t>
        </is>
      </c>
      <c r="H127" s="131" t="n"/>
      <c r="I127">
        <f>E127+33</f>
        <v/>
      </c>
    </row>
    <row r="128" ht="30" customHeight="1">
      <c r="B128" s="40" t="inlineStr">
        <is>
          <t xml:space="preserve">    09  :PREFIX:-VLR-PR-SIMPLES         PIC S9(12)V9(02)
                                            SIGN LEADING SEPARATE.</t>
        </is>
      </c>
      <c r="C128" s="42" t="n"/>
      <c r="D128" s="25" t="inlineStr">
        <is>
          <t>Prémio Simples - Descritivo: 'PRÉMIO COMERCIAL'</t>
        </is>
      </c>
      <c r="E128" s="156">
        <f>E127+F127</f>
        <v/>
      </c>
      <c r="F128" s="25" t="n">
        <v>15</v>
      </c>
      <c r="G128" s="21" t="inlineStr">
        <is>
          <t>Opcional</t>
        </is>
      </c>
      <c r="H128" s="131" t="n"/>
      <c r="I128">
        <f>E128+33</f>
        <v/>
      </c>
    </row>
    <row r="129" ht="30" customHeight="1">
      <c r="B129" s="40" t="inlineStr">
        <is>
          <t xml:space="preserve">    09  :PREFIX:-VLR-PR-ANUAL           PIC S9(12)V9(02)
                                            SIGN LEADING SEPARATE.</t>
        </is>
      </c>
      <c r="C129" s="42" t="n"/>
      <c r="D129" s="25" t="inlineStr">
        <is>
          <t>Actualização do Prémio Anual</t>
        </is>
      </c>
      <c r="E129" s="156">
        <f>E128+F128</f>
        <v/>
      </c>
      <c r="F129" s="25" t="n">
        <v>15</v>
      </c>
      <c r="G129" s="21" t="inlineStr">
        <is>
          <t>Opcional</t>
        </is>
      </c>
      <c r="H129" s="131" t="n"/>
      <c r="I129">
        <f>E129+33</f>
        <v/>
      </c>
    </row>
    <row r="130">
      <c r="B130" s="30" t="inlineStr">
        <is>
          <t xml:space="preserve">  07  :PREFIX:-DADOS-PAGAMENTO          PIC X(240).</t>
        </is>
      </c>
      <c r="C130" s="127" t="n"/>
      <c r="D130" s="32" t="inlineStr">
        <is>
          <t>(originalmente DADOS-PAGAMENTO)</t>
        </is>
      </c>
      <c r="E130" s="38">
        <f>E129+F129</f>
        <v/>
      </c>
      <c r="F130" s="32" t="n">
        <v>240</v>
      </c>
      <c r="G130" s="130" t="n"/>
      <c r="I130">
        <f>E130+33</f>
        <v/>
      </c>
    </row>
    <row r="131">
      <c r="B131" s="30" t="inlineStr">
        <is>
          <t xml:space="preserve">  07  :PREFIX:-DADOS-AGENTE             PIC X(452).</t>
        </is>
      </c>
      <c r="C131" s="127" t="n"/>
      <c r="D131" s="32" t="inlineStr">
        <is>
          <t>(originalmente DADOS-AGENTE)</t>
        </is>
      </c>
      <c r="E131" s="38">
        <f>E130+F130</f>
        <v/>
      </c>
      <c r="F131" s="32" t="n">
        <v>452</v>
      </c>
      <c r="G131" s="130" t="n"/>
      <c r="I131">
        <f>E131+33</f>
        <v/>
      </c>
    </row>
    <row r="132">
      <c r="B132" s="30" t="inlineStr">
        <is>
          <t xml:space="preserve">  07  :PREFIX:-DADOS-CREDORHIP          PIC X(275).</t>
        </is>
      </c>
      <c r="C132" s="127" t="n"/>
      <c r="D132" s="32" t="inlineStr">
        <is>
          <t>(originalmente DADOS-CREDORHIP)</t>
        </is>
      </c>
      <c r="E132" s="38">
        <f>E131+F131</f>
        <v/>
      </c>
      <c r="F132" s="32" t="n">
        <v>275</v>
      </c>
      <c r="G132" s="130" t="n"/>
      <c r="I132">
        <f>E132+33</f>
        <v/>
      </c>
    </row>
    <row r="133">
      <c r="B133" s="30" t="inlineStr">
        <is>
          <t xml:space="preserve">  07  :PREFIX:-DADOS-OBJSEGURO.</t>
        </is>
      </c>
      <c r="C133" s="127" t="n"/>
      <c r="D133" s="32" t="n"/>
      <c r="E133" s="38">
        <f>E132+F132</f>
        <v/>
      </c>
      <c r="F133" s="32" t="n"/>
      <c r="G133" s="130" t="n"/>
    </row>
    <row r="134">
      <c r="B134" s="10" t="inlineStr">
        <is>
          <t xml:space="preserve">    09  :PREFIX:-UR-QUANT               PIC 9(05).</t>
        </is>
      </c>
      <c r="C134" s="122" t="n"/>
      <c r="D134" s="16" t="inlineStr">
        <is>
          <t>Número de unidades em risco</t>
        </is>
      </c>
      <c r="E134" s="13">
        <f>E133+F133</f>
        <v/>
      </c>
      <c r="F134" s="16" t="n">
        <v>5</v>
      </c>
      <c r="G134" s="17" t="inlineStr">
        <is>
          <t>Obrigatório</t>
        </is>
      </c>
      <c r="I134">
        <f>E134+33</f>
        <v/>
      </c>
    </row>
    <row r="135">
      <c r="B135" s="10" t="inlineStr">
        <is>
          <t xml:space="preserve">    09  :PREFIX:-UR-TIPO                PIC X(02).</t>
        </is>
      </c>
      <c r="C135" s="122" t="n"/>
      <c r="D135" s="16" t="inlineStr">
        <is>
          <t>Tipo de Unidade em risco</t>
        </is>
      </c>
      <c r="E135" s="13">
        <f>E134+F134</f>
        <v/>
      </c>
      <c r="F135" s="16" t="n">
        <v>2</v>
      </c>
      <c r="G135" s="14" t="inlineStr">
        <is>
          <t>Obrigatório</t>
        </is>
      </c>
      <c r="I135">
        <f>E135+33</f>
        <v/>
      </c>
    </row>
    <row r="136">
      <c r="B136" s="40" t="inlineStr">
        <is>
          <t xml:space="preserve">        88  :PREFIX:-UR-TIP-GERAL           VALUE 'GR'.</t>
        </is>
      </c>
      <c r="C136" s="42" t="n"/>
      <c r="D136" s="25" t="inlineStr">
        <is>
          <t xml:space="preserve">     'GR' - Detalhe Geral</t>
        </is>
      </c>
      <c r="E136" s="156" t="n"/>
      <c r="F136" s="25" t="n"/>
      <c r="G136" s="15" t="n"/>
      <c r="H136" s="131" t="n"/>
    </row>
    <row r="137">
      <c r="B137" s="40" t="inlineStr">
        <is>
          <t xml:space="preserve">        88  :PREFIX:-UR-TIP-VIDA            VALUE 'PS'.</t>
        </is>
      </c>
      <c r="C137" s="42" t="n"/>
      <c r="D137" s="25" t="inlineStr">
        <is>
          <t xml:space="preserve">     'PS' - Detalhe Vida</t>
        </is>
      </c>
      <c r="E137" s="156" t="n"/>
      <c r="F137" s="25" t="n"/>
      <c r="G137" s="15" t="n"/>
      <c r="H137" s="131" t="n"/>
    </row>
    <row r="138">
      <c r="B138" s="40" t="inlineStr">
        <is>
          <t xml:space="preserve">        88  :PREFIX:-UR-TIP-VIDA-NCTR       VALUE 'NC'.</t>
        </is>
      </c>
      <c r="C138" s="42" t="n"/>
      <c r="D138" s="25" t="inlineStr">
        <is>
          <t xml:space="preserve">     'NC' - Detalhe Vida</t>
        </is>
      </c>
      <c r="E138" s="156" t="n"/>
      <c r="F138" s="25" t="n"/>
      <c r="G138" s="15" t="n"/>
      <c r="H138" s="131" t="n"/>
    </row>
    <row r="139" ht="30" customHeight="1">
      <c r="B139" s="40" t="inlineStr">
        <is>
          <t xml:space="preserve">        88  :PREFIX:-UR-TIP-AUTOMOVEL       VALUE 'VG'
                                             'VH' 'VO'.</t>
        </is>
      </c>
      <c r="C139" s="42" t="n"/>
      <c r="D139" s="25" t="inlineStr">
        <is>
          <t xml:space="preserve">     'VG', 'VH', 'VO' - Detalhe de Automóvel</t>
        </is>
      </c>
      <c r="E139" s="156" t="n"/>
      <c r="F139" s="25" t="n"/>
      <c r="G139" s="15" t="n"/>
      <c r="H139" s="131" t="n"/>
    </row>
    <row r="140">
      <c r="B140" s="10" t="inlineStr">
        <is>
          <t xml:space="preserve">        88  :PREFIX:-UR-TIP-AU-GARAGISTA    VALUE 'VG'.</t>
        </is>
      </c>
      <c r="C140" s="122" t="n"/>
      <c r="D140" s="16" t="inlineStr">
        <is>
          <t xml:space="preserve">     'VG' - Garagista</t>
        </is>
      </c>
      <c r="E140" s="13" t="n"/>
      <c r="F140" s="16" t="n"/>
      <c r="G140" s="15" t="n"/>
    </row>
    <row r="141">
      <c r="B141" s="10" t="inlineStr">
        <is>
          <t xml:space="preserve">        88  :PREFIX:-UR-TIP-AU-VEICULO      VALUE 'VH'.</t>
        </is>
      </c>
      <c r="C141" s="122" t="n"/>
      <c r="D141" s="16" t="inlineStr">
        <is>
          <t xml:space="preserve">     'VH' - Veículo</t>
        </is>
      </c>
      <c r="E141" s="13" t="n"/>
      <c r="F141" s="16" t="n"/>
      <c r="G141" s="15" t="n"/>
    </row>
    <row r="142">
      <c r="B142" s="10" t="inlineStr">
        <is>
          <t xml:space="preserve">        88  :PREFIX:-UR-TIP-AU-OUTROS       VALUE 'VO'.</t>
        </is>
      </c>
      <c r="C142" s="122" t="n"/>
      <c r="D142" s="16" t="inlineStr">
        <is>
          <t xml:space="preserve">     'VO' - Outros veículos</t>
        </is>
      </c>
      <c r="E142" s="13" t="n"/>
      <c r="F142" s="16" t="n"/>
      <c r="G142" s="15" t="n"/>
    </row>
    <row r="143">
      <c r="B143" s="40" t="inlineStr">
        <is>
          <t xml:space="preserve">        88  :PREFIX:-UR-TIP-MULTIRISCO      VALUE 'MR'.</t>
        </is>
      </c>
      <c r="C143" s="42" t="n"/>
      <c r="D143" s="25" t="inlineStr">
        <is>
          <t xml:space="preserve">     'MR' - Detalhe Multiriscos</t>
        </is>
      </c>
      <c r="E143" s="156" t="n"/>
      <c r="F143" s="25" t="n"/>
      <c r="G143" s="15" t="n"/>
    </row>
    <row r="144">
      <c r="B144" s="40" t="inlineStr">
        <is>
          <t xml:space="preserve">        88  :PREFIX:-UR-TIP-AT              VALUE 'AT'.</t>
        </is>
      </c>
      <c r="C144" s="42" t="n"/>
      <c r="D144" s="25" t="inlineStr">
        <is>
          <t xml:space="preserve">     'AT' - Detalhe de Acidentes Trabalho</t>
        </is>
      </c>
      <c r="E144" s="156" t="n"/>
      <c r="F144" s="25" t="n"/>
      <c r="G144" s="15" t="n"/>
    </row>
    <row r="145">
      <c r="B145" s="5" t="inlineStr">
        <is>
          <t xml:space="preserve">  07  :PREFIX:-DADOS-UR                 PIC X(200).</t>
        </is>
      </c>
      <c r="C145" s="29" t="n"/>
      <c r="D145" s="7" t="n"/>
      <c r="E145" s="8">
        <f>E135+F135</f>
        <v/>
      </c>
      <c r="F145" s="8" t="n">
        <v>200</v>
      </c>
      <c r="G145" s="45" t="n"/>
    </row>
    <row r="146">
      <c r="B146" s="137" t="inlineStr">
        <is>
          <t xml:space="preserve">  07  :PREFIX:-UR-GERAL           REDEFINES :PREFIX:-DADOS-UR.</t>
        </is>
      </c>
      <c r="C146" s="138" t="n"/>
      <c r="D146" s="139" t="n"/>
      <c r="E146" s="8">
        <f>E145</f>
        <v/>
      </c>
      <c r="F146" s="139" t="n"/>
      <c r="G146" s="45" t="n"/>
    </row>
    <row r="147">
      <c r="B147" s="10" t="inlineStr">
        <is>
          <t xml:space="preserve">    09  :PREFIX:-GR-DETAIL              PIC X(65).</t>
        </is>
      </c>
      <c r="C147" s="122" t="n"/>
      <c r="D147" s="16" t="inlineStr">
        <is>
          <t>Descritivo da unidade em risco (Objeto seguro)</t>
        </is>
      </c>
      <c r="E147" s="13">
        <f>E146+F146</f>
        <v/>
      </c>
      <c r="F147" s="16" t="n">
        <v>65</v>
      </c>
      <c r="G147" s="19" t="inlineStr">
        <is>
          <t>Condicional</t>
        </is>
      </c>
      <c r="I147">
        <f>E147+33</f>
        <v/>
      </c>
    </row>
    <row r="148">
      <c r="B148" s="10" t="inlineStr">
        <is>
          <t xml:space="preserve">    09  FILLER                          PIC X(135).</t>
        </is>
      </c>
      <c r="C148" s="122" t="n"/>
      <c r="D148" s="16" t="n"/>
      <c r="E148" s="13">
        <f>E147+F147</f>
        <v/>
      </c>
      <c r="F148" s="16" t="n">
        <v>135</v>
      </c>
      <c r="G148" s="9" t="n"/>
      <c r="I148">
        <f>E148+33</f>
        <v/>
      </c>
    </row>
    <row r="149">
      <c r="B149" s="137" t="inlineStr">
        <is>
          <t xml:space="preserve">  07  :PREFIX:-UR-VIDA            REDEFINES :PREFIX:-DADOS-UR.</t>
        </is>
      </c>
      <c r="C149" s="138" t="n"/>
      <c r="D149" s="139" t="n"/>
      <c r="E149" s="8">
        <f>E146</f>
        <v/>
      </c>
      <c r="F149" s="139" t="n"/>
      <c r="G149" s="45" t="n"/>
    </row>
    <row r="150">
      <c r="B150" s="10" t="inlineStr">
        <is>
          <t xml:space="preserve">    09  :PREFIX:-PS-1-NOME              PIC X(50).</t>
        </is>
      </c>
      <c r="C150" s="122" t="n"/>
      <c r="D150" s="16" t="inlineStr">
        <is>
          <t>Nome Pessoa segura 1</t>
        </is>
      </c>
      <c r="E150" s="13">
        <f>E149+F149</f>
        <v/>
      </c>
      <c r="F150" s="16" t="n">
        <v>50</v>
      </c>
      <c r="G150" s="9" t="inlineStr">
        <is>
          <t>Condicional</t>
        </is>
      </c>
      <c r="I150">
        <f>E150+33</f>
        <v/>
      </c>
    </row>
    <row r="151">
      <c r="B151" s="10" t="inlineStr">
        <is>
          <t xml:space="preserve">    09  :PREFIX:-PS-1-NIF               PIC X(22).</t>
        </is>
      </c>
      <c r="C151" s="122" t="n"/>
      <c r="D151" s="16" t="inlineStr">
        <is>
          <t>NIF Pessoa segura 1  (No caso de Portugal será PT999999999)</t>
        </is>
      </c>
      <c r="E151" s="13">
        <f>E150+F150</f>
        <v/>
      </c>
      <c r="F151" s="16" t="n">
        <v>22</v>
      </c>
      <c r="G151" s="9" t="inlineStr">
        <is>
          <t>Opcional</t>
        </is>
      </c>
      <c r="I151">
        <f>E151+33</f>
        <v/>
      </c>
    </row>
    <row r="152">
      <c r="B152" s="10" t="inlineStr">
        <is>
          <t xml:space="preserve">    09  :PREFIX:-PS-1-DT-NASC           PIC X(08).</t>
        </is>
      </c>
      <c r="C152" s="122" t="n"/>
      <c r="D152" s="16" t="inlineStr">
        <is>
          <t>Data de Nascimento Pessoa segura 1 [aaaammdd]</t>
        </is>
      </c>
      <c r="E152" s="13">
        <f>E151+F151</f>
        <v/>
      </c>
      <c r="F152" s="16" t="n">
        <v>8</v>
      </c>
      <c r="G152" s="9" t="inlineStr">
        <is>
          <t>Opcional</t>
        </is>
      </c>
      <c r="I152">
        <f>E152+33</f>
        <v/>
      </c>
    </row>
    <row r="153">
      <c r="B153" s="10" t="inlineStr">
        <is>
          <t xml:space="preserve">    09  :PREFIX:-PS-2-NOME              PIC X(50).</t>
        </is>
      </c>
      <c r="C153" s="122" t="n"/>
      <c r="D153" s="16" t="inlineStr">
        <is>
          <t>Nome Pessoa segura 2</t>
        </is>
      </c>
      <c r="E153" s="13">
        <f>E152+F152</f>
        <v/>
      </c>
      <c r="F153" s="16" t="n">
        <v>50</v>
      </c>
      <c r="G153" s="9" t="inlineStr">
        <is>
          <t>Opcional</t>
        </is>
      </c>
      <c r="I153">
        <f>E153+33</f>
        <v/>
      </c>
    </row>
    <row r="154">
      <c r="B154" s="10" t="inlineStr">
        <is>
          <t xml:space="preserve">    09  :PREFIX:-PS-2-NIF               PIC X(22).</t>
        </is>
      </c>
      <c r="C154" s="122" t="n"/>
      <c r="D154" s="16" t="inlineStr">
        <is>
          <t>NIF Pessoa segura 2  (No caso de Portugal será PT999999999)</t>
        </is>
      </c>
      <c r="E154" s="13">
        <f>E153+F153</f>
        <v/>
      </c>
      <c r="F154" s="16" t="n">
        <v>22</v>
      </c>
      <c r="G154" s="9" t="inlineStr">
        <is>
          <t>Opcional</t>
        </is>
      </c>
      <c r="I154">
        <f>E154+33</f>
        <v/>
      </c>
    </row>
    <row r="155">
      <c r="B155" s="10" t="inlineStr">
        <is>
          <t xml:space="preserve">    09  :PREFIX:-PS-2-DT-NASC           PIC X(08).</t>
        </is>
      </c>
      <c r="C155" s="122" t="n"/>
      <c r="D155" s="16" t="inlineStr">
        <is>
          <t>Data de Nascimento Pessoa segura 2 [aaaammdd]</t>
        </is>
      </c>
      <c r="E155" s="13">
        <f>E154+F154</f>
        <v/>
      </c>
      <c r="F155" s="16" t="n">
        <v>8</v>
      </c>
      <c r="G155" s="9" t="inlineStr">
        <is>
          <t>Opcional</t>
        </is>
      </c>
      <c r="I155">
        <f>E155+33</f>
        <v/>
      </c>
    </row>
    <row r="156" ht="30" customHeight="1">
      <c r="B156" s="132" t="inlineStr">
        <is>
          <t xml:space="preserve">    09  :PREFIX:-VI-ENCAR-AQUISICAO     PIC S9(12)V9(02)
                                            SIGN LEADING SEPARATE.</t>
        </is>
      </c>
      <c r="C156" s="122" t="inlineStr">
        <is>
          <t xml:space="preserve"> </t>
        </is>
      </c>
      <c r="D156" s="25" t="inlineStr">
        <is>
          <t>Valor dos encargos Aquisição - componente da parcela com Descritivo: 'ENCARGOS'</t>
        </is>
      </c>
      <c r="E156" s="123">
        <f>E155+F155</f>
        <v/>
      </c>
      <c r="F156" s="124" t="n">
        <v>15</v>
      </c>
      <c r="G156" s="19" t="inlineStr">
        <is>
          <t>Condicional</t>
        </is>
      </c>
      <c r="I156">
        <f>E156+33</f>
        <v/>
      </c>
    </row>
    <row r="157" ht="30" customHeight="1">
      <c r="B157" s="132" t="inlineStr">
        <is>
          <t xml:space="preserve">    09  :PREFIX:-VI-ENCAR-PENALIZA      PIC S9(12)V9(02)
                                            SIGN LEADING SEPARATE.</t>
        </is>
      </c>
      <c r="C157" s="122" t="inlineStr">
        <is>
          <t xml:space="preserve"> </t>
        </is>
      </c>
      <c r="D157" s="136" t="inlineStr">
        <is>
          <t xml:space="preserve">Valor dos encargos Penalização - Parcela das Faturas de Indemnizações com Descritivo: ENCARGOS/COMISSÕES </t>
        </is>
      </c>
      <c r="E157" s="123">
        <f>E156+F156</f>
        <v/>
      </c>
      <c r="F157" s="124" t="n">
        <v>15</v>
      </c>
      <c r="G157" s="19" t="inlineStr">
        <is>
          <t>Condicional</t>
        </is>
      </c>
      <c r="I157">
        <f>E157+33</f>
        <v/>
      </c>
    </row>
    <row r="158">
      <c r="B158" s="141" t="inlineStr">
        <is>
          <t xml:space="preserve">    09  :PREFIX:-VI-TIPO-APOLICE        PIC X(02).</t>
        </is>
      </c>
      <c r="C158" s="122" t="inlineStr">
        <is>
          <t xml:space="preserve"> </t>
        </is>
      </c>
      <c r="D158" s="136" t="inlineStr">
        <is>
          <t>Tipo de Apólice Vida</t>
        </is>
      </c>
      <c r="E158" s="123">
        <f>E157+F157</f>
        <v/>
      </c>
      <c r="F158" s="124" t="n">
        <v>2</v>
      </c>
      <c r="G158" s="21" t="inlineStr">
        <is>
          <t>Opcional</t>
        </is>
      </c>
      <c r="H158" s="126" t="n"/>
      <c r="I158">
        <f>E158+33</f>
        <v/>
      </c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</row>
    <row r="159" ht="45" customHeight="1">
      <c r="A159" s="147" t="n"/>
      <c r="B159" s="40" t="inlineStr">
        <is>
          <t xml:space="preserve">        88  :PREFIX:-VI-TP-VALID            VALUE 'CI' 'CG' 'MI' 'MG' 'XI'                                                           'XG' '  '.</t>
        </is>
      </c>
      <c r="C159" s="122" t="n"/>
      <c r="D159" s="136" t="inlineStr">
        <is>
          <t xml:space="preserve">    Tipo de Produto/Apólice Vida valido para processar</t>
        </is>
      </c>
      <c r="E159" s="123" t="n"/>
      <c r="F159" s="124" t="n"/>
      <c r="G159" s="15" t="n"/>
      <c r="H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</row>
    <row r="160" ht="30" customHeight="1">
      <c r="A160" s="147" t="n"/>
      <c r="B160" s="40" t="inlineStr">
        <is>
          <t xml:space="preserve">        88  :PREFIX:-VI-TP-AP-PROCESS       VALUE 'CI' 'CG' 'MI' 'MG' 'XI' 'XG'.</t>
        </is>
      </c>
      <c r="C160" s="122" t="n"/>
      <c r="D160" s="136" t="inlineStr">
        <is>
          <t xml:space="preserve">    Tipo de Produto/Apólice Vida valido para processar</t>
        </is>
      </c>
      <c r="E160" s="123" t="n"/>
      <c r="F160" s="124" t="n"/>
      <c r="G160" s="15" t="n"/>
      <c r="H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</row>
    <row r="161">
      <c r="B161" s="40" t="inlineStr">
        <is>
          <t xml:space="preserve">        88  :PREFIX:-VI-CAPITALIZA          VALUE 'CI' 'CG'.</t>
        </is>
      </c>
      <c r="C161" s="42" t="n"/>
      <c r="D161" s="25" t="inlineStr">
        <is>
          <t xml:space="preserve">     'CI' / 'CG' - Capitalização	</t>
        </is>
      </c>
      <c r="E161" s="123" t="n"/>
      <c r="F161" s="124" t="n"/>
      <c r="G161" s="15" t="n"/>
      <c r="H161" s="126" t="n"/>
      <c r="I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</row>
    <row r="162">
      <c r="B162" s="40" t="inlineStr">
        <is>
          <t xml:space="preserve">        88  :PREFIX:-VI-RISCO               VALUE 'MI' 'MG'.</t>
        </is>
      </c>
      <c r="C162" s="42" t="n"/>
      <c r="D162" s="25" t="inlineStr">
        <is>
          <t xml:space="preserve">     'MI' / 'MG' - Misto Puro (Risco)</t>
        </is>
      </c>
      <c r="E162" s="123" t="n"/>
      <c r="F162" s="124" t="n"/>
      <c r="G162" s="15" t="n"/>
      <c r="H162" s="126" t="n"/>
      <c r="I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</row>
    <row r="163">
      <c r="B163" s="40" t="inlineStr">
        <is>
          <t xml:space="preserve">        88  :PREFIX:-VI-MISTO               VALUE 'XI' 'XG'.</t>
        </is>
      </c>
      <c r="C163" s="42" t="n"/>
      <c r="D163" s="25" t="inlineStr">
        <is>
          <t xml:space="preserve">     'XI' / 'XG' - Misto Capitalização (Risco / Capitalização)</t>
        </is>
      </c>
      <c r="E163" s="123" t="n"/>
      <c r="F163" s="124" t="n"/>
      <c r="G163" s="18" t="n"/>
      <c r="H163" s="126" t="n"/>
      <c r="I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</row>
    <row r="164">
      <c r="B164" s="80" t="inlineStr">
        <is>
          <t xml:space="preserve">    09  FILLER                          PIC X(08).</t>
        </is>
      </c>
      <c r="C164" s="122" t="n"/>
      <c r="D164" s="16" t="n"/>
      <c r="E164" s="123">
        <f>E158+F158</f>
        <v/>
      </c>
      <c r="F164" s="124" t="n">
        <v>8</v>
      </c>
      <c r="G164" s="9" t="n"/>
      <c r="I164">
        <f>E164+33</f>
        <v/>
      </c>
    </row>
    <row r="165">
      <c r="B165" s="137" t="inlineStr">
        <is>
          <t xml:space="preserve">  07  :PREFIX:-UR-AUTOMOVEL       REDEFINES :PREFIX:-DADOS-UR.</t>
        </is>
      </c>
      <c r="C165" s="138" t="n"/>
      <c r="D165" s="139" t="n"/>
      <c r="E165" s="8">
        <f>E145</f>
        <v/>
      </c>
      <c r="F165" s="139" t="n"/>
      <c r="G165" s="45" t="n"/>
      <c r="I165">
        <f>E165+33</f>
        <v/>
      </c>
    </row>
    <row r="166">
      <c r="B166" s="10" t="inlineStr">
        <is>
          <t xml:space="preserve">    09  :PREFIX:-AU-AREA                PIC X(200).</t>
        </is>
      </c>
      <c r="C166" s="122" t="n"/>
      <c r="D166" s="16" t="n"/>
      <c r="E166" s="16">
        <f>E165+F165</f>
        <v/>
      </c>
      <c r="F166" s="16" t="n">
        <v>200</v>
      </c>
      <c r="G166" s="9" t="n"/>
      <c r="I166">
        <f>E166+33</f>
        <v/>
      </c>
    </row>
    <row r="167">
      <c r="B167" s="10" t="inlineStr">
        <is>
          <t xml:space="preserve">    09  :PREFIX:-AU-VH            REDEFINES :PREFIX:-AU-AREA.</t>
        </is>
      </c>
      <c r="C167" s="122" t="n"/>
      <c r="D167" s="16" t="n"/>
      <c r="E167" s="16">
        <f>E166</f>
        <v/>
      </c>
      <c r="F167" s="16" t="n"/>
      <c r="G167" s="9" t="n"/>
      <c r="I167">
        <f>E167+33</f>
        <v/>
      </c>
    </row>
    <row r="168">
      <c r="B168" s="10" t="inlineStr">
        <is>
          <t xml:space="preserve">      11  :PREFIX:-VH-MARCA             PIC X(30).</t>
        </is>
      </c>
      <c r="C168" s="122" t="n"/>
      <c r="D168" s="16" t="inlineStr">
        <is>
          <t>Marca</t>
        </is>
      </c>
      <c r="E168" s="16">
        <f>E167+F167</f>
        <v/>
      </c>
      <c r="F168" s="16" t="n">
        <v>30</v>
      </c>
      <c r="G168" s="19" t="inlineStr">
        <is>
          <t>Condicional</t>
        </is>
      </c>
      <c r="I168">
        <f>E168+33</f>
        <v/>
      </c>
    </row>
    <row r="169">
      <c r="B169" s="10" t="inlineStr">
        <is>
          <t xml:space="preserve">      11  :PREFIX:-VH-MODELO            PIC X(10).</t>
        </is>
      </c>
      <c r="C169" s="122" t="n"/>
      <c r="D169" s="16" t="inlineStr">
        <is>
          <t>Modelo</t>
        </is>
      </c>
      <c r="E169" s="16">
        <f>E168+F168</f>
        <v/>
      </c>
      <c r="F169" s="16" t="n">
        <v>10</v>
      </c>
      <c r="G169" s="21" t="inlineStr">
        <is>
          <t>Opcional</t>
        </is>
      </c>
      <c r="I169">
        <f>E169+33</f>
        <v/>
      </c>
    </row>
    <row r="170">
      <c r="B170" s="10" t="inlineStr">
        <is>
          <t xml:space="preserve">      11  :PREFIX:-VH-VERSAO            PIC X(25).</t>
        </is>
      </c>
      <c r="C170" s="122" t="n"/>
      <c r="D170" s="16" t="inlineStr">
        <is>
          <t>Versão</t>
        </is>
      </c>
      <c r="E170" s="16">
        <f>E169+F169</f>
        <v/>
      </c>
      <c r="F170" s="16" t="n">
        <v>25</v>
      </c>
      <c r="G170" s="19" t="inlineStr">
        <is>
          <t>Condicional</t>
        </is>
      </c>
      <c r="I170">
        <f>E170+33</f>
        <v/>
      </c>
    </row>
    <row r="171">
      <c r="B171" s="10" t="inlineStr">
        <is>
          <t xml:space="preserve">      11  :PREFIX:-VH-MATRICULA         PIC X(15).</t>
        </is>
      </c>
      <c r="C171" s="122" t="n"/>
      <c r="D171" s="16" t="inlineStr">
        <is>
          <t>Matrícula</t>
        </is>
      </c>
      <c r="E171" s="16">
        <f>E170+F170</f>
        <v/>
      </c>
      <c r="F171" s="16" t="n">
        <v>15</v>
      </c>
      <c r="G171" s="19" t="inlineStr">
        <is>
          <t>Condicional</t>
        </is>
      </c>
      <c r="I171">
        <f>E171+33</f>
        <v/>
      </c>
    </row>
    <row r="172">
      <c r="B172" s="10" t="inlineStr">
        <is>
          <t xml:space="preserve">      11  FILLER                        PIC X(120).</t>
        </is>
      </c>
      <c r="C172" s="122" t="n"/>
      <c r="D172" s="16" t="n"/>
      <c r="E172" s="16">
        <f>E171+F171</f>
        <v/>
      </c>
      <c r="F172" s="16" t="n">
        <v>120</v>
      </c>
      <c r="G172" s="9" t="n"/>
      <c r="I172">
        <f>E172+33</f>
        <v/>
      </c>
    </row>
    <row r="173">
      <c r="B173" s="10" t="inlineStr">
        <is>
          <t xml:space="preserve">    09  :PREFIX:-AU-VG            REDEFINES :PREFIX:-AU-AREA.</t>
        </is>
      </c>
      <c r="C173" s="122" t="n"/>
      <c r="D173" s="16" t="n"/>
      <c r="E173" s="16">
        <f>E165</f>
        <v/>
      </c>
      <c r="F173" s="16" t="n"/>
      <c r="G173" s="9" t="n"/>
      <c r="I173">
        <f>E173+33</f>
        <v/>
      </c>
    </row>
    <row r="174">
      <c r="B174" s="10" t="inlineStr">
        <is>
          <t xml:space="preserve">      11  :PREFIX:-VG-CARTA-COND        PIC X(25).</t>
        </is>
      </c>
      <c r="C174" s="122" t="n"/>
      <c r="D174" s="16" t="inlineStr">
        <is>
          <t>Carta de Condução</t>
        </is>
      </c>
      <c r="E174" s="16">
        <f>E173+F173</f>
        <v/>
      </c>
      <c r="F174" s="16" t="n">
        <v>25</v>
      </c>
      <c r="G174" s="19" t="inlineStr">
        <is>
          <t>Condicional</t>
        </is>
      </c>
      <c r="I174">
        <f>E174+33</f>
        <v/>
      </c>
    </row>
    <row r="175">
      <c r="B175" s="10" t="inlineStr">
        <is>
          <t xml:space="preserve">      11  :PREFIX:-VG-CATEGORIA         PIC X(40).</t>
        </is>
      </c>
      <c r="C175" s="122" t="n"/>
      <c r="D175" s="16" t="inlineStr">
        <is>
          <t>Categoria (ex: Garagista até 3500Kg)</t>
        </is>
      </c>
      <c r="E175" s="16">
        <f>E174+F174</f>
        <v/>
      </c>
      <c r="F175" s="16" t="n">
        <v>40</v>
      </c>
      <c r="G175" s="21" t="inlineStr">
        <is>
          <t>Opcional</t>
        </is>
      </c>
      <c r="I175">
        <f>E175+33</f>
        <v/>
      </c>
    </row>
    <row r="176">
      <c r="B176" s="10" t="inlineStr">
        <is>
          <t xml:space="preserve">      11  FILLER                        PIC X(135).</t>
        </is>
      </c>
      <c r="C176" s="122" t="n"/>
      <c r="D176" s="16" t="n"/>
      <c r="E176" s="16">
        <f>E175+F175</f>
        <v/>
      </c>
      <c r="F176" s="16" t="n">
        <v>135</v>
      </c>
      <c r="G176" s="9" t="n"/>
      <c r="I176">
        <f>E176+33</f>
        <v/>
      </c>
    </row>
    <row r="177">
      <c r="B177" s="10" t="inlineStr">
        <is>
          <t xml:space="preserve">    09  :PREFIX:-AU-VO            REDEFINES :PREFIX:-AU-AREA.</t>
        </is>
      </c>
      <c r="C177" s="122" t="n"/>
      <c r="D177" s="16" t="n"/>
      <c r="E177" s="16">
        <f>E173</f>
        <v/>
      </c>
      <c r="F177" s="16" t="n"/>
      <c r="G177" s="9" t="n"/>
    </row>
    <row r="178">
      <c r="B178" s="10" t="inlineStr">
        <is>
          <t xml:space="preserve">      11  :PREFIX:-VO-OBJETO            PIC X(65).</t>
        </is>
      </c>
      <c r="C178" s="122" t="n"/>
      <c r="D178" s="16" t="inlineStr">
        <is>
          <t>Objeto</t>
        </is>
      </c>
      <c r="E178" s="16">
        <f>E177+F177</f>
        <v/>
      </c>
      <c r="F178" s="16" t="n">
        <v>65</v>
      </c>
      <c r="G178" s="19" t="inlineStr">
        <is>
          <t>Condicional</t>
        </is>
      </c>
      <c r="I178">
        <f>E178+33</f>
        <v/>
      </c>
    </row>
    <row r="179">
      <c r="B179" s="10" t="inlineStr">
        <is>
          <t xml:space="preserve">      11  FILLER                        PIC X(135).</t>
        </is>
      </c>
      <c r="C179" s="122" t="n"/>
      <c r="D179" s="16" t="n"/>
      <c r="E179" s="16">
        <f>E178+F178</f>
        <v/>
      </c>
      <c r="F179" s="16" t="n">
        <v>135</v>
      </c>
      <c r="G179" s="9" t="n"/>
      <c r="I179">
        <f>E179+33</f>
        <v/>
      </c>
    </row>
    <row r="180">
      <c r="B180" s="137" t="inlineStr">
        <is>
          <t xml:space="preserve">  07  :PREFIX:-UR-MULTIRISCO      REDEFINES :PREFIX:-DADOS-UR.</t>
        </is>
      </c>
      <c r="C180" s="138" t="n"/>
      <c r="D180" s="139" t="n"/>
      <c r="E180" s="8">
        <f>E145</f>
        <v/>
      </c>
      <c r="F180" s="139" t="n"/>
      <c r="G180" s="45" t="n"/>
      <c r="I180">
        <f>E180+33</f>
        <v/>
      </c>
    </row>
    <row r="181">
      <c r="B181" s="10" t="inlineStr">
        <is>
          <t xml:space="preserve">    09  :PREFIX:-MR-OBJETO              PIC X(10).</t>
        </is>
      </c>
      <c r="C181" s="122" t="n"/>
      <c r="D181" s="16" t="inlineStr">
        <is>
          <t>Objeto</t>
        </is>
      </c>
      <c r="E181" s="13">
        <f>E180+F180</f>
        <v/>
      </c>
      <c r="F181" s="16" t="n">
        <v>10</v>
      </c>
      <c r="G181" s="19" t="inlineStr">
        <is>
          <t>Condicional</t>
        </is>
      </c>
      <c r="I181">
        <f>E181+33</f>
        <v/>
      </c>
    </row>
    <row r="182">
      <c r="B182" s="10" t="inlineStr">
        <is>
          <t xml:space="preserve">    09  :PREFIX:-MR-MORADA1             PIC X(40).</t>
        </is>
      </c>
      <c r="C182" s="122" t="n"/>
      <c r="D182" s="16" t="inlineStr">
        <is>
          <t>Dados de morada 1</t>
        </is>
      </c>
      <c r="E182" s="13">
        <f>E181+F181</f>
        <v/>
      </c>
      <c r="F182" s="16" t="n">
        <v>40</v>
      </c>
      <c r="G182" s="21" t="inlineStr">
        <is>
          <t>Opcional</t>
        </is>
      </c>
      <c r="I182">
        <f>E182+33</f>
        <v/>
      </c>
    </row>
    <row r="183">
      <c r="B183" s="10" t="inlineStr">
        <is>
          <t xml:space="preserve">    09  :PREFIX:-MR-MORADA2             PIC X(40).</t>
        </is>
      </c>
      <c r="C183" s="122" t="n"/>
      <c r="D183" s="16" t="inlineStr">
        <is>
          <t>Dados de morada 2</t>
        </is>
      </c>
      <c r="E183" s="13">
        <f>E182+F182</f>
        <v/>
      </c>
      <c r="F183" s="16" t="n">
        <v>40</v>
      </c>
      <c r="G183" s="21" t="inlineStr">
        <is>
          <t>Opcional</t>
        </is>
      </c>
      <c r="I183">
        <f>E183+33</f>
        <v/>
      </c>
    </row>
    <row r="184">
      <c r="B184" s="10" t="inlineStr">
        <is>
          <t xml:space="preserve">    09  :PREFIX:-MR-LOCALIDADE          PIC X(40).</t>
        </is>
      </c>
      <c r="C184" s="122" t="n"/>
      <c r="D184" s="16" t="inlineStr">
        <is>
          <t>Localidade</t>
        </is>
      </c>
      <c r="E184" s="13">
        <f>E183+F183</f>
        <v/>
      </c>
      <c r="F184" s="16" t="n">
        <v>40</v>
      </c>
      <c r="G184" s="21" t="inlineStr">
        <is>
          <t>Opcional</t>
        </is>
      </c>
      <c r="I184">
        <f>E184+33</f>
        <v/>
      </c>
    </row>
    <row r="185">
      <c r="B185" s="10" t="inlineStr">
        <is>
          <t xml:space="preserve">    09  :PREFIX:-MR-CPOSTAL             PIC X(09).</t>
        </is>
      </c>
      <c r="C185" s="122" t="n"/>
      <c r="D185" s="16" t="inlineStr">
        <is>
          <t>Código postal (Se estrangeiro deverá vir a zeros) [9999-999]</t>
        </is>
      </c>
      <c r="E185" s="13">
        <f>E184+F184</f>
        <v/>
      </c>
      <c r="F185" s="16" t="n">
        <v>9</v>
      </c>
      <c r="G185" s="21" t="inlineStr">
        <is>
          <t>Opcional</t>
        </is>
      </c>
      <c r="I185">
        <f>E185+33</f>
        <v/>
      </c>
    </row>
    <row r="186">
      <c r="B186" s="10" t="inlineStr">
        <is>
          <t xml:space="preserve">    09  :PREFIX:-MR-CPOSTAL-DESC        PIC X(40).</t>
        </is>
      </c>
      <c r="C186" s="122" t="n"/>
      <c r="D186" s="16" t="inlineStr">
        <is>
          <t>Descritivo do código postal</t>
        </is>
      </c>
      <c r="E186" s="13">
        <f>E185+F185</f>
        <v/>
      </c>
      <c r="F186" s="16" t="n">
        <v>40</v>
      </c>
      <c r="G186" s="21" t="inlineStr">
        <is>
          <t>Opcional</t>
        </is>
      </c>
      <c r="I186">
        <f>E186+33</f>
        <v/>
      </c>
    </row>
    <row r="187">
      <c r="B187" s="10" t="inlineStr">
        <is>
          <t xml:space="preserve">    09  FILLER                          PIC X(21).</t>
        </is>
      </c>
      <c r="C187" s="122" t="n"/>
      <c r="D187" s="16" t="n"/>
      <c r="E187" s="13">
        <f>E186+F186</f>
        <v/>
      </c>
      <c r="F187" s="16" t="n">
        <v>21</v>
      </c>
      <c r="G187" s="9" t="n"/>
      <c r="I187">
        <f>E187+33</f>
        <v/>
      </c>
    </row>
    <row r="188">
      <c r="A188" s="142" t="n"/>
      <c r="B188" s="137" t="inlineStr">
        <is>
          <t xml:space="preserve">  07  :PREFIX:-UR-AT              REDEFINES :PREFIX:-DADOS-UR.</t>
        </is>
      </c>
      <c r="C188" s="138" t="n"/>
      <c r="D188" s="139" t="n"/>
      <c r="E188" s="8">
        <f>E145</f>
        <v/>
      </c>
      <c r="F188" s="139" t="n"/>
      <c r="G188" s="45" t="n"/>
    </row>
    <row r="189">
      <c r="B189" s="10" t="inlineStr">
        <is>
          <t xml:space="preserve">    09  :PREFIX:-AT-OBJETO              PIC X(65).</t>
        </is>
      </c>
      <c r="C189" s="122" t="n"/>
      <c r="D189" s="16" t="inlineStr">
        <is>
          <t>Objeto</t>
        </is>
      </c>
      <c r="E189" s="13">
        <f>E188+F188</f>
        <v/>
      </c>
      <c r="F189" s="16" t="n">
        <v>65</v>
      </c>
      <c r="G189" s="19" t="inlineStr">
        <is>
          <t>Condicional</t>
        </is>
      </c>
      <c r="I189">
        <f>E189+33</f>
        <v/>
      </c>
    </row>
    <row r="190">
      <c r="B190" s="10" t="inlineStr">
        <is>
          <t xml:space="preserve">    09  FILLER                          PIC X(135).</t>
        </is>
      </c>
      <c r="C190" s="122" t="n"/>
      <c r="D190" s="16" t="n"/>
      <c r="E190" s="13">
        <f>E189+F189</f>
        <v/>
      </c>
      <c r="F190" s="16" t="n">
        <v>135</v>
      </c>
      <c r="G190" s="9" t="n"/>
      <c r="I190">
        <f>E190+33</f>
        <v/>
      </c>
    </row>
    <row r="191">
      <c r="B191" s="5" t="inlineStr">
        <is>
          <t xml:space="preserve">  07  :PREFIX:-DADOS-OUT                PIC X(150).</t>
        </is>
      </c>
      <c r="C191" s="29" t="n"/>
      <c r="D191" s="7" t="n"/>
      <c r="E191" s="8">
        <f>E145+F145</f>
        <v/>
      </c>
      <c r="F191" s="8" t="n">
        <v>150</v>
      </c>
      <c r="G191" s="45" t="n"/>
    </row>
    <row r="192">
      <c r="B192" s="137" t="inlineStr">
        <is>
          <t xml:space="preserve">  07  :PREFIX:-OUT-VIDA           REDEFINES :PREFIX:-DADOS-OUT.</t>
        </is>
      </c>
      <c r="C192" s="138" t="inlineStr">
        <is>
          <t xml:space="preserve"> </t>
        </is>
      </c>
      <c r="D192" s="139" t="n"/>
      <c r="E192" s="8">
        <f>E191</f>
        <v/>
      </c>
      <c r="F192" s="139" t="n"/>
      <c r="G192" s="45" t="n"/>
    </row>
    <row r="193">
      <c r="B193" s="10" t="inlineStr">
        <is>
          <t xml:space="preserve">    09  :PREFIX:-PS-TIPO                PIC X(03).</t>
        </is>
      </c>
      <c r="C193" s="122" t="inlineStr">
        <is>
          <t xml:space="preserve"> </t>
        </is>
      </c>
      <c r="D193" s="16" t="inlineStr">
        <is>
          <t>Tipo de apólice Vida</t>
        </is>
      </c>
      <c r="E193" s="13">
        <f>E192+F192</f>
        <v/>
      </c>
      <c r="F193" s="16" t="n">
        <v>3</v>
      </c>
      <c r="G193" s="9" t="inlineStr">
        <is>
          <t>Condicional</t>
        </is>
      </c>
      <c r="I193">
        <f>E193+33</f>
        <v/>
      </c>
    </row>
    <row r="194">
      <c r="B194" s="10" t="inlineStr">
        <is>
          <t xml:space="preserve">        88  :PREFIX:-PS-RISCO-GR            VALUE 'VRG'.</t>
        </is>
      </c>
      <c r="C194" s="122" t="inlineStr">
        <is>
          <t xml:space="preserve"> </t>
        </is>
      </c>
      <c r="D194" s="25" t="inlineStr">
        <is>
          <t xml:space="preserve">     'VRG' - Vida Risco Grupo</t>
        </is>
      </c>
      <c r="E194" s="13" t="n"/>
      <c r="F194" s="16" t="n"/>
      <c r="G194" s="15" t="n"/>
    </row>
    <row r="195">
      <c r="B195" s="10" t="inlineStr">
        <is>
          <t xml:space="preserve">        88  :PREFIX:-PS-RISCO-IN            VALUE 'VRI'.</t>
        </is>
      </c>
      <c r="C195" s="122" t="inlineStr">
        <is>
          <t xml:space="preserve"> </t>
        </is>
      </c>
      <c r="D195" s="25" t="inlineStr">
        <is>
          <t xml:space="preserve">     'VRI' - Vida Risco Individual</t>
        </is>
      </c>
      <c r="E195" s="13" t="n"/>
      <c r="F195" s="16" t="n"/>
      <c r="G195" s="15" t="n"/>
    </row>
    <row r="196">
      <c r="B196" s="10" t="inlineStr">
        <is>
          <t xml:space="preserve">        88  :PREFIX:-PS-CAPITALI            VALUE 'CAP'.</t>
        </is>
      </c>
      <c r="C196" s="122" t="inlineStr">
        <is>
          <t xml:space="preserve"> </t>
        </is>
      </c>
      <c r="D196" s="25" t="inlineStr">
        <is>
          <t xml:space="preserve">     'CAP' - Vida Capitalização</t>
        </is>
      </c>
      <c r="E196" s="13" t="n"/>
      <c r="F196" s="16" t="n"/>
      <c r="G196" s="18" t="n"/>
    </row>
    <row r="197">
      <c r="B197" s="10" t="inlineStr">
        <is>
          <t xml:space="preserve">    09  :PREFIX:-PS-ADERENTE            PIC X(08).</t>
        </is>
      </c>
      <c r="C197" s="122" t="inlineStr">
        <is>
          <t xml:space="preserve"> </t>
        </is>
      </c>
      <c r="D197" s="16" t="inlineStr">
        <is>
          <t>Número de Aderente - 'PES. SEGURA' (Obs: Preenchido, significa que o nr de apólice é composto)</t>
        </is>
      </c>
      <c r="E197" s="13">
        <f>E193+F193</f>
        <v/>
      </c>
      <c r="F197" s="16" t="n">
        <v>8</v>
      </c>
      <c r="G197" s="9" t="inlineStr">
        <is>
          <t>Opcional</t>
        </is>
      </c>
      <c r="I197">
        <f>E197+33</f>
        <v/>
      </c>
    </row>
    <row r="198">
      <c r="B198" s="10" t="inlineStr">
        <is>
          <t xml:space="preserve">    09  FILLER                          PIC X(139).</t>
        </is>
      </c>
      <c r="C198" s="122" t="inlineStr">
        <is>
          <t xml:space="preserve"> </t>
        </is>
      </c>
      <c r="D198" s="16" t="n"/>
      <c r="E198" s="13">
        <f>E197+F197</f>
        <v/>
      </c>
      <c r="F198" s="16" t="n">
        <v>139</v>
      </c>
      <c r="G198" s="9" t="n"/>
      <c r="I198">
        <f>E198+33</f>
        <v/>
      </c>
    </row>
    <row r="199">
      <c r="B199" s="137" t="inlineStr">
        <is>
          <t xml:space="preserve">  07  :PREFIX:-OUT-MULTIRISCO     REDEFINES :PREFIX:-DADOS-OUT.</t>
        </is>
      </c>
      <c r="C199" s="138" t="n"/>
      <c r="D199" s="139" t="n"/>
      <c r="E199" s="8">
        <f>E191</f>
        <v/>
      </c>
      <c r="F199" s="139" t="n"/>
      <c r="G199" s="45" t="n"/>
      <c r="H199" s="131" t="n"/>
    </row>
    <row r="200">
      <c r="B200" s="10" t="inlineStr">
        <is>
          <t xml:space="preserve">    09  :PREFIX:-MR-IND-TEXT-FRENT      PIC X(01).</t>
        </is>
      </c>
      <c r="C200" s="122" t="n"/>
      <c r="D200" s="16" t="inlineStr">
        <is>
          <t>Indicador de inclusão de texto no Aviso (ex: "S" - MR Hab)</t>
        </is>
      </c>
      <c r="E200" s="13">
        <f>E199+F199</f>
        <v/>
      </c>
      <c r="F200" s="16" t="n">
        <v>1</v>
      </c>
      <c r="G200" s="21" t="inlineStr">
        <is>
          <t>Opcional</t>
        </is>
      </c>
      <c r="I200">
        <f>E200+33</f>
        <v/>
      </c>
    </row>
    <row r="201">
      <c r="B201" s="10" t="inlineStr">
        <is>
          <t xml:space="preserve">    09  :PREFIX:-MR-IND-TEXT-VERSO      PIC X(02).</t>
        </is>
      </c>
      <c r="C201" s="122" t="n"/>
      <c r="D201" s="16" t="inlineStr">
        <is>
          <t>Indicador de inclusão de texto no verso do Aviso (ex: "1" - Riscos Simples e "2" - Riscos Industriais)</t>
        </is>
      </c>
      <c r="E201" s="13">
        <f>E200+F200</f>
        <v/>
      </c>
      <c r="F201" s="16" t="n">
        <v>2</v>
      </c>
      <c r="G201" s="21" t="inlineStr">
        <is>
          <t>Opcional</t>
        </is>
      </c>
      <c r="I201">
        <f>E201+33</f>
        <v/>
      </c>
    </row>
    <row r="202" ht="30" customHeight="1">
      <c r="B202" s="40" t="inlineStr">
        <is>
          <t xml:space="preserve">    09  :PREFIX:-MR-CAP-IMOV            PIC S9(12)V9(02)
                                            SIGN LEADING SEPARATE.</t>
        </is>
      </c>
      <c r="C202" s="143" t="n"/>
      <c r="D202" s="25" t="inlineStr">
        <is>
          <t>Descritivo: 'CAPITAL IMÓVEL'</t>
        </is>
      </c>
      <c r="E202" s="156">
        <f>E201+F201</f>
        <v/>
      </c>
      <c r="F202" s="25" t="n">
        <v>15</v>
      </c>
      <c r="G202" s="21" t="inlineStr">
        <is>
          <t>Opcional</t>
        </is>
      </c>
      <c r="I202">
        <f>E202+33</f>
        <v/>
      </c>
    </row>
    <row r="203">
      <c r="B203" s="10" t="inlineStr">
        <is>
          <t xml:space="preserve">    09  :PREFIX:-MR-TIPO-ACTZ           PIC X(02).</t>
        </is>
      </c>
      <c r="C203" s="122" t="n"/>
      <c r="D203" s="16" t="inlineStr">
        <is>
          <t>Tipo de atualização tarifária (ex: "CA" - Convencionada, "IA" - Indexada, "SA" - Sem actualização, "VA" - Vários)</t>
        </is>
      </c>
      <c r="E203" s="13">
        <f>E202+F202</f>
        <v/>
      </c>
      <c r="F203" s="16" t="n">
        <v>2</v>
      </c>
      <c r="G203" s="21" t="inlineStr">
        <is>
          <t>Opcional</t>
        </is>
      </c>
      <c r="I203">
        <f>E203+33</f>
        <v/>
      </c>
    </row>
    <row r="204">
      <c r="B204" s="10" t="inlineStr">
        <is>
          <t xml:space="preserve">    09  :PREFIX:-MR-TEXT-FRENT          PIC X(60).</t>
        </is>
      </c>
      <c r="C204" s="122" t="n"/>
      <c r="D204" s="16" t="inlineStr">
        <is>
          <t>Inclusão de texto na frente do Aviso</t>
        </is>
      </c>
      <c r="E204" s="13">
        <f>E203+F203</f>
        <v/>
      </c>
      <c r="F204" s="16" t="n">
        <v>60</v>
      </c>
      <c r="G204" s="21" t="inlineStr">
        <is>
          <t>Opcional</t>
        </is>
      </c>
      <c r="I204">
        <f>E204+33</f>
        <v/>
      </c>
    </row>
    <row r="205">
      <c r="B205" s="10" t="inlineStr">
        <is>
          <t xml:space="preserve">    09  FILLER                          PIC X(70).</t>
        </is>
      </c>
      <c r="C205" s="122" t="n"/>
      <c r="D205" s="16" t="n"/>
      <c r="E205" s="13">
        <f>E204+F204</f>
        <v/>
      </c>
      <c r="F205" s="16" t="n">
        <v>70</v>
      </c>
      <c r="G205" s="9" t="n"/>
      <c r="I205">
        <f>E205+33</f>
        <v/>
      </c>
    </row>
    <row r="206">
      <c r="B206" s="137" t="inlineStr">
        <is>
          <t xml:space="preserve">  07  :PREFIX:-OUT-AT             REDEFINES :PREFIX:-DADOS-OUT.</t>
        </is>
      </c>
      <c r="C206" s="138" t="n"/>
      <c r="D206" s="139" t="n"/>
      <c r="E206" s="8">
        <f>E191</f>
        <v/>
      </c>
      <c r="F206" s="139" t="n"/>
      <c r="G206" s="45" t="n"/>
    </row>
    <row r="207">
      <c r="B207" s="10" t="inlineStr">
        <is>
          <t xml:space="preserve">    09  :PREFIX:-AT-IND-TEXT-FRENT      PIC X(01).</t>
        </is>
      </c>
      <c r="C207" s="122" t="n"/>
      <c r="D207" s="16" t="inlineStr">
        <is>
          <t>Indicador de inclusão de texto no Aviso (ex: "A" - AT Portaria e "T" - AT Tarif)</t>
        </is>
      </c>
      <c r="E207" s="13">
        <f>E206+F206</f>
        <v/>
      </c>
      <c r="F207" s="16" t="n">
        <v>1</v>
      </c>
      <c r="G207" s="21" t="inlineStr">
        <is>
          <t>Opcional</t>
        </is>
      </c>
      <c r="I207">
        <f>E207+33</f>
        <v/>
      </c>
    </row>
    <row r="208">
      <c r="B208" s="10" t="inlineStr">
        <is>
          <t xml:space="preserve">    09  :PREFIX:-AT-TEXT-FRENT          PIC X(60).</t>
        </is>
      </c>
      <c r="C208" s="122" t="n"/>
      <c r="D208" s="16" t="inlineStr">
        <is>
          <t>Inclusão de texto na frente do Aviso</t>
        </is>
      </c>
      <c r="E208" s="13">
        <f>E207+F207</f>
        <v/>
      </c>
      <c r="F208" s="16" t="n">
        <v>60</v>
      </c>
      <c r="G208" s="21" t="inlineStr">
        <is>
          <t>Opcional</t>
        </is>
      </c>
      <c r="I208">
        <f>E208+33</f>
        <v/>
      </c>
    </row>
    <row r="209">
      <c r="B209" s="10" t="inlineStr">
        <is>
          <t xml:space="preserve">    09  FILLER                          PIC X(89).</t>
        </is>
      </c>
      <c r="C209" s="122" t="n"/>
      <c r="D209" s="16" t="n"/>
      <c r="E209" s="13">
        <f>E208+F208</f>
        <v/>
      </c>
      <c r="F209" s="16" t="n">
        <v>89</v>
      </c>
      <c r="G209" s="9" t="n"/>
      <c r="I209">
        <f>E209+33</f>
        <v/>
      </c>
    </row>
    <row r="210">
      <c r="B210" s="30" t="inlineStr">
        <is>
          <t xml:space="preserve">  07  :PREFIX:-DADOS-EXTRATO            PIC X(32).</t>
        </is>
      </c>
      <c r="C210" s="127" t="n"/>
      <c r="D210" s="32" t="inlineStr">
        <is>
          <t>(originalmente DADOS-EXTRATO)</t>
        </is>
      </c>
      <c r="E210" s="38">
        <f>E191+F191</f>
        <v/>
      </c>
      <c r="F210" s="32" t="n">
        <v>32</v>
      </c>
      <c r="G210" s="130" t="n"/>
      <c r="I210">
        <f>E210+33</f>
        <v/>
      </c>
    </row>
    <row r="211">
      <c r="B211" s="30" t="inlineStr">
        <is>
          <t xml:space="preserve">  07  :PREFIX:-DADOS-CERTIFICACAO.</t>
        </is>
      </c>
      <c r="C211" s="127" t="n"/>
      <c r="D211" s="32" t="n"/>
      <c r="E211" s="38">
        <f>E210+F210</f>
        <v/>
      </c>
      <c r="F211" s="32" t="n"/>
      <c r="G211" s="130" t="n"/>
    </row>
    <row r="212">
      <c r="B212" s="162" t="inlineStr">
        <is>
          <t xml:space="preserve">    09  :PREFIX:-CF-NIF-EMITENTE        PIC 9(09).</t>
        </is>
      </c>
      <c r="C212" s="163" t="n"/>
      <c r="D212" s="164" t="inlineStr">
        <is>
          <t>NIF da Entidade emissora</t>
        </is>
      </c>
      <c r="E212" s="44">
        <f>E211+F211</f>
        <v/>
      </c>
      <c r="F212" s="164" t="n">
        <v>9</v>
      </c>
      <c r="G212" s="17" t="inlineStr">
        <is>
          <t>Obrigatório</t>
        </is>
      </c>
      <c r="I212">
        <f>E212+33</f>
        <v/>
      </c>
    </row>
    <row r="213">
      <c r="B213" s="162" t="inlineStr">
        <is>
          <t xml:space="preserve">    09  :PREFIX:-CF-NUM-CERTIF-AVSO     PIC X(60).</t>
        </is>
      </c>
      <c r="C213" s="163" t="n"/>
      <c r="D213" s="164" t="inlineStr">
        <is>
          <t>Número de Certificação do Recibo correspondente</t>
        </is>
      </c>
      <c r="E213" s="44">
        <f>E212+F212</f>
        <v/>
      </c>
      <c r="F213" s="164" t="n">
        <v>60</v>
      </c>
      <c r="G213" s="17" t="inlineStr">
        <is>
          <t>Obrigatório</t>
        </is>
      </c>
      <c r="I213">
        <f>E213+33</f>
        <v/>
      </c>
    </row>
    <row r="214">
      <c r="B214" s="162" t="inlineStr">
        <is>
          <t xml:space="preserve">    09  :PREFIX:-CF-ATCUD               PIC X(70).</t>
        </is>
      </c>
      <c r="C214" s="163" t="n"/>
      <c r="D214" s="164" t="inlineStr">
        <is>
          <t>Código único de Documento</t>
        </is>
      </c>
      <c r="E214" s="44">
        <f>E213+F213</f>
        <v/>
      </c>
      <c r="F214" s="164" t="n">
        <v>70</v>
      </c>
      <c r="G214" s="17" t="inlineStr">
        <is>
          <t>Obrigatório</t>
        </is>
      </c>
      <c r="I214">
        <f>E214+33</f>
        <v/>
      </c>
    </row>
    <row r="215">
      <c r="B215" s="162" t="inlineStr">
        <is>
          <t xml:space="preserve">    09  :PREFIX:-CF-NUM-PROG-CERTIF     PIC 9(04).</t>
        </is>
      </c>
      <c r="C215" s="163" t="n"/>
      <c r="D215" s="164" t="inlineStr">
        <is>
          <t>Número do Programa usado para Certificação do Documento</t>
        </is>
      </c>
      <c r="E215" s="44">
        <f>E214+F214</f>
        <v/>
      </c>
      <c r="F215" s="164" t="n">
        <v>4</v>
      </c>
      <c r="G215" s="17" t="inlineStr">
        <is>
          <t>Obrigatório</t>
        </is>
      </c>
      <c r="I215">
        <f>E215+33</f>
        <v/>
      </c>
    </row>
    <row r="216">
      <c r="B216" s="162" t="inlineStr">
        <is>
          <t xml:space="preserve">    09  :PREFIX:-CF-HASH                PIC X(04).</t>
        </is>
      </c>
      <c r="C216" s="163" t="n"/>
      <c r="D216" s="164" t="inlineStr">
        <is>
          <t>Código Hash</t>
        </is>
      </c>
      <c r="E216" s="44">
        <f>E215+F215</f>
        <v/>
      </c>
      <c r="F216" s="164" t="n">
        <v>4</v>
      </c>
      <c r="G216" s="17" t="inlineStr">
        <is>
          <t>Obrigatório</t>
        </is>
      </c>
      <c r="I216">
        <f>E216+33</f>
        <v/>
      </c>
    </row>
    <row r="217">
      <c r="B217" s="162" t="inlineStr">
        <is>
          <t xml:space="preserve">    09  :PREFIX:-CF-NUM-COMPROMISSO     PIC X(20).</t>
        </is>
      </c>
      <c r="C217" s="163" t="n"/>
      <c r="D217" s="164" t="inlineStr">
        <is>
          <t>Número do Compromisso</t>
        </is>
      </c>
      <c r="E217" s="44">
        <f>E216+F216</f>
        <v/>
      </c>
      <c r="F217" s="164" t="n">
        <v>20</v>
      </c>
      <c r="G217" s="17" t="inlineStr">
        <is>
          <t>Obrigatório</t>
        </is>
      </c>
      <c r="I217">
        <f>E217+33</f>
        <v/>
      </c>
    </row>
    <row r="218" ht="30" customHeight="1">
      <c r="B218" s="165" t="inlineStr">
        <is>
          <t xml:space="preserve">    09  :PREFIX:-CF-BASE-TRIBUTAVEL     PIC S9(12)V9(02)
                                            SIGN LEADING SEPARATE.</t>
        </is>
      </c>
      <c r="C218" s="218" t="n"/>
      <c r="D218" s="219" t="inlineStr">
        <is>
          <t>Valor Base para tributação pelas Finanças</t>
        </is>
      </c>
      <c r="E218" s="44">
        <f>E217+F217</f>
        <v/>
      </c>
      <c r="F218" s="164" t="n">
        <v>15</v>
      </c>
      <c r="G218" s="17" t="inlineStr">
        <is>
          <t>Obrigatório</t>
        </is>
      </c>
      <c r="I218">
        <f>E218+33</f>
        <v/>
      </c>
    </row>
    <row r="219">
      <c r="B219" s="162" t="inlineStr">
        <is>
          <t xml:space="preserve">    09  :PREFIX:-CF-ESTADO-DOCUMENTO    PIC X(01).</t>
        </is>
      </c>
      <c r="C219" s="163" t="n"/>
      <c r="D219" s="164" t="inlineStr">
        <is>
          <t>Estado do Documento</t>
        </is>
      </c>
      <c r="E219" s="44">
        <f>E218+F218</f>
        <v/>
      </c>
      <c r="F219" s="164" t="n">
        <v>1</v>
      </c>
      <c r="G219" s="17" t="inlineStr">
        <is>
          <t>Obrigatório</t>
        </is>
      </c>
    </row>
    <row r="220">
      <c r="B220" s="162" t="inlineStr">
        <is>
          <t xml:space="preserve">    09  :PREFIX:-CF-ESPACO-FISCAL-IVA   PIC X(05).</t>
        </is>
      </c>
      <c r="C220" s="163" t="n"/>
      <c r="D220" s="164" t="inlineStr">
        <is>
          <t>Espaço Fiscal do IVA</t>
        </is>
      </c>
      <c r="E220" s="44">
        <f>E219+F219</f>
        <v/>
      </c>
      <c r="F220" s="164" t="n">
        <v>5</v>
      </c>
      <c r="G220" s="17" t="inlineStr">
        <is>
          <t>Obrigatório</t>
        </is>
      </c>
      <c r="I220">
        <f>E220+33</f>
        <v/>
      </c>
    </row>
    <row r="221">
      <c r="B221" s="162" t="inlineStr">
        <is>
          <t xml:space="preserve">    09  :PREFIX:-CF-NUM-CERTIF-FATURA   PIC X(60).</t>
        </is>
      </c>
      <c r="C221" s="163" t="n"/>
      <c r="D221" s="164" t="inlineStr">
        <is>
          <t>Número de Certificação da Fatura / Nota de Crédito</t>
        </is>
      </c>
      <c r="E221" s="44">
        <f>E220+F220</f>
        <v/>
      </c>
      <c r="F221" s="164" t="n">
        <v>60</v>
      </c>
      <c r="G221" s="17" t="inlineStr">
        <is>
          <t>Obrigatório</t>
        </is>
      </c>
    </row>
    <row r="222">
      <c r="B222" s="30" t="inlineStr">
        <is>
          <t xml:space="preserve">  07  :PREFIX:-DADOS-MENSAGEM.</t>
        </is>
      </c>
      <c r="C222" s="127" t="n"/>
      <c r="D222" s="32" t="n"/>
      <c r="E222" s="38">
        <f>E221+F221</f>
        <v/>
      </c>
      <c r="F222" s="32" t="n"/>
      <c r="G222" s="130" t="n"/>
    </row>
    <row r="223">
      <c r="B223" s="162" t="inlineStr">
        <is>
          <t xml:space="preserve">    09  :PREFIX:-MS-INDIC-MENSAGENS     PIC X(01).</t>
        </is>
      </c>
      <c r="C223" s="163" t="n"/>
      <c r="D223" s="164" t="inlineStr">
        <is>
          <t xml:space="preserve">Indicador da existência de Mensagem adicional </t>
        </is>
      </c>
      <c r="E223" s="44">
        <f>E222+F222</f>
        <v/>
      </c>
      <c r="F223" s="164" t="n">
        <v>1</v>
      </c>
      <c r="G223" s="164" t="n"/>
      <c r="I223">
        <f>E223+33</f>
        <v/>
      </c>
    </row>
    <row r="224">
      <c r="B224" s="30" t="inlineStr">
        <is>
          <t xml:space="preserve">  07  :PREFIX:-REFERENCIA-ARQUIVO.</t>
        </is>
      </c>
      <c r="C224" s="127" t="n"/>
      <c r="D224" s="32" t="n"/>
      <c r="E224" s="38">
        <f>E223+F223</f>
        <v/>
      </c>
      <c r="F224" s="32" t="n"/>
      <c r="G224" s="130" t="n"/>
    </row>
    <row r="225">
      <c r="B225" s="10" t="inlineStr">
        <is>
          <t xml:space="preserve">    09  :PREFIX:-RA-GUID                PIC X(36).</t>
        </is>
      </c>
      <c r="C225" s="122" t="n"/>
      <c r="D225" s="16" t="inlineStr">
        <is>
          <t>Chave Única do documento</t>
        </is>
      </c>
      <c r="E225" s="44">
        <f>E224+F224</f>
        <v/>
      </c>
      <c r="F225" s="16" t="n">
        <v>36</v>
      </c>
      <c r="G225" s="16" t="n"/>
      <c r="I225">
        <f>E225+33</f>
        <v/>
      </c>
    </row>
    <row r="226">
      <c r="B226" s="30" t="inlineStr">
        <is>
          <t xml:space="preserve">  07  :PREFIX:-DADOS-ASF                PIC X(78).</t>
        </is>
      </c>
      <c r="C226" s="127" t="n"/>
      <c r="D226" s="32" t="inlineStr">
        <is>
          <t>(originalmente DADOS-ASF)</t>
        </is>
      </c>
      <c r="E226" s="38">
        <f>E225+F225</f>
        <v/>
      </c>
      <c r="F226" s="32" t="n">
        <v>78</v>
      </c>
      <c r="G226" s="130" t="n"/>
      <c r="I226">
        <f>E226+33</f>
        <v/>
      </c>
    </row>
    <row r="227">
      <c r="B227" s="30" t="inlineStr">
        <is>
          <t xml:space="preserve">  07  :PREFIX:-DADOS-TAILOR.</t>
        </is>
      </c>
      <c r="C227" s="127" t="n"/>
      <c r="D227" s="33" t="n"/>
      <c r="E227" s="128">
        <f>E226+F226</f>
        <v/>
      </c>
      <c r="F227" s="129" t="n"/>
      <c r="G227" s="130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</row>
    <row r="228">
      <c r="B228" s="10" t="inlineStr">
        <is>
          <t xml:space="preserve">    09  :PREFIX:-DT-IND-APOL-AGREGADA   PIC X(01).</t>
        </is>
      </c>
      <c r="C228" s="122" t="n"/>
      <c r="D228" s="16" t="inlineStr">
        <is>
          <t>Indicador de Apólice Agregada (S/N)</t>
        </is>
      </c>
      <c r="E228" s="222">
        <f>E227+F227</f>
        <v/>
      </c>
      <c r="F228" s="223" t="n">
        <v>1</v>
      </c>
      <c r="G228" s="17" t="inlineStr">
        <is>
          <t>Obrigatório</t>
        </is>
      </c>
      <c r="I228">
        <f>E228+33</f>
        <v/>
      </c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</row>
    <row r="229">
      <c r="B229" s="10" t="inlineStr">
        <is>
          <t xml:space="preserve">        88  :PREFIX:-DT-APOL-TAILOR         VALUE 'S'.</t>
        </is>
      </c>
      <c r="C229" s="122" t="inlineStr">
        <is>
          <t xml:space="preserve"> </t>
        </is>
      </c>
      <c r="D229" s="136" t="inlineStr">
        <is>
          <t xml:space="preserve">     'S' - Apólice Tailor</t>
        </is>
      </c>
      <c r="E229" s="222" t="n"/>
      <c r="F229" s="223" t="n"/>
      <c r="G229" s="18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</row>
    <row r="230">
      <c r="B230" s="99" t="inlineStr">
        <is>
          <t xml:space="preserve">  07  FILLER                            PIC X(480).</t>
        </is>
      </c>
      <c r="C230" s="127" t="n"/>
      <c r="D230" s="32" t="n"/>
      <c r="E230" s="128">
        <f>E228+F228</f>
        <v/>
      </c>
      <c r="F230" s="129">
        <f>E288-E230+1</f>
        <v/>
      </c>
      <c r="G230" s="130" t="n"/>
      <c r="I230">
        <f>E230+33</f>
        <v/>
      </c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</row>
    <row r="231">
      <c r="B231" s="92" t="inlineStr">
        <is>
          <t>05  FILLER                        REDEFINES :PREFIX:-DADOS-DOCUMENTO.</t>
        </is>
      </c>
      <c r="C231" s="92" t="n"/>
      <c r="D231" s="74" t="n"/>
      <c r="E231" s="93" t="n"/>
      <c r="F231" s="93" t="n"/>
      <c r="G231" s="45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</row>
    <row r="232">
      <c r="B232" s="99" t="inlineStr">
        <is>
          <t xml:space="preserve">  07  :PREFIX:-DETALHE-TAILOR.</t>
        </is>
      </c>
      <c r="C232" s="99" t="n"/>
      <c r="D232" s="100" t="n"/>
      <c r="E232" s="144">
        <f>E46+F46</f>
        <v/>
      </c>
      <c r="F232" s="145" t="n"/>
      <c r="G232" s="130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</row>
    <row r="233">
      <c r="B233" s="80" t="inlineStr">
        <is>
          <t xml:space="preserve">    09  :PREFIX:-TA-NR-APOLICE          PIC X(16).</t>
        </is>
      </c>
      <c r="C233" s="80" t="n"/>
      <c r="D233" s="39" t="inlineStr">
        <is>
          <t>Número da Apólice</t>
        </is>
      </c>
      <c r="E233" s="90">
        <f>E232+F232</f>
        <v/>
      </c>
      <c r="F233" s="91" t="n">
        <v>16</v>
      </c>
      <c r="G233" s="17" t="inlineStr">
        <is>
          <t>Obrigatório</t>
        </is>
      </c>
      <c r="I233">
        <f>E233+33</f>
        <v/>
      </c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</row>
    <row r="234">
      <c r="B234" s="80" t="inlineStr">
        <is>
          <t xml:space="preserve">    09  :PREFIX:-TA-COD-PRODUTO         PIC X(10).</t>
        </is>
      </c>
      <c r="C234" s="80" t="n"/>
      <c r="D234" s="39" t="inlineStr">
        <is>
          <t>Código de Produto [Garantir que no máximo vem 6 posições]</t>
        </is>
      </c>
      <c r="E234" s="90">
        <f>E233+F233</f>
        <v/>
      </c>
      <c r="F234" s="91" t="n">
        <v>10</v>
      </c>
      <c r="G234" s="19" t="inlineStr">
        <is>
          <t>Condicional</t>
        </is>
      </c>
      <c r="I234">
        <f>E234+33</f>
        <v/>
      </c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</row>
    <row r="235">
      <c r="B235" s="80" t="inlineStr">
        <is>
          <t xml:space="preserve">    09  :PREFIX:-TA-COD-RAMO            PIC X(10).</t>
        </is>
      </c>
      <c r="C235" s="80" t="n"/>
      <c r="D235" s="39" t="inlineStr">
        <is>
          <t>Código do Ramo SO [Garantir que no máximo vem 6 posições]</t>
        </is>
      </c>
      <c r="E235" s="90">
        <f>E234+F234</f>
        <v/>
      </c>
      <c r="F235" s="91" t="n">
        <v>10</v>
      </c>
      <c r="G235" s="19" t="inlineStr">
        <is>
          <t>Condicional</t>
        </is>
      </c>
      <c r="I235">
        <f>E235+33</f>
        <v/>
      </c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</row>
    <row r="236">
      <c r="A236" s="131" t="n"/>
      <c r="B236" s="112" t="inlineStr">
        <is>
          <t xml:space="preserve">    09  :PREFIX:-TA-DESCR-RAMO-PROD     PIC X(40).</t>
        </is>
      </c>
      <c r="C236" s="112" t="n"/>
      <c r="D236" s="98" t="inlineStr">
        <is>
          <t>Descritivo do Ramo / Produto (Para apresentação no A-R)</t>
        </is>
      </c>
      <c r="E236" s="90">
        <f>E235+F235</f>
        <v/>
      </c>
      <c r="F236" s="91" t="n">
        <v>40</v>
      </c>
      <c r="G236" s="17" t="inlineStr">
        <is>
          <t>Obrigatório</t>
        </is>
      </c>
      <c r="I236">
        <f>E236+33</f>
        <v/>
      </c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</row>
    <row r="237">
      <c r="A237" s="131" t="n"/>
      <c r="B237" s="112" t="inlineStr">
        <is>
          <t xml:space="preserve">    09  :PREFIX:-TA-VI-TIPO-APOLICE     PIC X(02).</t>
        </is>
      </c>
      <c r="C237" s="112" t="n"/>
      <c r="D237" s="98" t="inlineStr">
        <is>
          <t>Tipo de Apólice Vida</t>
        </is>
      </c>
      <c r="E237" s="90">
        <f>E236+F236</f>
        <v/>
      </c>
      <c r="F237" s="91" t="n">
        <v>2</v>
      </c>
      <c r="G237" s="21" t="inlineStr">
        <is>
          <t>Opcional</t>
        </is>
      </c>
      <c r="I237">
        <f>E237+33</f>
        <v/>
      </c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</row>
    <row r="238">
      <c r="B238" s="80" t="inlineStr">
        <is>
          <t xml:space="preserve">    09  :PREFIX:-DET-VALORES-TAILOR.</t>
        </is>
      </c>
      <c r="C238" s="80" t="n"/>
      <c r="D238" s="39" t="n"/>
      <c r="E238" s="90">
        <f>E237+F237</f>
        <v/>
      </c>
      <c r="F238" s="91" t="n"/>
      <c r="G238" s="9" t="n"/>
      <c r="I238">
        <f>E238+33</f>
        <v/>
      </c>
      <c r="K238" s="126" t="n"/>
      <c r="L238" s="126" t="n"/>
      <c r="M238" s="126" t="n"/>
      <c r="N238" s="126" t="n"/>
      <c r="O238" s="126" t="n"/>
    </row>
    <row r="239" ht="30" customHeight="1">
      <c r="B239" s="111" t="inlineStr">
        <is>
          <t xml:space="preserve">      11  :PREFIX:-DT-VLR-CAPITAL-RECIBO PIC S9(12)V9(02)
                                             SIGN LEADING SEPARATE.</t>
        </is>
      </c>
      <c r="C239" s="112" t="n"/>
      <c r="D239" s="98" t="inlineStr">
        <is>
          <t>Valor do capital / valor da entrega - Descritivo: 'CAPITAL' | 'PREMIO INVEST' |'CAPITAL ENTREGUE'</t>
        </is>
      </c>
      <c r="E239" s="90">
        <f>E238+F238</f>
        <v/>
      </c>
      <c r="F239" s="91" t="n">
        <v>15</v>
      </c>
      <c r="G239" s="21" t="inlineStr">
        <is>
          <t>Opcional</t>
        </is>
      </c>
      <c r="H239" s="131" t="n"/>
      <c r="I239">
        <f>E239+33</f>
        <v/>
      </c>
      <c r="K239" s="126" t="n"/>
      <c r="L239" s="126" t="n"/>
      <c r="M239" s="126" t="n"/>
      <c r="N239" s="126" t="n"/>
      <c r="O239" s="126" t="n"/>
    </row>
    <row r="240" ht="30" customHeight="1">
      <c r="B240" s="111" t="inlineStr">
        <is>
          <t xml:space="preserve">      11  :PREFIX:-DT-VLR-PREMIO-RISCO   PIC S9(12)V9(02)
                                             SIGN LEADING SEPARATE.</t>
        </is>
      </c>
      <c r="C240" s="112" t="n"/>
      <c r="D240" s="98" t="inlineStr">
        <is>
          <t>Valor de Prémio de Risco - Descritivo: 'PRÉMIO RISCO'</t>
        </is>
      </c>
      <c r="E240" s="90">
        <f>E239+F239</f>
        <v/>
      </c>
      <c r="F240" s="91" t="n">
        <v>15</v>
      </c>
      <c r="G240" s="21" t="inlineStr">
        <is>
          <t>Opcional</t>
        </is>
      </c>
      <c r="H240" s="131" t="n"/>
      <c r="I240">
        <f>E240+33</f>
        <v/>
      </c>
      <c r="K240" s="126" t="n"/>
      <c r="L240" s="126" t="n"/>
      <c r="M240" s="126" t="n"/>
      <c r="N240" s="126" t="n"/>
      <c r="O240" s="126" t="n"/>
    </row>
    <row r="241" ht="30" customHeight="1">
      <c r="B241" s="111" t="inlineStr">
        <is>
          <t xml:space="preserve">      11  :PREFIX:-DT-VLR-BONIFICACAO    PIC S9(12)V9(02)
                                             SIGN LEADING SEPARATE.</t>
        </is>
      </c>
      <c r="C241" s="112" t="n"/>
      <c r="D241" s="98" t="inlineStr">
        <is>
          <t>Bonificação (Colheitas) - Descritivo: 'BONIFICAÇÃO'</t>
        </is>
      </c>
      <c r="E241" s="90">
        <f>E240+F240</f>
        <v/>
      </c>
      <c r="F241" s="91" t="n">
        <v>15</v>
      </c>
      <c r="G241" s="21" t="inlineStr">
        <is>
          <t>Opcional</t>
        </is>
      </c>
      <c r="H241" s="131" t="n"/>
      <c r="I241">
        <f>E241+33</f>
        <v/>
      </c>
      <c r="K241" s="126" t="n"/>
      <c r="L241" s="126" t="n"/>
      <c r="M241" s="126" t="n"/>
      <c r="N241" s="126" t="n"/>
      <c r="O241" s="126" t="n"/>
    </row>
    <row r="242" ht="30" customHeight="1">
      <c r="B242" s="111" t="inlineStr">
        <is>
          <t xml:space="preserve">      11  :PREFIX:-DT-VLR-TOTAL-RECIBO   PIC S9(12)V9(02)
                                             SIGN LEADING SEPARATE.</t>
        </is>
      </c>
      <c r="C242" s="112" t="n"/>
      <c r="D242" s="98" t="inlineStr">
        <is>
          <t>Prémio total recibo - Descritivo: 'VALOR A PAGAR' | 'VALOR A RECEBER' | 'TOTAL DE PRÉMIOS'</t>
        </is>
      </c>
      <c r="E242" s="90">
        <f>E241+F241</f>
        <v/>
      </c>
      <c r="F242" s="91" t="n">
        <v>15</v>
      </c>
      <c r="G242" s="21" t="inlineStr">
        <is>
          <t>Opcional</t>
        </is>
      </c>
      <c r="H242" s="131" t="n"/>
      <c r="I242">
        <f>E242+33</f>
        <v/>
      </c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</row>
    <row r="243" ht="30" customHeight="1">
      <c r="B243" s="111" t="inlineStr">
        <is>
          <t xml:space="preserve">      11  :PREFIX:-DT-VLR-FRACC          PIC S9(12)V9(02)
                                             SIGN LEADING SEPARATE.</t>
        </is>
      </c>
      <c r="C243" s="112" t="n"/>
      <c r="D243" s="98" t="inlineStr">
        <is>
          <t>Custo de Fraccionamento - Descritivo: 'CUSTO FRACCIONAMENTO'</t>
        </is>
      </c>
      <c r="E243" s="90">
        <f>E242+F242</f>
        <v/>
      </c>
      <c r="F243" s="91" t="n">
        <v>15</v>
      </c>
      <c r="G243" s="21" t="inlineStr">
        <is>
          <t>Opcional</t>
        </is>
      </c>
      <c r="H243" s="131" t="n"/>
      <c r="I243">
        <f>E243+33</f>
        <v/>
      </c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</row>
    <row r="244" ht="30" customHeight="1">
      <c r="B244" s="111" t="inlineStr">
        <is>
          <t xml:space="preserve">      11  :PREFIX:-DT-VLR-FAT            PIC S9(12)V9(02)
                                             SIGN LEADING SEPARATE.</t>
        </is>
      </c>
      <c r="C244" s="112" t="n"/>
      <c r="D244" s="98" t="inlineStr">
        <is>
          <t>Fundo de Garantia de Acidentes de Trabalho - Descritivo: 'CV / SNB / FAT'</t>
        </is>
      </c>
      <c r="E244" s="90">
        <f>E243+F243</f>
        <v/>
      </c>
      <c r="F244" s="91" t="n">
        <v>15</v>
      </c>
      <c r="G244" s="21" t="inlineStr">
        <is>
          <t>Opcional</t>
        </is>
      </c>
      <c r="H244" s="131" t="n"/>
      <c r="I244">
        <f>E244+33</f>
        <v/>
      </c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</row>
    <row r="245" ht="30" customHeight="1">
      <c r="B245" s="111" t="inlineStr">
        <is>
          <t xml:space="preserve">      11  :PREFIX:-DT-VLR-FGA            PIC S9(12)V9(02)
                                             SIGN LEADING SEPARATE.</t>
        </is>
      </c>
      <c r="C245" s="112" t="n"/>
      <c r="D245" s="98" t="inlineStr">
        <is>
          <t>Fundo de Garantia Automóvel - Descritivo: 'F.CALAM / FGA'</t>
        </is>
      </c>
      <c r="E245" s="90">
        <f>E244+F244</f>
        <v/>
      </c>
      <c r="F245" s="91" t="n">
        <v>15</v>
      </c>
      <c r="G245" s="21" t="inlineStr">
        <is>
          <t>Opcional</t>
        </is>
      </c>
      <c r="H245" s="131" t="n"/>
      <c r="I245">
        <f>E245+33</f>
        <v/>
      </c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</row>
    <row r="246" ht="30" customHeight="1">
      <c r="B246" s="111" t="inlineStr">
        <is>
          <t xml:space="preserve">      11  :PREFIX:-DT-VLR-SNB            PIC S9(12)V9(02)
                                             SIGN LEADING SEPARATE.</t>
        </is>
      </c>
      <c r="C246" s="112" t="n"/>
      <c r="D246" s="98" t="inlineStr">
        <is>
          <t>Imposto Serviço Nacional de Bombeiros - Descritivo: 'SNB' | 'CV / SNB / FAT'</t>
        </is>
      </c>
      <c r="E246" s="90">
        <f>E245+F245</f>
        <v/>
      </c>
      <c r="F246" s="91" t="n">
        <v>15</v>
      </c>
      <c r="G246" s="21" t="inlineStr">
        <is>
          <t>Opcional</t>
        </is>
      </c>
      <c r="H246" s="131" t="n"/>
      <c r="I246">
        <f>E246+33</f>
        <v/>
      </c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</row>
    <row r="247" ht="30" customHeight="1">
      <c r="B247" s="111" t="inlineStr">
        <is>
          <t xml:space="preserve">      11  :PREFIX:-DT-VLR-INEM           PIC S9(12)V9(02)
                                             SIGN LEADING SEPARATE.</t>
        </is>
      </c>
      <c r="C247" s="112" t="n"/>
      <c r="D247" s="98" t="inlineStr">
        <is>
          <t>Imposto INEM - Descritivo: 'INEM'</t>
        </is>
      </c>
      <c r="E247" s="90">
        <f>E246+F246</f>
        <v/>
      </c>
      <c r="F247" s="91" t="n">
        <v>15</v>
      </c>
      <c r="G247" s="21" t="inlineStr">
        <is>
          <t>Opcional</t>
        </is>
      </c>
      <c r="H247" s="131" t="n"/>
      <c r="I247">
        <f>E247+33</f>
        <v/>
      </c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</row>
    <row r="248" ht="30" customHeight="1">
      <c r="B248" s="111" t="inlineStr">
        <is>
          <t xml:space="preserve">      11  :PREFIX:-DT-VLR-CVERDE         PIC S9(12)V9(02)
                                             SIGN LEADING SEPARATE.</t>
        </is>
      </c>
      <c r="C248" s="112" t="n"/>
      <c r="D248" s="98" t="inlineStr">
        <is>
          <t>Custo da Carta Verde - Descritivo: 'CV / SNB / FAT'</t>
        </is>
      </c>
      <c r="E248" s="90">
        <f>E247+F247</f>
        <v/>
      </c>
      <c r="F248" s="91" t="n">
        <v>15</v>
      </c>
      <c r="G248" s="21" t="inlineStr">
        <is>
          <t>Opcional</t>
        </is>
      </c>
      <c r="H248" s="131" t="n"/>
      <c r="I248">
        <f>E248+33</f>
        <v/>
      </c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</row>
    <row r="249" ht="30" customHeight="1">
      <c r="B249" s="111" t="inlineStr">
        <is>
          <t xml:space="preserve">      11  :PREFIX:-DT-VLR-SELOS          PIC S9(12)V9(02)
                                             SIGN LEADING SEPARATE.</t>
        </is>
      </c>
      <c r="C249" s="112" t="n"/>
      <c r="D249" s="98" t="inlineStr">
        <is>
          <t>Descritivo: 'SELO de GARANTIA'</t>
        </is>
      </c>
      <c r="E249" s="90">
        <f>E248+F248</f>
        <v/>
      </c>
      <c r="F249" s="91" t="n">
        <v>15</v>
      </c>
      <c r="G249" s="21" t="inlineStr">
        <is>
          <t>Opcional</t>
        </is>
      </c>
      <c r="H249" s="131" t="n"/>
      <c r="I249">
        <f>E249+33</f>
        <v/>
      </c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</row>
    <row r="250" ht="30" customHeight="1">
      <c r="B250" s="111" t="inlineStr">
        <is>
          <t xml:space="preserve">      11  :PREFIX:-DT-VLR-ACTA           PIC S9(12)V9(02)
                                              SIGN LEADING SEPARATE.</t>
        </is>
      </c>
      <c r="C250" s="112" t="n"/>
      <c r="D250" s="146" t="inlineStr">
        <is>
          <t>Custo da Acta/Apólice - Descritivo: 'APÓLICE / ACTA' | 'CUSTO CERTIFICADO'</t>
        </is>
      </c>
      <c r="E250" s="90">
        <f>E249+F249</f>
        <v/>
      </c>
      <c r="F250" s="91" t="n">
        <v>15</v>
      </c>
      <c r="G250" s="21" t="inlineStr">
        <is>
          <t>Opcional</t>
        </is>
      </c>
      <c r="H250" s="131" t="n"/>
      <c r="I250">
        <f>E250+33</f>
        <v/>
      </c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</row>
    <row r="251" ht="30" customHeight="1">
      <c r="B251" s="111" t="inlineStr">
        <is>
          <t xml:space="preserve">      11  :PREFIX:-DT-VLR-IMP-SELO       PIC S9(12)V9(02)
                                             SIGN LEADING SEPARATE.</t>
        </is>
      </c>
      <c r="C251" s="112" t="n"/>
      <c r="D251" s="98" t="inlineStr">
        <is>
          <t>Imposto de Selo - Descritivo: 'SELO'</t>
        </is>
      </c>
      <c r="E251" s="90">
        <f>E250+F250</f>
        <v/>
      </c>
      <c r="F251" s="91" t="n">
        <v>15</v>
      </c>
      <c r="G251" s="21" t="inlineStr">
        <is>
          <t>Opcional</t>
        </is>
      </c>
      <c r="H251" s="131" t="n"/>
      <c r="I251">
        <f>E251+33</f>
        <v/>
      </c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</row>
    <row r="252" ht="30" customHeight="1">
      <c r="B252" s="111" t="inlineStr">
        <is>
          <t xml:space="preserve">      11  :PREFIX:-DT-VLR-FUND-CALAM     PIC S9(12)V9(02)
                                             SIGN LEADING SEPARATE.</t>
        </is>
      </c>
      <c r="C252" s="112" t="n"/>
      <c r="D252" s="98" t="inlineStr">
        <is>
          <t>Fundo de calamidades - Descritivo: 'F.CALAM / FGA'</t>
        </is>
      </c>
      <c r="E252" s="90">
        <f>E251+F251</f>
        <v/>
      </c>
      <c r="F252" s="91" t="n">
        <v>15</v>
      </c>
      <c r="G252" s="21" t="inlineStr">
        <is>
          <t>Opcional</t>
        </is>
      </c>
      <c r="H252" s="131" t="n"/>
      <c r="I252">
        <f>E252+33</f>
        <v/>
      </c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</row>
    <row r="253" ht="30" customHeight="1">
      <c r="B253" s="111" t="inlineStr">
        <is>
          <t xml:space="preserve">      11  :PREFIX:-DT-VLR-FGA-OCOBERT    PIC S9(12)V9(02)
                                             SIGN LEADING SEPARATE.</t>
        </is>
      </c>
      <c r="C253" s="112" t="n"/>
      <c r="D253" s="98" t="inlineStr">
        <is>
          <t>FGA, Outras Coberturas do Ramo Contabilistico - Descritivo: 'FGA-PR (*)'</t>
        </is>
      </c>
      <c r="E253" s="90">
        <f>E252+F252</f>
        <v/>
      </c>
      <c r="F253" s="91" t="n">
        <v>15</v>
      </c>
      <c r="G253" s="21" t="inlineStr">
        <is>
          <t>Opcional</t>
        </is>
      </c>
      <c r="H253" s="131" t="n"/>
      <c r="I253">
        <f>E253+33</f>
        <v/>
      </c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</row>
    <row r="254" ht="30" customHeight="1">
      <c r="B254" s="111" t="inlineStr">
        <is>
          <t xml:space="preserve">      11  :PREFIX:-DT-VLR-FGA-RCIVIL     PIC S9(12)V9(02)
                                             SIGN LEADING SEPARATE.</t>
        </is>
      </c>
      <c r="C254" s="112" t="n"/>
      <c r="D254" s="98" t="inlineStr">
        <is>
          <t>FGA, Responsabilidade Civil do Ramo Contabilistico - Descritivo: 'FGA (*)'</t>
        </is>
      </c>
      <c r="E254" s="90">
        <f>E253+F253</f>
        <v/>
      </c>
      <c r="F254" s="91" t="n">
        <v>15</v>
      </c>
      <c r="G254" s="21" t="inlineStr">
        <is>
          <t>Opcional</t>
        </is>
      </c>
      <c r="H254" s="131" t="n"/>
      <c r="I254">
        <f>E254+33</f>
        <v/>
      </c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</row>
    <row r="255" ht="30" customHeight="1">
      <c r="B255" s="111" t="inlineStr">
        <is>
          <t xml:space="preserve">      11  :PREFIX:-DT-VLR-BONUS          PIC S9(12)V9(02)
                                             SIGN LEADING SEPARATE.</t>
        </is>
      </c>
      <c r="C255" s="112" t="n"/>
      <c r="D255" s="98" t="inlineStr">
        <is>
          <t>Bónus - Descritivo: 'BONUS'</t>
        </is>
      </c>
      <c r="E255" s="90">
        <f>E254+F254</f>
        <v/>
      </c>
      <c r="F255" s="91" t="n">
        <v>15</v>
      </c>
      <c r="G255" s="21" t="inlineStr">
        <is>
          <t>Opcional</t>
        </is>
      </c>
      <c r="H255" s="131" t="n"/>
      <c r="I255">
        <f>E255+33</f>
        <v/>
      </c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</row>
    <row r="256" ht="30" customHeight="1">
      <c r="B256" s="111" t="inlineStr">
        <is>
          <t xml:space="preserve">      11  :PREFIX:-DT-VLR-PR-SIMPLES     PIC S9(12)V9(02)
                                             SIGN LEADING SEPARATE.</t>
        </is>
      </c>
      <c r="C256" s="112" t="n"/>
      <c r="D256" s="98" t="inlineStr">
        <is>
          <t>Prémio Simples - Descritivo: 'PRÉMIO COMERCIAL'</t>
        </is>
      </c>
      <c r="E256" s="90">
        <f>E255+F255</f>
        <v/>
      </c>
      <c r="F256" s="91" t="n">
        <v>15</v>
      </c>
      <c r="G256" s="21" t="inlineStr">
        <is>
          <t>Opcional</t>
        </is>
      </c>
      <c r="H256" s="131" t="n"/>
      <c r="I256">
        <f>E256+33</f>
        <v/>
      </c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</row>
    <row r="257" ht="30" customHeight="1">
      <c r="B257" s="111" t="inlineStr">
        <is>
          <t xml:space="preserve">      11  :PREFIX:-DT-VLR-PR-ANUAL       PIC S9(12)V9(02)
                                             SIGN LEADING SEPARATE.</t>
        </is>
      </c>
      <c r="C257" s="112" t="n"/>
      <c r="D257" s="98" t="inlineStr">
        <is>
          <t>Actualização do Prémio Anual</t>
        </is>
      </c>
      <c r="E257" s="90">
        <f>E256+F256</f>
        <v/>
      </c>
      <c r="F257" s="91" t="n">
        <v>15</v>
      </c>
      <c r="G257" s="21" t="inlineStr">
        <is>
          <t>Opcional</t>
        </is>
      </c>
      <c r="H257" s="131" t="n"/>
      <c r="I257">
        <f>E257+33</f>
        <v/>
      </c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</row>
    <row r="258" ht="30" customHeight="1">
      <c r="B258" s="111" t="inlineStr">
        <is>
          <t xml:space="preserve">      11  :PREFIX:-DT-VLR-ENC-AQUIS      PIC S9(12)V9(02)
                                             SIGN LEADING SEPARATE.</t>
        </is>
      </c>
      <c r="C258" s="112" t="n"/>
      <c r="D258" s="98" t="inlineStr">
        <is>
          <t>Valor dos encargos Aquisição - componente da parcela com Descritivo: 'ENCARGOS'</t>
        </is>
      </c>
      <c r="E258" s="90">
        <f>E257+F257</f>
        <v/>
      </c>
      <c r="F258" s="91" t="n">
        <v>15</v>
      </c>
      <c r="G258" s="21" t="inlineStr">
        <is>
          <t>Opcional</t>
        </is>
      </c>
      <c r="H258" s="131" t="n"/>
      <c r="I258">
        <f>E258+33</f>
        <v/>
      </c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</row>
    <row r="259" ht="30" customHeight="1">
      <c r="B259" s="111" t="inlineStr">
        <is>
          <t xml:space="preserve">      11  :PREFIX:-DT-VLR-ENC-PENAL      PIC S9(12)V9(02)
                                             SIGN LEADING SEPARATE.</t>
        </is>
      </c>
      <c r="C259" s="112" t="n"/>
      <c r="D259" s="146" t="inlineStr">
        <is>
          <t xml:space="preserve">Valor dos encargos Penalização - Parcela das Faturas de Indemnizações com Descritivo: ENCARGOS/COMISSÕES </t>
        </is>
      </c>
      <c r="E259" s="90">
        <f>E258+F258</f>
        <v/>
      </c>
      <c r="F259" s="91" t="n">
        <v>15</v>
      </c>
      <c r="G259" s="21" t="inlineStr">
        <is>
          <t>Opcional</t>
        </is>
      </c>
      <c r="H259" s="131" t="n"/>
      <c r="I259">
        <f>E259+33</f>
        <v/>
      </c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</row>
    <row r="260">
      <c r="B260" s="99" t="inlineStr">
        <is>
          <t xml:space="preserve">  07  FILLER                            PIC X(2513).</t>
        </is>
      </c>
      <c r="C260" s="99" t="n"/>
      <c r="D260" s="100" t="n"/>
      <c r="E260" s="144">
        <f>E259+F259</f>
        <v/>
      </c>
      <c r="F260" s="145">
        <f>E288-E260+1</f>
        <v/>
      </c>
      <c r="G260" s="130" t="n"/>
      <c r="I260">
        <f>E260+33</f>
        <v/>
      </c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</row>
    <row r="261">
      <c r="B261" s="92" t="inlineStr">
        <is>
          <t>05  FILLER                        REDEFINES :PREFIX:-DADOS-DOCUMENTO.</t>
        </is>
      </c>
      <c r="C261" s="92" t="n"/>
      <c r="D261" s="74" t="n"/>
      <c r="E261" s="93" t="n"/>
      <c r="F261" s="93" t="n"/>
      <c r="G261" s="45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</row>
    <row r="262">
      <c r="B262" s="99" t="inlineStr">
        <is>
          <t xml:space="preserve">  07  :PREFIX:-FOOTER-TAILOR.</t>
        </is>
      </c>
      <c r="C262" s="99" t="n"/>
      <c r="D262" s="100" t="n"/>
      <c r="E262" s="144">
        <f>E46+F46</f>
        <v/>
      </c>
      <c r="F262" s="145" t="n"/>
      <c r="G262" s="130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</row>
    <row r="263">
      <c r="B263" s="80" t="inlineStr">
        <is>
          <t xml:space="preserve">    09  :PREFIX:-FT-TOT-REGISTOS        PIC 9(05).</t>
        </is>
      </c>
      <c r="C263" s="80" t="n"/>
      <c r="D263" s="39" t="inlineStr">
        <is>
          <t>Número da Apólice</t>
        </is>
      </c>
      <c r="E263" s="90">
        <f>E46+F46</f>
        <v/>
      </c>
      <c r="F263" s="91" t="n">
        <v>5</v>
      </c>
      <c r="G263" s="17" t="inlineStr">
        <is>
          <t>Obrigatório</t>
        </is>
      </c>
      <c r="I263">
        <f>E263+33</f>
        <v/>
      </c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</row>
    <row r="264">
      <c r="B264" s="80" t="inlineStr">
        <is>
          <t xml:space="preserve">    09  FILLER                          PIC X(73).</t>
        </is>
      </c>
      <c r="C264" s="80" t="n"/>
      <c r="D264" s="39" t="inlineStr">
        <is>
          <t>ESPAÇOS</t>
        </is>
      </c>
      <c r="E264" s="90">
        <f>E263+F263</f>
        <v/>
      </c>
      <c r="F264" s="91" t="n">
        <v>73</v>
      </c>
      <c r="G264" s="9" t="n"/>
      <c r="I264">
        <f>E264+33</f>
        <v/>
      </c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</row>
    <row r="265">
      <c r="B265" s="80" t="inlineStr">
        <is>
          <t xml:space="preserve">    09  :PREFIX:-FTR-VALORES-TAILOR.</t>
        </is>
      </c>
      <c r="C265" s="80" t="n"/>
      <c r="D265" s="39" t="n"/>
      <c r="E265" s="90">
        <f>E264+F264</f>
        <v/>
      </c>
      <c r="F265" s="91" t="n"/>
      <c r="G265" s="9" t="n"/>
      <c r="I265">
        <f>E265+33</f>
        <v/>
      </c>
      <c r="K265" s="126" t="n"/>
      <c r="L265" s="126" t="n"/>
      <c r="M265" s="126" t="n"/>
      <c r="N265" s="126" t="n"/>
      <c r="O265" s="126" t="n"/>
    </row>
    <row r="266" ht="30" customHeight="1">
      <c r="B266" s="111" t="inlineStr">
        <is>
          <t xml:space="preserve">      11  :PREFIX:-FT-VLR-CAPITAL-RECIBO PIC S9(12)V9(02)
                                            SIGN LEADING SEPARATE.</t>
        </is>
      </c>
      <c r="C266" s="112" t="n"/>
      <c r="D266" s="98" t="inlineStr">
        <is>
          <t>Valor do capital / valor da entrega - Descritivo: 'CAPITAL' | 'PREMIO INVEST' |'CAPITAL ENTREGUE'</t>
        </is>
      </c>
      <c r="E266" s="90">
        <f>E265+F265</f>
        <v/>
      </c>
      <c r="F266" s="91" t="n">
        <v>15</v>
      </c>
      <c r="G266" s="21" t="inlineStr">
        <is>
          <t>Opcional</t>
        </is>
      </c>
      <c r="H266" s="131" t="n"/>
      <c r="I266">
        <f>E266+33</f>
        <v/>
      </c>
      <c r="K266" s="126" t="n"/>
      <c r="L266" s="126" t="n"/>
      <c r="M266" s="126" t="n"/>
      <c r="N266" s="126" t="n"/>
      <c r="O266" s="126" t="n"/>
    </row>
    <row r="267" ht="30" customHeight="1">
      <c r="B267" s="111" t="inlineStr">
        <is>
          <t xml:space="preserve">      11  :PREFIX:-FT-VLR-PREMIO-RISCO   PIC S9(12)V9(02)
                                            SIGN LEADING SEPARATE.</t>
        </is>
      </c>
      <c r="C267" s="112" t="n"/>
      <c r="D267" s="98" t="inlineStr">
        <is>
          <t>Valor de Prémio de Risco - Descritivo: 'PRÉMIO RISCO'</t>
        </is>
      </c>
      <c r="E267" s="90">
        <f>E266+F266</f>
        <v/>
      </c>
      <c r="F267" s="91" t="n">
        <v>15</v>
      </c>
      <c r="G267" s="21" t="inlineStr">
        <is>
          <t>Opcional</t>
        </is>
      </c>
      <c r="H267" s="131" t="n"/>
      <c r="I267">
        <f>E267+33</f>
        <v/>
      </c>
      <c r="K267" s="126" t="n"/>
      <c r="L267" s="126" t="n"/>
      <c r="M267" s="126" t="n"/>
      <c r="N267" s="126" t="n"/>
      <c r="O267" s="126" t="n"/>
    </row>
    <row r="268" ht="30" customHeight="1">
      <c r="B268" s="111" t="inlineStr">
        <is>
          <t xml:space="preserve">      11  :PREFIX:-FT-VLR-BONIFICACAO    PIC S9(12)V9(02)
                                            SIGN LEADING SEPARATE.</t>
        </is>
      </c>
      <c r="C268" s="112" t="n"/>
      <c r="D268" s="98" t="inlineStr">
        <is>
          <t>Bonificação (Colheitas) - Descritivo: 'BONIFICAÇÃO'</t>
        </is>
      </c>
      <c r="E268" s="90">
        <f>E267+F267</f>
        <v/>
      </c>
      <c r="F268" s="91" t="n">
        <v>15</v>
      </c>
      <c r="G268" s="21" t="inlineStr">
        <is>
          <t>Opcional</t>
        </is>
      </c>
      <c r="H268" s="131" t="n"/>
      <c r="I268">
        <f>E268+33</f>
        <v/>
      </c>
      <c r="K268" s="126" t="n"/>
      <c r="L268" s="126" t="n"/>
      <c r="M268" s="126" t="n"/>
      <c r="N268" s="126" t="n"/>
      <c r="O268" s="126" t="n"/>
    </row>
    <row r="269" ht="30" customHeight="1">
      <c r="B269" s="111" t="inlineStr">
        <is>
          <t xml:space="preserve">      11  :PREFIX:-FT-VLR-TOTAL-RECIBO   PIC S9(12)V9(02)
                                            SIGN LEADING SEPARATE.</t>
        </is>
      </c>
      <c r="C269" s="112" t="n"/>
      <c r="D269" s="98" t="inlineStr">
        <is>
          <t>Prémio total recibo - Descritivo: 'VALOR A PAGAR' | 'VALOR A RECEBER' | 'TOTAL DE PRÉMIOS'</t>
        </is>
      </c>
      <c r="E269" s="90">
        <f>E268+F268</f>
        <v/>
      </c>
      <c r="F269" s="91" t="n">
        <v>15</v>
      </c>
      <c r="G269" s="21" t="inlineStr">
        <is>
          <t>Opcional</t>
        </is>
      </c>
      <c r="H269" s="131" t="n"/>
      <c r="I269">
        <f>E269+33</f>
        <v/>
      </c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</row>
    <row r="270" ht="30" customHeight="1">
      <c r="B270" s="111" t="inlineStr">
        <is>
          <t xml:space="preserve">      11  :PREFIX:-FT-VLR-FRACC          PIC S9(12)V9(02)
                                            SIGN LEADING SEPARATE.</t>
        </is>
      </c>
      <c r="C270" s="112" t="n"/>
      <c r="D270" s="98" t="inlineStr">
        <is>
          <t>Custo de Fraccionamento - Descritivo: 'CUSTO FRACCIONAMENTO'</t>
        </is>
      </c>
      <c r="E270" s="90">
        <f>E269+F269</f>
        <v/>
      </c>
      <c r="F270" s="91" t="n">
        <v>15</v>
      </c>
      <c r="G270" s="21" t="inlineStr">
        <is>
          <t>Opcional</t>
        </is>
      </c>
      <c r="H270" s="131" t="n"/>
      <c r="I270">
        <f>E270+33</f>
        <v/>
      </c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</row>
    <row r="271" ht="30" customHeight="1">
      <c r="B271" s="111" t="inlineStr">
        <is>
          <t xml:space="preserve">      11  :PREFIX:-FT-VLR-FAT            PIC S9(12)V9(02)
                                            SIGN LEADING SEPARATE.</t>
        </is>
      </c>
      <c r="C271" s="112" t="n"/>
      <c r="D271" s="98" t="inlineStr">
        <is>
          <t>Fundo de Garantia de Acidentes de Trabalho - Descritivo: 'CV / SNB / FAT'</t>
        </is>
      </c>
      <c r="E271" s="90">
        <f>E270+F270</f>
        <v/>
      </c>
      <c r="F271" s="91" t="n">
        <v>15</v>
      </c>
      <c r="G271" s="21" t="inlineStr">
        <is>
          <t>Opcional</t>
        </is>
      </c>
      <c r="H271" s="131" t="n"/>
      <c r="I271">
        <f>E271+33</f>
        <v/>
      </c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</row>
    <row r="272" ht="30" customHeight="1">
      <c r="B272" s="111" t="inlineStr">
        <is>
          <t xml:space="preserve">      11  :PREFIX:-FT-VLR-FGA            PIC S9(12)V9(02)
                                            SIGN LEADING SEPARATE.</t>
        </is>
      </c>
      <c r="C272" s="112" t="n"/>
      <c r="D272" s="98" t="inlineStr">
        <is>
          <t>Fundo de Garantia Automóvel - Descritivo: 'F.CALAM / FGA'</t>
        </is>
      </c>
      <c r="E272" s="90">
        <f>E271+F271</f>
        <v/>
      </c>
      <c r="F272" s="91" t="n">
        <v>15</v>
      </c>
      <c r="G272" s="21" t="inlineStr">
        <is>
          <t>Opcional</t>
        </is>
      </c>
      <c r="H272" s="131" t="n"/>
      <c r="I272">
        <f>E272+33</f>
        <v/>
      </c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</row>
    <row r="273" ht="30" customHeight="1">
      <c r="B273" s="111" t="inlineStr">
        <is>
          <t xml:space="preserve">      11  :PREFIX:-FT-VLR-SNB            PIC S9(12)V9(02)
                                            SIGN LEADING SEPARATE.</t>
        </is>
      </c>
      <c r="C273" s="112" t="n"/>
      <c r="D273" s="98" t="inlineStr">
        <is>
          <t>Imposto Serviço Nacional de Bombeiros - Descritivo: 'SNB' | 'CV / SNB / FAT'</t>
        </is>
      </c>
      <c r="E273" s="90">
        <f>E272+F272</f>
        <v/>
      </c>
      <c r="F273" s="91" t="n">
        <v>15</v>
      </c>
      <c r="G273" s="21" t="inlineStr">
        <is>
          <t>Opcional</t>
        </is>
      </c>
      <c r="H273" s="131" t="n"/>
      <c r="I273">
        <f>E273+33</f>
        <v/>
      </c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</row>
    <row r="274" ht="30" customHeight="1">
      <c r="B274" s="111" t="inlineStr">
        <is>
          <t xml:space="preserve">      11  :PREFIX:-FT-VLR-INEM           PIC S9(12)V9(02)
                                            SIGN LEADING SEPARATE.</t>
        </is>
      </c>
      <c r="C274" s="112" t="n"/>
      <c r="D274" s="98" t="inlineStr">
        <is>
          <t>Imposto INEM - Descritivo: 'INEM'</t>
        </is>
      </c>
      <c r="E274" s="90">
        <f>E273+F273</f>
        <v/>
      </c>
      <c r="F274" s="91" t="n">
        <v>15</v>
      </c>
      <c r="G274" s="21" t="inlineStr">
        <is>
          <t>Opcional</t>
        </is>
      </c>
      <c r="H274" s="131" t="n"/>
      <c r="I274">
        <f>E274+33</f>
        <v/>
      </c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</row>
    <row r="275" ht="30" customHeight="1">
      <c r="B275" s="111" t="inlineStr">
        <is>
          <t xml:space="preserve">      11  :PREFIX:-FT-VLR-CVERDE         PIC S9(12)V9(02)
                                            SIGN LEADING SEPARATE.</t>
        </is>
      </c>
      <c r="C275" s="112" t="n"/>
      <c r="D275" s="98" t="inlineStr">
        <is>
          <t>Custo da Carta Verde - Descritivo: 'CV / SNB / FAT'</t>
        </is>
      </c>
      <c r="E275" s="90">
        <f>E274+F274</f>
        <v/>
      </c>
      <c r="F275" s="91" t="n">
        <v>15</v>
      </c>
      <c r="G275" s="21" t="inlineStr">
        <is>
          <t>Opcional</t>
        </is>
      </c>
      <c r="H275" s="131" t="n"/>
      <c r="I275">
        <f>E275+33</f>
        <v/>
      </c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</row>
    <row r="276" ht="30" customHeight="1">
      <c r="B276" s="111" t="inlineStr">
        <is>
          <t xml:space="preserve">      11  :PREFIX:-FT-VLR-SELOS          PIC S9(12)V9(02)
                                            SIGN LEADING SEPARATE.</t>
        </is>
      </c>
      <c r="C276" s="112" t="n"/>
      <c r="D276" s="98" t="inlineStr">
        <is>
          <t>Descritivo: 'SELO de GARANTIA'</t>
        </is>
      </c>
      <c r="E276" s="90">
        <f>E275+F275</f>
        <v/>
      </c>
      <c r="F276" s="91" t="n">
        <v>15</v>
      </c>
      <c r="G276" s="21" t="inlineStr">
        <is>
          <t>Opcional</t>
        </is>
      </c>
      <c r="H276" s="131" t="n"/>
      <c r="I276">
        <f>E276+33</f>
        <v/>
      </c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</row>
    <row r="277" ht="30" customHeight="1">
      <c r="B277" s="111" t="inlineStr">
        <is>
          <t xml:space="preserve">      11  :PREFIX:-FT-VLR-ACTA           PIC S9(12)V9(02)
                                            SIGN LEADING SEPARATE.</t>
        </is>
      </c>
      <c r="C277" s="112" t="n"/>
      <c r="D277" s="146" t="inlineStr">
        <is>
          <t>Custo da Acta/Apólice - Descritivo: 'APÓLICE / ACTA' | 'CUSTO CERTIFICADO'</t>
        </is>
      </c>
      <c r="E277" s="90">
        <f>E276+F276</f>
        <v/>
      </c>
      <c r="F277" s="91" t="n">
        <v>15</v>
      </c>
      <c r="G277" s="21" t="inlineStr">
        <is>
          <t>Opcional</t>
        </is>
      </c>
      <c r="H277" s="131" t="n"/>
      <c r="I277">
        <f>E277+33</f>
        <v/>
      </c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</row>
    <row r="278" ht="30" customHeight="1">
      <c r="B278" s="111" t="inlineStr">
        <is>
          <t xml:space="preserve">      11  :PREFIX:-FT-VLR-IMP-SELO       PIC S9(12)V9(02)
                                            SIGN LEADING SEPARATE.</t>
        </is>
      </c>
      <c r="C278" s="112" t="n"/>
      <c r="D278" s="98" t="inlineStr">
        <is>
          <t>Imposto de Selo - Descritivo: 'SELO'</t>
        </is>
      </c>
      <c r="E278" s="90">
        <f>E277+F277</f>
        <v/>
      </c>
      <c r="F278" s="91" t="n">
        <v>15</v>
      </c>
      <c r="G278" s="21" t="inlineStr">
        <is>
          <t>Opcional</t>
        </is>
      </c>
      <c r="H278" s="131" t="n"/>
      <c r="I278">
        <f>E278+33</f>
        <v/>
      </c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</row>
    <row r="279" ht="30" customHeight="1">
      <c r="B279" s="111" t="inlineStr">
        <is>
          <t xml:space="preserve">      11  :PREFIX:-FT-VLR-FUND-CALAM     PIC S9(12)V9(02)
                                            SIGN LEADING SEPARATE.</t>
        </is>
      </c>
      <c r="C279" s="112" t="n"/>
      <c r="D279" s="98" t="inlineStr">
        <is>
          <t>Fundo de calamidades - Descritivo: 'F.CALAM / FGA'</t>
        </is>
      </c>
      <c r="E279" s="90">
        <f>E278+F278</f>
        <v/>
      </c>
      <c r="F279" s="91" t="n">
        <v>15</v>
      </c>
      <c r="G279" s="21" t="inlineStr">
        <is>
          <t>Opcional</t>
        </is>
      </c>
      <c r="H279" s="131" t="n"/>
      <c r="I279">
        <f>E279+33</f>
        <v/>
      </c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</row>
    <row r="280" ht="30" customHeight="1">
      <c r="B280" s="111" t="inlineStr">
        <is>
          <t xml:space="preserve">      11  :PREFIX:-FT-VLR-FGA-OCOBERT    PIC S9(12)V9(02)
                                            SIGN LEADING SEPARATE.</t>
        </is>
      </c>
      <c r="C280" s="112" t="n"/>
      <c r="D280" s="98" t="inlineStr">
        <is>
          <t>FGA, Outras Coberturas do Ramo Contabilistico - Descritivo: 'FGA-PR (*)'</t>
        </is>
      </c>
      <c r="E280" s="90">
        <f>E279+F279</f>
        <v/>
      </c>
      <c r="F280" s="91" t="n">
        <v>15</v>
      </c>
      <c r="G280" s="21" t="inlineStr">
        <is>
          <t>Opcional</t>
        </is>
      </c>
      <c r="H280" s="131" t="n"/>
      <c r="I280">
        <f>E280+33</f>
        <v/>
      </c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</row>
    <row r="281" ht="30" customHeight="1">
      <c r="B281" s="111" t="inlineStr">
        <is>
          <t xml:space="preserve">      11  :PREFIX:-FT-VLR-FGA-RCIVIL     PIC S9(12)V9(02)
                                            SIGN LEADING SEPARATE.</t>
        </is>
      </c>
      <c r="C281" s="112" t="n"/>
      <c r="D281" s="98" t="inlineStr">
        <is>
          <t>FGA, Responsabilidade Civil do Ramo Contabilistico - Descritivo: 'FGA (*)'</t>
        </is>
      </c>
      <c r="E281" s="90">
        <f>E280+F280</f>
        <v/>
      </c>
      <c r="F281" s="91" t="n">
        <v>15</v>
      </c>
      <c r="G281" s="21" t="inlineStr">
        <is>
          <t>Opcional</t>
        </is>
      </c>
      <c r="H281" s="131" t="n"/>
      <c r="I281">
        <f>E281+33</f>
        <v/>
      </c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</row>
    <row r="282" ht="30" customHeight="1">
      <c r="B282" s="111" t="inlineStr">
        <is>
          <t xml:space="preserve">      11  :PREFIX:-FT-VLR-BONUS          PIC S9(12)V9(02)
                                            SIGN LEADING SEPARATE.</t>
        </is>
      </c>
      <c r="C282" s="112" t="n"/>
      <c r="D282" s="98" t="inlineStr">
        <is>
          <t>Bónus - Descritivo: 'BONUS'</t>
        </is>
      </c>
      <c r="E282" s="90">
        <f>E281+F281</f>
        <v/>
      </c>
      <c r="F282" s="91" t="n">
        <v>15</v>
      </c>
      <c r="G282" s="21" t="inlineStr">
        <is>
          <t>Opcional</t>
        </is>
      </c>
      <c r="H282" s="131" t="n"/>
      <c r="I282">
        <f>E282+33</f>
        <v/>
      </c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</row>
    <row r="283" ht="30" customHeight="1">
      <c r="B283" s="111" t="inlineStr">
        <is>
          <t xml:space="preserve">      11  :PREFIX:-FT-VLR-PR-SIMPLES     PIC S9(12)V9(02)
                                            SIGN LEADING SEPARATE.</t>
        </is>
      </c>
      <c r="C283" s="112" t="n"/>
      <c r="D283" s="98" t="inlineStr">
        <is>
          <t>Prémio Simples - Descritivo: 'PRÉMIO COMERCIAL'</t>
        </is>
      </c>
      <c r="E283" s="90">
        <f>E282+F282</f>
        <v/>
      </c>
      <c r="F283" s="91" t="n">
        <v>15</v>
      </c>
      <c r="G283" s="21" t="inlineStr">
        <is>
          <t>Opcional</t>
        </is>
      </c>
      <c r="H283" s="131" t="n"/>
      <c r="I283">
        <f>E283+33</f>
        <v/>
      </c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</row>
    <row r="284" ht="30" customHeight="1">
      <c r="B284" s="111" t="inlineStr">
        <is>
          <t xml:space="preserve">      11  :PREFIX:-FT-VLR-PR-ANUAL       PIC S9(12)V9(02)
                                            SIGN LEADING SEPARATE.</t>
        </is>
      </c>
      <c r="C284" s="112" t="n"/>
      <c r="D284" s="98" t="inlineStr">
        <is>
          <t>Actualização do Prémio Anual</t>
        </is>
      </c>
      <c r="E284" s="90">
        <f>E283+F283</f>
        <v/>
      </c>
      <c r="F284" s="91" t="n">
        <v>15</v>
      </c>
      <c r="G284" s="21" t="inlineStr">
        <is>
          <t>Opcional</t>
        </is>
      </c>
      <c r="H284" s="131" t="n"/>
      <c r="I284">
        <f>E284+33</f>
        <v/>
      </c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</row>
    <row r="285" ht="30" customHeight="1">
      <c r="B285" s="111" t="inlineStr">
        <is>
          <t xml:space="preserve">      11  :PREFIX:-FT-VLR-ENC-AQUIS      PIC S9(12)V9(02)
                                            SIGN LEADING SEPARATE.</t>
        </is>
      </c>
      <c r="C285" s="112" t="n"/>
      <c r="D285" s="98" t="inlineStr">
        <is>
          <t>Valor dos encargos Aquisição - componente da parcela com Descritivo: 'ENCARGOS'</t>
        </is>
      </c>
      <c r="E285" s="90">
        <f>E284+F284</f>
        <v/>
      </c>
      <c r="F285" s="91" t="n">
        <v>15</v>
      </c>
      <c r="G285" s="21" t="inlineStr">
        <is>
          <t>Opcional</t>
        </is>
      </c>
      <c r="H285" s="131" t="n"/>
      <c r="I285">
        <f>E285+33</f>
        <v/>
      </c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</row>
    <row r="286" ht="30" customHeight="1">
      <c r="B286" s="111" t="inlineStr">
        <is>
          <t xml:space="preserve">      11  :PREFIX:-FT-VLR-ENC-PENAL      PIC S9(12)V9(02)
                                            SIGN LEADING SEPARATE.</t>
        </is>
      </c>
      <c r="C286" s="112" t="n"/>
      <c r="D286" s="146" t="inlineStr">
        <is>
          <t xml:space="preserve">Valor dos encargos Penalização - Parcela das Faturas de Indemnizações com Descritivo: ENCARGOS/COMISSÕES </t>
        </is>
      </c>
      <c r="E286" s="90">
        <f>E285+F285</f>
        <v/>
      </c>
      <c r="F286" s="91" t="n">
        <v>15</v>
      </c>
      <c r="G286" s="21" t="inlineStr">
        <is>
          <t>Opcional</t>
        </is>
      </c>
      <c r="H286" s="131" t="n"/>
      <c r="I286">
        <f>E286+33</f>
        <v/>
      </c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</row>
    <row r="287">
      <c r="B287" s="99" t="inlineStr">
        <is>
          <t xml:space="preserve">  07  FILLER                            PIC X(2513).</t>
        </is>
      </c>
      <c r="C287" s="99" t="n"/>
      <c r="D287" s="100" t="n"/>
      <c r="E287" s="144">
        <f>E286+F286</f>
        <v/>
      </c>
      <c r="F287" s="145">
        <f>E288-E287+1</f>
        <v/>
      </c>
      <c r="G287" s="130" t="n"/>
      <c r="I287">
        <f>E287+33</f>
        <v/>
      </c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</row>
    <row r="288">
      <c r="D288" s="149" t="inlineStr">
        <is>
          <t>Total:</t>
        </is>
      </c>
      <c r="E288" s="150">
        <f>E46+F47</f>
        <v/>
      </c>
    </row>
  </sheetData>
  <mergeCells count="15">
    <mergeCell ref="G18:G22"/>
    <mergeCell ref="G193:G196"/>
    <mergeCell ref="G100:G102"/>
    <mergeCell ref="G228:G229"/>
    <mergeCell ref="G135:G144"/>
    <mergeCell ref="G63:G86"/>
    <mergeCell ref="G53:G55"/>
    <mergeCell ref="G13:G16"/>
    <mergeCell ref="G50:G52"/>
    <mergeCell ref="G36:G45"/>
    <mergeCell ref="G31:G32"/>
    <mergeCell ref="G7:G10"/>
    <mergeCell ref="G158:G163"/>
    <mergeCell ref="G23:G30"/>
    <mergeCell ref="G4:G6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17"/>
  <sheetViews>
    <sheetView workbookViewId="0">
      <selection activeCell="A1" sqref="A1"/>
    </sheetView>
  </sheetViews>
  <sheetFormatPr baseColWidth="8" defaultRowHeight="14.4"/>
  <cols>
    <col width="3.77734375" customWidth="1" min="1" max="1"/>
    <col width="79.77734375" customWidth="1" min="2" max="2"/>
    <col width="7.77734375" customWidth="1" min="3" max="3"/>
    <col width="90" customWidth="1" min="4" max="4"/>
    <col width="9.21875" customWidth="1" min="5" max="5"/>
    <col width="11.33203125" customWidth="1" min="6" max="6"/>
    <col width="12.21875" customWidth="1" min="7" max="7"/>
    <col width="1.77734375" customWidth="1" min="8" max="8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G2" s="4" t="inlineStr">
        <is>
          <t>Observações</t>
        </is>
      </c>
    </row>
    <row r="3">
      <c r="B3" s="5" t="inlineStr">
        <is>
          <t>05  :PREFIX:-DADOS-REGISTO.</t>
        </is>
      </c>
      <c r="C3" s="29" t="n"/>
      <c r="D3" s="7" t="n"/>
      <c r="E3" s="8" t="n"/>
      <c r="F3" s="8" t="n"/>
      <c r="G3" s="45" t="n"/>
    </row>
    <row r="4">
      <c r="B4" s="10" t="inlineStr">
        <is>
          <t xml:space="preserve">  07  :PREFIX:-COD-DOCUMENTO            PIC X(04).</t>
        </is>
      </c>
      <c r="C4" s="122" t="n"/>
      <c r="D4" s="12" t="inlineStr">
        <is>
          <t>Código de documento</t>
        </is>
      </c>
      <c r="E4" s="13" t="n">
        <v>1</v>
      </c>
      <c r="F4" s="13" t="n">
        <v>4</v>
      </c>
      <c r="G4" s="17" t="inlineStr">
        <is>
          <t>Obrigatório</t>
        </is>
      </c>
      <c r="I4">
        <f>33+E4</f>
        <v/>
      </c>
    </row>
    <row r="5">
      <c r="B5" s="10" t="inlineStr">
        <is>
          <t xml:space="preserve">      88  :PREFIX:-DOC-CQUA                 VALUE 'CQUA'.</t>
        </is>
      </c>
      <c r="C5" s="122" t="n"/>
      <c r="D5" s="12" t="inlineStr">
        <is>
          <t xml:space="preserve">     'CQUA' - Carta Controlo de Qualidade</t>
        </is>
      </c>
      <c r="E5" s="13" t="n"/>
      <c r="F5" s="13" t="n"/>
      <c r="G5" s="15" t="n"/>
    </row>
    <row r="6">
      <c r="B6" s="10" t="inlineStr">
        <is>
          <t xml:space="preserve">      88  :PREFIX:-DOC-ACRE                 VALUE 'ACRE'.</t>
        </is>
      </c>
      <c r="C6" s="122" t="n"/>
      <c r="D6" s="12" t="inlineStr">
        <is>
          <t xml:space="preserve">     'ACRE' - Aviso de Crédito</t>
        </is>
      </c>
      <c r="E6" s="13" t="n"/>
      <c r="F6" s="13" t="n"/>
      <c r="G6" s="15" t="n"/>
    </row>
    <row r="7">
      <c r="B7" s="10" t="inlineStr">
        <is>
          <t xml:space="preserve">      88  :PREFIX:-DOC-RTES                 VALUE 'RTES'.</t>
        </is>
      </c>
      <c r="C7" s="122" t="n"/>
      <c r="D7" s="12" t="inlineStr">
        <is>
          <t xml:space="preserve">     'RTES' - Recibo por Tesouraria</t>
        </is>
      </c>
      <c r="E7" s="13" t="n"/>
      <c r="F7" s="13" t="n"/>
      <c r="G7" s="18" t="n"/>
    </row>
    <row r="8">
      <c r="B8" s="10" t="inlineStr">
        <is>
          <t xml:space="preserve">  07  :PREFIX:-TIPO-REGISTO             PIC X(01).</t>
        </is>
      </c>
      <c r="C8" s="122" t="n"/>
      <c r="D8" s="16" t="inlineStr">
        <is>
          <t>Tipo de registo</t>
        </is>
      </c>
      <c r="E8" s="13">
        <f>E4+F4</f>
        <v/>
      </c>
      <c r="F8" s="16" t="n">
        <v>1</v>
      </c>
      <c r="G8" s="14" t="inlineStr">
        <is>
          <t>Obrigatório</t>
        </is>
      </c>
      <c r="I8">
        <f>33+E8</f>
        <v/>
      </c>
    </row>
    <row r="9">
      <c r="B9" s="10" t="inlineStr">
        <is>
          <t xml:space="preserve">      88  :PREFIX:-REG-TIPO1                VALUE '1'.</t>
        </is>
      </c>
      <c r="C9" s="122" t="n"/>
      <c r="D9" s="16" t="inlineStr">
        <is>
          <t xml:space="preserve">     '1' - Dados VIDA</t>
        </is>
      </c>
      <c r="E9" s="13" t="n"/>
      <c r="F9" s="16" t="n"/>
      <c r="G9" s="15" t="n"/>
    </row>
    <row r="10">
      <c r="B10" s="10" t="inlineStr">
        <is>
          <t xml:space="preserve">  07  :PREFIX:-TIPO-IMPRESSAO           PIC X(01).</t>
        </is>
      </c>
      <c r="C10" s="122" t="n"/>
      <c r="D10" s="12" t="inlineStr">
        <is>
          <t>Tipo de impressão</t>
        </is>
      </c>
      <c r="E10" s="13">
        <f>E8+F8</f>
        <v/>
      </c>
      <c r="F10" s="13" t="n">
        <v>1</v>
      </c>
      <c r="G10" s="17" t="inlineStr">
        <is>
          <t>Obrigatório</t>
        </is>
      </c>
      <c r="I10">
        <f>33+E10</f>
        <v/>
      </c>
    </row>
    <row r="11">
      <c r="B11" s="10" t="inlineStr">
        <is>
          <t xml:space="preserve">      88  :PREFIX:-IMP-ONLINE               VALUE 'I'.</t>
        </is>
      </c>
      <c r="C11" s="122" t="n"/>
      <c r="D11" s="12" t="inlineStr">
        <is>
          <t xml:space="preserve">     'I' - Impressão OnLine (Immediate)</t>
        </is>
      </c>
      <c r="E11" s="13" t="n"/>
      <c r="F11" s="13" t="n"/>
      <c r="G11" s="15" t="n"/>
    </row>
    <row r="12">
      <c r="B12" s="10" t="inlineStr">
        <is>
          <t xml:space="preserve">      88  :PREFIX:-IMP-BATCH                VALUE 'O'.</t>
        </is>
      </c>
      <c r="C12" s="122" t="n"/>
      <c r="D12" s="12" t="inlineStr">
        <is>
          <t xml:space="preserve">     'O' - Impressão via batch (Overnight)</t>
        </is>
      </c>
      <c r="E12" s="13" t="n"/>
      <c r="F12" s="13" t="n"/>
      <c r="G12" s="18" t="n"/>
    </row>
    <row r="13">
      <c r="B13" s="10" t="inlineStr">
        <is>
          <t xml:space="preserve">  07  :PREFIX:-USERID                   PIC X(08).</t>
        </is>
      </c>
      <c r="C13" s="122" t="n"/>
      <c r="D13" s="16" t="inlineStr">
        <is>
          <t>User Id da impressão OnLine</t>
        </is>
      </c>
      <c r="E13" s="13">
        <f>E10+F10</f>
        <v/>
      </c>
      <c r="F13" s="16" t="n">
        <v>8</v>
      </c>
      <c r="G13" s="19" t="inlineStr">
        <is>
          <t>Condicional</t>
        </is>
      </c>
      <c r="I13">
        <f>33+E13</f>
        <v/>
      </c>
    </row>
    <row r="14">
      <c r="B14" s="10" t="inlineStr">
        <is>
          <t xml:space="preserve">  07  :PREFIX:-COD-COMPANHIA            PIC X(03).</t>
        </is>
      </c>
      <c r="C14" s="125" t="n"/>
      <c r="D14" s="12" t="inlineStr">
        <is>
          <t>Código de identificação da Companhia</t>
        </is>
      </c>
      <c r="E14" s="13">
        <f>E13+F13</f>
        <v/>
      </c>
      <c r="F14" s="13" t="n">
        <v>3</v>
      </c>
      <c r="G14" s="17" t="inlineStr">
        <is>
          <t>Obrigatório</t>
        </is>
      </c>
      <c r="I14">
        <f>33+E14</f>
        <v/>
      </c>
    </row>
    <row r="15">
      <c r="B15" s="10" t="inlineStr">
        <is>
          <t xml:space="preserve">      88  :PREFIX:-COM-VIADIRECTA           VALUE '111'.</t>
        </is>
      </c>
      <c r="C15" s="125" t="n"/>
      <c r="D15" s="12" t="inlineStr">
        <is>
          <t xml:space="preserve">     '111' - Via Directa</t>
        </is>
      </c>
      <c r="E15" s="13" t="n"/>
      <c r="F15" s="13" t="n"/>
      <c r="G15" s="15" t="n"/>
    </row>
    <row r="16">
      <c r="B16" s="10" t="inlineStr">
        <is>
          <t xml:space="preserve">      88  :PREFIX:-COM-FIDELIDADE           VALUE '128'.</t>
        </is>
      </c>
      <c r="C16" s="125" t="n"/>
      <c r="D16" s="12" t="inlineStr">
        <is>
          <t xml:space="preserve">     '128' - Fidelidade</t>
        </is>
      </c>
      <c r="E16" s="13" t="n"/>
      <c r="F16" s="13" t="n"/>
      <c r="G16" s="15" t="n"/>
    </row>
    <row r="17">
      <c r="B17" s="10" t="inlineStr">
        <is>
          <t xml:space="preserve">      88  :PREFIX:-COM-IMPERIO              VALUE '138'.</t>
        </is>
      </c>
      <c r="C17" s="125" t="n"/>
      <c r="D17" s="12" t="inlineStr">
        <is>
          <t xml:space="preserve">     '138' - Império</t>
        </is>
      </c>
      <c r="E17" s="13" t="n"/>
      <c r="F17" s="13" t="n"/>
      <c r="G17" s="15" t="n"/>
    </row>
    <row r="18">
      <c r="B18" s="10" t="inlineStr">
        <is>
          <t xml:space="preserve">      88  :PREFIX:-COM-MULTICARE            VALUE '148'.</t>
        </is>
      </c>
      <c r="C18" s="122" t="n"/>
      <c r="D18" s="12" t="inlineStr">
        <is>
          <t xml:space="preserve">     '148' - Multicare</t>
        </is>
      </c>
      <c r="E18" s="16" t="n"/>
      <c r="F18" s="16" t="n"/>
      <c r="G18" s="18" t="n"/>
    </row>
    <row r="19">
      <c r="B19" s="10" t="inlineStr">
        <is>
          <t xml:space="preserve">  07  :PREFIX:-COD-MARCA                PIC X(03).</t>
        </is>
      </c>
      <c r="C19" s="122" t="n"/>
      <c r="D19" s="12" t="inlineStr">
        <is>
          <t>Código de identificação da Marca</t>
        </is>
      </c>
      <c r="E19" s="13">
        <f>E14+F14</f>
        <v/>
      </c>
      <c r="F19" s="16" t="n">
        <v>3</v>
      </c>
      <c r="G19" s="17" t="inlineStr">
        <is>
          <t>Obrigatório</t>
        </is>
      </c>
      <c r="I19">
        <f>33+E19</f>
        <v/>
      </c>
    </row>
    <row r="20">
      <c r="B20" s="10" t="inlineStr">
        <is>
          <t xml:space="preserve">      88  :PREFIX:-MAR-OKTELESEGURO         VALUE '001'.</t>
        </is>
      </c>
      <c r="C20" s="122" t="n"/>
      <c r="D20" s="12" t="inlineStr">
        <is>
          <t xml:space="preserve">     '001' - OK Teleseguro</t>
        </is>
      </c>
      <c r="E20" s="16" t="n"/>
      <c r="F20" s="16" t="n"/>
      <c r="G20" s="15" t="n"/>
    </row>
    <row r="21">
      <c r="B21" s="10" t="inlineStr">
        <is>
          <t xml:space="preserve">      88  :PREFIX:-MAR-FIDELIDADE           VALUE '002'.</t>
        </is>
      </c>
      <c r="C21" s="122" t="n"/>
      <c r="D21" s="12" t="inlineStr">
        <is>
          <t xml:space="preserve">     '002' - Fidelidade</t>
        </is>
      </c>
      <c r="E21" s="16" t="n"/>
      <c r="F21" s="16" t="n"/>
      <c r="G21" s="15" t="n"/>
    </row>
    <row r="22">
      <c r="B22" s="10" t="inlineStr">
        <is>
          <t xml:space="preserve">      88  :PREFIX:-MAR-IMPERIO              VALUE '003'.</t>
        </is>
      </c>
      <c r="C22" s="122" t="n"/>
      <c r="D22" s="12" t="inlineStr">
        <is>
          <t xml:space="preserve">     '003' - Império</t>
        </is>
      </c>
      <c r="E22" s="16" t="n"/>
      <c r="F22" s="16" t="n"/>
      <c r="G22" s="15" t="n"/>
    </row>
    <row r="23">
      <c r="B23" s="10" t="inlineStr">
        <is>
          <t xml:space="preserve">      88  :PREFIX:-MAR-ICI                  VALUE '004'.</t>
        </is>
      </c>
      <c r="C23" s="122" t="n"/>
      <c r="D23" s="12" t="inlineStr">
        <is>
          <t xml:space="preserve">     '004' - ICI</t>
        </is>
      </c>
      <c r="E23" s="16" t="n"/>
      <c r="F23" s="16" t="n"/>
      <c r="G23" s="15" t="n"/>
    </row>
    <row r="24">
      <c r="B24" s="10" t="inlineStr">
        <is>
          <t xml:space="preserve">      88  :PREFIX:-MAR-SONAE                VALUE '005'.</t>
        </is>
      </c>
      <c r="C24" s="122" t="n"/>
      <c r="D24" s="12" t="inlineStr">
        <is>
          <t xml:space="preserve">     '005' - Continente</t>
        </is>
      </c>
      <c r="E24" s="16" t="n"/>
      <c r="F24" s="16" t="n"/>
      <c r="G24" s="15" t="n"/>
    </row>
    <row r="25">
      <c r="B25" s="10" t="inlineStr">
        <is>
          <t xml:space="preserve">      88  :PREFIX:-MAR-MULTICARE            VALUE '006'.</t>
        </is>
      </c>
      <c r="C25" s="122" t="n"/>
      <c r="D25" s="12" t="inlineStr">
        <is>
          <t xml:space="preserve">     '006' - Multicare</t>
        </is>
      </c>
      <c r="E25" s="16" t="n"/>
      <c r="F25" s="16" t="n"/>
      <c r="G25" s="15" t="n"/>
    </row>
    <row r="26">
      <c r="B26" s="10" t="inlineStr">
        <is>
          <t xml:space="preserve">      88  :PREFIX:-MAR-EUROBIC              VALUE '028'.</t>
        </is>
      </c>
      <c r="C26" s="122" t="n"/>
      <c r="D26" s="12" t="inlineStr">
        <is>
          <t xml:space="preserve">     '028' - EuroBic</t>
        </is>
      </c>
      <c r="E26" s="16" t="n"/>
      <c r="F26" s="16" t="n"/>
      <c r="G26" s="18" t="n"/>
    </row>
    <row r="27">
      <c r="B27" s="10" t="inlineStr">
        <is>
          <t xml:space="preserve">  07  :PREFIX:-AUX-MARCA                PIC X(01).</t>
        </is>
      </c>
      <c r="C27" s="122" t="n"/>
      <c r="D27" s="12" t="n"/>
      <c r="E27" s="16">
        <f>E19+F19</f>
        <v/>
      </c>
      <c r="F27" s="16" t="n">
        <v>1</v>
      </c>
      <c r="G27" s="21" t="inlineStr">
        <is>
          <t>Opcional</t>
        </is>
      </c>
      <c r="I27">
        <f>33+E27</f>
        <v/>
      </c>
    </row>
    <row r="28">
      <c r="B28" s="10" t="inlineStr">
        <is>
          <t xml:space="preserve">      88  :PREFIX:-MAR-LEVE                 VALUE 'L'.</t>
        </is>
      </c>
      <c r="C28" s="122" t="n"/>
      <c r="D28" s="12" t="inlineStr">
        <is>
          <t xml:space="preserve">     'L' - Leve (Substitui 'L02' - FM Leve / 'L03' - IB Leve, apenas para marca 002 ou 003)</t>
        </is>
      </c>
      <c r="E28" s="16" t="n"/>
      <c r="F28" s="16" t="n"/>
      <c r="G28" s="18" t="n"/>
    </row>
    <row r="29">
      <c r="B29" s="10" t="inlineStr">
        <is>
          <t xml:space="preserve">  07  :PREFIX:-NR-AGENTE                PIC X(10).</t>
        </is>
      </c>
      <c r="C29" s="122" t="n"/>
      <c r="D29" s="16" t="inlineStr">
        <is>
          <t>Número do Mediador</t>
        </is>
      </c>
      <c r="E29" s="13">
        <f>E27+F27</f>
        <v/>
      </c>
      <c r="F29" s="16" t="n">
        <v>10</v>
      </c>
      <c r="G29" s="21" t="inlineStr">
        <is>
          <t>Opcional</t>
        </is>
      </c>
      <c r="I29">
        <f>33+E29</f>
        <v/>
      </c>
    </row>
    <row r="30">
      <c r="B30" s="10" t="inlineStr">
        <is>
          <t xml:space="preserve">  07  :PREFIX:-NR-CLIENTE               PIC X(10).</t>
        </is>
      </c>
      <c r="C30" s="122" t="n"/>
      <c r="D30" s="16" t="inlineStr">
        <is>
          <t>Número do Cliente</t>
        </is>
      </c>
      <c r="E30" s="13">
        <f>E29+F29</f>
        <v/>
      </c>
      <c r="F30" s="16" t="n">
        <v>10</v>
      </c>
      <c r="G30" s="21" t="inlineStr">
        <is>
          <t>Opcional</t>
        </is>
      </c>
      <c r="I30">
        <f>33+E30</f>
        <v/>
      </c>
    </row>
    <row r="31">
      <c r="B31" s="10" t="inlineStr">
        <is>
          <t xml:space="preserve">  07  :PREFIX:-NR-APOLICE               PIC X(16).</t>
        </is>
      </c>
      <c r="C31" s="122" t="n"/>
      <c r="D31" s="16" t="inlineStr">
        <is>
          <t>Número da Apólice</t>
        </is>
      </c>
      <c r="E31" s="13">
        <f>E30+F30</f>
        <v/>
      </c>
      <c r="F31" s="16" t="n">
        <v>16</v>
      </c>
      <c r="G31" s="17" t="inlineStr">
        <is>
          <t>Obrigatório</t>
        </is>
      </c>
      <c r="I31">
        <f>33+E31</f>
        <v/>
      </c>
    </row>
    <row r="32">
      <c r="B32" s="10" t="inlineStr">
        <is>
          <t xml:space="preserve">  07  :PREFIX:-COD-ORIGEM               PIC X(03).</t>
        </is>
      </c>
      <c r="C32" s="122" t="n"/>
      <c r="D32" s="12" t="inlineStr">
        <is>
          <t>Código de identificação do Sistema Origem</t>
        </is>
      </c>
      <c r="E32" s="13">
        <f>E31+F31</f>
        <v/>
      </c>
      <c r="F32" s="16" t="n">
        <v>3</v>
      </c>
      <c r="G32" s="17" t="inlineStr">
        <is>
          <t>Obrigatório</t>
        </is>
      </c>
      <c r="I32">
        <f>33+E32</f>
        <v/>
      </c>
    </row>
    <row r="33">
      <c r="B33" s="10" t="inlineStr">
        <is>
          <t xml:space="preserve">      88  :PREFIX:-ORI-COGEN22              VALUE 'CG2'.</t>
        </is>
      </c>
      <c r="C33" s="122" t="n"/>
      <c r="D33" s="16" t="inlineStr">
        <is>
          <t xml:space="preserve">     'CG2' - Cogen 22</t>
        </is>
      </c>
      <c r="E33" s="16" t="n"/>
      <c r="F33" s="16" t="n"/>
      <c r="G33" s="15" t="n"/>
    </row>
    <row r="34">
      <c r="B34" s="10" t="inlineStr">
        <is>
          <t xml:space="preserve">      88  :PREFIX:-ORI-COGEN33              VALUE 'CGN'.</t>
        </is>
      </c>
      <c r="C34" s="122" t="n"/>
      <c r="D34" s="16" t="inlineStr">
        <is>
          <t xml:space="preserve">     'CGN' - Cogen 33</t>
        </is>
      </c>
      <c r="E34" s="16" t="n"/>
      <c r="F34" s="16" t="n"/>
      <c r="G34" s="15" t="n"/>
    </row>
    <row r="35">
      <c r="B35" s="10" t="inlineStr">
        <is>
          <t xml:space="preserve">      88  :PREFIX:-ORI-GIS                  VALUE 'GIS'.</t>
        </is>
      </c>
      <c r="C35" s="122" t="n"/>
      <c r="D35" s="16" t="inlineStr">
        <is>
          <t xml:space="preserve">     'GIS' - GIS</t>
        </is>
      </c>
      <c r="E35" s="16" t="n"/>
      <c r="F35" s="16" t="n"/>
      <c r="G35" s="15" t="n"/>
    </row>
    <row r="36">
      <c r="B36" s="10" t="inlineStr">
        <is>
          <t xml:space="preserve">      88  :PREFIX:-ORI-COLHEITAS            VALUE 'CLH'.</t>
        </is>
      </c>
      <c r="C36" s="122" t="n"/>
      <c r="D36" s="16" t="inlineStr">
        <is>
          <t xml:space="preserve">     'CLH' - Colheitas (GIC)</t>
        </is>
      </c>
      <c r="E36" s="16" t="n"/>
      <c r="F36" s="16" t="n"/>
      <c r="G36" s="15" t="n"/>
    </row>
    <row r="37">
      <c r="B37" s="10" t="inlineStr">
        <is>
          <t xml:space="preserve">      88  :PREFIX:-ORI-MULTICARE            VALUE 'MHS'.</t>
        </is>
      </c>
      <c r="C37" s="122" t="n"/>
      <c r="D37" s="16" t="inlineStr">
        <is>
          <t xml:space="preserve">     'MHS' - Multicare</t>
        </is>
      </c>
      <c r="E37" s="16" t="n"/>
      <c r="F37" s="16" t="n"/>
      <c r="G37" s="15" t="n"/>
    </row>
    <row r="38">
      <c r="B38" s="10" t="inlineStr">
        <is>
          <t xml:space="preserve">      88  :PREFIX:-ORI-SGF-GR               VALUE 'SPG'.</t>
        </is>
      </c>
      <c r="C38" s="122" t="inlineStr">
        <is>
          <t xml:space="preserve"> </t>
        </is>
      </c>
      <c r="D38" s="16" t="inlineStr">
        <is>
          <t xml:space="preserve">     'SPG' - SGF Grupo (Paxus)</t>
        </is>
      </c>
      <c r="E38" s="16" t="n"/>
      <c r="F38" s="16" t="n"/>
      <c r="G38" s="15" t="n"/>
    </row>
    <row r="39">
      <c r="B39" s="10" t="inlineStr">
        <is>
          <t xml:space="preserve">      88  :PREFIX:-ORI-SGF-IN               VALUE 'SPA'.</t>
        </is>
      </c>
      <c r="C39" s="122" t="inlineStr">
        <is>
          <t xml:space="preserve"> </t>
        </is>
      </c>
      <c r="D39" s="16" t="inlineStr">
        <is>
          <t xml:space="preserve">     'SPA' - SGF Individual (Paxus)</t>
        </is>
      </c>
      <c r="E39" s="16" t="n"/>
      <c r="F39" s="16" t="n"/>
      <c r="G39" s="15" t="n"/>
    </row>
    <row r="40">
      <c r="B40" s="10" t="inlineStr">
        <is>
          <t xml:space="preserve">      88  :PREFIX:-ORI-FGS                  VALUE 'FGS'.</t>
        </is>
      </c>
      <c r="C40" s="122" t="inlineStr">
        <is>
          <t xml:space="preserve"> </t>
        </is>
      </c>
      <c r="D40" s="16" t="inlineStr">
        <is>
          <t xml:space="preserve">     'FGS' - FGS</t>
        </is>
      </c>
      <c r="E40" s="16" t="n"/>
      <c r="F40" s="16" t="n"/>
      <c r="G40" s="15" t="n"/>
    </row>
    <row r="41">
      <c r="B41" s="10" t="inlineStr">
        <is>
          <t xml:space="preserve">      88  :PREFIX:-ORI-FCS                  VALUE 'FCS'.</t>
        </is>
      </c>
      <c r="C41" s="122" t="inlineStr">
        <is>
          <t xml:space="preserve"> </t>
        </is>
      </c>
      <c r="D41" s="16" t="inlineStr">
        <is>
          <t xml:space="preserve">     'FCS' - FCS</t>
        </is>
      </c>
      <c r="E41" s="16" t="n"/>
      <c r="F41" s="16" t="n"/>
      <c r="G41" s="18" t="n"/>
    </row>
    <row r="42">
      <c r="B42" s="10" t="inlineStr">
        <is>
          <t xml:space="preserve">  07  :PREFIX:-IND-FLYER                PIC X(01).</t>
        </is>
      </c>
      <c r="C42" s="122" t="n"/>
      <c r="D42" s="16" t="inlineStr">
        <is>
          <t>Indicador de inclusão de Flyer (ex: "V" - Cobertura PVC)</t>
        </is>
      </c>
      <c r="E42" s="13">
        <f>E32+F32</f>
        <v/>
      </c>
      <c r="F42" s="16" t="n">
        <v>1</v>
      </c>
      <c r="G42" s="16" t="n"/>
      <c r="I42">
        <f>33+E42</f>
        <v/>
      </c>
    </row>
    <row r="43">
      <c r="B43" s="5" t="inlineStr">
        <is>
          <t>05  :PREFIX:-DADOS-DOCUMENTO            PIC X(2406).</t>
        </is>
      </c>
      <c r="C43" s="29" t="n"/>
      <c r="D43" s="7" t="n"/>
      <c r="E43" s="8">
        <f>E42+F42</f>
        <v/>
      </c>
      <c r="F43" s="8">
        <f>2467-E42</f>
        <v/>
      </c>
      <c r="G43" s="45" t="n"/>
    </row>
    <row r="44">
      <c r="B44" s="5" t="inlineStr">
        <is>
          <t>05  FILLER  REDEFINES  :PREFIX:-DADOS-DOCUMENTO.</t>
        </is>
      </c>
      <c r="C44" s="29" t="n"/>
      <c r="D44" s="7" t="inlineStr">
        <is>
          <t>TIPO-REGISTO 1 (Carta Controlo Qualidade / Aviso Crédito / Recibo por Tesouraria</t>
        </is>
      </c>
      <c r="E44" s="8" t="n"/>
      <c r="F44" s="8" t="n"/>
      <c r="G44" s="45" t="n"/>
    </row>
    <row r="45">
      <c r="B45" s="30" t="inlineStr">
        <is>
          <t xml:space="preserve">  07  :PREFIX:-DADOS-AVISO.</t>
        </is>
      </c>
      <c r="C45" s="127" t="n"/>
      <c r="D45" s="32" t="n"/>
      <c r="E45" s="38" t="n"/>
      <c r="F45" s="32" t="n"/>
      <c r="G45" s="130" t="n"/>
    </row>
    <row r="46">
      <c r="B46" s="10" t="inlineStr">
        <is>
          <t xml:space="preserve">    09  :PREFIX:-TIPO-RECIBO            PIC X(02).</t>
        </is>
      </c>
      <c r="C46" s="122" t="n"/>
      <c r="D46" s="16" t="inlineStr">
        <is>
          <t>Tipo de Recibo:</t>
        </is>
      </c>
      <c r="E46" s="16">
        <f>E43</f>
        <v/>
      </c>
      <c r="F46" s="16" t="n">
        <v>2</v>
      </c>
      <c r="G46" s="221" t="inlineStr">
        <is>
          <t>Condicional</t>
        </is>
      </c>
      <c r="I46">
        <f>33+E46</f>
        <v/>
      </c>
    </row>
    <row r="47">
      <c r="B47" s="10" t="inlineStr">
        <is>
          <t xml:space="preserve">        88  :PREFIX:-TR-INDEMNIZACAO        VALUE 'IN'.</t>
        </is>
      </c>
      <c r="C47" s="122" t="n"/>
      <c r="D47" s="16" t="inlineStr">
        <is>
          <t xml:space="preserve">     'IN' - Indemnização</t>
        </is>
      </c>
      <c r="E47" s="16" t="n"/>
      <c r="F47" s="16" t="n"/>
      <c r="G47" s="15" t="n"/>
    </row>
    <row r="48">
      <c r="B48" s="10" t="inlineStr">
        <is>
          <t xml:space="preserve">    09  FILLER                          PIC X(02).</t>
        </is>
      </c>
      <c r="C48" s="122" t="n"/>
      <c r="D48" s="16" t="inlineStr">
        <is>
          <t>FILLER</t>
        </is>
      </c>
      <c r="E48" s="16">
        <f>E46+F46</f>
        <v/>
      </c>
      <c r="F48" s="16" t="n">
        <v>2</v>
      </c>
      <c r="G48" s="221" t="inlineStr">
        <is>
          <t>Condicional</t>
        </is>
      </c>
      <c r="I48">
        <f>33+E48</f>
        <v/>
      </c>
    </row>
    <row r="49">
      <c r="B49" s="10" t="inlineStr">
        <is>
          <t xml:space="preserve">    09  :PREFIX:-NR-RECIBO              PIC X(16).</t>
        </is>
      </c>
      <c r="C49" s="122" t="n"/>
      <c r="D49" s="16" t="inlineStr">
        <is>
          <t>Número do Recibo</t>
        </is>
      </c>
      <c r="E49" s="16">
        <f>E48+F48</f>
        <v/>
      </c>
      <c r="F49" s="16" t="n">
        <v>16</v>
      </c>
      <c r="G49" s="19" t="inlineStr">
        <is>
          <t>Condicional</t>
        </is>
      </c>
      <c r="I49">
        <f>33+E49</f>
        <v/>
      </c>
    </row>
    <row r="50">
      <c r="B50" s="10" t="inlineStr">
        <is>
          <t xml:space="preserve">    09  :PREFIX:-NR-SINISTRO            PIC X(16).</t>
        </is>
      </c>
      <c r="C50" s="122" t="n"/>
      <c r="D50" s="16" t="inlineStr">
        <is>
          <t>Número do Sinistro</t>
        </is>
      </c>
      <c r="E50" s="16">
        <f>E49+F49</f>
        <v/>
      </c>
      <c r="F50" s="16" t="n">
        <v>16</v>
      </c>
      <c r="G50" s="21" t="inlineStr">
        <is>
          <t>Opcional</t>
        </is>
      </c>
      <c r="I50">
        <f>33+E50</f>
        <v/>
      </c>
    </row>
    <row r="51">
      <c r="B51" s="10" t="inlineStr">
        <is>
          <t xml:space="preserve">    09  :PREFIX:-NR-PROCESSO            PIC X(16).</t>
        </is>
      </c>
      <c r="C51" s="122" t="n"/>
      <c r="D51" s="16" t="inlineStr">
        <is>
          <t>Número do Processo</t>
        </is>
      </c>
      <c r="E51" s="16">
        <f>E50+F50</f>
        <v/>
      </c>
      <c r="F51" s="16" t="n">
        <v>16</v>
      </c>
      <c r="G51" s="19" t="inlineStr">
        <is>
          <t>Condicional</t>
        </is>
      </c>
      <c r="I51">
        <f>33+E51</f>
        <v/>
      </c>
    </row>
    <row r="52">
      <c r="B52" s="10" t="inlineStr">
        <is>
          <t xml:space="preserve">    09  :PREFIX:-COD-RAMO               PIC X(10).</t>
        </is>
      </c>
      <c r="C52" s="122" t="n"/>
      <c r="D52" s="16" t="inlineStr">
        <is>
          <t>Código do Ramo SO [Garantir que no máximo vem 6 posições]</t>
        </is>
      </c>
      <c r="E52" s="16">
        <f>E51+F51</f>
        <v/>
      </c>
      <c r="F52" s="16" t="n">
        <v>10</v>
      </c>
      <c r="G52" s="14" t="inlineStr">
        <is>
          <t>Obrigatório</t>
        </is>
      </c>
      <c r="I52">
        <f>33+E52</f>
        <v/>
      </c>
    </row>
    <row r="53">
      <c r="B53" s="10" t="inlineStr">
        <is>
          <t xml:space="preserve">        88  :PREFIX:-RAM-NVIDA              VALUE '0201  '</t>
        </is>
      </c>
      <c r="C53" s="122" t="n"/>
      <c r="D53" s="16" t="inlineStr">
        <is>
          <t>Ramos não vida</t>
        </is>
      </c>
      <c r="E53" s="13" t="n"/>
      <c r="F53" s="16" t="n"/>
      <c r="G53" s="15" t="n"/>
    </row>
    <row r="54">
      <c r="B54" s="10" t="inlineStr">
        <is>
          <t xml:space="preserve">              '0205  ' '0210  ' '0301  ' '0305  ' '0310  '</t>
        </is>
      </c>
      <c r="C54" s="122" t="n"/>
      <c r="D54" s="16" t="n"/>
      <c r="E54" s="13" t="n"/>
      <c r="F54" s="16" t="n"/>
      <c r="G54" s="15" t="n"/>
    </row>
    <row r="55">
      <c r="B55" s="10" t="inlineStr">
        <is>
          <t xml:space="preserve">              '0350  ' '0351  ' '0352  ' '0353  ' '0354  '</t>
        </is>
      </c>
      <c r="C55" s="122" t="n"/>
      <c r="D55" s="16" t="n"/>
      <c r="E55" s="13" t="n"/>
      <c r="F55" s="16" t="n"/>
      <c r="G55" s="15" t="n"/>
    </row>
    <row r="56">
      <c r="B56" s="10" t="inlineStr">
        <is>
          <t xml:space="preserve">              '0355  ' '0356  ' '0357  ' '0358  ' '0359  '</t>
        </is>
      </c>
      <c r="C56" s="122" t="n"/>
      <c r="D56" s="16" t="n"/>
      <c r="E56" s="13" t="n"/>
      <c r="F56" s="16" t="n"/>
      <c r="G56" s="15" t="n"/>
    </row>
    <row r="57">
      <c r="B57" s="10" t="inlineStr">
        <is>
          <t xml:space="preserve">              '0360  ' '0370  ' '0380  ' '0390  ' '0395  '</t>
        </is>
      </c>
      <c r="C57" s="122" t="n"/>
      <c r="D57" s="16" t="n"/>
      <c r="E57" s="13" t="n"/>
      <c r="F57" s="16" t="n"/>
      <c r="G57" s="15" t="n"/>
    </row>
    <row r="58">
      <c r="B58" s="10" t="inlineStr">
        <is>
          <t xml:space="preserve">              '0401  ' '0405  ' '0501  ' '0510  ' '0515  '</t>
        </is>
      </c>
      <c r="C58" s="122" t="n"/>
      <c r="D58" s="16" t="n"/>
      <c r="E58" s="13" t="n"/>
      <c r="F58" s="16" t="n"/>
      <c r="G58" s="15" t="n"/>
    </row>
    <row r="59">
      <c r="B59" s="10" t="inlineStr">
        <is>
          <t xml:space="preserve">              '0520  ' '0525  ' '0601  ' '0701  ' '0705  '</t>
        </is>
      </c>
      <c r="C59" s="122" t="n"/>
      <c r="D59" s="16" t="n"/>
      <c r="E59" s="13" t="n"/>
      <c r="F59" s="16" t="n"/>
      <c r="G59" s="15" t="n"/>
    </row>
    <row r="60">
      <c r="B60" s="10" t="inlineStr">
        <is>
          <t xml:space="preserve">              '0750  ' '0905  ' '2001  ' '2010  ' '2101  '</t>
        </is>
      </c>
      <c r="C60" s="122" t="n"/>
      <c r="D60" s="16" t="n"/>
      <c r="E60" s="13" t="n"/>
      <c r="F60" s="16" t="n"/>
      <c r="G60" s="15" t="n"/>
    </row>
    <row r="61">
      <c r="B61" s="10" t="inlineStr">
        <is>
          <t xml:space="preserve">              '22000 ' '22002 ' '22003 ' '2201  ' '2210  '</t>
        </is>
      </c>
      <c r="C61" s="122" t="n"/>
      <c r="D61" s="16" t="n"/>
      <c r="E61" s="13" t="n"/>
      <c r="F61" s="16" t="n"/>
      <c r="G61" s="15" t="n"/>
    </row>
    <row r="62">
      <c r="B62" s="10" t="inlineStr">
        <is>
          <t xml:space="preserve">              '2211  ' '2215  ' '2220  ' '2250  ' '2301  '</t>
        </is>
      </c>
      <c r="C62" s="122" t="n"/>
      <c r="D62" s="16" t="n"/>
      <c r="E62" s="13" t="n"/>
      <c r="F62" s="16" t="n"/>
      <c r="G62" s="15" t="n"/>
    </row>
    <row r="63">
      <c r="B63" s="10" t="inlineStr">
        <is>
          <t xml:space="preserve">              '2401  ' '2402  ' '2501  ' '2601  ' '2605  '</t>
        </is>
      </c>
      <c r="C63" s="122" t="n"/>
      <c r="D63" s="16" t="n"/>
      <c r="E63" s="13" t="n"/>
      <c r="F63" s="16" t="n"/>
      <c r="G63" s="15" t="n"/>
    </row>
    <row r="64">
      <c r="B64" s="10" t="inlineStr">
        <is>
          <t xml:space="preserve">              '2705  ' '2801  ' '3102  ' '3109  ' '3150  '</t>
        </is>
      </c>
      <c r="C64" s="122" t="n"/>
      <c r="D64" s="16" t="n"/>
      <c r="E64" s="13" t="n"/>
      <c r="F64" s="16" t="n"/>
      <c r="G64" s="15" t="n"/>
    </row>
    <row r="65">
      <c r="B65" s="10" t="inlineStr">
        <is>
          <t xml:space="preserve">              '3201  ' '3205  ' '3210  ' '3215  ' '3301  '</t>
        </is>
      </c>
      <c r="C65" s="122" t="n"/>
      <c r="D65" s="16" t="n"/>
      <c r="E65" s="13" t="n"/>
      <c r="F65" s="16" t="n"/>
      <c r="G65" s="15" t="n"/>
    </row>
    <row r="66">
      <c r="B66" s="10" t="inlineStr">
        <is>
          <t xml:space="preserve">              '3401  ' '3405  ' '3410  ' '3420  ' '3425  '</t>
        </is>
      </c>
      <c r="C66" s="122" t="n"/>
      <c r="D66" s="16" t="n"/>
      <c r="E66" s="13" t="n"/>
      <c r="F66" s="16" t="n"/>
      <c r="G66" s="15" t="n"/>
    </row>
    <row r="67">
      <c r="B67" s="10" t="inlineStr">
        <is>
          <t xml:space="preserve">              '3430  ' '3501  ' '3505  ' '3601  ' '3605  '</t>
        </is>
      </c>
      <c r="C67" s="122" t="n"/>
      <c r="D67" s="16" t="n"/>
      <c r="E67" s="13" t="n"/>
      <c r="F67" s="16" t="n"/>
      <c r="G67" s="15" t="n"/>
    </row>
    <row r="68">
      <c r="B68" s="10" t="inlineStr">
        <is>
          <t xml:space="preserve">              '3625  ' '3701  ' '3801  ' '3802  ' '3803  '</t>
        </is>
      </c>
      <c r="C68" s="122" t="n"/>
      <c r="D68" s="16" t="n"/>
      <c r="E68" s="13" t="n"/>
      <c r="F68" s="16" t="n"/>
      <c r="G68" s="15" t="n"/>
    </row>
    <row r="69">
      <c r="B69" s="10" t="inlineStr">
        <is>
          <t xml:space="preserve">              '3901  '.</t>
        </is>
      </c>
      <c r="C69" s="122" t="n"/>
      <c r="D69" s="16" t="n"/>
      <c r="E69" s="13" t="n"/>
      <c r="F69" s="16" t="n"/>
      <c r="G69" s="15" t="n"/>
    </row>
    <row r="70">
      <c r="B70" s="10" t="inlineStr">
        <is>
          <t xml:space="preserve">        88  :PREFIX:-RAM-NVIDA-CLH          VALUE '22000 '</t>
        </is>
      </c>
      <c r="C70" s="122" t="n"/>
      <c r="D70" s="16" t="inlineStr">
        <is>
          <t>Ramos não vida: Colheitas</t>
        </is>
      </c>
      <c r="E70" s="13" t="n"/>
      <c r="F70" s="16" t="n"/>
      <c r="G70" s="15" t="n"/>
    </row>
    <row r="71">
      <c r="B71" s="10" t="inlineStr">
        <is>
          <t xml:space="preserve">              '22002 ' '22003 '.</t>
        </is>
      </c>
      <c r="C71" s="122" t="n"/>
      <c r="D71" s="16" t="n"/>
      <c r="E71" s="13" t="n"/>
      <c r="F71" s="16" t="n"/>
      <c r="G71" s="15" t="n"/>
    </row>
    <row r="72">
      <c r="B72" s="10" t="inlineStr">
        <is>
          <t xml:space="preserve">        88  :PREFIX:-RAM-NVIDA-MHS          VALUE '3102  '</t>
        </is>
      </c>
      <c r="C72" s="122" t="n"/>
      <c r="D72" s="16" t="inlineStr">
        <is>
          <t>Ramos não vida: Saúde</t>
        </is>
      </c>
      <c r="E72" s="13" t="n"/>
      <c r="F72" s="16" t="n"/>
      <c r="G72" s="15" t="n"/>
    </row>
    <row r="73">
      <c r="B73" s="10" t="inlineStr">
        <is>
          <t xml:space="preserve">              '3109  '.</t>
        </is>
      </c>
      <c r="C73" s="122" t="n"/>
      <c r="D73" s="16" t="n"/>
      <c r="E73" s="13" t="n"/>
      <c r="F73" s="16" t="n"/>
      <c r="G73" s="15" t="n"/>
    </row>
    <row r="74">
      <c r="B74" s="10" t="inlineStr">
        <is>
          <t xml:space="preserve">        88  :PREFIX:-RAM-VIDA               VALUE '11    '</t>
        </is>
      </c>
      <c r="C74" s="122" t="n"/>
      <c r="D74" s="16" t="inlineStr">
        <is>
          <t>Ramos Vida</t>
        </is>
      </c>
      <c r="E74" s="13" t="n"/>
      <c r="F74" s="16" t="n"/>
      <c r="G74" s="15" t="n"/>
    </row>
    <row r="75">
      <c r="B75" s="10" t="inlineStr">
        <is>
          <t xml:space="preserve">              '13    ' '14    '.</t>
        </is>
      </c>
      <c r="C75" s="122" t="n"/>
      <c r="D75" s="16" t="n"/>
      <c r="E75" s="13" t="n"/>
      <c r="F75" s="16" t="n"/>
      <c r="G75" s="15" t="n"/>
    </row>
    <row r="76">
      <c r="A76" s="131" t="n"/>
      <c r="B76" s="22" t="inlineStr">
        <is>
          <t xml:space="preserve">    09  :PREFIX:-DESCR-RAMO-PROD        PIC X(40).</t>
        </is>
      </c>
      <c r="C76" s="42" t="n"/>
      <c r="D76" s="25" t="inlineStr">
        <is>
          <t>Descritivo do Ramo / Produto</t>
        </is>
      </c>
      <c r="E76" s="156">
        <f>E52+F52</f>
        <v/>
      </c>
      <c r="F76" s="25" t="n">
        <v>40</v>
      </c>
      <c r="G76" s="19" t="inlineStr">
        <is>
          <t>Condicional</t>
        </is>
      </c>
      <c r="I76">
        <f>33+E76</f>
        <v/>
      </c>
    </row>
    <row r="77">
      <c r="B77" s="10" t="inlineStr">
        <is>
          <t xml:space="preserve">    09  :PREFIX:-IND-CONFIDENCIAL       PIC X(01).</t>
        </is>
      </c>
      <c r="C77" s="122" t="n"/>
      <c r="D77" s="16" t="inlineStr">
        <is>
          <t>Indicador de Confidencialidade:</t>
        </is>
      </c>
      <c r="E77" s="156">
        <f>E76+F76</f>
        <v/>
      </c>
      <c r="F77" s="16" t="n">
        <v>1</v>
      </c>
      <c r="G77" s="224" t="inlineStr">
        <is>
          <t>Opcional</t>
        </is>
      </c>
      <c r="I77">
        <f>33+E77</f>
        <v/>
      </c>
    </row>
    <row r="78">
      <c r="B78" s="10" t="inlineStr">
        <is>
          <t xml:space="preserve">        88  :PREFIX:-IND-CONF-SIM           VALUE 'S'.</t>
        </is>
      </c>
      <c r="C78" s="122" t="n"/>
      <c r="D78" s="16" t="inlineStr">
        <is>
          <t>'S' - Documento Confidencial (Não expedido e não disponível na área de cliente)</t>
        </is>
      </c>
      <c r="E78" s="16" t="n"/>
      <c r="F78" s="16" t="n"/>
      <c r="G78" s="15" t="n"/>
    </row>
    <row r="79">
      <c r="B79" s="30" t="inlineStr">
        <is>
          <t xml:space="preserve">  07  :PREFIX:-DADOS-CLIENTE.</t>
        </is>
      </c>
      <c r="C79" s="127" t="n"/>
      <c r="D79" s="32" t="n"/>
      <c r="E79" s="38">
        <f>E77+F77</f>
        <v/>
      </c>
      <c r="F79" s="32" t="n"/>
      <c r="G79" s="130" t="n"/>
    </row>
    <row r="80">
      <c r="B80" s="10" t="inlineStr">
        <is>
          <t xml:space="preserve">    09  :PREFIX:-CL-NOME                PIC X(40).</t>
        </is>
      </c>
      <c r="C80" s="122" t="n"/>
      <c r="D80" s="16" t="inlineStr">
        <is>
          <t>Nome</t>
        </is>
      </c>
      <c r="E80" s="13">
        <f>E79+F79</f>
        <v/>
      </c>
      <c r="F80" s="16" t="n">
        <v>40</v>
      </c>
      <c r="G80" s="17" t="inlineStr">
        <is>
          <t>Obrigatório</t>
        </is>
      </c>
      <c r="I80">
        <f>33+E80</f>
        <v/>
      </c>
    </row>
    <row r="81">
      <c r="B81" s="10" t="inlineStr">
        <is>
          <t xml:space="preserve">    09  :PREFIX:-CL-LOCATION-REF        PIC X(04).</t>
        </is>
      </c>
      <c r="C81" s="122" t="n"/>
      <c r="D81" s="16" t="inlineStr">
        <is>
          <t>Referência da morada</t>
        </is>
      </c>
      <c r="E81" s="13">
        <f>E80+F80</f>
        <v/>
      </c>
      <c r="F81" s="16" t="n">
        <v>4</v>
      </c>
      <c r="G81" s="17" t="inlineStr">
        <is>
          <t>Obrigatório</t>
        </is>
      </c>
      <c r="I81">
        <f>33+E81</f>
        <v/>
      </c>
    </row>
    <row r="82">
      <c r="B82" s="10" t="inlineStr">
        <is>
          <t xml:space="preserve">    09  :PREFIX:-CL-MORADA1             PIC X(40).</t>
        </is>
      </c>
      <c r="C82" s="122" t="n"/>
      <c r="D82" s="16" t="inlineStr">
        <is>
          <t>Dados de morada 1</t>
        </is>
      </c>
      <c r="E82" s="13">
        <f>E81+F81</f>
        <v/>
      </c>
      <c r="F82" s="16" t="n">
        <v>40</v>
      </c>
      <c r="G82" s="17" t="inlineStr">
        <is>
          <t>Obrigatório</t>
        </is>
      </c>
      <c r="I82">
        <f>33+E82</f>
        <v/>
      </c>
    </row>
    <row r="83">
      <c r="B83" s="10" t="inlineStr">
        <is>
          <t xml:space="preserve">    09  :PREFIX:-CL-MORADA2             PIC X(40).</t>
        </is>
      </c>
      <c r="C83" s="122" t="n"/>
      <c r="D83" s="16" t="inlineStr">
        <is>
          <t>Dados de morada 2</t>
        </is>
      </c>
      <c r="E83" s="13">
        <f>E82+F82</f>
        <v/>
      </c>
      <c r="F83" s="16" t="n">
        <v>40</v>
      </c>
      <c r="G83" s="21" t="inlineStr">
        <is>
          <t>Opcional</t>
        </is>
      </c>
      <c r="I83">
        <f>33+E83</f>
        <v/>
      </c>
    </row>
    <row r="84">
      <c r="B84" s="10" t="inlineStr">
        <is>
          <t xml:space="preserve">    09  :PREFIX:-CL-LOCALIDADE          PIC X(40).</t>
        </is>
      </c>
      <c r="C84" s="122" t="n"/>
      <c r="D84" s="16" t="inlineStr">
        <is>
          <t>Localidade</t>
        </is>
      </c>
      <c r="E84" s="13">
        <f>E83+F83</f>
        <v/>
      </c>
      <c r="F84" s="16" t="n">
        <v>40</v>
      </c>
      <c r="G84" s="21" t="inlineStr">
        <is>
          <t>Opcional</t>
        </is>
      </c>
      <c r="I84">
        <f>33+E84</f>
        <v/>
      </c>
    </row>
    <row r="85">
      <c r="B85" s="10" t="inlineStr">
        <is>
          <t xml:space="preserve">    09  :PREFIX:-CL-CPOSTAL             PIC X(09).</t>
        </is>
      </c>
      <c r="C85" s="122" t="n"/>
      <c r="D85" s="16" t="inlineStr">
        <is>
          <t>Código postal (Se estrangeiro deverá vir a zeros) [9999-999]</t>
        </is>
      </c>
      <c r="E85" s="13">
        <f>E84+F84</f>
        <v/>
      </c>
      <c r="F85" s="16" t="n">
        <v>9</v>
      </c>
      <c r="G85" s="17" t="inlineStr">
        <is>
          <t>Obrigatório</t>
        </is>
      </c>
      <c r="I85">
        <f>33+E85</f>
        <v/>
      </c>
    </row>
    <row r="86">
      <c r="B86" s="10" t="inlineStr">
        <is>
          <t xml:space="preserve">    09  :PREFIX:-CL-CPOSTAL-DESC        PIC X(40).</t>
        </is>
      </c>
      <c r="C86" s="122" t="n"/>
      <c r="D86" s="16" t="inlineStr">
        <is>
          <t>Descritivo do código postal</t>
        </is>
      </c>
      <c r="E86" s="13">
        <f>E85+F85</f>
        <v/>
      </c>
      <c r="F86" s="16" t="n">
        <v>40</v>
      </c>
      <c r="G86" s="17" t="inlineStr">
        <is>
          <t>Obrigatório</t>
        </is>
      </c>
      <c r="I86">
        <f>33+E86</f>
        <v/>
      </c>
    </row>
    <row r="87">
      <c r="B87" s="10" t="inlineStr">
        <is>
          <t xml:space="preserve">    09  :PREFIX:-CL-CPAIS               PIC X(03).</t>
        </is>
      </c>
      <c r="C87" s="122" t="n"/>
      <c r="D87" s="16" t="inlineStr">
        <is>
          <t>Código do País (Se estrangeiro, diferente de 620)</t>
        </is>
      </c>
      <c r="E87" s="13">
        <f>E86+F86</f>
        <v/>
      </c>
      <c r="F87" s="16" t="n">
        <v>3</v>
      </c>
      <c r="G87" s="17" t="inlineStr">
        <is>
          <t>Obrigatório</t>
        </is>
      </c>
      <c r="I87">
        <f>33+E87</f>
        <v/>
      </c>
    </row>
    <row r="88">
      <c r="B88" s="10" t="inlineStr">
        <is>
          <t xml:space="preserve">    09  :PREFIX:-CL-CPAIS-DESC          PIC X(40).</t>
        </is>
      </c>
      <c r="C88" s="122" t="n"/>
      <c r="D88" s="16" t="inlineStr">
        <is>
          <t>Descritivo do País</t>
        </is>
      </c>
      <c r="E88" s="13">
        <f>E87+F87</f>
        <v/>
      </c>
      <c r="F88" s="16" t="n">
        <v>40</v>
      </c>
      <c r="G88" s="17" t="inlineStr">
        <is>
          <t>Obrigatório</t>
        </is>
      </c>
      <c r="I88">
        <f>33+E88</f>
        <v/>
      </c>
    </row>
    <row r="89">
      <c r="B89" s="10" t="inlineStr">
        <is>
          <t xml:space="preserve">    09  :PREFIX:-CL-IDP                 PIC X(04).</t>
        </is>
      </c>
      <c r="C89" s="122" t="n"/>
      <c r="D89" s="16" t="inlineStr">
        <is>
          <t>Identificação da Porta (no CBC)</t>
        </is>
      </c>
      <c r="E89" s="13">
        <f>E88+F88</f>
        <v/>
      </c>
      <c r="F89" s="16" t="n">
        <v>4</v>
      </c>
      <c r="G89" s="17" t="inlineStr">
        <is>
          <t>Obrigatório</t>
        </is>
      </c>
      <c r="I89">
        <f>33+E89</f>
        <v/>
      </c>
    </row>
    <row r="90">
      <c r="B90" s="10" t="inlineStr">
        <is>
          <t xml:space="preserve">    09  :PREFIX:-CL-NIF                 PIC X(22).</t>
        </is>
      </c>
      <c r="C90" s="122" t="n"/>
      <c r="D90" s="16" t="inlineStr">
        <is>
          <t>Número de identificação fiscal (No caso de Portugal será PT999999999)</t>
        </is>
      </c>
      <c r="E90" s="13">
        <f>E89+F89</f>
        <v/>
      </c>
      <c r="F90" s="16" t="n">
        <v>22</v>
      </c>
      <c r="G90" s="17" t="inlineStr">
        <is>
          <t>Obrigatório</t>
        </is>
      </c>
      <c r="I90">
        <f>33+E90</f>
        <v/>
      </c>
    </row>
    <row r="91">
      <c r="B91" s="10" t="inlineStr">
        <is>
          <t xml:space="preserve">    09  :PREFIX:-CL-TIPO-ENTIDADE       PIC X(01).</t>
        </is>
      </c>
      <c r="C91" s="122" t="n"/>
      <c r="D91" s="16" t="inlineStr">
        <is>
          <t>Tipo Entidade</t>
        </is>
      </c>
      <c r="E91" s="13">
        <f>E90+F90</f>
        <v/>
      </c>
      <c r="F91" s="16" t="n">
        <v>1</v>
      </c>
      <c r="G91" s="21" t="inlineStr">
        <is>
          <t>Opcional</t>
        </is>
      </c>
      <c r="I91">
        <f>33+E91</f>
        <v/>
      </c>
    </row>
    <row r="92">
      <c r="B92" s="10" t="inlineStr">
        <is>
          <t xml:space="preserve">        88  :PREFIX:-CL-ENT-PARTICUL        VALUE '1'.</t>
        </is>
      </c>
      <c r="C92" s="122" t="n"/>
      <c r="D92" s="16" t="inlineStr">
        <is>
          <t xml:space="preserve">     '1' - Pessoa / Particular</t>
        </is>
      </c>
      <c r="E92" s="13" t="n"/>
      <c r="F92" s="16" t="n"/>
      <c r="G92" s="15" t="n"/>
    </row>
    <row r="93">
      <c r="B93" s="10" t="inlineStr">
        <is>
          <t xml:space="preserve">        88  :PREFIX:-CL-ENT-COLETIVA        VALUE '2'.</t>
        </is>
      </c>
      <c r="C93" s="122" t="n"/>
      <c r="D93" s="16" t="inlineStr">
        <is>
          <t xml:space="preserve">     '2' - Colectivo/Conta Interna</t>
        </is>
      </c>
      <c r="E93" s="13" t="n"/>
      <c r="F93" s="16" t="n"/>
      <c r="G93" s="18" t="n"/>
    </row>
    <row r="94">
      <c r="B94" s="30" t="inlineStr">
        <is>
          <t xml:space="preserve">  07  :PREFIX:-DADOS-DATA.</t>
        </is>
      </c>
      <c r="C94" s="127" t="n"/>
      <c r="D94" s="32" t="n"/>
      <c r="E94" s="38">
        <f>E91+F91</f>
        <v/>
      </c>
      <c r="F94" s="32" t="n"/>
      <c r="G94" s="130" t="n"/>
    </row>
    <row r="95">
      <c r="B95" s="10" t="inlineStr">
        <is>
          <t xml:space="preserve">    09  :PREFIX:-DT-EMISSAO             PIC X(08).</t>
        </is>
      </c>
      <c r="C95" s="122" t="n"/>
      <c r="D95" s="16" t="inlineStr">
        <is>
          <t>Data de emissão do Recibo [aaaammdd]</t>
        </is>
      </c>
      <c r="E95" s="13">
        <f>E94+F94</f>
        <v/>
      </c>
      <c r="F95" s="16" t="n">
        <v>8</v>
      </c>
      <c r="G95" s="19" t="inlineStr">
        <is>
          <t>Condicional</t>
        </is>
      </c>
      <c r="I95">
        <f>33+E95</f>
        <v/>
      </c>
    </row>
    <row r="96">
      <c r="B96" s="10" t="inlineStr">
        <is>
          <t xml:space="preserve">    09  :PREFIX:-DT-OCORRENCIA          PIC X(08).</t>
        </is>
      </c>
      <c r="C96" s="122" t="n"/>
      <c r="D96" s="16" t="inlineStr">
        <is>
          <t>Data de ocorrência do Sinistro [aaaammdd]</t>
        </is>
      </c>
      <c r="E96" s="13">
        <f>E95+F95</f>
        <v/>
      </c>
      <c r="F96" s="16" t="n">
        <v>8</v>
      </c>
      <c r="G96" s="19" t="inlineStr">
        <is>
          <t>Condicional</t>
        </is>
      </c>
      <c r="I96">
        <f>33+E96</f>
        <v/>
      </c>
    </row>
    <row r="97">
      <c r="B97" s="10" t="inlineStr">
        <is>
          <t xml:space="preserve">    09  :PREFIX:-DT-EFEITO              PIC X(08).</t>
        </is>
      </c>
      <c r="C97" s="122" t="n"/>
      <c r="D97" s="16" t="inlineStr">
        <is>
          <t>Data efeito do  Crédito [aaaammdd]</t>
        </is>
      </c>
      <c r="E97" s="13">
        <f>E96+F96</f>
        <v/>
      </c>
      <c r="F97" s="16" t="n">
        <v>8</v>
      </c>
      <c r="G97" s="19" t="inlineStr">
        <is>
          <t>Condicional</t>
        </is>
      </c>
      <c r="I97">
        <f>33+E97</f>
        <v/>
      </c>
    </row>
    <row r="98">
      <c r="B98" s="30" t="inlineStr">
        <is>
          <t xml:space="preserve">  07  :PREFIX:-DADOS-VALOR.</t>
        </is>
      </c>
      <c r="C98" s="127" t="n"/>
      <c r="D98" s="32" t="n"/>
      <c r="E98" s="38">
        <f>E97+F97</f>
        <v/>
      </c>
      <c r="F98" s="32" t="n"/>
      <c r="G98" s="130" t="n"/>
      <c r="I98">
        <f>33+E98</f>
        <v/>
      </c>
    </row>
    <row r="99" ht="28.8" customHeight="1">
      <c r="B99" s="40" t="inlineStr">
        <is>
          <t xml:space="preserve">    09  :PREFIX:-VLR-ILIQUIDO           PIC S9(12)V9(02)
                                   SIGN LEADING SEPARATE.</t>
        </is>
      </c>
      <c r="C99" s="42" t="n"/>
      <c r="D99" s="124" t="inlineStr">
        <is>
          <t>Valor Ilíquido do Recibo</t>
        </is>
      </c>
      <c r="E99" s="156">
        <f>E98</f>
        <v/>
      </c>
      <c r="F99" s="25" t="n">
        <v>15</v>
      </c>
      <c r="G99" s="19" t="inlineStr">
        <is>
          <t>Condicional</t>
        </is>
      </c>
      <c r="H99" s="131" t="n"/>
      <c r="I99">
        <f>33+E99</f>
        <v/>
      </c>
    </row>
    <row r="100" ht="28.8" customHeight="1">
      <c r="B100" s="40" t="inlineStr">
        <is>
          <t xml:space="preserve">    09  :PREFIX:-VLR-BASE-TRIBUTAVEL    PIC S9(12)V9(02)
                                   SIGN LEADING SEPARATE.</t>
        </is>
      </c>
      <c r="C100" s="42" t="n"/>
      <c r="D100" s="124" t="inlineStr">
        <is>
          <t>Valor da Base Tributável do Recibo</t>
        </is>
      </c>
      <c r="E100" s="156">
        <f>E99+F99</f>
        <v/>
      </c>
      <c r="F100" s="25" t="n">
        <v>15</v>
      </c>
      <c r="G100" s="19" t="inlineStr">
        <is>
          <t>Condicional</t>
        </is>
      </c>
      <c r="H100" s="131" t="n"/>
      <c r="I100">
        <f>33+E100</f>
        <v/>
      </c>
    </row>
    <row r="101" ht="28.8" customHeight="1">
      <c r="B101" s="40" t="inlineStr">
        <is>
          <t xml:space="preserve">    09  :PREFIX:-VLR-IRS-IRC            PIC S9(12)V9(02)
                                   SIGN LEADING SEPARATE.</t>
        </is>
      </c>
      <c r="C101" s="42" t="n"/>
      <c r="D101" s="124" t="inlineStr">
        <is>
          <t>Valor do IRS/IRC retido</t>
        </is>
      </c>
      <c r="E101" s="156">
        <f>E100+F100</f>
        <v/>
      </c>
      <c r="F101" s="25" t="n">
        <v>15</v>
      </c>
      <c r="G101" s="19" t="inlineStr">
        <is>
          <t>Condicional</t>
        </is>
      </c>
      <c r="H101" s="131" t="n"/>
      <c r="I101">
        <f>33+E101</f>
        <v/>
      </c>
    </row>
    <row r="102" ht="28.8" customHeight="1">
      <c r="B102" s="40" t="inlineStr">
        <is>
          <t xml:space="preserve">    09  :PREFIX:-VLR-LIQUIDO            PIC S9(12)V9(02)
                                   SIGN LEADING SEPARATE.</t>
        </is>
      </c>
      <c r="C102" s="42" t="n"/>
      <c r="D102" s="124" t="inlineStr">
        <is>
          <t>Valor Líquido</t>
        </is>
      </c>
      <c r="E102" s="156">
        <f>E101+F101</f>
        <v/>
      </c>
      <c r="F102" s="25" t="n">
        <v>15</v>
      </c>
      <c r="G102" s="17" t="inlineStr">
        <is>
          <t>Obrigatório</t>
        </is>
      </c>
      <c r="H102" s="131" t="n"/>
      <c r="I102">
        <f>33+E102</f>
        <v/>
      </c>
    </row>
    <row r="103">
      <c r="B103" s="30" t="inlineStr">
        <is>
          <t xml:space="preserve">  07  :PREFIX:-DADOS-PAGAMENTO.</t>
        </is>
      </c>
      <c r="C103" s="127" t="n"/>
      <c r="D103" s="32" t="n"/>
      <c r="E103" s="38">
        <f>E102+F102</f>
        <v/>
      </c>
      <c r="F103" s="32" t="n"/>
      <c r="G103" s="130" t="n"/>
      <c r="I103">
        <f>33+E103</f>
        <v/>
      </c>
    </row>
    <row r="104">
      <c r="B104" s="10" t="inlineStr">
        <is>
          <t xml:space="preserve">    09  :PREFIX:-DP-IBAN                PIC X(34).</t>
        </is>
      </c>
      <c r="C104" s="122" t="n"/>
      <c r="D104" s="16" t="inlineStr">
        <is>
          <t>IBAN (SEPA)</t>
        </is>
      </c>
      <c r="E104" s="13">
        <f>E103+F103</f>
        <v/>
      </c>
      <c r="F104" s="16" t="n">
        <v>34</v>
      </c>
      <c r="G104" s="19" t="inlineStr">
        <is>
          <t>Condicional</t>
        </is>
      </c>
      <c r="I104">
        <f>33+E104</f>
        <v/>
      </c>
    </row>
    <row r="105">
      <c r="B105" s="10" t="inlineStr">
        <is>
          <t xml:space="preserve">    09  :PREFIX:-DP-SWIFT               PIC X(11).</t>
        </is>
      </c>
      <c r="C105" s="122" t="n"/>
      <c r="D105" s="16" t="inlineStr">
        <is>
          <t>SWIFT (SEPA)</t>
        </is>
      </c>
      <c r="E105" s="13">
        <f>E104+F104</f>
        <v/>
      </c>
      <c r="F105" s="16" t="n">
        <v>11</v>
      </c>
      <c r="G105" s="19" t="inlineStr">
        <is>
          <t>Condicional</t>
        </is>
      </c>
      <c r="I105">
        <f>33+E105</f>
        <v/>
      </c>
    </row>
    <row r="106">
      <c r="B106" s="10" t="inlineStr">
        <is>
          <t xml:space="preserve">    09  :PREFIX:-DP-LOCAL-PAGAVEL       PIC X(04).</t>
        </is>
      </c>
      <c r="C106" s="122" t="n"/>
      <c r="D106" s="16" t="inlineStr">
        <is>
          <t>Agência disponível para efectuar o Pagamento:</t>
        </is>
      </c>
      <c r="E106" s="13">
        <f>E105+F105</f>
        <v/>
      </c>
      <c r="F106" s="16" t="n">
        <v>4</v>
      </c>
      <c r="G106" s="19" t="inlineStr">
        <is>
          <t>Condicional</t>
        </is>
      </c>
      <c r="I106">
        <f>33+E106</f>
        <v/>
      </c>
    </row>
    <row r="107">
      <c r="B107" s="10" t="inlineStr">
        <is>
          <t xml:space="preserve">        88  :PREFIX:-DP-LOCAL-FID           VALUE 'FID '.</t>
        </is>
      </c>
      <c r="C107" s="122" t="n"/>
      <c r="D107" s="16" t="inlineStr">
        <is>
          <t xml:space="preserve">     'FID ' - Agência Fidelidade</t>
        </is>
      </c>
      <c r="E107" s="13" t="n"/>
      <c r="F107" s="16" t="n"/>
      <c r="G107" s="15" t="n"/>
    </row>
    <row r="108">
      <c r="B108" s="10" t="inlineStr">
        <is>
          <t xml:space="preserve">        88  :PREFIX:-DP-LOCAL-CGD           VALUE 'CGD '.</t>
        </is>
      </c>
      <c r="C108" s="122" t="n"/>
      <c r="D108" s="16" t="inlineStr">
        <is>
          <t xml:space="preserve">     'CGD ' - Agência CGD</t>
        </is>
      </c>
      <c r="E108" s="13" t="n"/>
      <c r="F108" s="16" t="n"/>
      <c r="G108" s="15" t="n"/>
    </row>
    <row r="109">
      <c r="B109" s="10" t="inlineStr">
        <is>
          <t xml:space="preserve">        88  :PREFIX:-DP-LOCAL-CTT           VALUE 'CTT '.</t>
        </is>
      </c>
      <c r="C109" s="122" t="n"/>
      <c r="D109" s="16" t="inlineStr">
        <is>
          <t xml:space="preserve">     'CTT ' - Agência CTT</t>
        </is>
      </c>
      <c r="E109" s="13" t="n"/>
      <c r="F109" s="16" t="n"/>
      <c r="G109" s="15" t="n"/>
    </row>
    <row r="110">
      <c r="B110" s="10" t="inlineStr">
        <is>
          <t xml:space="preserve">        88  :PREFIX:-DP-LOCAL-BCTT          VALUE 'BCTT'.</t>
        </is>
      </c>
      <c r="C110" s="122" t="n"/>
      <c r="D110" s="16" t="inlineStr">
        <is>
          <t xml:space="preserve">     'BCTT' - Agência Banco CTT</t>
        </is>
      </c>
      <c r="E110" s="13" t="n"/>
      <c r="F110" s="16" t="n"/>
      <c r="G110" s="18" t="n"/>
    </row>
    <row r="111">
      <c r="B111" s="30" t="inlineStr">
        <is>
          <t xml:space="preserve">  07  :PREFIX:-DADOS-OUTROS.</t>
        </is>
      </c>
      <c r="C111" s="127" t="n"/>
      <c r="D111" s="32" t="n"/>
      <c r="E111" s="38">
        <f>E106+F106</f>
        <v/>
      </c>
      <c r="F111" s="32" t="n"/>
      <c r="G111" s="130" t="n"/>
    </row>
    <row r="112">
      <c r="B112" s="10" t="inlineStr">
        <is>
          <t xml:space="preserve">    09  :PREFIX:-DO-NOME-TOMADOR        PIC X(40).</t>
        </is>
      </c>
      <c r="C112" s="122" t="n"/>
      <c r="D112" s="16" t="inlineStr">
        <is>
          <t>Nome do Tomador de Seguro</t>
        </is>
      </c>
      <c r="E112" s="13">
        <f>E111+F111</f>
        <v/>
      </c>
      <c r="F112" s="16" t="n">
        <v>40</v>
      </c>
      <c r="G112" s="19" t="inlineStr">
        <is>
          <t>Condicional</t>
        </is>
      </c>
      <c r="I112">
        <f>33+E112</f>
        <v/>
      </c>
    </row>
    <row r="113">
      <c r="B113" s="10" t="inlineStr">
        <is>
          <t xml:space="preserve">    09  :PREFIX:-DO-DESC-TIPO-SIN       PIC X(40).</t>
        </is>
      </c>
      <c r="C113" s="122" t="n"/>
      <c r="D113" s="16" t="inlineStr">
        <is>
          <t>Descritivo do tipo de Sinistro</t>
        </is>
      </c>
      <c r="E113" s="13">
        <f>E112+F112</f>
        <v/>
      </c>
      <c r="F113" s="16" t="n">
        <v>40</v>
      </c>
      <c r="G113" s="19" t="inlineStr">
        <is>
          <t>Condicional</t>
        </is>
      </c>
      <c r="I113">
        <f>33+E113</f>
        <v/>
      </c>
    </row>
    <row r="114">
      <c r="B114" s="30" t="inlineStr">
        <is>
          <t xml:space="preserve">  07  :PREFIX:-REFERENCIA-ARQUIVO.</t>
        </is>
      </c>
      <c r="C114" s="127" t="n"/>
      <c r="D114" s="32" t="n"/>
      <c r="E114" s="38">
        <f>E113+F113</f>
        <v/>
      </c>
      <c r="F114" s="32" t="n"/>
      <c r="G114" s="130" t="n"/>
    </row>
    <row r="115">
      <c r="B115" s="10" t="inlineStr">
        <is>
          <t xml:space="preserve">    09  :PREFIX:-RA-GUID                PIC X(36).</t>
        </is>
      </c>
      <c r="C115" s="122" t="n"/>
      <c r="D115" s="16" t="inlineStr">
        <is>
          <t>Referência única do Documento</t>
        </is>
      </c>
      <c r="E115" s="13">
        <f>E114+F114</f>
        <v/>
      </c>
      <c r="F115" s="16" t="n">
        <v>36</v>
      </c>
      <c r="G115" s="16" t="n"/>
      <c r="I115">
        <f>33+E115</f>
        <v/>
      </c>
    </row>
    <row r="116">
      <c r="B116" s="30" t="inlineStr">
        <is>
          <t xml:space="preserve">  07  FILLER                            PIC X(1771).</t>
        </is>
      </c>
      <c r="C116" s="127" t="n"/>
      <c r="D116" s="32" t="n"/>
      <c r="E116" s="38">
        <f>E115+F115</f>
        <v/>
      </c>
      <c r="F116" s="32">
        <f>E117-E116+1</f>
        <v/>
      </c>
      <c r="G116" s="130" t="n"/>
    </row>
    <row r="117">
      <c r="D117" s="149" t="inlineStr">
        <is>
          <t>Total:</t>
        </is>
      </c>
      <c r="E117" s="150">
        <f>E42+F43</f>
        <v/>
      </c>
    </row>
  </sheetData>
  <mergeCells count="12">
    <mergeCell ref="G10:G12"/>
    <mergeCell ref="G14:G18"/>
    <mergeCell ref="G27:G28"/>
    <mergeCell ref="G8:G9"/>
    <mergeCell ref="G91:G93"/>
    <mergeCell ref="G4:G7"/>
    <mergeCell ref="G52:G75"/>
    <mergeCell ref="G32:G41"/>
    <mergeCell ref="G77:G78"/>
    <mergeCell ref="G46:G47"/>
    <mergeCell ref="G19:G26"/>
    <mergeCell ref="G106:G110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76.85546875" customWidth="1" min="1" max="1"/>
    <col width="7.7109375" customWidth="1" min="2" max="2"/>
    <col width="73.7109375" customWidth="1" min="3" max="3"/>
    <col width="9.140625" customWidth="1" min="4" max="4"/>
    <col width="9.140625" customWidth="1" min="5" max="5"/>
    <col width="11.7109375" customWidth="1" min="6" max="6"/>
  </cols>
  <sheetData>
    <row r="1" ht="8.449999999999999" customHeight="1"/>
    <row r="2">
      <c r="A2" s="2" t="inlineStr">
        <is>
          <t>Copybook</t>
        </is>
      </c>
      <c r="B2" s="2" t="inlineStr">
        <is>
          <t>Novo</t>
        </is>
      </c>
      <c r="C2" s="2" t="inlineStr">
        <is>
          <t>Descrição / Valores Possiveis / [Formato]</t>
        </is>
      </c>
      <c r="D2" s="3" t="inlineStr">
        <is>
          <t>Posição</t>
        </is>
      </c>
      <c r="E2" s="3" t="inlineStr">
        <is>
          <t>Tamanho</t>
        </is>
      </c>
      <c r="F2" s="4" t="inlineStr">
        <is>
          <t>Observações</t>
        </is>
      </c>
    </row>
    <row r="3">
      <c r="A3" s="5" t="inlineStr">
        <is>
          <t>05  :PREFIX:-DADOS-REGISTO.</t>
        </is>
      </c>
      <c r="B3" s="29" t="n"/>
      <c r="C3" s="7" t="n"/>
      <c r="D3" s="8" t="n">
        <v>1</v>
      </c>
      <c r="E3" s="8" t="n">
        <v>0</v>
      </c>
      <c r="F3" s="45" t="n"/>
    </row>
    <row r="4">
      <c r="A4" s="10" t="inlineStr">
        <is>
          <t xml:space="preserve">  07  :PREFIX:-COD-DOCUMENTO            PIC X(04).</t>
        </is>
      </c>
      <c r="B4" s="122" t="n"/>
      <c r="C4" s="12" t="inlineStr">
        <is>
          <t>Código de documento</t>
        </is>
      </c>
      <c r="D4" s="13">
        <f>D3+E3</f>
        <v/>
      </c>
      <c r="E4" s="13" t="n">
        <v>4</v>
      </c>
      <c r="F4" s="17" t="inlineStr">
        <is>
          <t>Obrigatório</t>
        </is>
      </c>
    </row>
    <row r="5">
      <c r="A5" s="10" t="inlineStr">
        <is>
          <t xml:space="preserve">      88  :PREFIX:-ENVIO-CHEQUE             VALUE 'ENCQ'.</t>
        </is>
      </c>
      <c r="B5" s="122" t="n"/>
      <c r="C5" s="12" t="inlineStr">
        <is>
          <t xml:space="preserve">     'ENCQ' - Ordem de Pagamento: Envio Cheque</t>
        </is>
      </c>
      <c r="D5" s="13" t="n"/>
      <c r="E5" s="13" t="n"/>
      <c r="F5" s="15" t="n"/>
    </row>
    <row r="6">
      <c r="A6" s="10" t="inlineStr">
        <is>
          <t xml:space="preserve">      88  :PREFIX:-TRANSF-BANCAR            VALUE 'TRBC'.</t>
        </is>
      </c>
      <c r="B6" s="122" t="n"/>
      <c r="C6" s="12" t="inlineStr">
        <is>
          <t xml:space="preserve">     'TRBC' - Ordem de Pagamento: Transferência Bancária</t>
        </is>
      </c>
      <c r="D6" s="13" t="n"/>
      <c r="E6" s="13" t="n"/>
      <c r="F6" s="18" t="n"/>
    </row>
    <row r="7">
      <c r="A7" s="10" t="inlineStr">
        <is>
          <t xml:space="preserve">  07  :PREFIX:-TIPO-REGISTO             PIC X(01).</t>
        </is>
      </c>
      <c r="B7" s="122" t="n"/>
      <c r="C7" s="16" t="inlineStr">
        <is>
          <t>Tipo de registo</t>
        </is>
      </c>
      <c r="D7" s="13">
        <f>D4+E4</f>
        <v/>
      </c>
      <c r="E7" s="16" t="n">
        <v>1</v>
      </c>
      <c r="F7" s="14" t="inlineStr">
        <is>
          <t>Obrigatório</t>
        </is>
      </c>
    </row>
    <row r="8">
      <c r="A8" s="10" t="inlineStr">
        <is>
          <t xml:space="preserve">      88  :PREFIX:-REG-TIPO1                VALUE '1'.</t>
        </is>
      </c>
      <c r="B8" s="122" t="n"/>
      <c r="C8" s="16" t="inlineStr">
        <is>
          <t xml:space="preserve">     '1' - Dados do Documento</t>
        </is>
      </c>
      <c r="D8" s="13" t="n"/>
      <c r="E8" s="16" t="n"/>
      <c r="F8" s="15" t="n"/>
    </row>
    <row r="9">
      <c r="A9" s="10" t="inlineStr">
        <is>
          <t xml:space="preserve">  07  :PREFIX:-TIPO-IMPRESSAO           PIC X(01).</t>
        </is>
      </c>
      <c r="B9" s="122" t="n"/>
      <c r="C9" s="12" t="inlineStr">
        <is>
          <t>Tipo de impressão</t>
        </is>
      </c>
      <c r="D9" s="13">
        <f>D7+E7</f>
        <v/>
      </c>
      <c r="E9" s="13" t="n">
        <v>1</v>
      </c>
      <c r="F9" s="17" t="inlineStr">
        <is>
          <t>Obrigatório</t>
        </is>
      </c>
    </row>
    <row r="10">
      <c r="A10" s="10" t="inlineStr">
        <is>
          <t xml:space="preserve">      88  :PREFIX:-IMP-ONLINE               VALUE 'I'.</t>
        </is>
      </c>
      <c r="B10" s="122" t="n"/>
      <c r="C10" s="12" t="inlineStr">
        <is>
          <t xml:space="preserve">     'I' - Impressão OnLine (Immediate)</t>
        </is>
      </c>
      <c r="D10" s="13" t="n"/>
      <c r="E10" s="13" t="n"/>
      <c r="F10" s="15" t="n"/>
    </row>
    <row r="11" ht="27" customHeight="1">
      <c r="A11" s="10" t="inlineStr">
        <is>
          <t xml:space="preserve">      88  :PREFIX:-IMP-BATCH                VALUE 'O'.</t>
        </is>
      </c>
      <c r="B11" s="122" t="n"/>
      <c r="C11" s="12" t="inlineStr">
        <is>
          <t xml:space="preserve">     'O' - Impressão via batch (Overnight)</t>
        </is>
      </c>
      <c r="D11" s="13" t="n"/>
      <c r="E11" s="13" t="n"/>
      <c r="F11" s="18" t="n"/>
    </row>
    <row r="12">
      <c r="A12" s="10" t="inlineStr">
        <is>
          <t xml:space="preserve">  07  :PREFIX:-USERID                   PIC X(08).</t>
        </is>
      </c>
      <c r="B12" s="122" t="n"/>
      <c r="C12" s="16" t="inlineStr">
        <is>
          <t>User Id da impressão OnLine</t>
        </is>
      </c>
      <c r="D12" s="13">
        <f>D9+E9</f>
        <v/>
      </c>
      <c r="E12" s="16" t="n">
        <v>8</v>
      </c>
      <c r="F12" s="19" t="inlineStr">
        <is>
          <t>Condicional</t>
        </is>
      </c>
    </row>
    <row r="13">
      <c r="A13" s="10" t="inlineStr">
        <is>
          <t xml:space="preserve">  07  :PREFIX:-COD-COMPANHIA            PIC X(03).</t>
        </is>
      </c>
      <c r="B13" s="125" t="n"/>
      <c r="C13" s="12" t="inlineStr">
        <is>
          <t>Código de identificação da Companhia</t>
        </is>
      </c>
      <c r="D13" s="13">
        <f>D12+E12</f>
        <v/>
      </c>
      <c r="E13" s="13" t="n">
        <v>3</v>
      </c>
      <c r="F13" s="17" t="inlineStr">
        <is>
          <t>Obrigatório</t>
        </is>
      </c>
    </row>
    <row r="14">
      <c r="A14" s="10" t="inlineStr">
        <is>
          <t xml:space="preserve">      88  :PREFIX:-COM-VIADIRECTA           VALUE '111'.</t>
        </is>
      </c>
      <c r="B14" s="125" t="n"/>
      <c r="C14" s="12" t="inlineStr">
        <is>
          <t xml:space="preserve">     '111' - Via Directa</t>
        </is>
      </c>
      <c r="D14" s="13" t="n"/>
      <c r="E14" s="13" t="n"/>
      <c r="F14" s="15" t="n"/>
    </row>
    <row r="15">
      <c r="A15" s="10" t="inlineStr">
        <is>
          <t xml:space="preserve">      88  :PREFIX:-COM-FIDELIDADE           VALUE '128'.</t>
        </is>
      </c>
      <c r="B15" s="125" t="n"/>
      <c r="C15" s="12" t="inlineStr">
        <is>
          <t xml:space="preserve">     '128' - Fidelidade</t>
        </is>
      </c>
      <c r="D15" s="13" t="n"/>
      <c r="E15" s="13" t="n"/>
      <c r="F15" s="15" t="n"/>
    </row>
    <row r="16">
      <c r="A16" s="10" t="inlineStr">
        <is>
          <t xml:space="preserve">      88  :PREFIX:-COM-IMPERIO              VALUE '138'.</t>
        </is>
      </c>
      <c r="B16" s="125" t="n"/>
      <c r="C16" s="12" t="inlineStr">
        <is>
          <t xml:space="preserve">     '138' - Império</t>
        </is>
      </c>
      <c r="D16" s="13" t="n"/>
      <c r="E16" s="13" t="n"/>
      <c r="F16" s="15" t="n"/>
    </row>
    <row r="17">
      <c r="A17" s="10" t="inlineStr">
        <is>
          <t xml:space="preserve">      88  :PREFIX:-COM-MULTICARE            VALUE '148'.</t>
        </is>
      </c>
      <c r="B17" s="122" t="n"/>
      <c r="C17" s="12" t="inlineStr">
        <is>
          <t xml:space="preserve">     '148' - Multicare</t>
        </is>
      </c>
      <c r="D17" s="16" t="n"/>
      <c r="E17" s="16" t="n"/>
      <c r="F17" s="18" t="n"/>
    </row>
    <row r="18">
      <c r="A18" s="10" t="inlineStr">
        <is>
          <t xml:space="preserve">  07  :PREFIX:-COD-MARCA                PIC X(03).</t>
        </is>
      </c>
      <c r="B18" s="122" t="n"/>
      <c r="C18" s="12" t="inlineStr">
        <is>
          <t>Código de identificação da Marca</t>
        </is>
      </c>
      <c r="D18" s="13">
        <f>D13+E13</f>
        <v/>
      </c>
      <c r="E18" s="16" t="n">
        <v>3</v>
      </c>
      <c r="F18" s="21" t="inlineStr">
        <is>
          <t>Opcional</t>
        </is>
      </c>
    </row>
    <row r="19">
      <c r="A19" s="10" t="inlineStr">
        <is>
          <t xml:space="preserve">      88  :PREFIX:-MAR-OKTELESEGURO         VALUE '001'.</t>
        </is>
      </c>
      <c r="B19" s="122" t="n"/>
      <c r="C19" s="12" t="inlineStr">
        <is>
          <t xml:space="preserve">     '001' - OK Teleseguro</t>
        </is>
      </c>
      <c r="D19" s="16" t="n"/>
      <c r="E19" s="16" t="n"/>
      <c r="F19" s="15" t="n"/>
    </row>
    <row r="20">
      <c r="A20" s="10" t="inlineStr">
        <is>
          <t xml:space="preserve">      88  :PREFIX:-MAR-FIDELIDADE           VALUE '002'.</t>
        </is>
      </c>
      <c r="B20" s="122" t="n"/>
      <c r="C20" s="12" t="inlineStr">
        <is>
          <t xml:space="preserve">     '002' - Fidelidade</t>
        </is>
      </c>
      <c r="D20" s="16" t="n"/>
      <c r="E20" s="16" t="n"/>
      <c r="F20" s="15" t="n"/>
    </row>
    <row r="21">
      <c r="A21" s="10" t="inlineStr">
        <is>
          <t xml:space="preserve">      88  :PREFIX:-MAR-IMPERIO              VALUE '003'.</t>
        </is>
      </c>
      <c r="B21" s="122" t="n"/>
      <c r="C21" s="12" t="inlineStr">
        <is>
          <t xml:space="preserve">     '003' - Império</t>
        </is>
      </c>
      <c r="D21" s="16" t="n"/>
      <c r="E21" s="16" t="n"/>
      <c r="F21" s="15" t="n"/>
    </row>
    <row r="22">
      <c r="A22" s="10" t="inlineStr">
        <is>
          <t xml:space="preserve">      88  :PREFIX:-MAR-ICI                  VALUE '004'.</t>
        </is>
      </c>
      <c r="B22" s="122" t="n"/>
      <c r="C22" s="12" t="inlineStr">
        <is>
          <t xml:space="preserve">     '004' - ICI</t>
        </is>
      </c>
      <c r="D22" s="16" t="n"/>
      <c r="E22" s="16" t="n"/>
      <c r="F22" s="15" t="n"/>
    </row>
    <row r="23">
      <c r="A23" s="10" t="inlineStr">
        <is>
          <t xml:space="preserve">      88  :PREFIX:-MAR-SONAE                VALUE '005'.</t>
        </is>
      </c>
      <c r="B23" s="122" t="n"/>
      <c r="C23" s="12" t="inlineStr">
        <is>
          <t xml:space="preserve">     '005' - Continente</t>
        </is>
      </c>
      <c r="D23" s="16" t="n"/>
      <c r="E23" s="16" t="n"/>
      <c r="F23" s="15" t="n"/>
    </row>
    <row r="24">
      <c r="A24" s="10" t="inlineStr">
        <is>
          <t xml:space="preserve">      88  :PREFIX:-MAR-MULTICARE            VALUE '006'.</t>
        </is>
      </c>
      <c r="B24" s="122" t="n"/>
      <c r="C24" s="12" t="inlineStr">
        <is>
          <t xml:space="preserve">     '006' - Multicare</t>
        </is>
      </c>
      <c r="D24" s="16" t="n"/>
      <c r="E24" s="16" t="n"/>
      <c r="F24" s="18" t="n"/>
    </row>
    <row r="25">
      <c r="A25" s="10" t="inlineStr">
        <is>
          <t xml:space="preserve">  07  :PREFIX:-AUX-MARCA                PIC X(01).</t>
        </is>
      </c>
      <c r="B25" s="122" t="n"/>
      <c r="C25" s="12" t="inlineStr">
        <is>
          <t xml:space="preserve">     '028' - Eurobic</t>
        </is>
      </c>
      <c r="D25" s="16" t="n"/>
      <c r="E25" s="16" t="n"/>
      <c r="F25" s="21" t="inlineStr">
        <is>
          <t>Opcional</t>
        </is>
      </c>
    </row>
    <row r="26" ht="30" customHeight="1">
      <c r="A26" s="22" t="inlineStr">
        <is>
          <t xml:space="preserve">      88  :PREFIX:-MAR-LEVE                 VALUE 'L'.</t>
        </is>
      </c>
      <c r="B26" s="42" t="n"/>
      <c r="C26" s="24" t="inlineStr">
        <is>
          <t xml:space="preserve">     'L' - Leve (Substitui 'L02' - FM Leve / 
                         'L03' - IB Leve, apenas para marca 002 ou 003)</t>
        </is>
      </c>
      <c r="D26" s="25" t="n"/>
      <c r="E26" s="25" t="n"/>
      <c r="F26" s="18" t="n"/>
    </row>
    <row r="27">
      <c r="A27" s="10" t="inlineStr">
        <is>
          <t xml:space="preserve">  07  :PREFIX:-NR-AGENTE                PIC X(10).</t>
        </is>
      </c>
      <c r="B27" s="122" t="n"/>
      <c r="C27" s="16" t="inlineStr">
        <is>
          <t>Número do Mediador</t>
        </is>
      </c>
      <c r="D27" s="13">
        <f>D25+E25</f>
        <v/>
      </c>
      <c r="E27" s="16" t="n">
        <v>10</v>
      </c>
      <c r="F27" s="19" t="inlineStr">
        <is>
          <t>Condicional</t>
        </is>
      </c>
    </row>
    <row r="28">
      <c r="A28" s="10" t="inlineStr">
        <is>
          <t xml:space="preserve">  07  :PREFIX:-NR-CLIENTE               PIC X(10).</t>
        </is>
      </c>
      <c r="B28" s="122" t="n"/>
      <c r="C28" s="16" t="inlineStr">
        <is>
          <t>Número do Cliente</t>
        </is>
      </c>
      <c r="D28" s="13">
        <f>D27+E27</f>
        <v/>
      </c>
      <c r="E28" s="16" t="n">
        <v>10</v>
      </c>
      <c r="F28" s="19" t="inlineStr">
        <is>
          <t>Condicional</t>
        </is>
      </c>
    </row>
    <row r="29">
      <c r="A29" s="10" t="inlineStr">
        <is>
          <t xml:space="preserve">  07  :PREFIX:-NR-APOLICE               PIC X(16).</t>
        </is>
      </c>
      <c r="B29" s="122" t="n"/>
      <c r="C29" s="16" t="inlineStr">
        <is>
          <t>Número da Apólice</t>
        </is>
      </c>
      <c r="D29" s="13">
        <f>D28+E28</f>
        <v/>
      </c>
      <c r="E29" s="16" t="n">
        <v>16</v>
      </c>
      <c r="F29" s="19" t="inlineStr">
        <is>
          <t>Condicional</t>
        </is>
      </c>
    </row>
    <row r="30">
      <c r="A30" s="10" t="inlineStr">
        <is>
          <t xml:space="preserve">  07  :PREFIX:-COD-ORIGEM               PIC X(03).</t>
        </is>
      </c>
      <c r="B30" s="122" t="n"/>
      <c r="C30" s="12" t="inlineStr">
        <is>
          <t>Código de identificação do Sistema Origem</t>
        </is>
      </c>
      <c r="D30" s="13">
        <f>D29+E29</f>
        <v/>
      </c>
      <c r="E30" s="16" t="n">
        <v>3</v>
      </c>
      <c r="F30" s="17" t="inlineStr">
        <is>
          <t>Obrigatório</t>
        </is>
      </c>
    </row>
    <row r="31">
      <c r="A31" s="10" t="inlineStr">
        <is>
          <t xml:space="preserve">      88  :PREFIX:-ORI-COGEN22              VALUE 'CG2'.</t>
        </is>
      </c>
      <c r="B31" s="122" t="n"/>
      <c r="C31" s="16" t="inlineStr">
        <is>
          <t xml:space="preserve">     'CG2' - Cogen 22</t>
        </is>
      </c>
      <c r="D31" s="16" t="n"/>
      <c r="E31" s="16" t="n"/>
      <c r="F31" s="15" t="n"/>
    </row>
    <row r="32">
      <c r="A32" s="10" t="inlineStr">
        <is>
          <t xml:space="preserve">      88  :PREFIX:-ORI-COGEN33              VALUE 'CGN'.</t>
        </is>
      </c>
      <c r="B32" s="122" t="n"/>
      <c r="C32" s="16" t="inlineStr">
        <is>
          <t xml:space="preserve">     'CGN' - Cogen 33</t>
        </is>
      </c>
      <c r="D32" s="16" t="n"/>
      <c r="E32" s="16" t="n"/>
      <c r="F32" s="15" t="n"/>
    </row>
    <row r="33">
      <c r="A33" s="10" t="inlineStr">
        <is>
          <t xml:space="preserve">      88  :PREFIX:-ORI-GIS                  VALUE 'GIS'.</t>
        </is>
      </c>
      <c r="B33" s="122" t="n"/>
      <c r="C33" s="16" t="inlineStr">
        <is>
          <t xml:space="preserve">     'GIS' - GIS</t>
        </is>
      </c>
      <c r="D33" s="16" t="n"/>
      <c r="E33" s="16" t="n"/>
      <c r="F33" s="15" t="n"/>
    </row>
    <row r="34">
      <c r="A34" s="10" t="inlineStr">
        <is>
          <t xml:space="preserve">      88  :PREFIX:-ORI-COLHEITAS            VALUE 'CLH'.</t>
        </is>
      </c>
      <c r="B34" s="122" t="n"/>
      <c r="C34" s="16" t="inlineStr">
        <is>
          <t xml:space="preserve">     'CLH' - Colheitas (GIC)</t>
        </is>
      </c>
      <c r="D34" s="16" t="n"/>
      <c r="E34" s="16" t="n"/>
      <c r="F34" s="15" t="n"/>
    </row>
    <row r="35">
      <c r="A35" s="10" t="inlineStr">
        <is>
          <t xml:space="preserve">      88  :PREFIX:-ORI-MULTICARE            VALUE 'MHS'.</t>
        </is>
      </c>
      <c r="B35" s="122" t="n"/>
      <c r="C35" s="16" t="inlineStr">
        <is>
          <t xml:space="preserve">     'MHS' - Multicare</t>
        </is>
      </c>
      <c r="D35" s="16" t="n"/>
      <c r="E35" s="16" t="n"/>
      <c r="F35" s="15" t="n"/>
    </row>
    <row r="36">
      <c r="A36" s="10" t="inlineStr">
        <is>
          <t xml:space="preserve">      88  :PREFIX:-ORI-SGF-GR               VALUE 'SPG'.</t>
        </is>
      </c>
      <c r="B36" s="122" t="n"/>
      <c r="C36" s="16" t="inlineStr">
        <is>
          <t xml:space="preserve">     'SPG' - SGF</t>
        </is>
      </c>
      <c r="D36" s="16" t="n"/>
      <c r="E36" s="16" t="n"/>
      <c r="F36" s="15" t="n"/>
    </row>
    <row r="37">
      <c r="A37" s="10" t="inlineStr">
        <is>
          <t xml:space="preserve">      88  :PREFIX:-ORI-SGF-IN               VALUE 'SPA'.</t>
        </is>
      </c>
      <c r="B37" s="122" t="n"/>
      <c r="C37" s="16" t="inlineStr">
        <is>
          <t xml:space="preserve">     'SPA' - SGF</t>
        </is>
      </c>
      <c r="D37" s="16" t="n"/>
      <c r="E37" s="16" t="n"/>
      <c r="F37" s="15" t="n"/>
    </row>
    <row r="38">
      <c r="A38" s="10" t="inlineStr">
        <is>
          <t xml:space="preserve">      88  :PREFIX:-ORI-FGS                  VALUE 'FGS'.</t>
        </is>
      </c>
      <c r="B38" s="122" t="n"/>
      <c r="C38" s="16" t="inlineStr">
        <is>
          <t xml:space="preserve">     'FGS' - FGS</t>
        </is>
      </c>
      <c r="D38" s="16" t="n"/>
      <c r="E38" s="16" t="n"/>
      <c r="F38" s="18" t="n"/>
    </row>
    <row r="39">
      <c r="A39" s="10" t="inlineStr">
        <is>
          <t xml:space="preserve">      88  :PREFIX:-ORI-FCS                  VALUE 'FCS'.</t>
        </is>
      </c>
      <c r="B39" s="122" t="n"/>
      <c r="C39" s="16" t="inlineStr">
        <is>
          <t xml:space="preserve">     'FCS' - FCS</t>
        </is>
      </c>
      <c r="D39" s="16" t="n"/>
      <c r="E39" s="16" t="n"/>
      <c r="F39" s="26" t="n"/>
    </row>
    <row r="40">
      <c r="A40" s="10" t="inlineStr">
        <is>
          <t xml:space="preserve">  07  :PREFIX:-IND-FLYER                PIC X(01).</t>
        </is>
      </c>
      <c r="B40" s="122" t="n"/>
      <c r="C40" s="16" t="inlineStr">
        <is>
          <t>Indicador de inclusão de Flyer (ex: "V" - Cobertura PVC)</t>
        </is>
      </c>
      <c r="D40" s="13">
        <f>D30+E30</f>
        <v/>
      </c>
      <c r="E40" s="16" t="n">
        <v>1</v>
      </c>
      <c r="F40" s="21" t="inlineStr">
        <is>
          <t>Opcional</t>
        </is>
      </c>
    </row>
    <row r="41">
      <c r="A41" s="5" t="inlineStr">
        <is>
          <t>05  :PREFIX:-DADOS-DOCUMENTO            PIC X(2138).</t>
        </is>
      </c>
      <c r="B41" s="29" t="n"/>
      <c r="C41" s="7" t="n"/>
      <c r="D41" s="8">
        <f>D40+E40</f>
        <v/>
      </c>
      <c r="E41" s="8" t="n">
        <v>2138</v>
      </c>
      <c r="F41" s="45" t="n"/>
    </row>
    <row r="42">
      <c r="A42" s="5" t="inlineStr">
        <is>
          <t>05  FILLER  REDEFINES  :PREFIX:-DADOS-DOCUMENTO.</t>
        </is>
      </c>
      <c r="B42" s="29" t="n"/>
      <c r="C42" s="7" t="n"/>
      <c r="D42" s="8" t="n">
        <v>62</v>
      </c>
      <c r="E42" s="8" t="n">
        <v>0</v>
      </c>
      <c r="F42" s="45" t="n"/>
    </row>
    <row r="43">
      <c r="A43" s="30" t="inlineStr">
        <is>
          <t xml:space="preserve">  07  :PREFIX:-DADOS-CLIENTE.</t>
        </is>
      </c>
      <c r="B43" s="127" t="n"/>
      <c r="C43" s="32" t="inlineStr">
        <is>
          <t>(Registo tipo 1)</t>
        </is>
      </c>
      <c r="D43" s="38" t="n">
        <v>62</v>
      </c>
      <c r="E43" s="32" t="n">
        <v>0</v>
      </c>
      <c r="F43" s="32" t="n"/>
    </row>
    <row r="44">
      <c r="A44" s="10" t="inlineStr">
        <is>
          <t xml:space="preserve">    09  :PREFIX:-CL-NOME                PIC X(40).</t>
        </is>
      </c>
      <c r="B44" s="122" t="n"/>
      <c r="C44" s="16" t="inlineStr">
        <is>
          <t>Nome</t>
        </is>
      </c>
      <c r="D44" s="25">
        <f>D43+E43</f>
        <v/>
      </c>
      <c r="E44" s="16" t="n">
        <v>40</v>
      </c>
      <c r="F44" s="19" t="inlineStr">
        <is>
          <t>Condicional</t>
        </is>
      </c>
    </row>
    <row r="45">
      <c r="A45" s="10" t="inlineStr">
        <is>
          <t xml:space="preserve">    09  :PREFIX:-CL-LOCATION-REF        PIC X(04).</t>
        </is>
      </c>
      <c r="B45" s="122" t="n"/>
      <c r="C45" s="16" t="inlineStr">
        <is>
          <t>Referência da morada</t>
        </is>
      </c>
      <c r="D45" s="25">
        <f>D44+E44</f>
        <v/>
      </c>
      <c r="E45" s="16" t="n">
        <v>4</v>
      </c>
      <c r="F45" s="19" t="inlineStr">
        <is>
          <t>Condicional</t>
        </is>
      </c>
    </row>
    <row r="46">
      <c r="A46" s="10" t="inlineStr">
        <is>
          <t xml:space="preserve">    09  :PREFIX:-CL-MORADA1             PIC X(40).</t>
        </is>
      </c>
      <c r="B46" s="122" t="n"/>
      <c r="C46" s="16" t="inlineStr">
        <is>
          <t>Dados de morada 1</t>
        </is>
      </c>
      <c r="D46" s="25">
        <f>D45+E45</f>
        <v/>
      </c>
      <c r="E46" s="16" t="n">
        <v>40</v>
      </c>
      <c r="F46" s="19" t="inlineStr">
        <is>
          <t>Condicional</t>
        </is>
      </c>
    </row>
    <row r="47">
      <c r="A47" s="10" t="inlineStr">
        <is>
          <t xml:space="preserve">    09  :PREFIX:-CL-MORADA2             PIC X(40).</t>
        </is>
      </c>
      <c r="B47" s="122" t="n"/>
      <c r="C47" s="16" t="inlineStr">
        <is>
          <t>Dados de morada 2</t>
        </is>
      </c>
      <c r="D47" s="25">
        <f>D46+E46</f>
        <v/>
      </c>
      <c r="E47" s="16" t="n">
        <v>40</v>
      </c>
      <c r="F47" s="21" t="inlineStr">
        <is>
          <t>Opcional</t>
        </is>
      </c>
    </row>
    <row r="48">
      <c r="A48" s="10" t="inlineStr">
        <is>
          <t xml:space="preserve">    09  :PREFIX:-CL-LOCALIDADE          PIC X(40).</t>
        </is>
      </c>
      <c r="B48" s="122" t="n"/>
      <c r="C48" s="16" t="inlineStr">
        <is>
          <t>Localidade</t>
        </is>
      </c>
      <c r="D48" s="25">
        <f>D47+E47</f>
        <v/>
      </c>
      <c r="E48" s="16" t="n">
        <v>40</v>
      </c>
      <c r="F48" s="21" t="inlineStr">
        <is>
          <t>Opcional</t>
        </is>
      </c>
    </row>
    <row r="49">
      <c r="A49" s="10" t="inlineStr">
        <is>
          <t xml:space="preserve">    09  :PREFIX:-CL-CPOSTAL             PIC X(09).</t>
        </is>
      </c>
      <c r="B49" s="122" t="n"/>
      <c r="C49" s="16" t="inlineStr">
        <is>
          <t>Código postal (Se estrangeiro deverá vir a zeros) [9999-999]</t>
        </is>
      </c>
      <c r="D49" s="25">
        <f>D48+E48</f>
        <v/>
      </c>
      <c r="E49" s="16" t="n">
        <v>9</v>
      </c>
      <c r="F49" s="19" t="inlineStr">
        <is>
          <t>Condicional</t>
        </is>
      </c>
    </row>
    <row r="50">
      <c r="A50" s="10" t="inlineStr">
        <is>
          <t xml:space="preserve">    09  :PREFIX:-CL-CPOSTAL-DESC        PIC X(40).</t>
        </is>
      </c>
      <c r="B50" s="122" t="n"/>
      <c r="C50" s="16" t="inlineStr">
        <is>
          <t>Descritivo do código postal</t>
        </is>
      </c>
      <c r="D50" s="25">
        <f>D49+E49</f>
        <v/>
      </c>
      <c r="E50" s="16" t="n">
        <v>40</v>
      </c>
      <c r="F50" s="19" t="inlineStr">
        <is>
          <t>Condicional</t>
        </is>
      </c>
    </row>
    <row r="51">
      <c r="A51" s="10" t="inlineStr">
        <is>
          <t xml:space="preserve">    09  :PREFIX:-CL-CPAIS               PIC X(03).</t>
        </is>
      </c>
      <c r="B51" s="122" t="n"/>
      <c r="C51" s="16" t="inlineStr">
        <is>
          <t>Código do País (Se estrangeiro, diferente de 620)</t>
        </is>
      </c>
      <c r="D51" s="25">
        <f>D50+E50</f>
        <v/>
      </c>
      <c r="E51" s="16" t="n">
        <v>3</v>
      </c>
      <c r="F51" s="19" t="inlineStr">
        <is>
          <t>Condicional</t>
        </is>
      </c>
    </row>
    <row r="52">
      <c r="A52" s="10" t="inlineStr">
        <is>
          <t xml:space="preserve">    09  :PREFIX:-CL-CPAIS-DESC          PIC X(40).</t>
        </is>
      </c>
      <c r="B52" s="122" t="n"/>
      <c r="C52" s="16" t="inlineStr">
        <is>
          <t>Descritivo do País</t>
        </is>
      </c>
      <c r="D52" s="25">
        <f>D51+E51</f>
        <v/>
      </c>
      <c r="E52" s="16" t="n">
        <v>40</v>
      </c>
      <c r="F52" s="19" t="inlineStr">
        <is>
          <t>Condicional</t>
        </is>
      </c>
    </row>
    <row r="53">
      <c r="A53" s="22" t="inlineStr">
        <is>
          <t xml:space="preserve">    09  :PREFIX:-CL-IDP                 PIC X(04).</t>
        </is>
      </c>
      <c r="B53" s="42" t="n"/>
      <c r="C53" s="25" t="inlineStr">
        <is>
          <t>Identificação da Porta (no CBC)</t>
        </is>
      </c>
      <c r="D53" s="25">
        <f>D52+E52</f>
        <v/>
      </c>
      <c r="E53" s="25" t="n">
        <v>4</v>
      </c>
      <c r="F53" s="19" t="inlineStr">
        <is>
          <t>Condicional</t>
        </is>
      </c>
    </row>
    <row r="54">
      <c r="A54" s="10" t="inlineStr">
        <is>
          <t xml:space="preserve">    09  :PREFIX:-CL-NIF                 PIC X(22).</t>
        </is>
      </c>
      <c r="B54" s="122" t="n"/>
      <c r="C54" s="16" t="inlineStr">
        <is>
          <t>Número de identificação fiscal (No caso de Portugal será PT999999999)</t>
        </is>
      </c>
      <c r="D54" s="25">
        <f>D53+E53</f>
        <v/>
      </c>
      <c r="E54" s="16" t="n">
        <v>22</v>
      </c>
      <c r="F54" s="19" t="inlineStr">
        <is>
          <t>Condicional</t>
        </is>
      </c>
    </row>
    <row r="55">
      <c r="A55" s="10" t="inlineStr">
        <is>
          <t xml:space="preserve">    09  :PREFIX:-CL-TIPO-ENTIDADE       PIC X(01).</t>
        </is>
      </c>
      <c r="B55" s="122" t="n"/>
      <c r="C55" s="16" t="inlineStr">
        <is>
          <t>Tipo Entidade</t>
        </is>
      </c>
      <c r="D55" s="25">
        <f>D54+E54</f>
        <v/>
      </c>
      <c r="E55" s="16" t="n">
        <v>1</v>
      </c>
      <c r="F55" s="19" t="inlineStr">
        <is>
          <t>Condicional</t>
        </is>
      </c>
    </row>
    <row r="56">
      <c r="A56" s="10" t="inlineStr">
        <is>
          <t xml:space="preserve">        88  :PREFIX:-CL-ENT-PARTICUL        VALUE '1'.</t>
        </is>
      </c>
      <c r="B56" s="122" t="n"/>
      <c r="C56" s="16" t="inlineStr">
        <is>
          <t xml:space="preserve">     '1' - Pessoa / Particular</t>
        </is>
      </c>
      <c r="D56" s="25" t="n"/>
      <c r="E56" s="16" t="n"/>
      <c r="F56" s="15" t="n"/>
    </row>
    <row r="57">
      <c r="A57" s="10" t="inlineStr">
        <is>
          <t xml:space="preserve">        88  :PREFIX:-CL-ENT-COLETIVA        VALUE '2'.</t>
        </is>
      </c>
      <c r="B57" s="122" t="n"/>
      <c r="C57" s="16" t="inlineStr">
        <is>
          <t xml:space="preserve">     '2' - Colectivo/Conta Interna</t>
        </is>
      </c>
      <c r="D57" s="25" t="n"/>
      <c r="E57" s="16" t="n"/>
      <c r="F57" s="18" t="n"/>
    </row>
    <row r="58">
      <c r="A58" s="30" t="inlineStr">
        <is>
          <t xml:space="preserve">  07  :PREFIX:-DADOS-MEDIADOR.</t>
        </is>
      </c>
      <c r="B58" s="127" t="n"/>
      <c r="C58" s="32" t="n"/>
      <c r="D58" s="32" t="n">
        <v>345</v>
      </c>
      <c r="E58" s="32" t="n">
        <v>0</v>
      </c>
      <c r="F58" s="32" t="n"/>
    </row>
    <row r="59">
      <c r="A59" s="10" t="inlineStr">
        <is>
          <t xml:space="preserve">    09  :PREFIX:-MD-NOME                PIC X(40).</t>
        </is>
      </c>
      <c r="B59" s="122" t="n"/>
      <c r="C59" s="16" t="inlineStr">
        <is>
          <t>Nome do Mediador</t>
        </is>
      </c>
      <c r="D59" s="25" t="n">
        <v>345</v>
      </c>
      <c r="E59" s="16" t="n">
        <v>40</v>
      </c>
      <c r="F59" s="19" t="inlineStr">
        <is>
          <t>Condicional</t>
        </is>
      </c>
    </row>
    <row r="60">
      <c r="A60" s="10" t="inlineStr">
        <is>
          <t xml:space="preserve">    09  :PREFIX:-MD-LOCATION-REF        PIC X(04).</t>
        </is>
      </c>
      <c r="B60" s="122" t="n"/>
      <c r="C60" s="16" t="inlineStr">
        <is>
          <t>Referência da morada</t>
        </is>
      </c>
      <c r="D60" s="25">
        <f>D59+E59</f>
        <v/>
      </c>
      <c r="E60" s="16" t="n">
        <v>4</v>
      </c>
      <c r="F60" s="19" t="inlineStr">
        <is>
          <t>Condicional</t>
        </is>
      </c>
    </row>
    <row r="61">
      <c r="A61" s="10" t="inlineStr">
        <is>
          <t xml:space="preserve">    09  :PREFIX:-MD-MORADA1             PIC X(40).</t>
        </is>
      </c>
      <c r="B61" s="122" t="n"/>
      <c r="C61" s="16" t="inlineStr">
        <is>
          <t>Dados de morada 1</t>
        </is>
      </c>
      <c r="D61" s="25">
        <f>D60+E60</f>
        <v/>
      </c>
      <c r="E61" s="16" t="n">
        <v>40</v>
      </c>
      <c r="F61" s="19" t="inlineStr">
        <is>
          <t>Condicional</t>
        </is>
      </c>
    </row>
    <row r="62">
      <c r="A62" s="10" t="inlineStr">
        <is>
          <t xml:space="preserve">    09  :PREFIX:-MD-MORADA2             PIC X(40).</t>
        </is>
      </c>
      <c r="B62" s="122" t="n"/>
      <c r="C62" s="16" t="inlineStr">
        <is>
          <t>Dados de morada 2</t>
        </is>
      </c>
      <c r="D62" s="25">
        <f>D61+E61</f>
        <v/>
      </c>
      <c r="E62" s="16" t="n">
        <v>40</v>
      </c>
      <c r="F62" s="21" t="inlineStr">
        <is>
          <t>Opcional</t>
        </is>
      </c>
    </row>
    <row r="63">
      <c r="A63" s="10" t="inlineStr">
        <is>
          <t xml:space="preserve">    09  :PREFIX:-MD-LOCALIDADE          PIC X(40).</t>
        </is>
      </c>
      <c r="B63" s="122" t="n"/>
      <c r="C63" s="16" t="inlineStr">
        <is>
          <t>Localidade</t>
        </is>
      </c>
      <c r="D63" s="25">
        <f>D62+E62</f>
        <v/>
      </c>
      <c r="E63" s="16" t="n">
        <v>40</v>
      </c>
      <c r="F63" s="21" t="inlineStr">
        <is>
          <t>Opcional</t>
        </is>
      </c>
    </row>
    <row r="64">
      <c r="A64" s="10" t="inlineStr">
        <is>
          <t xml:space="preserve">    09  :PREFIX:-MD-CPOSTAL             PIC X(09).</t>
        </is>
      </c>
      <c r="B64" s="122" t="n"/>
      <c r="C64" s="16" t="inlineStr">
        <is>
          <t>Código postal (Se estrangeiro deverá vir a zeros) [9999-999]</t>
        </is>
      </c>
      <c r="D64" s="25">
        <f>D63+E63</f>
        <v/>
      </c>
      <c r="E64" s="16" t="n">
        <v>9</v>
      </c>
      <c r="F64" s="19" t="inlineStr">
        <is>
          <t>Condicional</t>
        </is>
      </c>
    </row>
    <row r="65">
      <c r="A65" s="10" t="inlineStr">
        <is>
          <t xml:space="preserve">    09  :PREFIX:-MD-CPOSTAL-DESC        PIC X(40).</t>
        </is>
      </c>
      <c r="B65" s="122" t="n"/>
      <c r="C65" s="16" t="inlineStr">
        <is>
          <t>Descritivo do código postal</t>
        </is>
      </c>
      <c r="D65" s="25">
        <f>D64+E64</f>
        <v/>
      </c>
      <c r="E65" s="16" t="n">
        <v>40</v>
      </c>
      <c r="F65" s="19" t="inlineStr">
        <is>
          <t>Condicional</t>
        </is>
      </c>
    </row>
    <row r="66">
      <c r="A66" s="10" t="inlineStr">
        <is>
          <t xml:space="preserve">    09  :PREFIX:-MD-CPAIS               PIC X(03).</t>
        </is>
      </c>
      <c r="B66" s="122" t="n"/>
      <c r="C66" s="16" t="inlineStr">
        <is>
          <t>Código do País (Se estrangeiro, diferente de 620)</t>
        </is>
      </c>
      <c r="D66" s="25">
        <f>D65+E65</f>
        <v/>
      </c>
      <c r="E66" s="16" t="n">
        <v>3</v>
      </c>
      <c r="F66" s="19" t="inlineStr">
        <is>
          <t>Condicional</t>
        </is>
      </c>
    </row>
    <row r="67">
      <c r="A67" s="10" t="inlineStr">
        <is>
          <t xml:space="preserve">    09  :PREFIX:-MD-CPAIS-DESC          PIC X(40).</t>
        </is>
      </c>
      <c r="B67" s="122" t="n"/>
      <c r="C67" s="16" t="inlineStr">
        <is>
          <t>Descritivo do País</t>
        </is>
      </c>
      <c r="D67" s="25">
        <f>D66+E66</f>
        <v/>
      </c>
      <c r="E67" s="16" t="n">
        <v>40</v>
      </c>
      <c r="F67" s="19" t="inlineStr">
        <is>
          <t>Condicional</t>
        </is>
      </c>
    </row>
    <row r="68">
      <c r="A68" s="22" t="inlineStr">
        <is>
          <t xml:space="preserve">    09  :PREFIX:-MD-IDP                 PIC X(04).</t>
        </is>
      </c>
      <c r="B68" s="122" t="n"/>
      <c r="C68" s="25" t="inlineStr">
        <is>
          <t>Identificação da Porta (no CBC)</t>
        </is>
      </c>
      <c r="D68" s="25">
        <f>D67+E67</f>
        <v/>
      </c>
      <c r="E68" s="25" t="n">
        <v>4</v>
      </c>
      <c r="F68" s="19" t="inlineStr">
        <is>
          <t>Condicional</t>
        </is>
      </c>
    </row>
    <row r="69">
      <c r="A69" s="30" t="inlineStr">
        <is>
          <t xml:space="preserve">  07  :PREFIX:-DADOS-DATA.</t>
        </is>
      </c>
      <c r="B69" s="127" t="n"/>
      <c r="C69" s="32" t="n"/>
      <c r="D69" s="33">
        <f>D68+E68</f>
        <v/>
      </c>
      <c r="E69" s="32" t="n">
        <v>0</v>
      </c>
      <c r="F69" s="32" t="n"/>
    </row>
    <row r="70">
      <c r="A70" s="10" t="inlineStr">
        <is>
          <t xml:space="preserve">    09  :PREFIX:-DT-EMISSAO             PIC X(08).</t>
        </is>
      </c>
      <c r="B70" s="122" t="n"/>
      <c r="C70" s="16" t="inlineStr">
        <is>
          <t>Data de emissão [aaaammdd]</t>
        </is>
      </c>
      <c r="D70" s="25">
        <f>D69+E69</f>
        <v/>
      </c>
      <c r="E70" s="25" t="n">
        <v>10</v>
      </c>
      <c r="F70" s="17" t="inlineStr">
        <is>
          <t>Obrigatório</t>
        </is>
      </c>
    </row>
    <row r="71">
      <c r="A71" s="10" t="inlineStr">
        <is>
          <t xml:space="preserve">    09  :PREFIX:-DT-CREDITO             PIC X(08).</t>
        </is>
      </c>
      <c r="B71" s="122" t="n"/>
      <c r="C71" s="16" t="inlineStr">
        <is>
          <t xml:space="preserve">Data de crédito  [aaaammdd] </t>
        </is>
      </c>
      <c r="D71" s="25">
        <f>D70+E70</f>
        <v/>
      </c>
      <c r="E71" s="25" t="n">
        <v>10</v>
      </c>
      <c r="F71" s="19" t="inlineStr">
        <is>
          <t>Condicional</t>
        </is>
      </c>
    </row>
    <row r="72">
      <c r="A72" s="30" t="inlineStr">
        <is>
          <t xml:space="preserve">  07  :PREFIX:-DADOS-PAGAMENTO.</t>
        </is>
      </c>
      <c r="B72" s="127" t="n"/>
      <c r="C72" s="32" t="n"/>
      <c r="D72" s="33">
        <f>D71+E71</f>
        <v/>
      </c>
      <c r="E72" s="32" t="n">
        <v>0</v>
      </c>
      <c r="F72" s="32" t="n"/>
    </row>
    <row r="73">
      <c r="A73" s="10" t="inlineStr">
        <is>
          <t xml:space="preserve">    09  :PREFIX:-PG-DEBITO.</t>
        </is>
      </c>
      <c r="B73" s="122" t="n"/>
      <c r="C73" s="16" t="n"/>
      <c r="D73" s="25">
        <f>D72+E72</f>
        <v/>
      </c>
      <c r="E73" s="16" t="n">
        <v>0</v>
      </c>
      <c r="F73" s="16" t="n"/>
    </row>
    <row r="74">
      <c r="A74" s="22" t="inlineStr">
        <is>
          <t xml:space="preserve">        11  :PREFIX:-DEB-NOME-BANCO     PIC X(60).</t>
        </is>
      </c>
      <c r="B74" s="42" t="n"/>
      <c r="C74" s="25" t="inlineStr">
        <is>
          <t>Descritivo Banco</t>
        </is>
      </c>
      <c r="D74" s="25">
        <f>D73+E73</f>
        <v/>
      </c>
      <c r="E74" s="25" t="n">
        <v>60</v>
      </c>
      <c r="F74" s="19" t="inlineStr">
        <is>
          <t>Condicional</t>
        </is>
      </c>
    </row>
    <row r="75">
      <c r="A75" s="22" t="inlineStr">
        <is>
          <t xml:space="preserve">        11  :PREFIX:-DEB-IBAN           PIC X(34).</t>
        </is>
      </c>
      <c r="B75" s="42" t="n"/>
      <c r="C75" s="25" t="inlineStr">
        <is>
          <t>IBAN</t>
        </is>
      </c>
      <c r="D75" s="25">
        <f>D74+E74</f>
        <v/>
      </c>
      <c r="E75" s="25" t="n">
        <v>34</v>
      </c>
      <c r="F75" s="19" t="inlineStr">
        <is>
          <t>Condicional</t>
        </is>
      </c>
    </row>
    <row r="76">
      <c r="A76" s="22" t="inlineStr">
        <is>
          <t xml:space="preserve">        11  :PREFIX:-DEB-SWIFT          PIC X(11).</t>
        </is>
      </c>
      <c r="B76" s="42" t="n"/>
      <c r="C76" s="25" t="inlineStr">
        <is>
          <t>BICSWIFT</t>
        </is>
      </c>
      <c r="D76" s="25">
        <f>D75+E75</f>
        <v/>
      </c>
      <c r="E76" s="25" t="n">
        <v>11</v>
      </c>
      <c r="F76" s="19" t="inlineStr">
        <is>
          <t>Condicional</t>
        </is>
      </c>
    </row>
    <row r="77">
      <c r="A77" s="10" t="inlineStr">
        <is>
          <t xml:space="preserve">    09  :PREFIX:-PG-CHEQUE.</t>
        </is>
      </c>
      <c r="B77" s="122" t="n"/>
      <c r="C77" s="16" t="n"/>
      <c r="D77" s="25">
        <f>D76+E76</f>
        <v/>
      </c>
      <c r="E77" s="25" t="n">
        <v>0</v>
      </c>
      <c r="F77" s="16" t="n"/>
    </row>
    <row r="78">
      <c r="A78" s="22" t="inlineStr">
        <is>
          <t xml:space="preserve">        11  :PREFIX:-CH-NR-CHEQUE       PIC X(10).</t>
        </is>
      </c>
      <c r="B78" s="122" t="n"/>
      <c r="C78" s="25" t="inlineStr">
        <is>
          <t>Número do Cheque</t>
        </is>
      </c>
      <c r="D78" s="25">
        <f>D77+E77</f>
        <v/>
      </c>
      <c r="E78" s="25" t="n">
        <v>10</v>
      </c>
      <c r="F78" s="19" t="inlineStr">
        <is>
          <t>Condicional</t>
        </is>
      </c>
    </row>
    <row r="79">
      <c r="A79" s="22" t="inlineStr">
        <is>
          <t xml:space="preserve">        11  :PREFIX:-CH-DATA-CHEQUE     PIC X(08).</t>
        </is>
      </c>
      <c r="B79" s="122" t="n"/>
      <c r="C79" s="25" t="inlineStr">
        <is>
          <t>Data do cheque - formato AAAAMMDD</t>
        </is>
      </c>
      <c r="D79" s="25">
        <f>D78+E78</f>
        <v/>
      </c>
      <c r="E79" s="25" t="n">
        <v>8</v>
      </c>
      <c r="F79" s="19" t="inlineStr">
        <is>
          <t>Condicional</t>
        </is>
      </c>
    </row>
    <row r="80">
      <c r="A80" s="22" t="inlineStr">
        <is>
          <t xml:space="preserve">        11  :PREFIX:-CH-LINHA-OTICA     PIC X(52).</t>
        </is>
      </c>
      <c r="B80" s="122" t="n"/>
      <c r="C80" s="25" t="inlineStr">
        <is>
          <t>Linha otica do cheque</t>
        </is>
      </c>
      <c r="D80" s="25">
        <f>D79+E79</f>
        <v/>
      </c>
      <c r="E80" s="25" t="n">
        <v>52</v>
      </c>
      <c r="F80" s="19" t="inlineStr">
        <is>
          <t>Condicional</t>
        </is>
      </c>
    </row>
    <row r="81">
      <c r="A81" s="22" t="inlineStr">
        <is>
          <t xml:space="preserve">        11  :PREFIX:-CH-EXTENSO-L1      PIC X(100).</t>
        </is>
      </c>
      <c r="B81" s="122" t="n"/>
      <c r="C81" s="25" t="inlineStr">
        <is>
          <t>Valor por extenso - preenchido com "*" até fim</t>
        </is>
      </c>
      <c r="D81" s="25">
        <f>D80+E80</f>
        <v/>
      </c>
      <c r="E81" s="25" t="n">
        <v>100</v>
      </c>
      <c r="F81" s="19" t="inlineStr">
        <is>
          <t>Condicional</t>
        </is>
      </c>
    </row>
    <row r="82">
      <c r="A82" s="22" t="inlineStr">
        <is>
          <t xml:space="preserve">        11  :PREFIX:-CH-EXTENSO-L2      PIC X(100).</t>
        </is>
      </c>
      <c r="B82" s="122" t="n"/>
      <c r="C82" s="25" t="n"/>
      <c r="D82" s="25">
        <f>D81+E81</f>
        <v/>
      </c>
      <c r="E82" s="25" t="n">
        <v>100</v>
      </c>
      <c r="F82" s="19" t="inlineStr">
        <is>
          <t>Condicional</t>
        </is>
      </c>
    </row>
    <row r="83">
      <c r="A83" s="30" t="inlineStr">
        <is>
          <t xml:space="preserve">  07  :PREFIX:-DADOS-CARTA.</t>
        </is>
      </c>
      <c r="B83" s="127" t="n"/>
      <c r="C83" s="32" t="n"/>
      <c r="D83" s="33">
        <f>D82+E82</f>
        <v/>
      </c>
      <c r="E83" s="154" t="n">
        <v>0</v>
      </c>
      <c r="F83" s="130" t="n"/>
    </row>
    <row r="84">
      <c r="A84" s="35" t="inlineStr">
        <is>
          <t xml:space="preserve">    09  :PREFIX:-COD-MOEDA              PIC X(03).</t>
        </is>
      </c>
      <c r="B84" s="122" t="n"/>
      <c r="C84" s="36" t="inlineStr">
        <is>
          <t>Código de moeda (ex: EUR)</t>
        </is>
      </c>
      <c r="D84" s="25">
        <f>D83+E83</f>
        <v/>
      </c>
      <c r="E84" s="36" t="n">
        <v>3</v>
      </c>
      <c r="F84" s="17" t="inlineStr">
        <is>
          <t>Obrigatório</t>
        </is>
      </c>
    </row>
    <row r="85">
      <c r="A85" s="35" t="inlineStr">
        <is>
          <t xml:space="preserve">    09  :PREFIX:-NR-ORDEM-PAG           PIC X(12).</t>
        </is>
      </c>
      <c r="B85" s="122" t="n"/>
      <c r="C85" s="36" t="inlineStr">
        <is>
          <t>Número ordem de pagamento</t>
        </is>
      </c>
      <c r="D85" s="25">
        <f>D84+E84</f>
        <v/>
      </c>
      <c r="E85" s="36" t="n">
        <v>12</v>
      </c>
      <c r="F85" s="17" t="inlineStr">
        <is>
          <t>Obrigatório</t>
        </is>
      </c>
    </row>
    <row r="86" ht="30" customHeight="1">
      <c r="A86" s="40" t="inlineStr">
        <is>
          <t xml:space="preserve">    09  :PREFIX:-DT-VLR-ORDEM-PAG       PIC S9(12)V9(02)
                                   SIGN LEADING SEPARATE.</t>
        </is>
      </c>
      <c r="B86" s="122" t="n"/>
      <c r="C86" s="25" t="inlineStr">
        <is>
          <t>Valor Ordem de Pagamento</t>
        </is>
      </c>
      <c r="D86" s="25">
        <f>D85+E85</f>
        <v/>
      </c>
      <c r="E86" s="25" t="n">
        <v>15</v>
      </c>
      <c r="F86" s="17" t="inlineStr">
        <is>
          <t>Obrigatório</t>
        </is>
      </c>
    </row>
    <row r="87">
      <c r="A87" s="35" t="inlineStr">
        <is>
          <t xml:space="preserve">    09  :PREFIX:-NR-DOCUMENTO           PIC X(12).</t>
        </is>
      </c>
      <c r="B87" s="122" t="n"/>
      <c r="C87" s="25" t="inlineStr">
        <is>
          <t>Número de documento</t>
        </is>
      </c>
      <c r="D87" s="25">
        <f>D86+E86</f>
        <v/>
      </c>
      <c r="E87" s="25" t="n">
        <v>12</v>
      </c>
      <c r="F87" s="17" t="inlineStr">
        <is>
          <t>Obrigatório</t>
        </is>
      </c>
    </row>
    <row r="88">
      <c r="A88" s="35" t="inlineStr">
        <is>
          <t xml:space="preserve">    09  :PREFIX:-INFO-ADICIONAL         PIC X(240).</t>
        </is>
      </c>
      <c r="B88" s="122" t="n"/>
      <c r="C88" s="25" t="inlineStr">
        <is>
          <t>Informação Adicional [opcional - observações colocadas pelo utilizador]</t>
        </is>
      </c>
      <c r="D88" s="25">
        <f>D87+E87</f>
        <v/>
      </c>
      <c r="E88" s="25" t="n">
        <v>240</v>
      </c>
      <c r="F88" s="225" t="inlineStr">
        <is>
          <t>Condicional</t>
        </is>
      </c>
    </row>
    <row r="89">
      <c r="A89" s="30" t="inlineStr">
        <is>
          <t xml:space="preserve">  07  FILLER                            PIC X(918).</t>
        </is>
      </c>
      <c r="B89" s="127" t="n"/>
      <c r="C89" s="32" t="n"/>
      <c r="D89" s="33">
        <f>D88+E88</f>
        <v/>
      </c>
      <c r="E89" s="32">
        <f>SUM(2200-1282)</f>
        <v/>
      </c>
      <c r="F89" s="32" t="n"/>
    </row>
    <row r="90">
      <c r="C90" s="149" t="inlineStr">
        <is>
          <t>Total:</t>
        </is>
      </c>
      <c r="D90" s="150">
        <f>D41+E41</f>
        <v/>
      </c>
    </row>
  </sheetData>
  <mergeCells count="8">
    <mergeCell ref="F9:F11"/>
    <mergeCell ref="F30:F38"/>
    <mergeCell ref="F25:F26"/>
    <mergeCell ref="F7:F8"/>
    <mergeCell ref="F55:F57"/>
    <mergeCell ref="F13:F17"/>
    <mergeCell ref="F18:F24"/>
    <mergeCell ref="F4:F6"/>
  </mergeCells>
  <pageMargins left="0.2362204724409449" right="0.2362204724409449" top="0.7480314960629921" bottom="0.7480314960629921" header="0.3149606299212598" footer="0.3149606299212598"/>
  <pageSetup orientation="landscape" paperSize="9" scale="53" fitToHeight="6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50"/>
  <sheetViews>
    <sheetView workbookViewId="0">
      <selection activeCell="A1" sqref="A1"/>
    </sheetView>
  </sheetViews>
  <sheetFormatPr baseColWidth="10" defaultColWidth="8.83203125" defaultRowHeight="15"/>
  <cols>
    <col width="1.6640625" customWidth="1" min="1" max="1"/>
    <col width="76.83203125" customWidth="1" min="2" max="2"/>
    <col width="7.6640625" customWidth="1" min="3" max="3"/>
    <col width="62.83203125" customWidth="1" min="4" max="4"/>
    <col width="9.1640625" customWidth="1" min="5" max="5"/>
    <col width="9.1640625" customWidth="1" min="6" max="6"/>
    <col width="1.6640625" customWidth="1" min="7" max="7"/>
    <col width="2.6640625" customWidth="1" min="8" max="8"/>
    <col width="29.83203125" customWidth="1" min="9" max="9"/>
    <col width="1.6640625" customWidth="1" min="10" max="10"/>
  </cols>
  <sheetData>
    <row r="1" ht="9" customHeight="1"/>
    <row r="2">
      <c r="B2" s="2" t="inlineStr">
        <is>
          <t>Copybook</t>
        </is>
      </c>
      <c r="C2" s="2" t="inlineStr">
        <is>
          <t>Novo</t>
        </is>
      </c>
      <c r="D2" s="2" t="inlineStr">
        <is>
          <t>Descrição / Valores Possiveis / [Formato]</t>
        </is>
      </c>
      <c r="E2" s="3" t="inlineStr">
        <is>
          <t>Posição</t>
        </is>
      </c>
      <c r="F2" s="3" t="inlineStr">
        <is>
          <t>Tamanho</t>
        </is>
      </c>
      <c r="I2" s="226" t="n"/>
    </row>
    <row r="3">
      <c r="B3" s="5" t="inlineStr">
        <is>
          <t>05  :PREFIX:-DADOS-REGISTO.</t>
        </is>
      </c>
      <c r="C3" s="29" t="n"/>
      <c r="D3" s="7" t="n"/>
      <c r="E3" s="8" t="n">
        <v>1</v>
      </c>
      <c r="F3" s="8" t="n">
        <v>0</v>
      </c>
      <c r="I3" s="227" t="n"/>
    </row>
    <row r="4">
      <c r="B4" s="10" t="inlineStr">
        <is>
          <t xml:space="preserve">  07  :PREFIX:-COD-DOCUMENTO            PIC X(04).</t>
        </is>
      </c>
      <c r="C4" s="122" t="inlineStr">
        <is>
          <t>&lt;NEW&gt;</t>
        </is>
      </c>
      <c r="D4" s="12" t="inlineStr">
        <is>
          <t>Código de documento</t>
        </is>
      </c>
      <c r="E4" s="13">
        <f>E3+F3</f>
        <v/>
      </c>
      <c r="F4" s="13" t="n">
        <v>4</v>
      </c>
      <c r="I4" s="228" t="n"/>
    </row>
    <row r="5">
      <c r="B5" s="10" t="inlineStr">
        <is>
          <t xml:space="preserve">      88  :PREFIX:-DOC-LST-FRTS             VALUE 'FRTS'.</t>
        </is>
      </c>
      <c r="C5" s="122" t="inlineStr">
        <is>
          <t>&lt;NEW&gt;</t>
        </is>
      </c>
      <c r="D5" s="12" t="inlineStr">
        <is>
          <t xml:space="preserve">     'FRTS' - Lista de movimentos de Frotas</t>
        </is>
      </c>
      <c r="E5" s="13" t="n"/>
      <c r="F5" s="13" t="n"/>
      <c r="I5" s="229" t="n"/>
    </row>
    <row r="6">
      <c r="B6" s="10" t="inlineStr">
        <is>
          <t xml:space="preserve">  07  :PREFIX:-TIPO-REGISTO             PIC X(01).</t>
        </is>
      </c>
      <c r="C6" s="122" t="n"/>
      <c r="D6" s="16" t="inlineStr">
        <is>
          <t>Tipo de registo</t>
        </is>
      </c>
      <c r="E6" s="13">
        <f>E4+F4</f>
        <v/>
      </c>
      <c r="F6" s="16" t="n">
        <v>1</v>
      </c>
      <c r="I6" s="228" t="inlineStr">
        <is>
          <t>NY5F1U0-RECORD-TYPE</t>
        </is>
      </c>
    </row>
    <row r="7">
      <c r="B7" s="10" t="inlineStr">
        <is>
          <t xml:space="preserve">      88  :PREFIX:-REG-TIPO1                VALUE '1'.</t>
        </is>
      </c>
      <c r="C7" s="122" t="n"/>
      <c r="D7" s="16" t="inlineStr">
        <is>
          <t xml:space="preserve">     '1' - Movimento de Frota</t>
        </is>
      </c>
      <c r="E7" s="13" t="n"/>
      <c r="F7" s="16" t="n"/>
      <c r="I7" s="230" t="inlineStr">
        <is>
          <t>NY5F1U0-HEADER</t>
        </is>
      </c>
    </row>
    <row r="8">
      <c r="B8" s="10" t="inlineStr">
        <is>
          <t xml:space="preserve">      88  :PREFIX:-REG-TIPO2                VALUE '2'.</t>
        </is>
      </c>
      <c r="C8" s="122" t="n"/>
      <c r="D8" s="16" t="inlineStr">
        <is>
          <t xml:space="preserve">     '2' - Detalhe de Frota - Ajuste</t>
        </is>
      </c>
      <c r="E8" s="13" t="n"/>
      <c r="F8" s="16" t="n"/>
      <c r="I8" s="230" t="inlineStr">
        <is>
          <t>NY5F1U0-ADJUSTMENT</t>
        </is>
      </c>
    </row>
    <row r="9">
      <c r="B9" s="10" t="inlineStr">
        <is>
          <t xml:space="preserve">      88  :PREFIX:-REG-TIPO3                VALUE '3'.</t>
        </is>
      </c>
      <c r="C9" s="122" t="n"/>
      <c r="D9" s="16" t="inlineStr">
        <is>
          <t xml:space="preserve">     '3' - Detalhe de Frota - Geral</t>
        </is>
      </c>
      <c r="E9" s="13" t="n"/>
      <c r="F9" s="16" t="n"/>
      <c r="I9" s="230" t="inlineStr">
        <is>
          <t>NY5F1U0-CURRENT</t>
        </is>
      </c>
    </row>
    <row r="10">
      <c r="B10" s="10" t="inlineStr">
        <is>
          <t xml:space="preserve">      88  :PREFIX:-REG-TIPO4                VALUE '4'.</t>
        </is>
      </c>
      <c r="C10" s="122" t="n"/>
      <c r="D10" s="16" t="inlineStr">
        <is>
          <t xml:space="preserve">     '4' - Footer Lista Frota</t>
        </is>
      </c>
      <c r="E10" s="13" t="n"/>
      <c r="F10" s="16" t="n"/>
      <c r="I10" s="229" t="n"/>
    </row>
    <row r="11">
      <c r="B11" s="10" t="inlineStr">
        <is>
          <t xml:space="preserve">  07  :PREFIX:-TIPO-IMPRESSAO           PIC X(01).</t>
        </is>
      </c>
      <c r="C11" s="122" t="n"/>
      <c r="D11" s="12" t="inlineStr">
        <is>
          <t>Tipo de impressão</t>
        </is>
      </c>
      <c r="E11" s="13">
        <f>E6+F6</f>
        <v/>
      </c>
      <c r="F11" s="13" t="n">
        <v>1</v>
      </c>
      <c r="I11" s="228" t="inlineStr">
        <is>
          <t>NY5F1U0-TIPO-IMPRESSAO</t>
        </is>
      </c>
    </row>
    <row r="12">
      <c r="B12" s="10" t="inlineStr">
        <is>
          <t xml:space="preserve">      88  :PREFIX:-IMP-ONLINE               VALUE 'I'.</t>
        </is>
      </c>
      <c r="C12" s="122" t="n"/>
      <c r="D12" s="12" t="inlineStr">
        <is>
          <t xml:space="preserve">     'I' - Impressão OnLine (Immediate)</t>
        </is>
      </c>
      <c r="E12" s="13" t="n"/>
      <c r="F12" s="13" t="n"/>
      <c r="I12" s="230" t="n"/>
    </row>
    <row r="13">
      <c r="B13" s="10" t="inlineStr">
        <is>
          <t xml:space="preserve">      88  :PREFIX:-IMP-BATCH                VALUE 'O'.</t>
        </is>
      </c>
      <c r="C13" s="122" t="n"/>
      <c r="D13" s="12" t="inlineStr">
        <is>
          <t xml:space="preserve">     'O' - Impressão via batch (Overnight)</t>
        </is>
      </c>
      <c r="E13" s="13" t="n"/>
      <c r="F13" s="13" t="n"/>
      <c r="I13" s="229" t="n"/>
    </row>
    <row r="14">
      <c r="B14" s="10" t="inlineStr">
        <is>
          <t xml:space="preserve">  07  :PREFIX:-USERID                   PIC X(08).</t>
        </is>
      </c>
      <c r="C14" s="122" t="n"/>
      <c r="D14" s="16" t="inlineStr">
        <is>
          <t>User Id da impressão OnLine</t>
        </is>
      </c>
      <c r="E14" s="13">
        <f>E11+F11</f>
        <v/>
      </c>
      <c r="F14" s="16" t="n">
        <v>8</v>
      </c>
      <c r="I14" s="231" t="n"/>
    </row>
    <row r="15">
      <c r="B15" s="10" t="inlineStr">
        <is>
          <t xml:space="preserve">  07  :PREFIX:-COD-COMPANHIA            PIC X(03).</t>
        </is>
      </c>
      <c r="C15" s="125" t="n"/>
      <c r="D15" s="12" t="inlineStr">
        <is>
          <t>Código de identificação da Companhia</t>
        </is>
      </c>
      <c r="E15" s="13">
        <f>E14+F14</f>
        <v/>
      </c>
      <c r="F15" s="13" t="n">
        <v>3</v>
      </c>
      <c r="I15" s="228" t="inlineStr">
        <is>
          <t>NY5F1U0-COMPANY-CODE</t>
        </is>
      </c>
    </row>
    <row r="16">
      <c r="B16" s="10" t="inlineStr">
        <is>
          <t xml:space="preserve">      88  :PREFIX:-COM-VIADIRECTA           VALUE '111'.</t>
        </is>
      </c>
      <c r="C16" s="125" t="n"/>
      <c r="D16" s="12" t="inlineStr">
        <is>
          <t xml:space="preserve">     '111' - Via Directa</t>
        </is>
      </c>
      <c r="E16" s="13" t="n"/>
      <c r="F16" s="13" t="n"/>
      <c r="I16" s="230" t="n"/>
    </row>
    <row r="17">
      <c r="B17" s="10" t="inlineStr">
        <is>
          <t xml:space="preserve">      88  :PREFIX:-COM-FIDELIDADE           VALUE '128'.</t>
        </is>
      </c>
      <c r="C17" s="125" t="n"/>
      <c r="D17" s="12" t="inlineStr">
        <is>
          <t xml:space="preserve">     '128' - Fidelidade</t>
        </is>
      </c>
      <c r="E17" s="13" t="n"/>
      <c r="F17" s="13" t="n"/>
      <c r="I17" s="230" t="n"/>
    </row>
    <row r="18">
      <c r="B18" s="232" t="inlineStr">
        <is>
          <t xml:space="preserve">      88  :PREFIX:-COM-IMPERIO              VALUE '138'.</t>
        </is>
      </c>
      <c r="C18" s="233" t="n"/>
      <c r="D18" s="234" t="inlineStr">
        <is>
          <t xml:space="preserve">     '138' - Império</t>
        </is>
      </c>
      <c r="E18" s="13" t="n"/>
      <c r="F18" s="13" t="n"/>
      <c r="I18" s="230" t="n"/>
    </row>
    <row r="19">
      <c r="B19" s="10" t="inlineStr">
        <is>
          <t xml:space="preserve">      88  :PREFIX:-COM-MULTICARE            VALUE '148'.</t>
        </is>
      </c>
      <c r="C19" s="122" t="n"/>
      <c r="D19" s="12" t="inlineStr">
        <is>
          <t xml:space="preserve">     '148' - Multicare</t>
        </is>
      </c>
      <c r="E19" s="16" t="n"/>
      <c r="F19" s="16" t="n"/>
      <c r="I19" s="229" t="n"/>
    </row>
    <row r="20">
      <c r="B20" s="10" t="inlineStr">
        <is>
          <t xml:space="preserve">  07  :PREFIX:-COD-MARCA                PIC X(03).</t>
        </is>
      </c>
      <c r="C20" s="122" t="n"/>
      <c r="D20" s="12" t="inlineStr">
        <is>
          <t>Código de identificação da Marca</t>
        </is>
      </c>
      <c r="E20" s="13">
        <f>E15+F15</f>
        <v/>
      </c>
      <c r="F20" s="16" t="n">
        <v>3</v>
      </c>
      <c r="I20" s="230" t="inlineStr">
        <is>
          <t>NY5F1U0-C-MARC-SGRA</t>
        </is>
      </c>
    </row>
    <row r="21">
      <c r="B21" s="10" t="inlineStr">
        <is>
          <t xml:space="preserve">      88  :PREFIX:-MAR-OKTELESEGURO         VALUE '001'.</t>
        </is>
      </c>
      <c r="C21" s="122" t="n"/>
      <c r="D21" s="12" t="inlineStr">
        <is>
          <t xml:space="preserve">     '001' - OK Teleseguro</t>
        </is>
      </c>
      <c r="E21" s="16" t="n"/>
      <c r="F21" s="16" t="n"/>
      <c r="I21" s="230" t="n"/>
    </row>
    <row r="22">
      <c r="B22" s="10" t="inlineStr">
        <is>
          <t xml:space="preserve">      88  :PREFIX:-MAR-FIDELIDADE           VALUE '002'.</t>
        </is>
      </c>
      <c r="C22" s="122" t="n"/>
      <c r="D22" s="12" t="inlineStr">
        <is>
          <t xml:space="preserve">     '002' - Fidelidade</t>
        </is>
      </c>
      <c r="E22" s="16" t="n"/>
      <c r="F22" s="16" t="n"/>
      <c r="I22" s="230" t="n"/>
    </row>
    <row r="23">
      <c r="B23" s="232" t="inlineStr">
        <is>
          <t xml:space="preserve">      88  :PREFIX:-MAR-IMPERIO              VALUE '003'.</t>
        </is>
      </c>
      <c r="C23" s="151" t="n"/>
      <c r="D23" s="234" t="inlineStr">
        <is>
          <t xml:space="preserve">     '003' - Império</t>
        </is>
      </c>
      <c r="E23" s="16" t="n"/>
      <c r="F23" s="16" t="n"/>
      <c r="I23" s="230" t="n"/>
    </row>
    <row r="24">
      <c r="B24" s="232" t="inlineStr">
        <is>
          <t xml:space="preserve">      88  :PREFIX:-MAR-ICI                  VALUE '004'.</t>
        </is>
      </c>
      <c r="C24" s="151" t="n"/>
      <c r="D24" s="234" t="inlineStr">
        <is>
          <t xml:space="preserve">     '004' - ICI</t>
        </is>
      </c>
      <c r="E24" s="16" t="n"/>
      <c r="F24" s="16" t="n"/>
      <c r="I24" s="230" t="n"/>
    </row>
    <row r="25">
      <c r="B25" s="10" t="inlineStr">
        <is>
          <t xml:space="preserve">      88  :PREFIX:-MAR-SONAE                VALUE '005'.</t>
        </is>
      </c>
      <c r="C25" s="122" t="n"/>
      <c r="D25" s="12" t="inlineStr">
        <is>
          <t xml:space="preserve">     '005' - Continente</t>
        </is>
      </c>
      <c r="E25" s="16" t="n"/>
      <c r="F25" s="16" t="n"/>
      <c r="I25" s="230" t="n"/>
    </row>
    <row r="26">
      <c r="B26" s="10" t="inlineStr">
        <is>
          <t xml:space="preserve">      88  :PREFIX:-MAR-MULTICARE            VALUE '006'.</t>
        </is>
      </c>
      <c r="C26" s="122" t="n"/>
      <c r="D26" s="12" t="inlineStr">
        <is>
          <t xml:space="preserve">     '006' - Multicare</t>
        </is>
      </c>
      <c r="E26" s="16" t="n"/>
      <c r="F26" s="16" t="n"/>
      <c r="I26" s="229" t="n"/>
    </row>
    <row r="27">
      <c r="A27" s="147" t="n"/>
      <c r="B27" s="10" t="inlineStr">
        <is>
          <t xml:space="preserve">      88  :PREFIX:-MAR-EUROBIC              VALUE '028'.</t>
        </is>
      </c>
      <c r="C27" s="122" t="n"/>
      <c r="D27" s="12" t="inlineStr">
        <is>
          <t xml:space="preserve">     '028' - Eurobic</t>
        </is>
      </c>
      <c r="E27" s="16" t="n"/>
      <c r="F27" s="16" t="n"/>
      <c r="I27" s="229" t="n"/>
    </row>
    <row r="28">
      <c r="B28" s="10" t="inlineStr">
        <is>
          <t xml:space="preserve">  07  :PREFIX:-AUX-MARCA                PIC X(01).</t>
        </is>
      </c>
      <c r="C28" s="122" t="n"/>
      <c r="D28" s="12" t="n"/>
      <c r="E28" s="16">
        <f>E20+F20</f>
        <v/>
      </c>
      <c r="F28" s="16" t="n">
        <v>1</v>
      </c>
      <c r="I28" s="228" t="n"/>
    </row>
    <row r="29" ht="32" customHeight="1">
      <c r="B29" s="22" t="inlineStr">
        <is>
          <t xml:space="preserve">      88  :PREFIX:-MAR-LEVE                 VALUE 'L'.</t>
        </is>
      </c>
      <c r="C29" s="42" t="n"/>
      <c r="D29" s="24" t="inlineStr">
        <is>
          <t xml:space="preserve">     'L' - Leve (Substitui 'L02' - FM Leve / 
                         'L03' - IB Leve, apenas para marca 002 ou 003)</t>
        </is>
      </c>
      <c r="E29" s="25" t="n"/>
      <c r="F29" s="25" t="n"/>
      <c r="I29" s="229" t="n"/>
    </row>
    <row r="30" ht="30" customHeight="1">
      <c r="B30" s="10" t="inlineStr">
        <is>
          <t xml:space="preserve">  07  :PREFIX:-NR-AGENTE                PIC X(10).</t>
        </is>
      </c>
      <c r="C30" s="122" t="n"/>
      <c r="D30" s="16" t="inlineStr">
        <is>
          <t>Número do Mediador</t>
        </is>
      </c>
      <c r="E30" s="13">
        <f>E28+F28</f>
        <v/>
      </c>
      <c r="F30" s="16" t="n">
        <v>10</v>
      </c>
      <c r="I30" s="235" t="inlineStr">
        <is>
          <t>NY5F1U0-ACCOUNT-COLL-SORT
NY5F1U0-COLLECTING-AGENT</t>
        </is>
      </c>
    </row>
    <row r="31">
      <c r="B31" s="10" t="inlineStr">
        <is>
          <t xml:space="preserve">  07  :PREFIX:-NR-CLIENTE               PIC X(10).</t>
        </is>
      </c>
      <c r="C31" s="122" t="n"/>
      <c r="D31" s="16" t="inlineStr">
        <is>
          <t>Número do Cliente</t>
        </is>
      </c>
      <c r="E31" s="13">
        <f>E30+F30</f>
        <v/>
      </c>
      <c r="F31" s="16" t="n">
        <v>10</v>
      </c>
      <c r="I31" s="229" t="inlineStr">
        <is>
          <t>NY5F1U0-CLIENT-NUMBER</t>
        </is>
      </c>
    </row>
    <row r="32">
      <c r="B32" s="10" t="inlineStr">
        <is>
          <t xml:space="preserve">  07  :PREFIX:-NR-APOLICE               PIC X(16).</t>
        </is>
      </c>
      <c r="C32" s="122" t="n"/>
      <c r="D32" s="16" t="inlineStr">
        <is>
          <t>Número da Apólice</t>
        </is>
      </c>
      <c r="E32" s="13">
        <f>E31+F31</f>
        <v/>
      </c>
      <c r="F32" s="16" t="n">
        <v>16</v>
      </c>
      <c r="I32" s="231" t="inlineStr">
        <is>
          <t>NY5F1U0-POLICY-NUMBER</t>
        </is>
      </c>
    </row>
    <row r="33">
      <c r="B33" s="10" t="inlineStr">
        <is>
          <t xml:space="preserve">  07  :PREFIX:-COD-ORIGEM               PIC X(03).</t>
        </is>
      </c>
      <c r="C33" s="122" t="n"/>
      <c r="D33" s="12" t="inlineStr">
        <is>
          <t>Código de identificação do Sistema Origem</t>
        </is>
      </c>
      <c r="E33" s="13">
        <f>E32+F32</f>
        <v/>
      </c>
      <c r="F33" s="16" t="n">
        <v>3</v>
      </c>
      <c r="I33" s="228" t="n"/>
    </row>
    <row r="34">
      <c r="B34" s="10" t="inlineStr">
        <is>
          <t xml:space="preserve">      88  :PREFIX:-ORI-COGEN22              VALUE 'CG2'.</t>
        </is>
      </c>
      <c r="C34" s="122" t="n"/>
      <c r="D34" s="16" t="inlineStr">
        <is>
          <t xml:space="preserve">     'CG2' - Cogen 22</t>
        </is>
      </c>
      <c r="E34" s="16" t="n"/>
      <c r="F34" s="16" t="n"/>
      <c r="I34" s="230" t="n"/>
    </row>
    <row r="35">
      <c r="B35" s="10" t="inlineStr">
        <is>
          <t xml:space="preserve">      88  :PREFIX:-ORI-COGEN33              VALUE 'CGN'.</t>
        </is>
      </c>
      <c r="C35" s="122" t="n"/>
      <c r="D35" s="16" t="inlineStr">
        <is>
          <t xml:space="preserve">     'CGN' - Cogen 33</t>
        </is>
      </c>
      <c r="E35" s="16" t="n"/>
      <c r="F35" s="16" t="n"/>
      <c r="I35" s="230" t="n"/>
    </row>
    <row r="36">
      <c r="B36" s="10" t="inlineStr">
        <is>
          <t xml:space="preserve">      88  :PREFIX:-ORI-GIS                  VALUE 'GIS'.</t>
        </is>
      </c>
      <c r="C36" s="122" t="n"/>
      <c r="D36" s="16" t="inlineStr">
        <is>
          <t xml:space="preserve">     'GIS' - GIS</t>
        </is>
      </c>
      <c r="E36" s="16" t="n"/>
      <c r="F36" s="16" t="n"/>
      <c r="I36" s="230" t="n"/>
    </row>
    <row r="37">
      <c r="B37" s="10" t="inlineStr">
        <is>
          <t xml:space="preserve">      88  :PREFIX:-ORI-COLHEITAS            VALUE 'CLH'.</t>
        </is>
      </c>
      <c r="C37" s="122" t="n"/>
      <c r="D37" s="16" t="inlineStr">
        <is>
          <t xml:space="preserve">     'CLH' - Colheitas (GIC)</t>
        </is>
      </c>
      <c r="E37" s="16" t="n"/>
      <c r="F37" s="16" t="n"/>
      <c r="I37" s="230" t="n"/>
    </row>
    <row r="38">
      <c r="B38" s="10" t="inlineStr">
        <is>
          <t xml:space="preserve">      88  :PREFIX:-ORI-MULTICARE            VALUE 'MHS'.</t>
        </is>
      </c>
      <c r="C38" s="122" t="n"/>
      <c r="D38" s="16" t="inlineStr">
        <is>
          <t xml:space="preserve">     'MHS' - Multicare</t>
        </is>
      </c>
      <c r="E38" s="16" t="n"/>
      <c r="F38" s="16" t="n"/>
      <c r="I38" s="230" t="n"/>
    </row>
    <row r="39">
      <c r="B39" s="10" t="inlineStr">
        <is>
          <t xml:space="preserve">      88  :PREFIX:-ORI-SGF-GR               VALUE 'SPG'.</t>
        </is>
      </c>
      <c r="C39" s="122" t="n"/>
      <c r="D39" s="16" t="inlineStr">
        <is>
          <t xml:space="preserve">     'SPG' - SGF Grupo (Paxus)</t>
        </is>
      </c>
      <c r="E39" s="16" t="n"/>
      <c r="F39" s="16" t="n"/>
      <c r="I39" s="229" t="n"/>
    </row>
    <row r="40">
      <c r="B40" s="10" t="inlineStr">
        <is>
          <t xml:space="preserve">      88  :PREFIX:-ORI-SGF-IN               VALUE 'SPA'.</t>
        </is>
      </c>
      <c r="C40" s="122" t="n"/>
      <c r="D40" s="16" t="inlineStr">
        <is>
          <t xml:space="preserve">     'SPA' - SGF Individual (Paxus)</t>
        </is>
      </c>
      <c r="E40" s="16" t="n"/>
      <c r="F40" s="16" t="n"/>
      <c r="I40" s="229" t="n"/>
    </row>
    <row r="41">
      <c r="B41" s="10" t="inlineStr">
        <is>
          <t xml:space="preserve">      88  :PREFIX:-ORI-FGS                  VALUE 'FGS'.</t>
        </is>
      </c>
      <c r="C41" s="122" t="n"/>
      <c r="D41" s="16" t="inlineStr">
        <is>
          <t xml:space="preserve">     'FGS' - FGS</t>
        </is>
      </c>
      <c r="E41" s="16" t="n"/>
      <c r="F41" s="16" t="n"/>
      <c r="I41" s="229" t="n"/>
    </row>
    <row r="42">
      <c r="B42" s="10" t="inlineStr">
        <is>
          <t xml:space="preserve">      88  :PREFIX:-ORI-FCS                  VALUE 'FCS'.</t>
        </is>
      </c>
      <c r="C42" s="122" t="n"/>
      <c r="D42" s="16" t="inlineStr">
        <is>
          <t xml:space="preserve">     'FCS' - FCS</t>
        </is>
      </c>
      <c r="E42" s="16" t="n"/>
      <c r="F42" s="16" t="n"/>
      <c r="I42" s="229" t="n"/>
    </row>
    <row r="43">
      <c r="B43" s="10" t="inlineStr">
        <is>
          <t xml:space="preserve">  07  :PREFIX:-IND-FLYER                PIC X(01).</t>
        </is>
      </c>
      <c r="C43" s="122" t="inlineStr">
        <is>
          <t>&lt;NEW&gt;</t>
        </is>
      </c>
      <c r="D43" s="16" t="inlineStr">
        <is>
          <t>Indicador de inclusão de Flyer (ex: "V" - Cobertura PVC)</t>
        </is>
      </c>
      <c r="E43" s="13">
        <f>E33+F33</f>
        <v/>
      </c>
      <c r="F43" s="16" t="n">
        <v>1</v>
      </c>
      <c r="I43" s="231" t="n"/>
    </row>
    <row r="44">
      <c r="B44" s="5" t="inlineStr">
        <is>
          <t>05  :PREFIX:-DADOS-DOCUMENTO            PIC X(2138).</t>
        </is>
      </c>
      <c r="C44" s="29" t="n"/>
      <c r="D44" s="7" t="n"/>
      <c r="E44" s="8">
        <f>E43+F43</f>
        <v/>
      </c>
      <c r="F44" s="8" t="n">
        <v>2138</v>
      </c>
      <c r="I44" s="236" t="n"/>
    </row>
    <row r="45">
      <c r="B45" s="5" t="inlineStr">
        <is>
          <t>05  FILLER  REDEFINES  :PREFIX:-DADOS-DOCUMENTO.</t>
        </is>
      </c>
      <c r="C45" s="29" t="n"/>
      <c r="D45" s="7" t="n"/>
      <c r="E45" s="8">
        <f>E43+F43</f>
        <v/>
      </c>
      <c r="F45" s="8" t="n">
        <v>0</v>
      </c>
      <c r="I45" s="237" t="n"/>
    </row>
    <row r="46">
      <c r="B46" s="30" t="inlineStr">
        <is>
          <t xml:space="preserve">  07  :PREFIX:-DADOS-LISTA-FROTAS.</t>
        </is>
      </c>
      <c r="C46" s="127" t="n"/>
      <c r="D46" s="32" t="n"/>
      <c r="E46" s="38">
        <f>E45+F45</f>
        <v/>
      </c>
      <c r="F46" s="32" t="n">
        <v>0</v>
      </c>
      <c r="I46" s="238" t="n"/>
    </row>
    <row r="47">
      <c r="B47" s="22" t="inlineStr">
        <is>
          <t xml:space="preserve">    09  :PREFIX:-TIPO-DOCUMENTO         PIC X(01).</t>
        </is>
      </c>
      <c r="C47" s="42" t="n"/>
      <c r="D47" s="25" t="inlineStr">
        <is>
          <t>Tipo de Documento</t>
        </is>
      </c>
      <c r="E47" s="25">
        <f>E46+F46</f>
        <v/>
      </c>
      <c r="F47" s="25" t="n">
        <v>1</v>
      </c>
      <c r="I47" s="239" t="inlineStr">
        <is>
          <t>NY5F1U0-DOCUMENT-CODE</t>
        </is>
      </c>
    </row>
    <row r="48">
      <c r="B48" s="10" t="inlineStr">
        <is>
          <t xml:space="preserve">        88  :PREFIX:-DOC-FRT                VALUE 'F'.</t>
        </is>
      </c>
      <c r="C48" s="122" t="n"/>
      <c r="D48" s="16" t="inlineStr">
        <is>
          <t xml:space="preserve">     'F' - Documento de Frotas</t>
        </is>
      </c>
      <c r="E48" s="16" t="n"/>
      <c r="F48" s="16" t="n"/>
      <c r="I48" s="230" t="inlineStr">
        <is>
          <t>NY5F1U0-FROTA</t>
        </is>
      </c>
    </row>
    <row r="49">
      <c r="B49" s="10" t="inlineStr">
        <is>
          <t xml:space="preserve">        88  :PREFIX:-DOC-CNF                VALUE 'G'.</t>
        </is>
      </c>
      <c r="C49" s="122" t="n"/>
      <c r="D49" s="16" t="inlineStr">
        <is>
          <t xml:space="preserve">     'G' - Documento de Cancelamento de Frotas</t>
        </is>
      </c>
      <c r="E49" s="16" t="n"/>
      <c r="F49" s="16" t="n"/>
      <c r="I49" s="230" t="inlineStr">
        <is>
          <t>NY5F1U0-CANCEL-FROTA</t>
        </is>
      </c>
    </row>
    <row r="50" ht="30" customHeight="1">
      <c r="B50" s="22" t="inlineStr">
        <is>
          <t xml:space="preserve">    09  :PREFIX:-NR-RECIBO              PIC X(16).</t>
        </is>
      </c>
      <c r="C50" s="42" t="n"/>
      <c r="D50" s="25" t="inlineStr">
        <is>
          <t>Número do Recibo [Garantir que no máximo vem 11 posições]</t>
        </is>
      </c>
      <c r="E50" s="156">
        <f>E47+F47</f>
        <v/>
      </c>
      <c r="F50" s="25" t="n">
        <v>16</v>
      </c>
      <c r="G50" s="131" t="n"/>
      <c r="H50" s="131" t="n"/>
      <c r="I50" s="239" t="inlineStr">
        <is>
          <t>NY5F1U0-RECEIPT-NUMBER
NY5F1U0-RECEIPT-SORT</t>
        </is>
      </c>
    </row>
    <row r="51">
      <c r="B51" s="10" t="inlineStr">
        <is>
          <t xml:space="preserve">    09  :PREFIX:-TIPO-APOLICE           PIC X(01).</t>
        </is>
      </c>
      <c r="C51" s="122" t="n"/>
      <c r="D51" s="16" t="inlineStr">
        <is>
          <t>Tipo de Apólice (Fraccionamento)</t>
        </is>
      </c>
      <c r="E51" s="13">
        <f>E50+F50</f>
        <v/>
      </c>
      <c r="F51" s="16" t="n">
        <v>1</v>
      </c>
      <c r="I51" s="228" t="n"/>
    </row>
    <row r="52">
      <c r="B52" s="10" t="inlineStr">
        <is>
          <t xml:space="preserve">        88  :PREFIX:-TAP-ANUAL              VALUE 'A'</t>
        </is>
      </c>
      <c r="C52" s="122" t="n"/>
      <c r="D52" s="16" t="inlineStr">
        <is>
          <t xml:space="preserve">     'A' - Anual</t>
        </is>
      </c>
      <c r="E52" s="13" t="n"/>
      <c r="F52" s="16" t="n"/>
      <c r="I52" s="230" t="n"/>
    </row>
    <row r="53">
      <c r="B53" s="10" t="inlineStr">
        <is>
          <t xml:space="preserve">        88  :PREFIX:-TAP-FRAC               VALUE 'F'</t>
        </is>
      </c>
      <c r="C53" s="122" t="n"/>
      <c r="D53" s="16" t="inlineStr">
        <is>
          <t xml:space="preserve">     'F' - Fraccionada</t>
        </is>
      </c>
      <c r="E53" s="13" t="n"/>
      <c r="F53" s="16" t="n"/>
      <c r="I53" s="229" t="n"/>
    </row>
    <row r="54">
      <c r="B54" s="10" t="inlineStr">
        <is>
          <t xml:space="preserve">    09  :PREFIX:-FRACCAO-NR             PIC X(03).</t>
        </is>
      </c>
      <c r="C54" s="122" t="n"/>
      <c r="D54" s="16" t="inlineStr">
        <is>
          <t>Número de fracção (Valores de 001 a 012, 'RC ', ...)</t>
        </is>
      </c>
      <c r="E54" s="13">
        <f>E51+F51</f>
        <v/>
      </c>
      <c r="F54" s="16" t="n">
        <v>3</v>
      </c>
      <c r="I54" s="229" t="inlineStr">
        <is>
          <t>NY5F1U0-INSTALMENT-NUMBER</t>
        </is>
      </c>
    </row>
    <row r="55">
      <c r="B55" s="35" t="inlineStr">
        <is>
          <t xml:space="preserve">    09  :PREFIX:-COD-MOEDA              PIC X(03).</t>
        </is>
      </c>
      <c r="C55" s="135" t="n"/>
      <c r="D55" s="36" t="inlineStr">
        <is>
          <t>Código de moeda (ex: EUR)</t>
        </is>
      </c>
      <c r="E55" s="240">
        <f>E54+F54</f>
        <v/>
      </c>
      <c r="F55" s="36" t="n">
        <v>3</v>
      </c>
      <c r="I55" s="231" t="n"/>
    </row>
    <row r="56">
      <c r="B56" s="10" t="inlineStr">
        <is>
          <t xml:space="preserve">    09  :PREFIX:-COD-PRODUTO            PIC X(10).</t>
        </is>
      </c>
      <c r="C56" s="122" t="n"/>
      <c r="D56" s="16" t="inlineStr">
        <is>
          <t>Código de Produto [Garantir que no máximo vem 6 posições]</t>
        </is>
      </c>
      <c r="E56" s="13">
        <f>E55+F55</f>
        <v/>
      </c>
      <c r="F56" s="16" t="n">
        <v>10</v>
      </c>
      <c r="I56" s="229" t="inlineStr">
        <is>
          <t>NY5F1U0-PRODUCT-CODE</t>
        </is>
      </c>
    </row>
    <row r="57">
      <c r="B57" s="10" t="inlineStr">
        <is>
          <t xml:space="preserve">    09  :PREFIX:-COD-RAMO               PIC X(10).</t>
        </is>
      </c>
      <c r="C57" s="122" t="n"/>
      <c r="D57" s="16" t="inlineStr">
        <is>
          <t>Código do Ramo SO [Garantir que no máximo vem 6 posições]</t>
        </is>
      </c>
      <c r="E57" s="13">
        <f>E56+F56</f>
        <v/>
      </c>
      <c r="F57" s="16" t="n">
        <v>10</v>
      </c>
      <c r="I57" s="228" t="n"/>
    </row>
    <row r="58">
      <c r="B58" s="10" t="inlineStr">
        <is>
          <t xml:space="preserve">        88  :PREFIX:-RAM-NVIDA              VALUE '0201  '</t>
        </is>
      </c>
      <c r="C58" s="122" t="n"/>
      <c r="D58" s="16" t="inlineStr">
        <is>
          <t>Ramos não vida</t>
        </is>
      </c>
      <c r="E58" s="13" t="n"/>
      <c r="F58" s="16" t="n"/>
      <c r="I58" s="230" t="n"/>
    </row>
    <row r="59">
      <c r="B59" s="10" t="inlineStr">
        <is>
          <t xml:space="preserve">              '0205  ' '0210  ' '0301  ' '0305  ' '0310  '</t>
        </is>
      </c>
      <c r="C59" s="122" t="n"/>
      <c r="D59" s="16" t="n"/>
      <c r="E59" s="13" t="n"/>
      <c r="F59" s="16" t="n"/>
      <c r="I59" s="230" t="n"/>
    </row>
    <row r="60">
      <c r="B60" s="10" t="inlineStr">
        <is>
          <t xml:space="preserve">              '0350  ' '0351  ' '0353  ' '0354  ' '0355  '</t>
        </is>
      </c>
      <c r="C60" s="122" t="n"/>
      <c r="D60" s="16" t="n"/>
      <c r="E60" s="13" t="n"/>
      <c r="F60" s="16" t="n"/>
      <c r="I60" s="230" t="n"/>
    </row>
    <row r="61">
      <c r="B61" s="10" t="inlineStr">
        <is>
          <t xml:space="preserve">              '0356  ' '0357  ' '0358  ' '0360  ' '0370  '</t>
        </is>
      </c>
      <c r="C61" s="122" t="n"/>
      <c r="D61" s="16" t="n"/>
      <c r="E61" s="13" t="n"/>
      <c r="F61" s="16" t="n"/>
      <c r="I61" s="230" t="n"/>
    </row>
    <row r="62">
      <c r="B62" s="10" t="inlineStr">
        <is>
          <t xml:space="preserve">              '0380  ' '0390  ' '0401  ' '0405  ' '0501  '</t>
        </is>
      </c>
      <c r="C62" s="122" t="n"/>
      <c r="D62" s="16" t="n"/>
      <c r="E62" s="13" t="n"/>
      <c r="F62" s="16" t="n"/>
      <c r="I62" s="230" t="n"/>
    </row>
    <row r="63">
      <c r="B63" s="10" t="inlineStr">
        <is>
          <t xml:space="preserve">              '0510  ' '0515  ' '0520  ' '0601  ' '0701  '</t>
        </is>
      </c>
      <c r="C63" s="122" t="n"/>
      <c r="D63" s="16" t="n"/>
      <c r="E63" s="13" t="n"/>
      <c r="F63" s="16" t="n"/>
      <c r="I63" s="230" t="n"/>
    </row>
    <row r="64">
      <c r="B64" s="10" t="inlineStr">
        <is>
          <t xml:space="preserve">              '0705  ' '0905  ' '2001  ' '2010  ' '2101  '</t>
        </is>
      </c>
      <c r="C64" s="122" t="n"/>
      <c r="D64" s="16" t="n"/>
      <c r="E64" s="13" t="n"/>
      <c r="F64" s="16" t="n"/>
      <c r="I64" s="230" t="n"/>
    </row>
    <row r="65">
      <c r="B65" s="10" t="inlineStr">
        <is>
          <t xml:space="preserve">              '22000 ' '22002 ' '22003 ' '22004 ' '2201  '</t>
        </is>
      </c>
      <c r="C65" s="122" t="n"/>
      <c r="D65" s="16" t="n"/>
      <c r="E65" s="13" t="n"/>
      <c r="F65" s="16" t="n"/>
      <c r="I65" s="230" t="n"/>
    </row>
    <row r="66">
      <c r="B66" s="10" t="inlineStr">
        <is>
          <t xml:space="preserve">              '2210  ' '2211  ' '2215  ' '2220  ' '2250  '</t>
        </is>
      </c>
      <c r="C66" s="122" t="n"/>
      <c r="D66" s="16" t="n"/>
      <c r="E66" s="13" t="n"/>
      <c r="F66" s="16" t="n"/>
      <c r="I66" s="230" t="n"/>
    </row>
    <row r="67">
      <c r="B67" s="10" t="inlineStr">
        <is>
          <t xml:space="preserve">              '2301  ' '2401  ' '2402  ' '2501  ' '2601  '</t>
        </is>
      </c>
      <c r="C67" s="122" t="n"/>
      <c r="D67" s="16" t="n"/>
      <c r="E67" s="13" t="n"/>
      <c r="F67" s="16" t="n"/>
      <c r="I67" s="230" t="n"/>
    </row>
    <row r="68">
      <c r="B68" s="10" t="inlineStr">
        <is>
          <t xml:space="preserve">              '2605  ' '2705  ' '2801  ' '3102  ' '3109  '</t>
        </is>
      </c>
      <c r="C68" s="122" t="n"/>
      <c r="D68" s="16" t="n"/>
      <c r="E68" s="13" t="n"/>
      <c r="F68" s="16" t="n"/>
      <c r="I68" s="230" t="n"/>
    </row>
    <row r="69">
      <c r="B69" s="10" t="inlineStr">
        <is>
          <t xml:space="preserve">              '3150  ' '3201  ' '3205  ' '3210  ' '3215  '</t>
        </is>
      </c>
      <c r="C69" s="122" t="n"/>
      <c r="D69" s="16" t="n"/>
      <c r="E69" s="13" t="n"/>
      <c r="F69" s="16" t="n"/>
      <c r="I69" s="230" t="n"/>
    </row>
    <row r="70">
      <c r="B70" s="10" t="inlineStr">
        <is>
          <t xml:space="preserve">              '3301  ' '3401  ' '3405  ' '3410  ' '3420  '</t>
        </is>
      </c>
      <c r="C70" s="122" t="n"/>
      <c r="D70" s="16" t="n"/>
      <c r="E70" s="13" t="n"/>
      <c r="F70" s="16" t="n"/>
      <c r="I70" s="230" t="n"/>
    </row>
    <row r="71">
      <c r="B71" s="10" t="inlineStr">
        <is>
          <t xml:space="preserve">              '3425  ' '3430  ' '3501  ' '3505  ' '3601  '</t>
        </is>
      </c>
      <c r="C71" s="122" t="n"/>
      <c r="D71" s="16" t="n"/>
      <c r="E71" s="13" t="n"/>
      <c r="F71" s="16" t="n"/>
      <c r="I71" s="230" t="n"/>
    </row>
    <row r="72">
      <c r="B72" s="10" t="inlineStr">
        <is>
          <t xml:space="preserve">              '3605  ' '3625  ' '3801  ' '3901  '.</t>
        </is>
      </c>
      <c r="C72" s="122" t="n"/>
      <c r="D72" s="16" t="n"/>
      <c r="E72" s="13" t="n"/>
      <c r="F72" s="16" t="n"/>
      <c r="I72" s="230" t="n"/>
    </row>
    <row r="73">
      <c r="B73" s="10" t="inlineStr">
        <is>
          <t xml:space="preserve">        88  :PREFIX:-RAM-VIDA-CLH           VALUE '22000 '</t>
        </is>
      </c>
      <c r="C73" s="122" t="n"/>
      <c r="D73" s="16" t="inlineStr">
        <is>
          <t>Ramos não vida: Colheitas</t>
        </is>
      </c>
      <c r="E73" s="13" t="n"/>
      <c r="F73" s="16" t="n"/>
      <c r="I73" s="230" t="n"/>
    </row>
    <row r="74">
      <c r="B74" s="10" t="inlineStr">
        <is>
          <t xml:space="preserve">              '22002 ' '22003 ' '22004 '.</t>
        </is>
      </c>
      <c r="C74" s="122" t="n"/>
      <c r="D74" s="16" t="n"/>
      <c r="E74" s="13" t="n"/>
      <c r="F74" s="16" t="n"/>
      <c r="I74" s="230" t="n"/>
    </row>
    <row r="75">
      <c r="B75" s="10" t="inlineStr">
        <is>
          <t xml:space="preserve">        88  :PREFIX:-RAM-VIDA-MHS           VALUE '3102  '</t>
        </is>
      </c>
      <c r="C75" s="122" t="n"/>
      <c r="D75" s="16" t="inlineStr">
        <is>
          <t>Ramos não vida: Saúde</t>
        </is>
      </c>
      <c r="E75" s="13" t="n"/>
      <c r="F75" s="16" t="n"/>
      <c r="I75" s="230" t="n"/>
    </row>
    <row r="76">
      <c r="B76" s="10" t="inlineStr">
        <is>
          <t xml:space="preserve">              '3109  '.</t>
        </is>
      </c>
      <c r="C76" s="122" t="n"/>
      <c r="D76" s="16" t="n"/>
      <c r="E76" s="13" t="n"/>
      <c r="F76" s="16" t="n"/>
      <c r="I76" s="230" t="n"/>
    </row>
    <row r="77">
      <c r="B77" s="122" t="inlineStr">
        <is>
          <t xml:space="preserve">        88  ... Restantes niveis a definir!</t>
        </is>
      </c>
      <c r="C77" s="122" t="n"/>
      <c r="D77" s="16" t="n"/>
      <c r="E77" s="13" t="n"/>
      <c r="F77" s="16" t="n"/>
      <c r="I77" s="229" t="n"/>
    </row>
    <row r="78">
      <c r="B78" s="232" t="inlineStr">
        <is>
          <t xml:space="preserve">    09  :PREFIX:-DESCR-RAMO-PROD        PIC X(40).</t>
        </is>
      </c>
      <c r="C78" s="151" t="n"/>
      <c r="D78" s="211" t="inlineStr">
        <is>
          <t>Descritivo do Ramo / Produto</t>
        </is>
      </c>
      <c r="E78" s="13">
        <f>E57+F57</f>
        <v/>
      </c>
      <c r="F78" s="16" t="n">
        <v>40</v>
      </c>
      <c r="I78" s="229" t="inlineStr">
        <is>
          <t>NY5F1U0-PRODUCT-CODE-DESC</t>
        </is>
      </c>
    </row>
    <row r="79">
      <c r="B79" s="30" t="inlineStr">
        <is>
          <t xml:space="preserve">  07  :PREFIX:-DADOS-CLIENTE.</t>
        </is>
      </c>
      <c r="C79" s="127" t="n"/>
      <c r="D79" s="32" t="n"/>
      <c r="E79" s="38">
        <f>E78+F78</f>
        <v/>
      </c>
      <c r="F79" s="32" t="n">
        <v>0</v>
      </c>
      <c r="I79" s="238" t="n"/>
    </row>
    <row r="80">
      <c r="B80" s="10" t="inlineStr">
        <is>
          <t xml:space="preserve">    09  :PREFIX:-CL-NOME                PIC X(40).</t>
        </is>
      </c>
      <c r="C80" s="122" t="n"/>
      <c r="D80" s="16" t="inlineStr">
        <is>
          <t>Nome</t>
        </is>
      </c>
      <c r="E80" s="13">
        <f>E79+F79</f>
        <v/>
      </c>
      <c r="F80" s="16" t="n">
        <v>40</v>
      </c>
      <c r="I80" s="231" t="inlineStr">
        <is>
          <t>NY5F1U0-CLIENT-NAME</t>
        </is>
      </c>
    </row>
    <row r="81">
      <c r="B81" s="10" t="inlineStr">
        <is>
          <t xml:space="preserve">    09  :PREFIX:-CL-LOCATION-REF        PIC X(04).</t>
        </is>
      </c>
      <c r="C81" s="122" t="inlineStr">
        <is>
          <t>&lt;NEW&gt;</t>
        </is>
      </c>
      <c r="D81" s="16" t="inlineStr">
        <is>
          <t>Referência da morada</t>
        </is>
      </c>
      <c r="E81" s="13">
        <f>E80+F80</f>
        <v/>
      </c>
      <c r="F81" s="16" t="n">
        <v>4</v>
      </c>
      <c r="I81" s="229" t="n"/>
    </row>
    <row r="82">
      <c r="B82" s="10" t="inlineStr">
        <is>
          <t xml:space="preserve">    09  :PREFIX:-CL-MORADA1             PIC X(40).</t>
        </is>
      </c>
      <c r="C82" s="122" t="n"/>
      <c r="D82" s="16" t="inlineStr">
        <is>
          <t>Dados de morada 1</t>
        </is>
      </c>
      <c r="E82" s="13">
        <f>E81+F81</f>
        <v/>
      </c>
      <c r="F82" s="16" t="n">
        <v>40</v>
      </c>
      <c r="I82" s="231" t="inlineStr">
        <is>
          <t>NY5F1U0-CLIENT-ADDRESS-1</t>
        </is>
      </c>
    </row>
    <row r="83">
      <c r="B83" s="10" t="inlineStr">
        <is>
          <t xml:space="preserve">    09  :PREFIX:-CL-MORADA2             PIC X(40).</t>
        </is>
      </c>
      <c r="C83" s="122" t="n"/>
      <c r="D83" s="16" t="inlineStr">
        <is>
          <t>Dados de morada 2</t>
        </is>
      </c>
      <c r="E83" s="13">
        <f>E82+F82</f>
        <v/>
      </c>
      <c r="F83" s="16" t="n">
        <v>40</v>
      </c>
      <c r="I83" s="229" t="inlineStr">
        <is>
          <t>NY5F1U0-CLIENT-ADDRESS-2</t>
        </is>
      </c>
    </row>
    <row r="84">
      <c r="B84" s="10" t="inlineStr">
        <is>
          <t xml:space="preserve">    09  :PREFIX:-CL-LOCALIDADE          PIC X(40).</t>
        </is>
      </c>
      <c r="C84" s="122" t="n"/>
      <c r="D84" s="16" t="inlineStr">
        <is>
          <t>Localidade</t>
        </is>
      </c>
      <c r="E84" s="13">
        <f>E83+F83</f>
        <v/>
      </c>
      <c r="F84" s="16" t="n">
        <v>40</v>
      </c>
      <c r="I84" s="229" t="inlineStr">
        <is>
          <t>NY5F1U0-CLIENT-LOCALITY</t>
        </is>
      </c>
    </row>
    <row r="85">
      <c r="B85" s="10" t="inlineStr">
        <is>
          <t xml:space="preserve">    09  :PREFIX:-CL-CPOSTAL             PIC X(09).</t>
        </is>
      </c>
      <c r="C85" s="122" t="n"/>
      <c r="D85" s="16" t="inlineStr">
        <is>
          <t>Código postal (Se estrangeiro deverá vir a zeros) [9999-999]</t>
        </is>
      </c>
      <c r="E85" s="13">
        <f>E84+F84</f>
        <v/>
      </c>
      <c r="F85" s="16" t="n">
        <v>9</v>
      </c>
      <c r="I85" s="229" t="inlineStr">
        <is>
          <t>NY5F1U0-CLIENT-POST-CODE</t>
        </is>
      </c>
    </row>
    <row r="86">
      <c r="B86" s="10" t="inlineStr">
        <is>
          <t xml:space="preserve">    09  :PREFIX:-CL-CPOSTAL-DESC        PIC X(40).</t>
        </is>
      </c>
      <c r="C86" s="122" t="n"/>
      <c r="D86" s="16" t="inlineStr">
        <is>
          <t>Descritivo do código postal</t>
        </is>
      </c>
      <c r="E86" s="13">
        <f>E85+F85</f>
        <v/>
      </c>
      <c r="F86" s="16" t="n">
        <v>40</v>
      </c>
      <c r="I86" s="229" t="inlineStr">
        <is>
          <t>NY5F1U0-CLIENT-POST-CODE-DESC</t>
        </is>
      </c>
    </row>
    <row r="87">
      <c r="B87" s="10" t="inlineStr">
        <is>
          <t xml:space="preserve">    09  :PREFIX:-CL-CPAIS               PIC X(03).</t>
        </is>
      </c>
      <c r="C87" s="122" t="inlineStr">
        <is>
          <t>&lt;NEW&gt;</t>
        </is>
      </c>
      <c r="D87" s="16" t="inlineStr">
        <is>
          <t>Código do País (Se estrangeiro, diferente de 620)</t>
        </is>
      </c>
      <c r="E87" s="13">
        <f>E86+F86</f>
        <v/>
      </c>
      <c r="F87" s="16" t="n">
        <v>3</v>
      </c>
      <c r="I87" s="229" t="n"/>
    </row>
    <row r="88">
      <c r="B88" s="10" t="inlineStr">
        <is>
          <t xml:space="preserve">    09  :PREFIX:-CL-CPAIS-DESC          PIC X(40).</t>
        </is>
      </c>
      <c r="C88" s="122" t="inlineStr">
        <is>
          <t>&lt;NEW&gt;</t>
        </is>
      </c>
      <c r="D88" s="16" t="inlineStr">
        <is>
          <t>Descritivo do País</t>
        </is>
      </c>
      <c r="E88" s="13">
        <f>E87+F87</f>
        <v/>
      </c>
      <c r="F88" s="16" t="n">
        <v>40</v>
      </c>
      <c r="I88" s="229" t="n"/>
    </row>
    <row r="89" ht="30" customHeight="1">
      <c r="B89" s="22" t="inlineStr">
        <is>
          <t xml:space="preserve">    09  :PREFIX:-CL-IDP                 PIC X(04).</t>
        </is>
      </c>
      <c r="C89" s="42" t="n"/>
      <c r="D89" s="25" t="inlineStr">
        <is>
          <t>Identificação da Porta (no CBC)</t>
        </is>
      </c>
      <c r="E89" s="156">
        <f>E88+F88</f>
        <v/>
      </c>
      <c r="F89" s="25" t="n">
        <v>4</v>
      </c>
      <c r="I89" s="241" t="inlineStr">
        <is>
          <t>NY5F1U0-CLIENT-NUM-TYPE
NY5F1U0-CLIENT-NUM</t>
        </is>
      </c>
    </row>
    <row r="90">
      <c r="B90" s="10" t="inlineStr">
        <is>
          <t xml:space="preserve">    09  :PREFIX:-CL-NIF                 PIC X(22).</t>
        </is>
      </c>
      <c r="C90" s="122" t="n"/>
      <c r="D90" s="16" t="inlineStr">
        <is>
          <t>Número de identificação fiscal (No caso de Portugal será PT999999999)</t>
        </is>
      </c>
      <c r="E90" s="13">
        <f>E89+F89</f>
        <v/>
      </c>
      <c r="F90" s="16" t="n">
        <v>22</v>
      </c>
      <c r="I90" s="231" t="inlineStr">
        <is>
          <t>NY5F1U0-FISCAL-NUMBER</t>
        </is>
      </c>
    </row>
    <row r="91">
      <c r="B91" s="10" t="inlineStr">
        <is>
          <t xml:space="preserve">    09  :PREFIX:-CL-TIPO-ENTIDADE       PIC X(01).</t>
        </is>
      </c>
      <c r="C91" s="122" t="inlineStr">
        <is>
          <t>&lt;NEW&gt;</t>
        </is>
      </c>
      <c r="D91" s="16" t="inlineStr">
        <is>
          <t>Tipo Entidade</t>
        </is>
      </c>
      <c r="E91" s="13">
        <f>E90+F90</f>
        <v/>
      </c>
      <c r="F91" s="16" t="n">
        <v>1</v>
      </c>
      <c r="I91" s="228" t="n"/>
    </row>
    <row r="92">
      <c r="B92" s="10" t="inlineStr">
        <is>
          <t xml:space="preserve">        88  :PREFIX:-CL-ENT-PARTICUL        VALUE '1'.</t>
        </is>
      </c>
      <c r="C92" s="122" t="n"/>
      <c r="D92" s="16" t="inlineStr">
        <is>
          <t xml:space="preserve">     '1' - Pessoa / Particular</t>
        </is>
      </c>
      <c r="E92" s="13" t="n"/>
      <c r="F92" s="16" t="n"/>
      <c r="I92" s="230" t="n"/>
    </row>
    <row r="93">
      <c r="B93" s="10" t="inlineStr">
        <is>
          <t xml:space="preserve">        88  :PREFIX:-CL-ENT-COLETIVA        VALUE '2'.</t>
        </is>
      </c>
      <c r="C93" s="122" t="n"/>
      <c r="D93" s="16" t="inlineStr">
        <is>
          <t xml:space="preserve">     '2' - Colectivo/Conta Interna</t>
        </is>
      </c>
      <c r="E93" s="13" t="n"/>
      <c r="F93" s="16" t="n"/>
      <c r="I93" s="229" t="n"/>
    </row>
    <row r="94">
      <c r="B94" s="30" t="inlineStr">
        <is>
          <t xml:space="preserve">  07  :PREFIX:-DADOS-DATA.</t>
        </is>
      </c>
      <c r="C94" s="127" t="n"/>
      <c r="D94" s="32" t="n"/>
      <c r="E94" s="38">
        <f>E91+F91</f>
        <v/>
      </c>
      <c r="F94" s="32" t="n">
        <v>0</v>
      </c>
      <c r="I94" s="238" t="n"/>
    </row>
    <row r="95">
      <c r="B95" s="10" t="inlineStr">
        <is>
          <t xml:space="preserve">    09  :PREFIX:-DT-INI-APOL            PIC X(08).</t>
        </is>
      </c>
      <c r="C95" s="122" t="n"/>
      <c r="D95" s="16" t="inlineStr">
        <is>
          <t>Periodo da Apólice - inicio [aaaammdd]</t>
        </is>
      </c>
      <c r="E95" s="13">
        <f>E94+F94</f>
        <v/>
      </c>
      <c r="F95" s="16" t="n">
        <v>8</v>
      </c>
      <c r="I95" s="231" t="inlineStr">
        <is>
          <t>NY5F1U0-TERM-START-DATE</t>
        </is>
      </c>
    </row>
    <row r="96">
      <c r="B96" s="10" t="inlineStr">
        <is>
          <t xml:space="preserve">    09  :PREFIX:-DT-FIM-APOL            PIC X(08).</t>
        </is>
      </c>
      <c r="C96" s="122" t="n"/>
      <c r="D96" s="16" t="inlineStr">
        <is>
          <t>Periodo da Apólice - fim [aaaammdd]</t>
        </is>
      </c>
      <c r="E96" s="13">
        <f>E95+F95</f>
        <v/>
      </c>
      <c r="F96" s="16" t="n">
        <v>8</v>
      </c>
      <c r="I96" s="229" t="inlineStr">
        <is>
          <t>NY5F1U0-TERM-END-DATE</t>
        </is>
      </c>
    </row>
    <row r="97">
      <c r="B97" s="22" t="inlineStr">
        <is>
          <t xml:space="preserve">    09  :PREFIX:-DT-INI-REC             PIC X(08).</t>
        </is>
      </c>
      <c r="C97" s="42" t="n"/>
      <c r="D97" s="25" t="inlineStr">
        <is>
          <t>Periodo do Recibo - inicio [aaaammdd]</t>
        </is>
      </c>
      <c r="E97" s="156">
        <f>E96+F96</f>
        <v/>
      </c>
      <c r="F97" s="25" t="n">
        <v>8</v>
      </c>
      <c r="I97" s="242" t="inlineStr">
        <is>
          <t>NY5F1U0-RECEIPT-START-DATE</t>
        </is>
      </c>
    </row>
    <row r="98">
      <c r="B98" s="22" t="inlineStr">
        <is>
          <t xml:space="preserve">    09  :PREFIX:-DT-FIM-REC             PIC X(08).</t>
        </is>
      </c>
      <c r="C98" s="42" t="n"/>
      <c r="D98" s="25" t="inlineStr">
        <is>
          <t>Periodo do Recibo - fim [aaaammdd]</t>
        </is>
      </c>
      <c r="E98" s="156">
        <f>E97+F97</f>
        <v/>
      </c>
      <c r="F98" s="25" t="n">
        <v>8</v>
      </c>
      <c r="I98" s="243" t="inlineStr">
        <is>
          <t>NY5F1U0-RECEIPT-END-DATE</t>
        </is>
      </c>
    </row>
    <row r="99">
      <c r="B99" s="10" t="inlineStr">
        <is>
          <t xml:space="preserve">    09  :PREFIX:-DT-EXTRACAO            PIC X(08).</t>
        </is>
      </c>
      <c r="C99" s="122" t="n"/>
      <c r="D99" s="16" t="inlineStr">
        <is>
          <t>Data de extracção [aaaammdd]</t>
        </is>
      </c>
      <c r="E99" s="13">
        <f>E98+F98</f>
        <v/>
      </c>
      <c r="F99" s="16" t="n">
        <v>8</v>
      </c>
      <c r="I99" s="231" t="inlineStr">
        <is>
          <t>NY5F1U0-DATA-EXTRACCAO</t>
        </is>
      </c>
    </row>
    <row r="100">
      <c r="B100" s="10" t="inlineStr">
        <is>
          <t xml:space="preserve">    09  :PREFIX:-DT-EMISSAO             PIC X(08).</t>
        </is>
      </c>
      <c r="C100" s="122" t="n"/>
      <c r="D100" s="16" t="inlineStr">
        <is>
          <t>Data de emissão [aaaammdd]</t>
        </is>
      </c>
      <c r="E100" s="13">
        <f>E99+F99</f>
        <v/>
      </c>
      <c r="F100" s="16" t="n">
        <v>8</v>
      </c>
      <c r="I100" s="231" t="inlineStr">
        <is>
          <t>NY5F1U0-ISSUE-DATE</t>
        </is>
      </c>
    </row>
    <row r="101">
      <c r="B101" s="30" t="inlineStr">
        <is>
          <t xml:space="preserve">  07  :PREFIX:-DADOS-VALOR.</t>
        </is>
      </c>
      <c r="C101" s="127" t="n"/>
      <c r="D101" s="32" t="n"/>
      <c r="E101" s="38">
        <f>E100+F100</f>
        <v/>
      </c>
      <c r="F101" s="32" t="n">
        <v>0</v>
      </c>
      <c r="I101" s="238" t="n"/>
    </row>
    <row r="102" ht="32" customHeight="1">
      <c r="B102" s="244" t="inlineStr">
        <is>
          <t xml:space="preserve">    09  :PREFIX:-VLR-TOTAL-RECIBO       PIC S9(12)V9(02)
                                   SIGN LEADING SEPARATE.</t>
        </is>
      </c>
      <c r="C102" s="42" t="n"/>
      <c r="D102" s="25" t="inlineStr">
        <is>
          <t>Valor total do Recibo (Valor a pagar)</t>
        </is>
      </c>
      <c r="E102" s="156">
        <f>E101+F101</f>
        <v/>
      </c>
      <c r="F102" s="25" t="n">
        <v>15</v>
      </c>
      <c r="G102" s="131" t="n"/>
      <c r="H102" s="131" t="n"/>
      <c r="I102" s="245" t="inlineStr">
        <is>
          <t>NY5F1U0-RECEIPT-TOTAL</t>
        </is>
      </c>
    </row>
    <row r="103">
      <c r="B103" s="30" t="inlineStr">
        <is>
          <t xml:space="preserve">  07  :PREFIX:-DADOS-AGENTE.</t>
        </is>
      </c>
      <c r="C103" s="127" t="n"/>
      <c r="D103" s="32" t="n"/>
      <c r="E103" s="38">
        <f>E102+F102</f>
        <v/>
      </c>
      <c r="F103" s="32" t="n">
        <v>0</v>
      </c>
      <c r="I103" s="238" t="n"/>
    </row>
    <row r="104">
      <c r="B104" s="10" t="inlineStr">
        <is>
          <t xml:space="preserve">    09  :PREFIX:-AG-NOME                PIC X(40).</t>
        </is>
      </c>
      <c r="C104" s="122" t="n"/>
      <c r="D104" s="16" t="inlineStr">
        <is>
          <t>Nome</t>
        </is>
      </c>
      <c r="E104" s="13">
        <f>E103+F103</f>
        <v/>
      </c>
      <c r="F104" s="16" t="n">
        <v>40</v>
      </c>
      <c r="I104" s="231" t="inlineStr">
        <is>
          <t>NY5F1U0-AGENT-NAME</t>
        </is>
      </c>
    </row>
    <row r="105">
      <c r="B105" s="10" t="inlineStr">
        <is>
          <t xml:space="preserve">    09  :PREFIX:-AG-LOCATION-REF        PIC X(04).</t>
        </is>
      </c>
      <c r="C105" s="122" t="inlineStr">
        <is>
          <t>&lt;NEW&gt;</t>
        </is>
      </c>
      <c r="D105" s="16" t="inlineStr">
        <is>
          <t>Referência da morada</t>
        </is>
      </c>
      <c r="E105" s="13">
        <f>E104+F104</f>
        <v/>
      </c>
      <c r="F105" s="16" t="n">
        <v>4</v>
      </c>
      <c r="I105" s="229" t="n"/>
    </row>
    <row r="106">
      <c r="B106" s="10" t="inlineStr">
        <is>
          <t xml:space="preserve">    09  :PREFIX:-AG-MORADA1             PIC X(40).</t>
        </is>
      </c>
      <c r="C106" s="122" t="n"/>
      <c r="D106" s="16" t="inlineStr">
        <is>
          <t>Dados de morada 1</t>
        </is>
      </c>
      <c r="E106" s="13">
        <f>E105+F105</f>
        <v/>
      </c>
      <c r="F106" s="16" t="n">
        <v>40</v>
      </c>
      <c r="I106" s="229" t="inlineStr">
        <is>
          <t>NY5F1U0-AGENT-ADDRESS-1</t>
        </is>
      </c>
    </row>
    <row r="107">
      <c r="B107" s="10" t="inlineStr">
        <is>
          <t xml:space="preserve">    09  :PREFIX:-AG-MORADA2             PIC X(40).</t>
        </is>
      </c>
      <c r="C107" s="122" t="n"/>
      <c r="D107" s="16" t="inlineStr">
        <is>
          <t>Dados de morada 2</t>
        </is>
      </c>
      <c r="E107" s="13">
        <f>E106+F106</f>
        <v/>
      </c>
      <c r="F107" s="16" t="n">
        <v>40</v>
      </c>
      <c r="I107" s="229" t="inlineStr">
        <is>
          <t>NY5F1U0-AGENT-ADDRESS-2</t>
        </is>
      </c>
    </row>
    <row r="108">
      <c r="B108" s="10" t="inlineStr">
        <is>
          <t xml:space="preserve">    09  :PREFIX:-AG-LOCALIDADE          PIC X(40).</t>
        </is>
      </c>
      <c r="C108" s="122" t="n"/>
      <c r="D108" s="16" t="inlineStr">
        <is>
          <t>Localidade</t>
        </is>
      </c>
      <c r="E108" s="13">
        <f>E107+F107</f>
        <v/>
      </c>
      <c r="F108" s="16" t="n">
        <v>40</v>
      </c>
      <c r="I108" s="229" t="inlineStr">
        <is>
          <t>NY5F1U0-AGENT-LOCALITY</t>
        </is>
      </c>
    </row>
    <row r="109">
      <c r="B109" s="10" t="inlineStr">
        <is>
          <t xml:space="preserve">    09  :PREFIX:-AG-CPOSTAL             PIC X(09).</t>
        </is>
      </c>
      <c r="C109" s="122" t="n"/>
      <c r="D109" s="16" t="inlineStr">
        <is>
          <t>Código postal (Se estrangeiro deverá vir a zeros) [9999-999]</t>
        </is>
      </c>
      <c r="E109" s="13">
        <f>E108+F108</f>
        <v/>
      </c>
      <c r="F109" s="16" t="n">
        <v>9</v>
      </c>
      <c r="I109" s="229" t="inlineStr">
        <is>
          <t>NY5F1U0-AGENT-POST-CODE</t>
        </is>
      </c>
    </row>
    <row r="110">
      <c r="B110" s="10" t="inlineStr">
        <is>
          <t xml:space="preserve">    09  :PREFIX:-AG-CPOSTAL-DESC        PIC X(40).</t>
        </is>
      </c>
      <c r="C110" s="122" t="n"/>
      <c r="D110" s="16" t="inlineStr">
        <is>
          <t>Descritivo do código postal</t>
        </is>
      </c>
      <c r="E110" s="13">
        <f>E109+F109</f>
        <v/>
      </c>
      <c r="F110" s="16" t="n">
        <v>40</v>
      </c>
      <c r="I110" s="229" t="inlineStr">
        <is>
          <t>NY5F1U0-AGENT-POST-CODE-DESC</t>
        </is>
      </c>
    </row>
    <row r="111">
      <c r="B111" s="10" t="inlineStr">
        <is>
          <t xml:space="preserve">    09  :PREFIX:-AG-CPAIS               PIC X(03).</t>
        </is>
      </c>
      <c r="C111" s="122" t="inlineStr">
        <is>
          <t>&lt;NEW&gt;</t>
        </is>
      </c>
      <c r="D111" s="16" t="inlineStr">
        <is>
          <t>Código do País (Se estrangeiro, diferente de 620)</t>
        </is>
      </c>
      <c r="E111" s="13">
        <f>E110+F110</f>
        <v/>
      </c>
      <c r="F111" s="16" t="n">
        <v>3</v>
      </c>
      <c r="I111" s="229" t="n"/>
    </row>
    <row r="112">
      <c r="B112" s="10" t="inlineStr">
        <is>
          <t xml:space="preserve">    09  :PREFIX:-AG-CPAIS-DESC          PIC X(40).</t>
        </is>
      </c>
      <c r="C112" s="122" t="inlineStr">
        <is>
          <t>&lt;NEW&gt;</t>
        </is>
      </c>
      <c r="D112" s="16" t="inlineStr">
        <is>
          <t>Descritivo do País</t>
        </is>
      </c>
      <c r="E112" s="13">
        <f>E111+F111</f>
        <v/>
      </c>
      <c r="F112" s="16" t="n">
        <v>40</v>
      </c>
      <c r="I112" s="229" t="n"/>
    </row>
    <row r="113" ht="30" customHeight="1">
      <c r="B113" s="22" t="inlineStr">
        <is>
          <t xml:space="preserve">    09  :PREFIX:-AG-IDP                 PIC X(04).</t>
        </is>
      </c>
      <c r="C113" s="42" t="n"/>
      <c r="D113" s="25" t="inlineStr">
        <is>
          <t>Identificação da Porta (no CBC)</t>
        </is>
      </c>
      <c r="E113" s="156">
        <f>E112+F112</f>
        <v/>
      </c>
      <c r="F113" s="25" t="n">
        <v>4</v>
      </c>
      <c r="I113" s="241" t="inlineStr">
        <is>
          <t>NY5F1U0-AGENT-NUM-TYPE
NY5F1U0-AGENT-NUM</t>
        </is>
      </c>
    </row>
    <row r="114">
      <c r="B114" s="10" t="inlineStr">
        <is>
          <t xml:space="preserve">    09  :PREFIX:-AG-TELEFONE            PIC X(16).</t>
        </is>
      </c>
      <c r="C114" s="122" t="inlineStr">
        <is>
          <t>&lt;NEW&gt;</t>
        </is>
      </c>
      <c r="D114" s="16" t="inlineStr">
        <is>
          <t>Número de telefone</t>
        </is>
      </c>
      <c r="E114" s="13">
        <f>E113+F113</f>
        <v/>
      </c>
      <c r="F114" s="16" t="n">
        <v>16</v>
      </c>
      <c r="I114" s="229" t="n"/>
    </row>
    <row r="115">
      <c r="B115" s="10" t="inlineStr">
        <is>
          <t xml:space="preserve">    09  :PREFIX:-AG-TELEMOVEL           PIC X(16).</t>
        </is>
      </c>
      <c r="C115" s="122" t="inlineStr">
        <is>
          <t>&lt;NEW&gt;</t>
        </is>
      </c>
      <c r="D115" s="16" t="inlineStr">
        <is>
          <t>Número de telemóvel</t>
        </is>
      </c>
      <c r="E115" s="13">
        <f>E114+F114</f>
        <v/>
      </c>
      <c r="F115" s="16" t="n">
        <v>16</v>
      </c>
      <c r="I115" s="229" t="n"/>
    </row>
    <row r="116">
      <c r="B116" s="10" t="inlineStr">
        <is>
          <t xml:space="preserve">    09  :PREFIX:-AG-EMAIL               PIC X(60).</t>
        </is>
      </c>
      <c r="C116" s="122" t="inlineStr">
        <is>
          <t>&lt;NEW&gt;</t>
        </is>
      </c>
      <c r="D116" s="16" t="inlineStr">
        <is>
          <t>e-mail</t>
        </is>
      </c>
      <c r="E116" s="13">
        <f>E115+F115</f>
        <v/>
      </c>
      <c r="F116" s="16" t="n">
        <v>60</v>
      </c>
      <c r="I116" s="229" t="n"/>
    </row>
    <row r="117">
      <c r="B117" s="10" t="inlineStr">
        <is>
          <t xml:space="preserve">    09  :PREFIX:-AG-NR-CNT-VENDA        PIC X(10).</t>
        </is>
      </c>
      <c r="C117" s="122" t="n"/>
      <c r="D117" s="16" t="inlineStr">
        <is>
          <t>Conta Mediação</t>
        </is>
      </c>
      <c r="E117" s="13">
        <f>E116+F116</f>
        <v/>
      </c>
      <c r="F117" s="16" t="n">
        <v>10</v>
      </c>
      <c r="I117" s="229" t="inlineStr">
        <is>
          <t>NY5F1U0-SELLING-AGENT</t>
        </is>
      </c>
    </row>
    <row r="118" ht="32" customHeight="1">
      <c r="B118" s="244" t="inlineStr">
        <is>
          <t xml:space="preserve">    09  :PREFIX:-AG-VLR-CNT-VENDA       PIC S9(12)V9(02)
                                   SIGN LEADING SEPARATE.</t>
        </is>
      </c>
      <c r="C118" s="42" t="n"/>
      <c r="D118" s="25" t="inlineStr">
        <is>
          <t>Comissão de Mediação</t>
        </is>
      </c>
      <c r="E118" s="156">
        <f>E117+F117</f>
        <v/>
      </c>
      <c r="F118" s="25" t="n">
        <v>15</v>
      </c>
      <c r="G118" s="131" t="n"/>
      <c r="H118" s="131" t="n"/>
      <c r="I118" s="246" t="inlineStr">
        <is>
          <t>NY5F1U0-SELLING-COMMISSION</t>
        </is>
      </c>
    </row>
    <row r="119">
      <c r="B119" s="22" t="inlineStr">
        <is>
          <t xml:space="preserve">    09  :PREFIX:-AG-NR-CNT-COBRA        PIC X(10).</t>
        </is>
      </c>
      <c r="C119" s="42" t="n"/>
      <c r="D119" s="25" t="inlineStr">
        <is>
          <t>Conta Cobrança</t>
        </is>
      </c>
      <c r="E119" s="156">
        <f>E118+F118</f>
        <v/>
      </c>
      <c r="F119" s="25" t="n">
        <v>10</v>
      </c>
      <c r="G119" s="131" t="n"/>
      <c r="H119" s="131" t="n"/>
      <c r="I119" s="246" t="inlineStr">
        <is>
          <t>NY5F1U0-COLLECTING-AGENT</t>
        </is>
      </c>
    </row>
    <row r="120" ht="32" customHeight="1">
      <c r="B120" s="244" t="inlineStr">
        <is>
          <t xml:space="preserve">    09  :PREFIX:-AG-VLR-CNT-COBRA       PIC S9(12)V9(02)
                                   SIGN LEADING SEPARATE.</t>
        </is>
      </c>
      <c r="C120" s="42" t="n"/>
      <c r="D120" s="25" t="inlineStr">
        <is>
          <t>Comissão de Cobrança</t>
        </is>
      </c>
      <c r="E120" s="156">
        <f>E119+F119</f>
        <v/>
      </c>
      <c r="F120" s="25" t="n">
        <v>15</v>
      </c>
      <c r="G120" s="131" t="n"/>
      <c r="H120" s="131" t="n"/>
      <c r="I120" s="246" t="inlineStr">
        <is>
          <t>NY5F1U0-COLLECTING-COMMISSION</t>
        </is>
      </c>
    </row>
    <row r="121">
      <c r="B121" s="22" t="inlineStr">
        <is>
          <t xml:space="preserve">    09  :PREFIX:-AG-NR-CNT-ESPEC        PIC X(10).</t>
        </is>
      </c>
      <c r="C121" s="42" t="n"/>
      <c r="D121" s="25" t="inlineStr">
        <is>
          <t>Conta Especial</t>
        </is>
      </c>
      <c r="E121" s="156">
        <f>E120+F120</f>
        <v/>
      </c>
      <c r="F121" s="25" t="n">
        <v>10</v>
      </c>
      <c r="G121" s="131" t="n"/>
      <c r="H121" s="131" t="n"/>
      <c r="I121" s="246" t="n"/>
    </row>
    <row r="122" ht="32" customHeight="1">
      <c r="B122" s="244" t="inlineStr">
        <is>
          <t xml:space="preserve">    09  :PREFIX:-AG-VLR-CNT-ESPEC       PIC S9(12)V9(02)
                                   SIGN LEADING SEPARATE.</t>
        </is>
      </c>
      <c r="C122" s="42" t="n"/>
      <c r="D122" s="25" t="inlineStr">
        <is>
          <t>Comissão Especial</t>
        </is>
      </c>
      <c r="E122" s="156">
        <f>E121+F121</f>
        <v/>
      </c>
      <c r="F122" s="25" t="n">
        <v>15</v>
      </c>
      <c r="G122" s="131" t="n"/>
      <c r="H122" s="131" t="n"/>
      <c r="I122" s="246" t="inlineStr">
        <is>
          <t>NY5F1U0-SPECIAL-AG-COMMISSION</t>
        </is>
      </c>
    </row>
    <row r="123">
      <c r="B123" s="22" t="inlineStr">
        <is>
          <t xml:space="preserve">    09  :PREFIX:-AG-NR-CNT-PARCE        PIC X(10).</t>
        </is>
      </c>
      <c r="C123" s="42" t="inlineStr">
        <is>
          <t>&lt;NEW&gt;</t>
        </is>
      </c>
      <c r="D123" s="25" t="inlineStr">
        <is>
          <t>Conta Parceria</t>
        </is>
      </c>
      <c r="E123" s="156">
        <f>E122+F122</f>
        <v/>
      </c>
      <c r="F123" s="25" t="n">
        <v>10</v>
      </c>
      <c r="G123" s="131" t="n"/>
      <c r="H123" s="131" t="n"/>
      <c r="I123" s="246" t="n"/>
    </row>
    <row r="124" ht="32" customHeight="1">
      <c r="B124" s="244" t="inlineStr">
        <is>
          <t xml:space="preserve">    09  :PREFIX:-AG-VLR-CNT-PARCE       PIC S9(12)V9(02)
                                   SIGN LEADING SEPARATE.</t>
        </is>
      </c>
      <c r="C124" s="42" t="inlineStr">
        <is>
          <t>&lt;NEW&gt;</t>
        </is>
      </c>
      <c r="D124" s="25" t="inlineStr">
        <is>
          <t>Comissão Parceria</t>
        </is>
      </c>
      <c r="E124" s="156">
        <f>E123+F123</f>
        <v/>
      </c>
      <c r="F124" s="25" t="n">
        <v>15</v>
      </c>
      <c r="G124" s="131" t="n"/>
      <c r="H124" s="131" t="n"/>
      <c r="I124" s="246" t="n"/>
    </row>
    <row r="125">
      <c r="B125" s="30" t="inlineStr">
        <is>
          <t xml:space="preserve">  07  FILLER                            PIC X(1216).</t>
        </is>
      </c>
      <c r="C125" s="127" t="n"/>
      <c r="D125" s="32" t="n"/>
      <c r="E125" s="38">
        <f>E124+F124</f>
        <v/>
      </c>
      <c r="F125" s="211" t="n">
        <v>1256</v>
      </c>
      <c r="I125" s="247" t="n"/>
    </row>
    <row r="126">
      <c r="B126" s="5" t="inlineStr">
        <is>
          <t>05  FILLER  REDEFINES  :PREFIX:-DADOS-DOCUMENTO.</t>
        </is>
      </c>
      <c r="C126" s="29" t="n"/>
      <c r="D126" s="37" t="inlineStr">
        <is>
          <t>(*) Este bloco repete n vezes</t>
        </is>
      </c>
      <c r="E126" s="8">
        <f>E43+F43</f>
        <v/>
      </c>
      <c r="F126" s="8" t="n">
        <v>0</v>
      </c>
      <c r="I126" s="248" t="n"/>
    </row>
    <row r="127">
      <c r="B127" s="30" t="inlineStr">
        <is>
          <t xml:space="preserve">  07  :PREFIX:-DETALHE-FROTA.</t>
        </is>
      </c>
      <c r="C127" s="127" t="n"/>
      <c r="D127" s="32" t="inlineStr">
        <is>
          <t>Detalhe de Frota (Registo do tipo 2 e 3)</t>
        </is>
      </c>
      <c r="E127" s="38">
        <f>E126+F126</f>
        <v/>
      </c>
      <c r="F127" s="32" t="n">
        <v>0</v>
      </c>
      <c r="I127" s="249" t="n"/>
    </row>
    <row r="128">
      <c r="B128" s="10" t="inlineStr">
        <is>
          <t xml:space="preserve">    09  :PREFIX:-FRT-TIPO-TRANSAC       PIC X(02).</t>
        </is>
      </c>
      <c r="C128" s="122" t="n"/>
      <c r="D128" s="16" t="inlineStr">
        <is>
          <t>Tipo de transacção</t>
        </is>
      </c>
      <c r="E128" s="13">
        <f>E127+F127</f>
        <v/>
      </c>
      <c r="F128" s="16" t="n">
        <v>2</v>
      </c>
      <c r="I128" s="228" t="inlineStr">
        <is>
          <t>NY5F1U0-POL-TRAN-TYPE</t>
        </is>
      </c>
    </row>
    <row r="129" ht="16" customHeight="1">
      <c r="B129" s="40" t="inlineStr">
        <is>
          <t xml:space="preserve">        88  :PREFIX:-FRT-TT-01              VALUE '01'.</t>
        </is>
      </c>
      <c r="C129" s="42" t="n"/>
      <c r="D129" s="25" t="inlineStr">
        <is>
          <t xml:space="preserve">     '01' - 'NOVO NEG  '</t>
        </is>
      </c>
      <c r="E129" s="13">
        <f>E128+F128</f>
        <v/>
      </c>
      <c r="F129" s="25" t="n"/>
      <c r="I129" s="250" t="n"/>
    </row>
    <row r="130" ht="16" customHeight="1">
      <c r="B130" s="40" t="inlineStr">
        <is>
          <t xml:space="preserve">        88  :PREFIX:-FRT-TT-02              VALUE '02'.</t>
        </is>
      </c>
      <c r="C130" s="42" t="n"/>
      <c r="D130" s="25" t="inlineStr">
        <is>
          <t xml:space="preserve">     '02' - 'RENOVAÇÃO '</t>
        </is>
      </c>
      <c r="E130" s="13">
        <f>E129+F129</f>
        <v/>
      </c>
      <c r="F130" s="25" t="n"/>
      <c r="I130" s="250" t="n"/>
    </row>
    <row r="131" ht="16" customHeight="1">
      <c r="B131" s="40" t="inlineStr">
        <is>
          <t xml:space="preserve">        88  :PREFIX:-FRT-TT-03              VALUE '03'.</t>
        </is>
      </c>
      <c r="C131" s="42" t="n"/>
      <c r="D131" s="25" t="inlineStr">
        <is>
          <t xml:space="preserve">     '03' - 'ALTERAÇÃO '</t>
        </is>
      </c>
      <c r="E131" s="13">
        <f>E130+F130</f>
        <v/>
      </c>
      <c r="F131" s="25" t="n"/>
      <c r="I131" s="250" t="n"/>
    </row>
    <row r="132" ht="16" customHeight="1">
      <c r="B132" s="40" t="inlineStr">
        <is>
          <t xml:space="preserve">        88  :PREFIX:-FRT-TT-09              VALUE '09'.</t>
        </is>
      </c>
      <c r="C132" s="42" t="n"/>
      <c r="D132" s="25" t="inlineStr">
        <is>
          <t xml:space="preserve">     '09' - 'CANC PREM '</t>
        </is>
      </c>
      <c r="E132" s="13">
        <f>E131+F131</f>
        <v/>
      </c>
      <c r="F132" s="25" t="n"/>
      <c r="I132" s="250" t="n"/>
    </row>
    <row r="133" ht="16" customHeight="1">
      <c r="B133" s="40" t="inlineStr">
        <is>
          <t xml:space="preserve">        88  :PREFIX:-FRT-TT-10              VALUE '10'.</t>
        </is>
      </c>
      <c r="C133" s="42" t="n"/>
      <c r="D133" s="25" t="inlineStr">
        <is>
          <t xml:space="preserve">     '10' - 'CANC PREM '</t>
        </is>
      </c>
      <c r="E133" s="13">
        <f>E132+F132</f>
        <v/>
      </c>
      <c r="F133" s="25" t="n"/>
      <c r="I133" s="250" t="n"/>
    </row>
    <row r="134" ht="16" customHeight="1">
      <c r="B134" s="40" t="inlineStr">
        <is>
          <t xml:space="preserve">        88  :PREFIX:-FRT-TT-12              VALUE '12'.</t>
        </is>
      </c>
      <c r="C134" s="42" t="n"/>
      <c r="D134" s="25" t="inlineStr">
        <is>
          <t xml:space="preserve">     '12' - 'PLANO PAG '</t>
        </is>
      </c>
      <c r="E134" s="13">
        <f>E133+F133</f>
        <v/>
      </c>
      <c r="F134" s="25" t="n"/>
      <c r="I134" s="250" t="n"/>
    </row>
    <row r="135" ht="16" customHeight="1">
      <c r="B135" s="40" t="inlineStr">
        <is>
          <t xml:space="preserve">        88  :PREFIX:-FRT-TT-4B              VALUE '4B'.</t>
        </is>
      </c>
      <c r="C135" s="42" t="n"/>
      <c r="D135" s="25" t="inlineStr">
        <is>
          <t xml:space="preserve">     '4B' - 'PENALIZ   '</t>
        </is>
      </c>
      <c r="E135" s="13">
        <f>E134+F134</f>
        <v/>
      </c>
      <c r="F135" s="25" t="n"/>
      <c r="I135" s="250" t="n"/>
    </row>
    <row r="136" ht="16" customHeight="1">
      <c r="B136" s="40" t="inlineStr">
        <is>
          <t xml:space="preserve">        88  :PREFIX:-FRT-TT-4D              VALUE '4D'.</t>
        </is>
      </c>
      <c r="C136" s="42" t="n"/>
      <c r="D136" s="25" t="inlineStr">
        <is>
          <t xml:space="preserve">     '4D' - 'PENALIZ   '</t>
        </is>
      </c>
      <c r="E136" s="13">
        <f>E135+F135</f>
        <v/>
      </c>
      <c r="F136" s="25" t="n"/>
      <c r="I136" s="250" t="n"/>
    </row>
    <row r="137">
      <c r="B137" s="10" t="inlineStr">
        <is>
          <t xml:space="preserve">    09  :PREFIX:-FRT-OBSERVACAO         PIC X(15).</t>
        </is>
      </c>
      <c r="C137" s="122" t="n"/>
      <c r="D137" s="16" t="inlineStr">
        <is>
          <t>Matrícula</t>
        </is>
      </c>
      <c r="E137" s="13">
        <f>E136+F136</f>
        <v/>
      </c>
      <c r="F137" s="16" t="n">
        <v>15</v>
      </c>
      <c r="I137" s="251" t="inlineStr">
        <is>
          <t>NY5F1U0-VEH-REG-NUMBER</t>
        </is>
      </c>
    </row>
    <row r="138">
      <c r="B138" s="22" t="inlineStr">
        <is>
          <t xml:space="preserve">    09  :PREFIX:-FRT-DT-PROCESSO        PIC X(08).</t>
        </is>
      </c>
      <c r="C138" s="42" t="n"/>
      <c r="D138" s="25" t="inlineStr">
        <is>
          <t>Data de processamento [aaaammdd]</t>
        </is>
      </c>
      <c r="E138" s="13">
        <f>E137+F137</f>
        <v/>
      </c>
      <c r="F138" s="25" t="n">
        <v>8</v>
      </c>
      <c r="I138" s="251" t="inlineStr">
        <is>
          <t>NY5F1U0-PROCESS-DATE</t>
        </is>
      </c>
    </row>
    <row r="139">
      <c r="B139" s="22" t="inlineStr">
        <is>
          <t xml:space="preserve">    09  :PREFIX:-FRT-DT-APROVACAO       PIC X(08).</t>
        </is>
      </c>
      <c r="C139" s="42" t="n"/>
      <c r="D139" s="25" t="inlineStr">
        <is>
          <t>Data de aprovação [aaaammdd]</t>
        </is>
      </c>
      <c r="E139" s="13">
        <f>E138+F138</f>
        <v/>
      </c>
      <c r="F139" s="25" t="n">
        <v>8</v>
      </c>
      <c r="I139" s="251" t="inlineStr">
        <is>
          <t>NY5F1U0-APPROVAL-DATE</t>
        </is>
      </c>
    </row>
    <row r="140">
      <c r="B140" s="22" t="inlineStr">
        <is>
          <t xml:space="preserve">    09  :PREFIX:-FRT-DT-INI-RISCO       PIC X(08).</t>
        </is>
      </c>
      <c r="C140" s="42" t="n"/>
      <c r="D140" s="25" t="inlineStr">
        <is>
          <t>Data inicio de risco [aaaammdd]</t>
        </is>
      </c>
      <c r="E140" s="13">
        <f>E139+F139</f>
        <v/>
      </c>
      <c r="F140" s="25" t="n">
        <v>8</v>
      </c>
      <c r="I140" s="251" t="inlineStr">
        <is>
          <t>NY5F1U0-RISK-START-DATE</t>
        </is>
      </c>
    </row>
    <row r="141">
      <c r="B141" s="22" t="inlineStr">
        <is>
          <t xml:space="preserve">    09  :PREFIX:-FRT-DT-FIM-RISCO       PIC X(08).</t>
        </is>
      </c>
      <c r="C141" s="42" t="n"/>
      <c r="D141" s="25" t="inlineStr">
        <is>
          <t>Data fim de risco [aaaammdd]</t>
        </is>
      </c>
      <c r="E141" s="13">
        <f>E140+F140</f>
        <v/>
      </c>
      <c r="F141" s="25" t="n">
        <v>8</v>
      </c>
      <c r="I141" s="251" t="inlineStr">
        <is>
          <t>NY5F1U0-RISK-END-DATE</t>
        </is>
      </c>
    </row>
    <row r="142" ht="32" customHeight="1">
      <c r="B142" s="244" t="inlineStr">
        <is>
          <t xml:space="preserve">    09  :PREFIX:-FRT-VLR-ANUAL          PIC S9(12)V9(02)
                                   SIGN LEADING SEPARATE.</t>
        </is>
      </c>
      <c r="C142" s="42" t="n"/>
      <c r="D142" s="25" t="inlineStr">
        <is>
          <t>Valor do Premio Anual</t>
        </is>
      </c>
      <c r="E142" s="13">
        <f>E141+F141</f>
        <v/>
      </c>
      <c r="F142" s="25" t="n">
        <v>15</v>
      </c>
      <c r="I142" s="252" t="inlineStr">
        <is>
          <t>NY5F1U0-ANN-GROSS-PREM</t>
        </is>
      </c>
    </row>
    <row r="143" ht="32" customHeight="1">
      <c r="B143" s="244" t="inlineStr">
        <is>
          <t xml:space="preserve">    09  :PREFIX:-FRT-VLR-RISCO          PIC S9(12)V9(02)
                                   SIGN LEADING SEPARATE.</t>
        </is>
      </c>
      <c r="C143" s="42" t="n"/>
      <c r="D143" s="25" t="inlineStr">
        <is>
          <t>Valor do Premio de Risco</t>
        </is>
      </c>
      <c r="E143" s="13">
        <f>E142+F142</f>
        <v/>
      </c>
      <c r="F143" s="25" t="n">
        <v>15</v>
      </c>
      <c r="I143" s="252" t="inlineStr">
        <is>
          <t>NY5F1U0-INC-GROSS-PREM</t>
        </is>
      </c>
    </row>
    <row r="144">
      <c r="B144" s="30" t="inlineStr">
        <is>
          <t xml:space="preserve">  07  FILLER                            PIC X(2826).</t>
        </is>
      </c>
      <c r="C144" s="127" t="n"/>
      <c r="D144" s="32" t="n"/>
      <c r="E144" s="38">
        <f>E143+F143</f>
        <v/>
      </c>
      <c r="F144" s="32" t="n">
        <v>2826</v>
      </c>
      <c r="I144" s="247" t="n"/>
    </row>
    <row r="145">
      <c r="B145" s="5" t="inlineStr">
        <is>
          <t>05  FILLER  REDEFINES  :PREFIX:-DADOS-DOCUMENTO.</t>
        </is>
      </c>
      <c r="C145" s="29" t="n"/>
      <c r="D145" s="7" t="n"/>
      <c r="E145" s="8">
        <f>E43+F43</f>
        <v/>
      </c>
      <c r="F145" s="8" t="n">
        <v>0</v>
      </c>
      <c r="I145" s="248" t="n"/>
    </row>
    <row r="146">
      <c r="B146" s="30" t="inlineStr">
        <is>
          <t xml:space="preserve">  07  :PREFIX:-FOOTER-LISTA.</t>
        </is>
      </c>
      <c r="C146" s="127" t="n"/>
      <c r="D146" s="32" t="inlineStr">
        <is>
          <t>Footer da Lista (Registo do tipo 4)</t>
        </is>
      </c>
      <c r="E146" s="38">
        <f>E145+F145</f>
        <v/>
      </c>
      <c r="F146" s="32" t="n">
        <v>0</v>
      </c>
      <c r="I146" s="253" t="n"/>
    </row>
    <row r="147" ht="32" customHeight="1">
      <c r="B147" s="244" t="inlineStr">
        <is>
          <t xml:space="preserve">    09  :PREFIX:-FTR-TOT-ANUAL          PIC S9(12)V9(02)
                                   SIGN LEADING SEPARATE.</t>
        </is>
      </c>
      <c r="C147" s="42" t="n"/>
      <c r="D147" s="25" t="inlineStr">
        <is>
          <t>Total Anual</t>
        </is>
      </c>
      <c r="E147" s="156">
        <f>E146+F146</f>
        <v/>
      </c>
      <c r="F147" s="25" t="n">
        <v>15</v>
      </c>
      <c r="G147" s="131" t="n"/>
      <c r="H147" s="131" t="n"/>
      <c r="I147" s="254" t="n"/>
    </row>
    <row r="148" ht="32" customHeight="1">
      <c r="B148" s="244" t="inlineStr">
        <is>
          <t xml:space="preserve">    09  :PREFIX:-FTR-TOT-RISCO          PIC S9(12)V9(02)
                                   SIGN LEADING SEPARATE.</t>
        </is>
      </c>
      <c r="C148" s="42" t="n"/>
      <c r="D148" s="25" t="inlineStr">
        <is>
          <t>Total Risco</t>
        </is>
      </c>
      <c r="E148" s="156">
        <f>E147+F147</f>
        <v/>
      </c>
      <c r="F148" s="25" t="n">
        <v>15</v>
      </c>
      <c r="G148" s="131" t="n"/>
      <c r="H148" s="131" t="n"/>
      <c r="I148" s="252" t="n"/>
    </row>
    <row r="149">
      <c r="B149" s="30" t="inlineStr">
        <is>
          <t xml:space="preserve">  07  FILLER                            PIC X(2876).</t>
        </is>
      </c>
      <c r="C149" s="127" t="n"/>
      <c r="D149" s="32" t="n"/>
      <c r="E149" s="38">
        <f>E148+F148</f>
        <v/>
      </c>
      <c r="F149" s="32" t="n">
        <v>2876</v>
      </c>
      <c r="I149" s="253" t="n"/>
    </row>
    <row r="150">
      <c r="D150" s="149" t="inlineStr">
        <is>
          <t>Total:</t>
        </is>
      </c>
      <c r="E150" s="150">
        <f>E44+F44</f>
        <v/>
      </c>
      <c r="I150" s="255" t="n"/>
    </row>
  </sheetData>
  <pageMargins left="0.2362204724409449" right="0.2362204724409449" top="0.7480314960629921" bottom="0.7480314960629921" header="0.3149606299212598" footer="0.3149606299212598"/>
  <pageSetup orientation="landscape" paperSize="9" scale="70" fitToHeight="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2026-05-14T13:28:28Z</dcterms:created>
  <dcterms:modified xmlns:dcterms="http://purl.org/dc/terms/" xmlns:xsi="http://www.w3.org/2001/XMLSchema-instance" xsi:type="dcterms:W3CDTF">2026-05-14T13:28:31Z</dcterms:modified>
</cp:coreProperties>
</file>