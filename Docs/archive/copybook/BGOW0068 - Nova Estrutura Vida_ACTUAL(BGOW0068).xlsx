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fidelidadept-my.sharepoint.com/personal/nuno_sousa_fernandes_fidelidade_pt/Documents/Documents/PROCESS TRANSFORMATION/OUTPUTS/CHANGES &amp; PEQUENAS MELHORIAS/CHG-980848 - Plano Pagamento Anual (Implementação cartas com + de 1 pág)/"/>
    </mc:Choice>
  </mc:AlternateContent>
  <xr:revisionPtr revIDLastSave="168" documentId="11_EE684F6787420632F58CF90B7D6C3E1A0A86105B" xr6:coauthVersionLast="47" xr6:coauthVersionMax="47" xr10:uidLastSave="{78DA0797-F353-4036-8B1F-6E00AB432137}"/>
  <bookViews>
    <workbookView xWindow="28680" yWindow="-120" windowWidth="29040" windowHeight="15840" xr2:uid="{00000000-000D-0000-FFFF-FFFF00000000}"/>
  </bookViews>
  <sheets>
    <sheet name="BGOW0068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5" i="3" l="1"/>
  <c r="C156" i="3" s="1"/>
  <c r="C157" i="3" s="1"/>
  <c r="C158" i="3" s="1"/>
  <c r="C125" i="3"/>
  <c r="C129" i="3" s="1"/>
  <c r="C149" i="3" l="1"/>
  <c r="C150" i="3" s="1"/>
  <c r="C151" i="3" s="1"/>
  <c r="C152" i="3" s="1"/>
  <c r="D152" i="3" s="1"/>
  <c r="D158" i="3" l="1"/>
  <c r="C138" i="3" l="1"/>
  <c r="C139" i="3" s="1"/>
  <c r="C140" i="3" s="1"/>
  <c r="D140" i="3" s="1"/>
  <c r="C133" i="3" l="1"/>
  <c r="C134" i="3" s="1"/>
  <c r="C143" i="3"/>
  <c r="C144" i="3" s="1"/>
  <c r="C145" i="3" s="1"/>
  <c r="C146" i="3" s="1"/>
  <c r="D146" i="3" s="1"/>
  <c r="C135" i="3" l="1"/>
  <c r="D135" i="3" s="1"/>
  <c r="C3" i="3" l="1"/>
  <c r="C8" i="3" s="1"/>
  <c r="C17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47" i="3" s="1"/>
  <c r="C48" i="3" s="1"/>
  <c r="C49" i="3" s="1"/>
  <c r="C70" i="3" s="1"/>
  <c r="C75" i="3" s="1"/>
  <c r="C76" i="3" s="1"/>
  <c r="C90" i="3" s="1"/>
  <c r="C91" i="3" s="1"/>
  <c r="C92" i="3" s="1"/>
  <c r="C93" i="3" l="1"/>
  <c r="C94" i="3" s="1"/>
  <c r="C96" i="3" l="1"/>
  <c r="C97" i="3" s="1"/>
  <c r="C98" i="3" s="1"/>
  <c r="D94" i="3"/>
  <c r="C99" i="3" l="1"/>
  <c r="C100" i="3" s="1"/>
  <c r="C101" i="3" s="1"/>
  <c r="C102" i="3" s="1"/>
  <c r="C103" i="3" s="1"/>
  <c r="C104" i="3" s="1"/>
  <c r="C105" i="3" s="1"/>
  <c r="C106" i="3" s="1"/>
  <c r="C107" i="3" s="1"/>
  <c r="C108" i="3" l="1"/>
  <c r="C109" i="3" s="1"/>
  <c r="C112" i="3" s="1"/>
  <c r="C113" i="3" l="1"/>
  <c r="C114" i="3" s="1"/>
  <c r="C115" i="3" l="1"/>
  <c r="C116" i="3" s="1"/>
  <c r="C117" i="3" s="1"/>
  <c r="C118" i="3" l="1"/>
  <c r="C119" i="3" s="1"/>
  <c r="C130" i="3" s="1"/>
  <c r="D13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José Augusto Duarte Santos (DSI)</author>
    <author>Nuno Jorge Sousa Fernandes [EE] (DSI)</author>
  </authors>
  <commentList>
    <comment ref="E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Quando dirigido ao Mediador (Espaços para os restantes casos)</t>
        </r>
      </text>
    </comment>
    <comment ref="E2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Quando dirigido ao Mediador (Espaços para os restantes casos)</t>
        </r>
      </text>
    </comment>
    <comment ref="E3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ATENÇÃO: O campo deverá ser espaços quando:
- O documento refere mais do que uma apólice
- Nos casos das propostas (quando ainda não existe numero de apólice)</t>
        </r>
      </text>
    </comment>
    <comment ref="E4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Quando impressão online (Espaços para os restantes casos)</t>
        </r>
      </text>
    </comment>
    <comment ref="E90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Quando impressão online (Espaços para os restantes casos)</t>
        </r>
      </text>
    </comment>
    <comment ref="E134" authorId="1" shapeId="0" xr:uid="{00000000-0006-0000-0000-000006000000}">
      <text>
        <r>
          <rPr>
            <sz val="9"/>
            <color indexed="81"/>
            <rFont val="Tahoma"/>
            <family val="2"/>
          </rPr>
          <t>Obrigatório se recebermos Registo do Tipo PPPS</t>
        </r>
      </text>
    </comment>
    <comment ref="E139" authorId="1" shapeId="0" xr:uid="{00000000-0006-0000-0000-000007000000}">
      <text>
        <r>
          <rPr>
            <sz val="9"/>
            <color indexed="81"/>
            <rFont val="Tahoma"/>
            <family val="2"/>
          </rPr>
          <t>Obrigatório se recebermos Registo do Tipo PPFL</t>
        </r>
      </text>
    </comment>
    <comment ref="E144" authorId="1" shapeId="0" xr:uid="{00000000-0006-0000-0000-000009000000}">
      <text>
        <r>
          <rPr>
            <sz val="9"/>
            <color indexed="81"/>
            <rFont val="Tahoma"/>
            <family val="2"/>
          </rPr>
          <t>Obrigatório se recebermos Registo do Tipo PPPC</t>
        </r>
      </text>
    </comment>
    <comment ref="E145" authorId="1" shapeId="0" xr:uid="{00000000-0006-0000-0000-00000A000000}">
      <text>
        <r>
          <rPr>
            <sz val="9"/>
            <color indexed="81"/>
            <rFont val="Tahoma"/>
            <family val="2"/>
          </rPr>
          <t>Obrigatório se recebermos Registo do Tipo PPPC</t>
        </r>
      </text>
    </comment>
    <comment ref="E150" authorId="1" shapeId="0" xr:uid="{00000000-0006-0000-0000-00000B000000}">
      <text>
        <r>
          <rPr>
            <sz val="9"/>
            <color indexed="81"/>
            <rFont val="Tahoma"/>
            <family val="2"/>
          </rPr>
          <t>Obrigatório se recebermos Registo do Tipo PPPC</t>
        </r>
      </text>
    </comment>
    <comment ref="E151" authorId="1" shapeId="0" xr:uid="{00000000-0006-0000-0000-00000C000000}">
      <text>
        <r>
          <rPr>
            <sz val="9"/>
            <color indexed="81"/>
            <rFont val="Tahoma"/>
            <family val="2"/>
          </rPr>
          <t>Obrigatório se recebermos Registo do Tipo PPPC</t>
        </r>
      </text>
    </comment>
    <comment ref="E156" authorId="1" shapeId="0" xr:uid="{64D07EB4-624C-4F27-A522-4099754CDE33}">
      <text>
        <r>
          <rPr>
            <sz val="9"/>
            <color indexed="81"/>
            <rFont val="Tahoma"/>
            <family val="2"/>
          </rPr>
          <t>Obrigatório se recebermos Registo do Tipo PPPC</t>
        </r>
      </text>
    </comment>
    <comment ref="E157" authorId="1" shapeId="0" xr:uid="{D1688CC7-F337-424B-8383-64707F5A9E15}">
      <text>
        <r>
          <rPr>
            <sz val="9"/>
            <color indexed="81"/>
            <rFont val="Tahoma"/>
            <family val="2"/>
          </rPr>
          <t>Obrigatório se recebermos Registo do Tipo PPPC</t>
        </r>
      </text>
    </comment>
  </commentList>
</comments>
</file>

<file path=xl/sharedStrings.xml><?xml version="1.0" encoding="utf-8"?>
<sst xmlns="http://schemas.openxmlformats.org/spreadsheetml/2006/main" count="364" uniqueCount="289">
  <si>
    <t>Posição</t>
  </si>
  <si>
    <t>Tamanho</t>
  </si>
  <si>
    <t>Copybook</t>
  </si>
  <si>
    <t>Código de identificação da Companhia</t>
  </si>
  <si>
    <t>Código de identificação da Marca</t>
  </si>
  <si>
    <t>Código de identificação do Sistema Origem</t>
  </si>
  <si>
    <t>Número do Mediador</t>
  </si>
  <si>
    <t>Número da Apólice</t>
  </si>
  <si>
    <t>Nome</t>
  </si>
  <si>
    <t>Dados de morada 1</t>
  </si>
  <si>
    <t>Dados de morada 2</t>
  </si>
  <si>
    <t>Localidade</t>
  </si>
  <si>
    <t>Descritivo do código postal</t>
  </si>
  <si>
    <t>05  :PREFIX:-DADOS-REGISTO.</t>
  </si>
  <si>
    <t xml:space="preserve">     '111' - Via Directa</t>
  </si>
  <si>
    <t xml:space="preserve">     '148' - Multicare</t>
  </si>
  <si>
    <t xml:space="preserve">     '001' - OK Teleseguro</t>
  </si>
  <si>
    <t xml:space="preserve">     '006' - Multicare</t>
  </si>
  <si>
    <t xml:space="preserve">     '005' - Continente</t>
  </si>
  <si>
    <t xml:space="preserve">     'GIS' - GIS</t>
  </si>
  <si>
    <t>Descrição / Valores Possiveis / [Formato]</t>
  </si>
  <si>
    <t>Referência da morada</t>
  </si>
  <si>
    <t>Código postal (Se estrangeiro deverá vir a zeros) [9999-999]</t>
  </si>
  <si>
    <t xml:space="preserve">     '128' - Fidelidade</t>
  </si>
  <si>
    <t xml:space="preserve">     'CLH' - Colheitas (GIC)</t>
  </si>
  <si>
    <t>Código do País (Se estrangeiro, diferente de 620)</t>
  </si>
  <si>
    <t>Descritivo do País</t>
  </si>
  <si>
    <t>Identificação da Porta (no CBC)</t>
  </si>
  <si>
    <t xml:space="preserve">     '002' - Fidelidade</t>
  </si>
  <si>
    <t xml:space="preserve">     '138' - Império</t>
  </si>
  <si>
    <t xml:space="preserve">     '003' - Império</t>
  </si>
  <si>
    <t xml:space="preserve">     '004' - ICI</t>
  </si>
  <si>
    <t>Observações</t>
  </si>
  <si>
    <t>Obrigatório</t>
  </si>
  <si>
    <t>Opcional</t>
  </si>
  <si>
    <t>Data de emissão [aaaammdd]</t>
  </si>
  <si>
    <t>Espaços</t>
  </si>
  <si>
    <t xml:space="preserve">     'FGS' - FGS</t>
  </si>
  <si>
    <t>Tipo Entidade</t>
  </si>
  <si>
    <t xml:space="preserve">     '1' - Pessoa / Particular</t>
  </si>
  <si>
    <t xml:space="preserve">     '2' - Colectivo/Conta Interna</t>
  </si>
  <si>
    <t>Tipo de Registo</t>
  </si>
  <si>
    <t xml:space="preserve">  07  :PREFIX:-COD-COMPANHIA            PIC X(03).</t>
  </si>
  <si>
    <t xml:space="preserve">  07  :PREFIX:-COD-MARCA                PIC X(03).</t>
  </si>
  <si>
    <t xml:space="preserve">     'L02' - Fidelidade Leve</t>
  </si>
  <si>
    <t xml:space="preserve">     'L03' - Império Leve</t>
  </si>
  <si>
    <t xml:space="preserve">  07  :PREFIX:-COD-ORIGEM               PIC X(03).</t>
  </si>
  <si>
    <t xml:space="preserve">     'C41' - Cogen 4.1</t>
  </si>
  <si>
    <t xml:space="preserve">     'C22' - Cogen 2.2</t>
  </si>
  <si>
    <t xml:space="preserve">     'C33' - Cogen 3.3</t>
  </si>
  <si>
    <t xml:space="preserve">     'P41' - PRIC</t>
  </si>
  <si>
    <t xml:space="preserve">     'PXS' - Paxus</t>
  </si>
  <si>
    <t xml:space="preserve">     'RVI' - RVI</t>
  </si>
  <si>
    <t xml:space="preserve">  07  :PREFIX:-NR-CLIENTE               PIC X(10).</t>
  </si>
  <si>
    <t xml:space="preserve">  07  :PREFIX:-NR-APOLICE               PIC X(16).</t>
  </si>
  <si>
    <t>Código postal do Mediador (Se estrangeiro deverá vir a zeros) [9999-999]</t>
  </si>
  <si>
    <t>Código postal do Cliente (Se estrangeiro deverá vir a zeros) [9999-999]</t>
  </si>
  <si>
    <t>Número do Cliente</t>
  </si>
  <si>
    <t xml:space="preserve">  07  :PREFIX:-COD-PRODUTO              PIC X(06).</t>
  </si>
  <si>
    <t xml:space="preserve">  07  :PREFIX:-DATA-HORA                PIC X(14).</t>
  </si>
  <si>
    <t xml:space="preserve">  07  FILLER                            PIC X(04).</t>
  </si>
  <si>
    <t>Código do Produto</t>
  </si>
  <si>
    <t xml:space="preserve">  07  FILLER                            PIC 9(07).</t>
  </si>
  <si>
    <t>Número de ordem do registo: Espaços (:PREFIX:-NUM-REGISTO)</t>
  </si>
  <si>
    <t>Número de ordem do documento: Espaços (:PREFIX:-NUM-DOC)</t>
  </si>
  <si>
    <t>Código de identificação do Tipo de Documento</t>
  </si>
  <si>
    <t xml:space="preserve">    88  :PREFIX:-CEN-AGR-EX                     VALUE 'CAE'.</t>
  </si>
  <si>
    <t xml:space="preserve">    88  :PREFIX:-CEN-AGR-NEX                    VALUE 'CAN'.</t>
  </si>
  <si>
    <t xml:space="preserve">    88  :PREFIX:-CEN-NAGR-EX                    VALUE 'CNE'.</t>
  </si>
  <si>
    <t xml:space="preserve">    88  :PREFIX:-CEN-NAGR-NEX                   VALUE 'CNN'.</t>
  </si>
  <si>
    <t xml:space="preserve">    88  :PREFIX:-DES-AGR-NEX                    VALUE 'DAN'.</t>
  </si>
  <si>
    <t xml:space="preserve">    88  :PREFIX:-DES-NAGR-NEX                   VALUE 'DNN'.</t>
  </si>
  <si>
    <t xml:space="preserve">     'CAE' - Centralizado/Agrupado/Expedir</t>
  </si>
  <si>
    <t xml:space="preserve">     'CAN' - Centralizado/Agrupado/Não Expedir</t>
  </si>
  <si>
    <t xml:space="preserve">     'CNE' - Centralizado/Não Agrupado/Expedir</t>
  </si>
  <si>
    <t xml:space="preserve">     'CNN' - Centralizado/Não Agrupado/Não Expedir</t>
  </si>
  <si>
    <t xml:space="preserve">     'DAN' - Descentralizado/Agrupado/Não Expedir</t>
  </si>
  <si>
    <t xml:space="preserve">     'DNN' - Descentralizado/Não Agrupado/Não Expedir</t>
  </si>
  <si>
    <t>Código de identificação do tipo de impressão [Espaços para o DOC-ID = '006']</t>
  </si>
  <si>
    <t xml:space="preserve">  07  :PREFIX:-TIPO-IMPRESSAO           PIC X(03).</t>
  </si>
  <si>
    <t xml:space="preserve">  07  :PREFIX:-COD-IMPRESSORA           PIC X(08).</t>
  </si>
  <si>
    <t xml:space="preserve">  07  :PREFIX:-COD-DOC-ORIGEM           PIC X(10).</t>
  </si>
  <si>
    <t>Código da impressora</t>
  </si>
  <si>
    <t>Código do documento de origem</t>
  </si>
  <si>
    <t xml:space="preserve">  07  :PREFIX:-TIPO-REG                 PIC X(04).</t>
  </si>
  <si>
    <t xml:space="preserve">    88  :PREFIX:-TIPO-HEADERMM                  VALUE 'HDMM'.</t>
  </si>
  <si>
    <t xml:space="preserve">    88  :PREFIX:-TIPO-HEADER01                  VALUE 'HD01'.</t>
  </si>
  <si>
    <t xml:space="preserve">    88  :PREFIX:-TIPO-HEADER02                  VALUE 'HD02'.</t>
  </si>
  <si>
    <t xml:space="preserve">    88  :PREFIX:-TIPO-HEADER03                  VALUE 'HD03'.</t>
  </si>
  <si>
    <t xml:space="preserve">    88  :PREFIX:-TIPO-HEADER04                  VALUE 'HD04'.</t>
  </si>
  <si>
    <t xml:space="preserve">    88  :PREFIX:-TIPO-HEADER05                  VALUE 'HD05'.</t>
  </si>
  <si>
    <t xml:space="preserve">    88  :PREFIX:-TIPO-HEADER06                  VALUE 'HD06'.</t>
  </si>
  <si>
    <t xml:space="preserve">    88  :PREFIX:-FRASE-REEMIS                   VALUE 'DT00'.</t>
  </si>
  <si>
    <t xml:space="preserve">    88  :PREFIX:-TIPO-DETALHE                   VALUE 'DT01'.</t>
  </si>
  <si>
    <t xml:space="preserve">    88  :PREFIX:-FIM-DOCUMENTO                  VALUE 'ENDD'.</t>
  </si>
  <si>
    <t xml:space="preserve">    88  :PREFIX:-TRSF-0001                      VALUE '0001'.</t>
  </si>
  <si>
    <t xml:space="preserve">    88  :PREFIX:-TRSF-0002                      VALUE '0002'.</t>
  </si>
  <si>
    <t xml:space="preserve">    88  :PREFIX:-TRSF-0003                      VALUE '0003'.</t>
  </si>
  <si>
    <t xml:space="preserve">     'HDMM' - Registo tipo header (Endereçamento)GIS</t>
  </si>
  <si>
    <t xml:space="preserve">     'HD01' - Registo tipo header (cartas) FGS</t>
  </si>
  <si>
    <t xml:space="preserve">     'HD02' - Registo tipo header (CP, Cert.) FGS</t>
  </si>
  <si>
    <t xml:space="preserve">     'HD03' - Registo tipo header (dt, assuntos) GIS</t>
  </si>
  <si>
    <t xml:space="preserve">     'HD04' - Registo tipo header (CP's e Cert) GIS</t>
  </si>
  <si>
    <t xml:space="preserve">     'HD05' - Registo tipo header (Extractos) GIS</t>
  </si>
  <si>
    <t xml:space="preserve">     'HD06' - Registo tipo header (Recibos de Sinistros)</t>
  </si>
  <si>
    <t xml:space="preserve">     'DT01' - Registo tipo detalhe</t>
  </si>
  <si>
    <t xml:space="preserve">     'ENDD' - Fim de Documento</t>
  </si>
  <si>
    <t xml:space="preserve">     '0001' - Transf de Carteira dados Endereçamento (DOC-ID = '006')</t>
  </si>
  <si>
    <t xml:space="preserve">     '0002' - Transf de Carteira dados Mediador (DOC-ID = '006')</t>
  </si>
  <si>
    <t xml:space="preserve">     '0003' - Transf de Carteira restantes dados (DOC-ID = '006')</t>
  </si>
  <si>
    <t xml:space="preserve">     'DT00' - Registo tipo detalhe</t>
  </si>
  <si>
    <t xml:space="preserve">    88  :PREFIX:-ESPACO                         VALUE ' '.</t>
  </si>
  <si>
    <t xml:space="preserve">    88  :PREFIX:-ONLINE                         VALUE '1'.</t>
  </si>
  <si>
    <t xml:space="preserve">    88  :PREFIX:-SEG-VIA                        VALUE '2'.</t>
  </si>
  <si>
    <t xml:space="preserve">    88  :PREFIX:-REGISTADA                      VALUE '3'.</t>
  </si>
  <si>
    <t xml:space="preserve">     ' ' - Espaço</t>
  </si>
  <si>
    <t xml:space="preserve">     '1' - Impressão ONLINE</t>
  </si>
  <si>
    <t xml:space="preserve">     '2' - 2ª Via</t>
  </si>
  <si>
    <t xml:space="preserve">     '3' - Registada</t>
  </si>
  <si>
    <t>Marca de reimpressão</t>
  </si>
  <si>
    <t>Capa</t>
  </si>
  <si>
    <t xml:space="preserve">  07  :PREFIX:-DOC-ID                   PIC X(03).</t>
  </si>
  <si>
    <t>Código para separar os movimentos conforme tipo de documento</t>
  </si>
  <si>
    <t xml:space="preserve">     Espaços - Cartas 1ª fase</t>
  </si>
  <si>
    <t xml:space="preserve">     '001' - Cartas 1ª fase</t>
  </si>
  <si>
    <t xml:space="preserve">     '002' - Condições Particulares</t>
  </si>
  <si>
    <t xml:space="preserve">     '003' - Cartas de Reinvestimento</t>
  </si>
  <si>
    <t xml:space="preserve">     '004' - certificados</t>
  </si>
  <si>
    <t xml:space="preserve">     '005' - Extractos</t>
  </si>
  <si>
    <t xml:space="preserve">     '006' - Cartas Transferencia de Carteira</t>
  </si>
  <si>
    <t xml:space="preserve">     '007' - Recibos de Sinistros</t>
  </si>
  <si>
    <t xml:space="preserve">     '008' - Recibos de prémio/estorno</t>
  </si>
  <si>
    <t xml:space="preserve">     '009' - Listas Paxus Horizontais</t>
  </si>
  <si>
    <t xml:space="preserve">     '010' - Cessação de contrato extrato final</t>
  </si>
  <si>
    <t xml:space="preserve">     '011' - Extrato integrado</t>
  </si>
  <si>
    <t xml:space="preserve">  07  :PREFIX:-USER-ID                  PIC X(08).</t>
  </si>
  <si>
    <t xml:space="preserve">    88  :PREFIX:-DOCID-CART                     VALUE '   '.</t>
  </si>
  <si>
    <t xml:space="preserve">    88  :PREFIX:-DOCID-CART1                    VALUE '001'.</t>
  </si>
  <si>
    <t xml:space="preserve">    88  :PREFIX:-DOCID-CP                       VALUE '002'.</t>
  </si>
  <si>
    <t xml:space="preserve">    88  :PREFIX:-DOCID-CR                       VALUE '003'.</t>
  </si>
  <si>
    <t xml:space="preserve">    88  :PREFIX:-DOCID-CERT                     VALUE '004'.</t>
  </si>
  <si>
    <t xml:space="preserve">    88  :PREFIX:-DOCID-EXTR                     VALUE '005'.</t>
  </si>
  <si>
    <t xml:space="preserve">    88  :PREFIX:-DOCID-TRF-CART                 VALUE '006'.</t>
  </si>
  <si>
    <t xml:space="preserve">    88  :PREFIX:-DOCID-REC-SINIS                VALUE '007'.</t>
  </si>
  <si>
    <t xml:space="preserve">    88  :PREFIX:-DOCID-LISTA                    VALUE '008'.</t>
  </si>
  <si>
    <t xml:space="preserve">    88  :PREFIX:-DOCID-LISTAH                   VALUE '009'.</t>
  </si>
  <si>
    <t xml:space="preserve">    88  :PREFIX:-DOCID-TRFAPOL                  VALUE '010'.</t>
  </si>
  <si>
    <t xml:space="preserve">    88  :PREFIX:-DOCID-EXTINT                   VALUE '011'.</t>
  </si>
  <si>
    <t xml:space="preserve">  07  :PREFIX:-ADERENTE                 PIC X(08).</t>
  </si>
  <si>
    <t>User Id</t>
  </si>
  <si>
    <t>Número de Aderente</t>
  </si>
  <si>
    <t>Filler</t>
  </si>
  <si>
    <t>Número de apólice NCR: Espaços (:PREFIX:-APOLICE-NCR)</t>
  </si>
  <si>
    <t xml:space="preserve">    88  :PREFIX:-DOCID-PLANOPAG                 VALUE '012'.</t>
  </si>
  <si>
    <t xml:space="preserve">     '012' - Plano Pagamento Anual</t>
  </si>
  <si>
    <t>Descritivo da Parcela relativa ao Prémio Total do Contracto</t>
  </si>
  <si>
    <t>Valor da Parcela relativa ao Prémio Total do Contracto</t>
  </si>
  <si>
    <t>Este bloco repete ZERO a N vezes</t>
  </si>
  <si>
    <t>Nome da Pessoa Segura</t>
  </si>
  <si>
    <t>Número de Identificação Fiscal do Tomador (No caso de Portugal será PT999999999)</t>
  </si>
  <si>
    <t xml:space="preserve">  07  :PREFIX:-DADOS-TOMADOR.</t>
  </si>
  <si>
    <t xml:space="preserve">  07  :PREFIX:-DADOS-ASSUNTO.</t>
  </si>
  <si>
    <t xml:space="preserve">    09  :PREFIX:-TM-NOME                PIC X(40).</t>
  </si>
  <si>
    <t xml:space="preserve">    09  :PREFIX:-TM-LOCATION-REF        PIC X(04).</t>
  </si>
  <si>
    <t xml:space="preserve">    09  :PREFIX:-TM-MORADA1             PIC X(40).</t>
  </si>
  <si>
    <t xml:space="preserve">    09  :PREFIX:-TM-MORADA2             PIC X(40).</t>
  </si>
  <si>
    <t xml:space="preserve">    09  :PREFIX:-TM-LOCALIDADE          PIC X(40).</t>
  </si>
  <si>
    <t xml:space="preserve">    09  :PREFIX:-TM-CPOSTAL             PIC X(09).</t>
  </si>
  <si>
    <t xml:space="preserve">    09  :PREFIX:-TM-CPOSTAL-DESC        PIC X(40).</t>
  </si>
  <si>
    <t xml:space="preserve">    09  :PREFIX:-TM-CPAIS               PIC X(03).</t>
  </si>
  <si>
    <t xml:space="preserve">    09  :PREFIX:-TM-CPAIS-DESC          PIC X(40).</t>
  </si>
  <si>
    <t xml:space="preserve">    09  :PREFIX:-TM-IDP                 PIC X(04).</t>
  </si>
  <si>
    <t xml:space="preserve">    09  :PREFIX:-TM-NIF                 PIC X(22).</t>
  </si>
  <si>
    <t xml:space="preserve">    09  :PREFIX:-TM-TIPO-ENTIDADE       PIC X(01).</t>
  </si>
  <si>
    <t xml:space="preserve">      88  :PREFIX:-TM-ENT-PARTICUL              VALUE '1'.</t>
  </si>
  <si>
    <t xml:space="preserve">      88  :PREFIX:-TM-ENT-COLETIVA              VALUE '2'.</t>
  </si>
  <si>
    <t xml:space="preserve">  07  :PREFIX:-PESSOAS-SEGURAS.</t>
  </si>
  <si>
    <t xml:space="preserve">    09  :PREFIX:-DA-DT-EMISSAO          PIC X(08).</t>
  </si>
  <si>
    <t xml:space="preserve">    09  :PREFIX:-PS-NOME                PIC X(50).</t>
  </si>
  <si>
    <t xml:space="preserve">  07  :PREFIX:-PREMIO-CONTRATO.</t>
  </si>
  <si>
    <t xml:space="preserve">    09  :PREFIX:-PC-PARCELA-VALOR       PIC S9(12)V9(02)  SIGN LEADING SEPARATE.</t>
  </si>
  <si>
    <t>05  FILLER                        REDEFINES :PREFIX:-DADOS-DOCUMENTO.</t>
  </si>
  <si>
    <t>Data Início do período de Vigência [aaaammdd]</t>
  </si>
  <si>
    <t xml:space="preserve">    09  :PREFIX:-DA-DT-INI-PERIODO      PIC X(08).</t>
  </si>
  <si>
    <t xml:space="preserve">    09  :PREFIX:-DA-DT-FIM-PERIODO      PIC X(08).</t>
  </si>
  <si>
    <t>Data Fim do período de Vigência [aaaammdd]</t>
  </si>
  <si>
    <t>Fraccionamento (à semelhança do FSCD):</t>
  </si>
  <si>
    <t xml:space="preserve">    09  :PREFIX:-DA-PRODUTO-DESC        PIC X(40).</t>
  </si>
  <si>
    <t>Descritivo do Produto</t>
  </si>
  <si>
    <t>Código do Ramo</t>
  </si>
  <si>
    <t xml:space="preserve">    09  :PREFIX:-DA-TIPO-PAGAMENTO      PIC X(30).</t>
  </si>
  <si>
    <t>Tipo de Pagamento (Débito em Conta, ATM,…)</t>
  </si>
  <si>
    <t xml:space="preserve">    88  :PREFIX:-IMP-ONLINE                     VALUE 'ONL'.</t>
  </si>
  <si>
    <t xml:space="preserve">     'ONL' - Impressão Online (Não Expedir)</t>
  </si>
  <si>
    <t xml:space="preserve">    88  :PREFIX:-IMP-EXPEDIR                    VALUE 'EXP'.</t>
  </si>
  <si>
    <t xml:space="preserve">     'EXP' - Impressão Batch (Expedir)</t>
  </si>
  <si>
    <t xml:space="preserve">  07  :PREFIX:-COD-POSTALM              PIC X(09).</t>
  </si>
  <si>
    <t xml:space="preserve">  07  :PREFIX:-NR-MEDIADOR              PIC X(10).</t>
  </si>
  <si>
    <t xml:space="preserve">  07  :PREFIX:-COD-POSTALC              PIC X(09).</t>
  </si>
  <si>
    <t xml:space="preserve">  07  FILLER                            PIC X(134).</t>
  </si>
  <si>
    <t xml:space="preserve">     Plano Pagamento - Registo tipo Lista - Pessoas Seguras</t>
  </si>
  <si>
    <t xml:space="preserve">     Plano Pagamento - Registo tipo Lista - Coberturas contratadas</t>
  </si>
  <si>
    <t xml:space="preserve">     Plano Pagamento - Registo tipo Lista - Prémio Contracto</t>
  </si>
  <si>
    <t xml:space="preserve">     Plano Pagamento - Registo tipo Lista - Filhos</t>
  </si>
  <si>
    <r>
      <t>Lista das Pessoas Seguras (</t>
    </r>
    <r>
      <rPr>
        <b/>
        <sz val="11"/>
        <color theme="1"/>
        <rFont val="Calibri"/>
        <family val="2"/>
        <scheme val="minor"/>
      </rPr>
      <t>Registo do tipo PPPS</t>
    </r>
    <r>
      <rPr>
        <sz val="11"/>
        <color theme="1"/>
        <rFont val="Calibri"/>
        <family val="2"/>
        <scheme val="minor"/>
      </rPr>
      <t>)</t>
    </r>
  </si>
  <si>
    <r>
      <t>Lista do Prémio Total do Contracto (</t>
    </r>
    <r>
      <rPr>
        <b/>
        <sz val="11"/>
        <color theme="1"/>
        <rFont val="Calibri"/>
        <family val="2"/>
        <scheme val="minor"/>
      </rPr>
      <t>Registo do tipo PPPC</t>
    </r>
    <r>
      <rPr>
        <sz val="11"/>
        <color theme="1"/>
        <rFont val="Calibri"/>
        <family val="2"/>
        <scheme val="minor"/>
      </rPr>
      <t>)</t>
    </r>
  </si>
  <si>
    <t xml:space="preserve">  07  :PREFIX:-FILHOS.</t>
  </si>
  <si>
    <r>
      <t>Lista dos Filhos (</t>
    </r>
    <r>
      <rPr>
        <b/>
        <sz val="11"/>
        <color theme="1"/>
        <rFont val="Calibri"/>
        <family val="2"/>
        <scheme val="minor"/>
      </rPr>
      <t>Registo do tipo PPFL</t>
    </r>
    <r>
      <rPr>
        <sz val="11"/>
        <color theme="1"/>
        <rFont val="Calibri"/>
        <family val="2"/>
        <scheme val="minor"/>
      </rPr>
      <t>)</t>
    </r>
  </si>
  <si>
    <t>Nome do Filho</t>
  </si>
  <si>
    <t xml:space="preserve">    09  :PREFIX:-FL-NOME                PIC X(50).</t>
  </si>
  <si>
    <t xml:space="preserve">     Plano Pagamento - Registo tipo único - Endereçamento e Assunto</t>
  </si>
  <si>
    <t xml:space="preserve">     Plano Pagamento - Registo tipo único - FIM</t>
  </si>
  <si>
    <r>
      <t>Dados de Endereçamento e Assunto (</t>
    </r>
    <r>
      <rPr>
        <b/>
        <sz val="11"/>
        <color theme="1"/>
        <rFont val="Calibri"/>
        <family val="2"/>
        <scheme val="minor"/>
      </rPr>
      <t>Registo do tipo PPEA</t>
    </r>
    <r>
      <rPr>
        <sz val="11"/>
        <color theme="1"/>
        <rFont val="Calibri"/>
        <family val="2"/>
        <scheme val="minor"/>
      </rPr>
      <t>)</t>
    </r>
  </si>
  <si>
    <t>Fim do Documento (Registo do tipo PPZZ)</t>
  </si>
  <si>
    <t xml:space="preserve">    88  :PREFIX:-PLANPAGZZ                      VALUE 'PPZZ'.</t>
  </si>
  <si>
    <t xml:space="preserve">    88  :PREFIX:-PLANPAGPC                      VALUE 'PPPC'.</t>
  </si>
  <si>
    <t xml:space="preserve">    88  :PREFIX:-PLANPAGCC                      VALUE 'PPCC'.</t>
  </si>
  <si>
    <t xml:space="preserve">    88  :PREFIX:-PLANPAGFL                      VALUE 'PPFL'.</t>
  </si>
  <si>
    <t xml:space="preserve">    88  :PREFIX:-PLANPAGPS                      VALUE 'PPPS'.</t>
  </si>
  <si>
    <t xml:space="preserve">    88  :PREFIX:-PLANPAGEA                      VALUE 'PPEA'.</t>
  </si>
  <si>
    <t xml:space="preserve">  07  FILLER                            PIC X(3747).</t>
  </si>
  <si>
    <t>05  :PREFIX:-DADOS-DOCUMENTO            PIC X(3797).</t>
  </si>
  <si>
    <t xml:space="preserve">    88  :PREFIX:-PLANPAGPC                      VALUE 'PPPA'.</t>
  </si>
  <si>
    <t xml:space="preserve">     Plano Pagamento - Registo tipo Lista - Prémio Alteração</t>
  </si>
  <si>
    <t xml:space="preserve">  07  :PREFIX:-PREMIO-ALTERACAO.</t>
  </si>
  <si>
    <t xml:space="preserve">    09  :PREFIX:-PA-PARCELA-VALOR       PIC S9(12)V9(02)  SIGN LEADING SEPARATE.</t>
  </si>
  <si>
    <r>
      <t>Lista do Prémio da Alteração (</t>
    </r>
    <r>
      <rPr>
        <b/>
        <sz val="11"/>
        <color theme="1"/>
        <rFont val="Calibri"/>
        <family val="2"/>
        <scheme val="minor"/>
      </rPr>
      <t>Registo do tipo PPPA</t>
    </r>
    <r>
      <rPr>
        <sz val="11"/>
        <color theme="1"/>
        <rFont val="Calibri"/>
        <family val="2"/>
        <scheme val="minor"/>
      </rPr>
      <t>)</t>
    </r>
  </si>
  <si>
    <t>Descritivo da Parcela relativa ao Prémio da Alteração</t>
  </si>
  <si>
    <t>Valor da Parcela relativa ao Prémio da Alteração</t>
  </si>
  <si>
    <t xml:space="preserve">    88  :PREFIX:-CC-VIADIRECTA                  VALUE '111'.</t>
  </si>
  <si>
    <t xml:space="preserve">    88  :PREFIX:-CC-FIDELIDADE                  VALUE '128'.</t>
  </si>
  <si>
    <t xml:space="preserve">    88  :PREFIX:-CC-IMPERIO                     VALUE '138'.</t>
  </si>
  <si>
    <t xml:space="preserve">    88  :PREFIX:-CC-MULTICARE                   VALUE '148'.</t>
  </si>
  <si>
    <t xml:space="preserve">    88  :PREFIX:-CM-FIDELIDADE                  VALUE '002'.</t>
  </si>
  <si>
    <t xml:space="preserve">    88  :PREFIX:-CM-FIDELIDADE-LEVE             VALUE 'L02'.</t>
  </si>
  <si>
    <t xml:space="preserve">    88  :PREFIX:-CM-IMPERIO                     VALUE '003'.</t>
  </si>
  <si>
    <t xml:space="preserve">    88  :PREFIX:-CM-IMPERIO-LEVE                VALUE 'L03'.</t>
  </si>
  <si>
    <t xml:space="preserve">    88  :PREFIX:-CM-ICI                         VALUE '004'.</t>
  </si>
  <si>
    <t xml:space="preserve">    88  :PREFIX:-CM-SONAE                       VALUE '005'.</t>
  </si>
  <si>
    <t xml:space="preserve">    88  :PREFIX:-CM-MULTICARE                   VALUE '006'.</t>
  </si>
  <si>
    <t xml:space="preserve">    88  :PREFIX:-CM-VIADIRECTA                  VALUE '001'.</t>
  </si>
  <si>
    <t xml:space="preserve">    88  :PREFIX:-CO-COGEN22                     VALUE 'C22'.</t>
  </si>
  <si>
    <t xml:space="preserve">    88  :PREFIX:-CO-COGEN33                     VALUE 'C33'.</t>
  </si>
  <si>
    <t xml:space="preserve">    88  :PREFIX:-CO-COGEN41                     VALUE 'C41'.</t>
  </si>
  <si>
    <t xml:space="preserve">    88  :PREFIX:-CO-PRIC41                      VALUE 'P41'.</t>
  </si>
  <si>
    <t xml:space="preserve">    88  :PREFIX:-CO-GIS                         VALUE 'GIS'.</t>
  </si>
  <si>
    <t xml:space="preserve">    88  :PREFIX:-CO-COLHEITAS                   VALUE 'CLH'.</t>
  </si>
  <si>
    <t xml:space="preserve">    88  :PREFIX:-CO-PAXUS                       VALUE 'PXS'.</t>
  </si>
  <si>
    <t xml:space="preserve">    88  :PREFIX:-CO-VIDA-GRUPO                  VALUE 'FGS'.</t>
  </si>
  <si>
    <t xml:space="preserve">    88  :PREFIX:-CO-VIDA-IND                    VALUE 'RVI'.</t>
  </si>
  <si>
    <t>Código da assinatura do documento: Espaços (:PREFIX:-COD-ASSINATURA)</t>
  </si>
  <si>
    <t>Valores não considerados</t>
  </si>
  <si>
    <t xml:space="preserve">  07  FILLER                            PIC X(01).</t>
  </si>
  <si>
    <t xml:space="preserve">  07  FILLER                            PIC X(06).</t>
  </si>
  <si>
    <t xml:space="preserve">  07  FILLER                            PIC X(08).</t>
  </si>
  <si>
    <t xml:space="preserve">    09  FILLER                          PIC X(02).</t>
  </si>
  <si>
    <t xml:space="preserve">    09  :PREFIX:-DA-DT-VENCIMENTO       PIC X(08).</t>
  </si>
  <si>
    <t>Data de Vencimento [aaaammdd]</t>
  </si>
  <si>
    <t xml:space="preserve">    09  :PREFIX:-DA-TIPO-FRACCIONA      PIC X(01).</t>
  </si>
  <si>
    <t xml:space="preserve">    09  :PREFIX:-DA-TIPO-TRANSACAO      PIC X(01).</t>
  </si>
  <si>
    <t xml:space="preserve">      88  :PREFIX:-DA-TRANS-NOVO                VALUE 'N'.</t>
  </si>
  <si>
    <t xml:space="preserve">      88  :PREFIX:-DA-TRANS-RENOVACAO           VALUE 'R'.</t>
  </si>
  <si>
    <t xml:space="preserve">      88  :PREFIX:-DA-TRANS-ALTERACAO           VALUE 'A'.</t>
  </si>
  <si>
    <t>Tipo Transação (à semelhança do FSCD):</t>
  </si>
  <si>
    <t xml:space="preserve">     'A' - Anual</t>
  </si>
  <si>
    <t xml:space="preserve">     'M' - Mensal</t>
  </si>
  <si>
    <t xml:space="preserve">     'S' - Semestral</t>
  </si>
  <si>
    <t xml:space="preserve">     'T' - Trimestral</t>
  </si>
  <si>
    <t xml:space="preserve">     'U' - Único</t>
  </si>
  <si>
    <t xml:space="preserve">      88  :PREFIX:-DA-FRAC-ANUAL                VALUE 'A'.</t>
  </si>
  <si>
    <t xml:space="preserve">      88  :PREFIX:-DA-FRAC-MENSAL               VALUE 'M'.</t>
  </si>
  <si>
    <t xml:space="preserve">      88  :PREFIX:-DA-FRAC-SEMESTRAL            VALUE 'S'.</t>
  </si>
  <si>
    <t xml:space="preserve">      88  :PREFIX:-DA-FRAC-TRIMESTRAL           VALUE 'T'.</t>
  </si>
  <si>
    <t xml:space="preserve">      88  :PREFIX:-DA-FRAC-UNICO                VALUE 'U'.</t>
  </si>
  <si>
    <t xml:space="preserve">     'R ' - Renovação</t>
  </si>
  <si>
    <t xml:space="preserve">     'N' - Novo</t>
  </si>
  <si>
    <t xml:space="preserve">     'A ' - Alteração</t>
  </si>
  <si>
    <t xml:space="preserve">  07  FILLER                            PIC X(3408).</t>
  </si>
  <si>
    <t xml:space="preserve">    09  :PREFIX:-PC-PARCELA-DESC        PIC X(100).</t>
  </si>
  <si>
    <t xml:space="preserve">  07  FILLER                            PIC X(3682).</t>
  </si>
  <si>
    <t xml:space="preserve">    09  :PREFIX:-PA-PARCELA-DESC        PIC X(100).</t>
  </si>
  <si>
    <t xml:space="preserve">  07  :PREFIX:-INDICADORES-FIM.</t>
  </si>
  <si>
    <r>
      <t>Indicadores (</t>
    </r>
    <r>
      <rPr>
        <b/>
        <sz val="11"/>
        <color theme="1"/>
        <rFont val="Calibri"/>
        <family val="2"/>
        <scheme val="minor"/>
      </rPr>
      <t>Registo do tipo PPZZ</t>
    </r>
    <r>
      <rPr>
        <sz val="11"/>
        <color theme="1"/>
        <rFont val="Calibri"/>
        <family val="2"/>
        <scheme val="minor"/>
      </rPr>
      <t>)</t>
    </r>
  </si>
  <si>
    <t xml:space="preserve">    09  :PREFIX:-IF-IND-NOVA-COB        PIC X(01).</t>
  </si>
  <si>
    <t xml:space="preserve">    09  :PREFIX:-IF-IND-ALT-TARIF       PIC X(01).</t>
  </si>
  <si>
    <t xml:space="preserve">  07  :PREFIX:-FIM-DOCUMENTO            PIC X(3795).</t>
  </si>
  <si>
    <t>Data e hora da emissão do documento  [AAAAMMDDhhmmss]</t>
  </si>
  <si>
    <t>Indicador de existência de nova Cobertura (S / N, espaços)</t>
  </si>
  <si>
    <t>Indicador de Alteração de tarifa  (S / N, espaços)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</si>
</sst>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ourier New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ourier New"/>
      <family val="3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right"/>
    </xf>
    <xf numFmtId="0" fontId="0" fillId="0" borderId="1" xfId="0" applyFont="1" applyFill="1" applyBorder="1"/>
    <xf numFmtId="0" fontId="2" fillId="0" borderId="1" xfId="0" applyFont="1" applyFill="1" applyBorder="1"/>
    <xf numFmtId="0" fontId="2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right"/>
    </xf>
    <xf numFmtId="0" fontId="2" fillId="3" borderId="1" xfId="0" applyFont="1" applyFill="1" applyBorder="1"/>
    <xf numFmtId="0" fontId="0" fillId="3" borderId="1" xfId="0" applyFont="1" applyFill="1" applyBorder="1"/>
    <xf numFmtId="0" fontId="0" fillId="3" borderId="1" xfId="0" applyFont="1" applyFill="1" applyBorder="1" applyAlignment="1">
      <alignment horizontal="right"/>
    </xf>
    <xf numFmtId="0" fontId="0" fillId="0" borderId="1" xfId="0" applyFont="1" applyFill="1" applyBorder="1" applyAlignment="1">
      <alignment horizontal="left"/>
    </xf>
    <xf numFmtId="0" fontId="2" fillId="0" borderId="2" xfId="0" applyFont="1" applyFill="1" applyBorder="1"/>
    <xf numFmtId="0" fontId="0" fillId="0" borderId="2" xfId="0" applyFont="1" applyFill="1" applyBorder="1"/>
    <xf numFmtId="0" fontId="2" fillId="0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4" fillId="4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0" fontId="0" fillId="0" borderId="0" xfId="0" applyFont="1"/>
    <xf numFmtId="0" fontId="0" fillId="4" borderId="1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right"/>
    </xf>
    <xf numFmtId="0" fontId="0" fillId="0" borderId="0" xfId="0" applyFont="1" applyAlignment="1">
      <alignment horizontal="center" vertical="center"/>
    </xf>
    <xf numFmtId="0" fontId="6" fillId="2" borderId="1" xfId="0" applyFont="1" applyFill="1" applyBorder="1"/>
    <xf numFmtId="0" fontId="2" fillId="0" borderId="0" xfId="0" applyFont="1"/>
    <xf numFmtId="0" fontId="2" fillId="8" borderId="1" xfId="0" applyFont="1" applyFill="1" applyBorder="1"/>
    <xf numFmtId="0" fontId="0" fillId="8" borderId="1" xfId="0" applyFont="1" applyFill="1" applyBorder="1" applyAlignment="1">
      <alignment horizontal="left"/>
    </xf>
    <xf numFmtId="0" fontId="0" fillId="8" borderId="1" xfId="0" applyFont="1" applyFill="1" applyBorder="1" applyAlignment="1">
      <alignment horizontal="right"/>
    </xf>
    <xf numFmtId="0" fontId="0" fillId="8" borderId="1" xfId="0" applyFont="1" applyFill="1" applyBorder="1"/>
    <xf numFmtId="0" fontId="0" fillId="8" borderId="1" xfId="0" applyFont="1" applyFill="1" applyBorder="1" applyAlignment="1">
      <alignment vertical="top"/>
    </xf>
    <xf numFmtId="0" fontId="0" fillId="6" borderId="1" xfId="0" applyFont="1" applyFill="1" applyBorder="1" applyAlignment="1">
      <alignment vertical="center"/>
    </xf>
    <xf numFmtId="0" fontId="0" fillId="7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wrapText="1"/>
    </xf>
    <xf numFmtId="0" fontId="2" fillId="0" borderId="2" xfId="0" applyFont="1" applyFill="1" applyBorder="1" applyAlignment="1">
      <alignment vertical="center"/>
    </xf>
    <xf numFmtId="0" fontId="0" fillId="7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9" fillId="8" borderId="1" xfId="0" applyFont="1" applyFill="1" applyBorder="1"/>
    <xf numFmtId="0" fontId="5" fillId="8" borderId="1" xfId="0" applyFont="1" applyFill="1" applyBorder="1" applyAlignment="1">
      <alignment horizontal="left"/>
    </xf>
    <xf numFmtId="0" fontId="0" fillId="5" borderId="4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0" fontId="2" fillId="9" borderId="1" xfId="0" applyFont="1" applyFill="1" applyBorder="1"/>
    <xf numFmtId="0" fontId="0" fillId="9" borderId="1" xfId="0" applyFont="1" applyFill="1" applyBorder="1" applyAlignment="1">
      <alignment horizontal="left"/>
    </xf>
    <xf numFmtId="0" fontId="0" fillId="9" borderId="1" xfId="0" applyFont="1" applyFill="1" applyBorder="1" applyAlignment="1">
      <alignment horizontal="right"/>
    </xf>
    <xf numFmtId="0" fontId="0" fillId="9" borderId="1" xfId="0" applyFont="1" applyFill="1" applyBorder="1"/>
    <xf numFmtId="0" fontId="0" fillId="9" borderId="2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02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58"/>
  <sheetViews>
    <sheetView tabSelected="1" topLeftCell="A122" zoomScaleNormal="100" workbookViewId="0">
      <selection activeCell="B163" sqref="B163"/>
    </sheetView>
  </sheetViews>
  <sheetFormatPr defaultRowHeight="14.4" x14ac:dyDescent="0.3"/>
  <cols>
    <col min="1" max="1" width="112" style="31" bestFit="1" customWidth="1"/>
    <col min="2" max="2" width="76.44140625" style="26" bestFit="1" customWidth="1"/>
    <col min="3" max="3" width="7.6640625" style="26" bestFit="1" customWidth="1"/>
    <col min="4" max="4" width="9.109375" style="26" bestFit="1" customWidth="1"/>
    <col min="5" max="5" width="15.33203125" style="29" customWidth="1"/>
    <col min="6" max="6" width="13" style="50" customWidth="1"/>
  </cols>
  <sheetData>
    <row r="1" spans="1:6" x14ac:dyDescent="0.3">
      <c r="A1" s="30" t="s">
        <v>2</v>
      </c>
      <c r="B1" s="1" t="s">
        <v>20</v>
      </c>
      <c r="C1" s="2" t="s">
        <v>0</v>
      </c>
      <c r="D1" s="2" t="s">
        <v>1</v>
      </c>
      <c r="E1" s="20" t="s">
        <v>32</v>
      </c>
    </row>
    <row r="2" spans="1:6" x14ac:dyDescent="0.3">
      <c r="A2" s="6" t="s">
        <v>13</v>
      </c>
      <c r="B2" s="27"/>
      <c r="C2" s="28">
        <v>1</v>
      </c>
      <c r="D2" s="28">
        <v>0</v>
      </c>
      <c r="E2" s="52"/>
    </row>
    <row r="3" spans="1:6" x14ac:dyDescent="0.3">
      <c r="A3" s="32" t="s">
        <v>42</v>
      </c>
      <c r="B3" s="33" t="s">
        <v>3</v>
      </c>
      <c r="C3" s="34">
        <f>C2+D2</f>
        <v>1</v>
      </c>
      <c r="D3" s="34">
        <v>3</v>
      </c>
      <c r="E3" s="63" t="s">
        <v>33</v>
      </c>
    </row>
    <row r="4" spans="1:6" x14ac:dyDescent="0.3">
      <c r="A4" s="32" t="s">
        <v>230</v>
      </c>
      <c r="B4" s="33" t="s">
        <v>23</v>
      </c>
      <c r="C4" s="34"/>
      <c r="D4" s="34"/>
      <c r="E4" s="63"/>
    </row>
    <row r="5" spans="1:6" x14ac:dyDescent="0.3">
      <c r="A5" s="32" t="s">
        <v>231</v>
      </c>
      <c r="B5" s="33" t="s">
        <v>29</v>
      </c>
      <c r="C5" s="34"/>
      <c r="D5" s="34"/>
      <c r="E5" s="63"/>
    </row>
    <row r="6" spans="1:6" x14ac:dyDescent="0.3">
      <c r="A6" s="53" t="s">
        <v>229</v>
      </c>
      <c r="B6" s="54" t="s">
        <v>14</v>
      </c>
      <c r="C6" s="55"/>
      <c r="D6" s="55"/>
      <c r="E6" s="63"/>
      <c r="F6" s="57" t="s">
        <v>251</v>
      </c>
    </row>
    <row r="7" spans="1:6" x14ac:dyDescent="0.3">
      <c r="A7" s="53" t="s">
        <v>232</v>
      </c>
      <c r="B7" s="54" t="s">
        <v>15</v>
      </c>
      <c r="C7" s="56"/>
      <c r="D7" s="56"/>
      <c r="E7" s="63"/>
      <c r="F7" s="59"/>
    </row>
    <row r="8" spans="1:6" x14ac:dyDescent="0.3">
      <c r="A8" s="32" t="s">
        <v>43</v>
      </c>
      <c r="B8" s="33" t="s">
        <v>4</v>
      </c>
      <c r="C8" s="34">
        <f>C3+D3</f>
        <v>4</v>
      </c>
      <c r="D8" s="35">
        <v>3</v>
      </c>
      <c r="E8" s="63" t="s">
        <v>33</v>
      </c>
    </row>
    <row r="9" spans="1:6" x14ac:dyDescent="0.3">
      <c r="A9" s="32" t="s">
        <v>233</v>
      </c>
      <c r="B9" s="33" t="s">
        <v>28</v>
      </c>
      <c r="C9" s="35"/>
      <c r="D9" s="35"/>
      <c r="E9" s="63"/>
    </row>
    <row r="10" spans="1:6" x14ac:dyDescent="0.3">
      <c r="A10" s="32" t="s">
        <v>234</v>
      </c>
      <c r="B10" s="33" t="s">
        <v>44</v>
      </c>
      <c r="C10" s="35"/>
      <c r="D10" s="35"/>
      <c r="E10" s="63"/>
    </row>
    <row r="11" spans="1:6" x14ac:dyDescent="0.3">
      <c r="A11" s="32" t="s">
        <v>235</v>
      </c>
      <c r="B11" s="33" t="s">
        <v>30</v>
      </c>
      <c r="C11" s="35"/>
      <c r="D11" s="35"/>
      <c r="E11" s="63"/>
    </row>
    <row r="12" spans="1:6" x14ac:dyDescent="0.3">
      <c r="A12" s="32" t="s">
        <v>236</v>
      </c>
      <c r="B12" s="33" t="s">
        <v>45</v>
      </c>
      <c r="C12" s="35"/>
      <c r="D12" s="35"/>
      <c r="E12" s="63"/>
    </row>
    <row r="13" spans="1:6" x14ac:dyDescent="0.3">
      <c r="A13" s="32" t="s">
        <v>237</v>
      </c>
      <c r="B13" s="33" t="s">
        <v>31</v>
      </c>
      <c r="C13" s="35"/>
      <c r="D13" s="35"/>
      <c r="E13" s="63"/>
    </row>
    <row r="14" spans="1:6" x14ac:dyDescent="0.3">
      <c r="A14" s="53" t="s">
        <v>240</v>
      </c>
      <c r="B14" s="54" t="s">
        <v>16</v>
      </c>
      <c r="C14" s="56"/>
      <c r="D14" s="56"/>
      <c r="E14" s="63"/>
      <c r="F14" s="57" t="s">
        <v>251</v>
      </c>
    </row>
    <row r="15" spans="1:6" x14ac:dyDescent="0.3">
      <c r="A15" s="53" t="s">
        <v>238</v>
      </c>
      <c r="B15" s="54" t="s">
        <v>18</v>
      </c>
      <c r="C15" s="56"/>
      <c r="D15" s="56"/>
      <c r="E15" s="63"/>
      <c r="F15" s="58"/>
    </row>
    <row r="16" spans="1:6" x14ac:dyDescent="0.3">
      <c r="A16" s="53" t="s">
        <v>239</v>
      </c>
      <c r="B16" s="54" t="s">
        <v>17</v>
      </c>
      <c r="C16" s="56"/>
      <c r="D16" s="56"/>
      <c r="E16" s="63"/>
      <c r="F16" s="59"/>
    </row>
    <row r="17" spans="1:6" x14ac:dyDescent="0.3">
      <c r="A17" s="32" t="s">
        <v>46</v>
      </c>
      <c r="B17" s="33" t="s">
        <v>5</v>
      </c>
      <c r="C17" s="34">
        <f>C8+D8</f>
        <v>7</v>
      </c>
      <c r="D17" s="35">
        <v>3</v>
      </c>
      <c r="E17" s="60" t="s">
        <v>33</v>
      </c>
    </row>
    <row r="18" spans="1:6" x14ac:dyDescent="0.3">
      <c r="A18" s="53" t="s">
        <v>241</v>
      </c>
      <c r="B18" s="56" t="s">
        <v>48</v>
      </c>
      <c r="C18" s="56"/>
      <c r="D18" s="56"/>
      <c r="E18" s="61"/>
      <c r="F18" s="68" t="s">
        <v>251</v>
      </c>
    </row>
    <row r="19" spans="1:6" x14ac:dyDescent="0.3">
      <c r="A19" s="53" t="s">
        <v>242</v>
      </c>
      <c r="B19" s="56" t="s">
        <v>49</v>
      </c>
      <c r="C19" s="56"/>
      <c r="D19" s="56"/>
      <c r="E19" s="61"/>
      <c r="F19" s="68"/>
    </row>
    <row r="20" spans="1:6" x14ac:dyDescent="0.3">
      <c r="A20" s="53" t="s">
        <v>243</v>
      </c>
      <c r="B20" s="56" t="s">
        <v>47</v>
      </c>
      <c r="C20" s="56"/>
      <c r="D20" s="56"/>
      <c r="E20" s="61"/>
      <c r="F20" s="68"/>
    </row>
    <row r="21" spans="1:6" x14ac:dyDescent="0.3">
      <c r="A21" s="53" t="s">
        <v>244</v>
      </c>
      <c r="B21" s="56" t="s">
        <v>50</v>
      </c>
      <c r="C21" s="56"/>
      <c r="D21" s="56"/>
      <c r="E21" s="61"/>
      <c r="F21" s="68"/>
    </row>
    <row r="22" spans="1:6" x14ac:dyDescent="0.3">
      <c r="A22" s="53" t="s">
        <v>246</v>
      </c>
      <c r="B22" s="56" t="s">
        <v>24</v>
      </c>
      <c r="C22" s="56"/>
      <c r="D22" s="56"/>
      <c r="E22" s="61"/>
      <c r="F22" s="68"/>
    </row>
    <row r="23" spans="1:6" x14ac:dyDescent="0.3">
      <c r="A23" s="53" t="s">
        <v>247</v>
      </c>
      <c r="B23" s="56" t="s">
        <v>51</v>
      </c>
      <c r="C23" s="56"/>
      <c r="D23" s="56"/>
      <c r="E23" s="61"/>
      <c r="F23" s="68"/>
    </row>
    <row r="24" spans="1:6" x14ac:dyDescent="0.3">
      <c r="A24" s="53" t="s">
        <v>248</v>
      </c>
      <c r="B24" s="56" t="s">
        <v>37</v>
      </c>
      <c r="C24" s="56"/>
      <c r="D24" s="56"/>
      <c r="E24" s="61"/>
      <c r="F24" s="68"/>
    </row>
    <row r="25" spans="1:6" x14ac:dyDescent="0.3">
      <c r="A25" s="53" t="s">
        <v>249</v>
      </c>
      <c r="B25" s="56" t="s">
        <v>52</v>
      </c>
      <c r="C25" s="56"/>
      <c r="D25" s="56"/>
      <c r="E25" s="61"/>
      <c r="F25" s="68"/>
    </row>
    <row r="26" spans="1:6" x14ac:dyDescent="0.3">
      <c r="A26" s="32" t="s">
        <v>245</v>
      </c>
      <c r="B26" s="35" t="s">
        <v>19</v>
      </c>
      <c r="C26" s="35"/>
      <c r="D26" s="35"/>
      <c r="E26" s="62"/>
    </row>
    <row r="27" spans="1:6" x14ac:dyDescent="0.3">
      <c r="A27" s="32" t="s">
        <v>196</v>
      </c>
      <c r="B27" s="35" t="s">
        <v>55</v>
      </c>
      <c r="C27" s="35">
        <f>C17+D17</f>
        <v>10</v>
      </c>
      <c r="D27" s="35">
        <v>9</v>
      </c>
      <c r="E27" s="22" t="s">
        <v>34</v>
      </c>
    </row>
    <row r="28" spans="1:6" x14ac:dyDescent="0.3">
      <c r="A28" s="32" t="s">
        <v>197</v>
      </c>
      <c r="B28" s="35" t="s">
        <v>6</v>
      </c>
      <c r="C28" s="34">
        <f t="shared" ref="C28:C37" si="0">C27+D27</f>
        <v>19</v>
      </c>
      <c r="D28" s="35">
        <v>10</v>
      </c>
      <c r="E28" s="22" t="s">
        <v>34</v>
      </c>
    </row>
    <row r="29" spans="1:6" x14ac:dyDescent="0.3">
      <c r="A29" s="32" t="s">
        <v>198</v>
      </c>
      <c r="B29" s="35" t="s">
        <v>56</v>
      </c>
      <c r="C29" s="36">
        <f t="shared" si="0"/>
        <v>29</v>
      </c>
      <c r="D29" s="35">
        <v>9</v>
      </c>
      <c r="E29" s="21" t="s">
        <v>33</v>
      </c>
    </row>
    <row r="30" spans="1:6" x14ac:dyDescent="0.3">
      <c r="A30" s="32" t="s">
        <v>53</v>
      </c>
      <c r="B30" s="35" t="s">
        <v>57</v>
      </c>
      <c r="C30" s="34">
        <f t="shared" si="0"/>
        <v>38</v>
      </c>
      <c r="D30" s="35">
        <v>10</v>
      </c>
      <c r="E30" s="21" t="s">
        <v>33</v>
      </c>
    </row>
    <row r="31" spans="1:6" x14ac:dyDescent="0.3">
      <c r="A31" s="32" t="s">
        <v>54</v>
      </c>
      <c r="B31" s="35" t="s">
        <v>7</v>
      </c>
      <c r="C31" s="34">
        <f t="shared" si="0"/>
        <v>48</v>
      </c>
      <c r="D31" s="35">
        <v>16</v>
      </c>
      <c r="E31" s="22" t="s">
        <v>34</v>
      </c>
    </row>
    <row r="32" spans="1:6" x14ac:dyDescent="0.3">
      <c r="A32" s="32" t="s">
        <v>58</v>
      </c>
      <c r="B32" s="33" t="s">
        <v>61</v>
      </c>
      <c r="C32" s="34">
        <f t="shared" si="0"/>
        <v>64</v>
      </c>
      <c r="D32" s="34">
        <v>6</v>
      </c>
      <c r="E32" s="21" t="s">
        <v>33</v>
      </c>
    </row>
    <row r="33" spans="1:6" x14ac:dyDescent="0.3">
      <c r="A33" s="32" t="s">
        <v>59</v>
      </c>
      <c r="B33" s="33" t="s">
        <v>286</v>
      </c>
      <c r="C33" s="34">
        <f t="shared" si="0"/>
        <v>70</v>
      </c>
      <c r="D33" s="34">
        <v>14</v>
      </c>
      <c r="E33" s="21" t="s">
        <v>33</v>
      </c>
    </row>
    <row r="34" spans="1:6" x14ac:dyDescent="0.3">
      <c r="A34" s="32" t="s">
        <v>62</v>
      </c>
      <c r="B34" s="33" t="s">
        <v>64</v>
      </c>
      <c r="C34" s="34">
        <f t="shared" si="0"/>
        <v>84</v>
      </c>
      <c r="D34" s="34">
        <v>7</v>
      </c>
      <c r="E34" s="37" t="s">
        <v>36</v>
      </c>
    </row>
    <row r="35" spans="1:6" x14ac:dyDescent="0.3">
      <c r="A35" s="32" t="s">
        <v>62</v>
      </c>
      <c r="B35" s="33" t="s">
        <v>63</v>
      </c>
      <c r="C35" s="34">
        <f t="shared" si="0"/>
        <v>91</v>
      </c>
      <c r="D35" s="34">
        <v>7</v>
      </c>
      <c r="E35" s="37" t="s">
        <v>36</v>
      </c>
    </row>
    <row r="36" spans="1:6" x14ac:dyDescent="0.3">
      <c r="A36" s="32" t="s">
        <v>60</v>
      </c>
      <c r="B36" s="33" t="s">
        <v>250</v>
      </c>
      <c r="C36" s="34">
        <f t="shared" si="0"/>
        <v>98</v>
      </c>
      <c r="D36" s="34">
        <v>4</v>
      </c>
      <c r="E36" s="37" t="s">
        <v>36</v>
      </c>
    </row>
    <row r="37" spans="1:6" x14ac:dyDescent="0.3">
      <c r="A37" s="32" t="s">
        <v>60</v>
      </c>
      <c r="B37" s="33" t="s">
        <v>65</v>
      </c>
      <c r="C37" s="34">
        <f t="shared" si="0"/>
        <v>102</v>
      </c>
      <c r="D37" s="34">
        <v>4</v>
      </c>
      <c r="E37" s="37" t="s">
        <v>36</v>
      </c>
    </row>
    <row r="38" spans="1:6" x14ac:dyDescent="0.3">
      <c r="A38" s="32" t="s">
        <v>79</v>
      </c>
      <c r="B38" s="33" t="s">
        <v>78</v>
      </c>
      <c r="C38" s="34">
        <f>C37+D37</f>
        <v>106</v>
      </c>
      <c r="D38" s="34">
        <v>3</v>
      </c>
      <c r="E38" s="60" t="s">
        <v>33</v>
      </c>
    </row>
    <row r="39" spans="1:6" x14ac:dyDescent="0.3">
      <c r="A39" s="53" t="s">
        <v>66</v>
      </c>
      <c r="B39" s="54" t="s">
        <v>72</v>
      </c>
      <c r="C39" s="55"/>
      <c r="D39" s="55"/>
      <c r="E39" s="61"/>
      <c r="F39" s="68" t="s">
        <v>251</v>
      </c>
    </row>
    <row r="40" spans="1:6" x14ac:dyDescent="0.3">
      <c r="A40" s="53" t="s">
        <v>67</v>
      </c>
      <c r="B40" s="54" t="s">
        <v>73</v>
      </c>
      <c r="C40" s="55"/>
      <c r="D40" s="55"/>
      <c r="E40" s="61"/>
      <c r="F40" s="68"/>
    </row>
    <row r="41" spans="1:6" x14ac:dyDescent="0.3">
      <c r="A41" s="53" t="s">
        <v>68</v>
      </c>
      <c r="B41" s="54" t="s">
        <v>74</v>
      </c>
      <c r="C41" s="55"/>
      <c r="D41" s="55"/>
      <c r="E41" s="61"/>
      <c r="F41" s="68"/>
    </row>
    <row r="42" spans="1:6" x14ac:dyDescent="0.3">
      <c r="A42" s="53" t="s">
        <v>69</v>
      </c>
      <c r="B42" s="54" t="s">
        <v>75</v>
      </c>
      <c r="C42" s="55"/>
      <c r="D42" s="55"/>
      <c r="E42" s="61"/>
      <c r="F42" s="68"/>
    </row>
    <row r="43" spans="1:6" x14ac:dyDescent="0.3">
      <c r="A43" s="53" t="s">
        <v>70</v>
      </c>
      <c r="B43" s="54" t="s">
        <v>76</v>
      </c>
      <c r="C43" s="55"/>
      <c r="D43" s="55"/>
      <c r="E43" s="61"/>
      <c r="F43" s="68"/>
    </row>
    <row r="44" spans="1:6" x14ac:dyDescent="0.3">
      <c r="A44" s="53" t="s">
        <v>71</v>
      </c>
      <c r="B44" s="54" t="s">
        <v>77</v>
      </c>
      <c r="C44" s="55"/>
      <c r="D44" s="55"/>
      <c r="E44" s="61"/>
      <c r="F44" s="68"/>
    </row>
    <row r="45" spans="1:6" x14ac:dyDescent="0.3">
      <c r="A45" s="46" t="s">
        <v>192</v>
      </c>
      <c r="B45" s="47" t="s">
        <v>193</v>
      </c>
      <c r="C45" s="34"/>
      <c r="D45" s="34"/>
      <c r="E45" s="61"/>
    </row>
    <row r="46" spans="1:6" x14ac:dyDescent="0.3">
      <c r="A46" s="46" t="s">
        <v>194</v>
      </c>
      <c r="B46" s="47" t="s">
        <v>195</v>
      </c>
      <c r="C46" s="34"/>
      <c r="D46" s="34"/>
      <c r="E46" s="62"/>
    </row>
    <row r="47" spans="1:6" x14ac:dyDescent="0.3">
      <c r="A47" s="32" t="s">
        <v>80</v>
      </c>
      <c r="B47" s="33" t="s">
        <v>82</v>
      </c>
      <c r="C47" s="34">
        <f>C38+D38</f>
        <v>109</v>
      </c>
      <c r="D47" s="34">
        <v>8</v>
      </c>
      <c r="E47" s="22" t="s">
        <v>34</v>
      </c>
    </row>
    <row r="48" spans="1:6" x14ac:dyDescent="0.3">
      <c r="A48" s="32" t="s">
        <v>81</v>
      </c>
      <c r="B48" s="33" t="s">
        <v>83</v>
      </c>
      <c r="C48" s="34">
        <f>C47+D47</f>
        <v>117</v>
      </c>
      <c r="D48" s="34">
        <v>10</v>
      </c>
      <c r="E48" s="21" t="s">
        <v>33</v>
      </c>
    </row>
    <row r="49" spans="1:6" x14ac:dyDescent="0.3">
      <c r="A49" s="32" t="s">
        <v>84</v>
      </c>
      <c r="B49" s="33" t="s">
        <v>41</v>
      </c>
      <c r="C49" s="34">
        <f>C48+D48</f>
        <v>127</v>
      </c>
      <c r="D49" s="34">
        <v>4</v>
      </c>
      <c r="E49" s="60" t="s">
        <v>33</v>
      </c>
    </row>
    <row r="50" spans="1:6" x14ac:dyDescent="0.3">
      <c r="A50" s="53" t="s">
        <v>85</v>
      </c>
      <c r="B50" s="54" t="s">
        <v>98</v>
      </c>
      <c r="C50" s="55"/>
      <c r="D50" s="55"/>
      <c r="E50" s="61"/>
      <c r="F50" s="57" t="s">
        <v>251</v>
      </c>
    </row>
    <row r="51" spans="1:6" x14ac:dyDescent="0.3">
      <c r="A51" s="53" t="s">
        <v>86</v>
      </c>
      <c r="B51" s="54" t="s">
        <v>99</v>
      </c>
      <c r="C51" s="55"/>
      <c r="D51" s="55"/>
      <c r="E51" s="61"/>
      <c r="F51" s="58"/>
    </row>
    <row r="52" spans="1:6" x14ac:dyDescent="0.3">
      <c r="A52" s="53" t="s">
        <v>87</v>
      </c>
      <c r="B52" s="54" t="s">
        <v>100</v>
      </c>
      <c r="C52" s="55"/>
      <c r="D52" s="55"/>
      <c r="E52" s="61"/>
      <c r="F52" s="58"/>
    </row>
    <row r="53" spans="1:6" x14ac:dyDescent="0.3">
      <c r="A53" s="53" t="s">
        <v>88</v>
      </c>
      <c r="B53" s="54" t="s">
        <v>101</v>
      </c>
      <c r="C53" s="55"/>
      <c r="D53" s="55"/>
      <c r="E53" s="61"/>
      <c r="F53" s="58"/>
    </row>
    <row r="54" spans="1:6" x14ac:dyDescent="0.3">
      <c r="A54" s="53" t="s">
        <v>89</v>
      </c>
      <c r="B54" s="54" t="s">
        <v>102</v>
      </c>
      <c r="C54" s="55"/>
      <c r="D54" s="55"/>
      <c r="E54" s="61"/>
      <c r="F54" s="58"/>
    </row>
    <row r="55" spans="1:6" x14ac:dyDescent="0.3">
      <c r="A55" s="53" t="s">
        <v>90</v>
      </c>
      <c r="B55" s="54" t="s">
        <v>103</v>
      </c>
      <c r="C55" s="55"/>
      <c r="D55" s="55"/>
      <c r="E55" s="61"/>
      <c r="F55" s="58"/>
    </row>
    <row r="56" spans="1:6" x14ac:dyDescent="0.3">
      <c r="A56" s="53" t="s">
        <v>91</v>
      </c>
      <c r="B56" s="54" t="s">
        <v>104</v>
      </c>
      <c r="C56" s="55"/>
      <c r="D56" s="55"/>
      <c r="E56" s="61"/>
      <c r="F56" s="58"/>
    </row>
    <row r="57" spans="1:6" x14ac:dyDescent="0.3">
      <c r="A57" s="53" t="s">
        <v>92</v>
      </c>
      <c r="B57" s="54" t="s">
        <v>110</v>
      </c>
      <c r="C57" s="55"/>
      <c r="D57" s="55"/>
      <c r="E57" s="61"/>
      <c r="F57" s="58"/>
    </row>
    <row r="58" spans="1:6" x14ac:dyDescent="0.3">
      <c r="A58" s="53" t="s">
        <v>93</v>
      </c>
      <c r="B58" s="54" t="s">
        <v>105</v>
      </c>
      <c r="C58" s="55"/>
      <c r="D58" s="55"/>
      <c r="E58" s="61"/>
      <c r="F58" s="58"/>
    </row>
    <row r="59" spans="1:6" x14ac:dyDescent="0.3">
      <c r="A59" s="53" t="s">
        <v>94</v>
      </c>
      <c r="B59" s="54" t="s">
        <v>106</v>
      </c>
      <c r="C59" s="55"/>
      <c r="D59" s="55"/>
      <c r="E59" s="61"/>
      <c r="F59" s="58"/>
    </row>
    <row r="60" spans="1:6" x14ac:dyDescent="0.3">
      <c r="A60" s="53" t="s">
        <v>95</v>
      </c>
      <c r="B60" s="54" t="s">
        <v>107</v>
      </c>
      <c r="C60" s="55"/>
      <c r="D60" s="55"/>
      <c r="E60" s="61"/>
      <c r="F60" s="58"/>
    </row>
    <row r="61" spans="1:6" x14ac:dyDescent="0.3">
      <c r="A61" s="53" t="s">
        <v>96</v>
      </c>
      <c r="B61" s="54" t="s">
        <v>108</v>
      </c>
      <c r="C61" s="55"/>
      <c r="D61" s="55"/>
      <c r="E61" s="61"/>
      <c r="F61" s="58"/>
    </row>
    <row r="62" spans="1:6" x14ac:dyDescent="0.3">
      <c r="A62" s="53" t="s">
        <v>97</v>
      </c>
      <c r="B62" s="54" t="s">
        <v>109</v>
      </c>
      <c r="C62" s="55"/>
      <c r="D62" s="55"/>
      <c r="E62" s="61"/>
      <c r="F62" s="59"/>
    </row>
    <row r="63" spans="1:6" x14ac:dyDescent="0.3">
      <c r="A63" s="46" t="s">
        <v>219</v>
      </c>
      <c r="B63" s="47" t="s">
        <v>210</v>
      </c>
      <c r="C63" s="34"/>
      <c r="D63" s="34"/>
      <c r="E63" s="61"/>
    </row>
    <row r="64" spans="1:6" x14ac:dyDescent="0.3">
      <c r="A64" s="46" t="s">
        <v>218</v>
      </c>
      <c r="B64" s="47" t="s">
        <v>200</v>
      </c>
      <c r="C64" s="34"/>
      <c r="D64" s="34"/>
      <c r="E64" s="61"/>
    </row>
    <row r="65" spans="1:6" x14ac:dyDescent="0.3">
      <c r="A65" s="46" t="s">
        <v>217</v>
      </c>
      <c r="B65" s="47" t="s">
        <v>203</v>
      </c>
      <c r="C65" s="34"/>
      <c r="D65" s="34"/>
      <c r="E65" s="61"/>
    </row>
    <row r="66" spans="1:6" x14ac:dyDescent="0.3">
      <c r="A66" s="46" t="s">
        <v>216</v>
      </c>
      <c r="B66" s="47" t="s">
        <v>201</v>
      </c>
      <c r="C66" s="34"/>
      <c r="D66" s="34"/>
      <c r="E66" s="61"/>
    </row>
    <row r="67" spans="1:6" x14ac:dyDescent="0.3">
      <c r="A67" s="46" t="s">
        <v>215</v>
      </c>
      <c r="B67" s="47" t="s">
        <v>202</v>
      </c>
      <c r="C67" s="34"/>
      <c r="D67" s="34"/>
      <c r="E67" s="61"/>
    </row>
    <row r="68" spans="1:6" x14ac:dyDescent="0.3">
      <c r="A68" s="46" t="s">
        <v>222</v>
      </c>
      <c r="B68" s="47" t="s">
        <v>223</v>
      </c>
      <c r="C68" s="34"/>
      <c r="D68" s="34"/>
      <c r="E68" s="61"/>
    </row>
    <row r="69" spans="1:6" x14ac:dyDescent="0.3">
      <c r="A69" s="46" t="s">
        <v>214</v>
      </c>
      <c r="B69" s="47" t="s">
        <v>211</v>
      </c>
      <c r="C69" s="34"/>
      <c r="D69" s="34"/>
      <c r="E69" s="62"/>
    </row>
    <row r="70" spans="1:6" x14ac:dyDescent="0.3">
      <c r="A70" s="32" t="s">
        <v>252</v>
      </c>
      <c r="B70" s="33" t="s">
        <v>119</v>
      </c>
      <c r="C70" s="34">
        <f>C49+D49</f>
        <v>131</v>
      </c>
      <c r="D70" s="34">
        <v>1</v>
      </c>
      <c r="E70" s="67" t="s">
        <v>34</v>
      </c>
    </row>
    <row r="71" spans="1:6" x14ac:dyDescent="0.3">
      <c r="A71" s="53" t="s">
        <v>111</v>
      </c>
      <c r="B71" s="54" t="s">
        <v>115</v>
      </c>
      <c r="C71" s="55"/>
      <c r="D71" s="55"/>
      <c r="E71" s="67"/>
      <c r="F71" s="57" t="s">
        <v>251</v>
      </c>
    </row>
    <row r="72" spans="1:6" x14ac:dyDescent="0.3">
      <c r="A72" s="53" t="s">
        <v>112</v>
      </c>
      <c r="B72" s="54" t="s">
        <v>116</v>
      </c>
      <c r="C72" s="55"/>
      <c r="D72" s="55"/>
      <c r="E72" s="67"/>
      <c r="F72" s="58"/>
    </row>
    <row r="73" spans="1:6" x14ac:dyDescent="0.3">
      <c r="A73" s="53" t="s">
        <v>113</v>
      </c>
      <c r="B73" s="54" t="s">
        <v>117</v>
      </c>
      <c r="C73" s="55"/>
      <c r="D73" s="55"/>
      <c r="E73" s="67"/>
      <c r="F73" s="58"/>
    </row>
    <row r="74" spans="1:6" x14ac:dyDescent="0.3">
      <c r="A74" s="53" t="s">
        <v>114</v>
      </c>
      <c r="B74" s="54" t="s">
        <v>118</v>
      </c>
      <c r="C74" s="55"/>
      <c r="D74" s="55"/>
      <c r="E74" s="67"/>
      <c r="F74" s="59"/>
    </row>
    <row r="75" spans="1:6" x14ac:dyDescent="0.3">
      <c r="A75" s="32" t="s">
        <v>253</v>
      </c>
      <c r="B75" s="33" t="s">
        <v>120</v>
      </c>
      <c r="C75" s="34">
        <f>C70+D70</f>
        <v>132</v>
      </c>
      <c r="D75" s="34">
        <v>6</v>
      </c>
      <c r="E75" s="37" t="s">
        <v>36</v>
      </c>
    </row>
    <row r="76" spans="1:6" x14ac:dyDescent="0.3">
      <c r="A76" s="32" t="s">
        <v>121</v>
      </c>
      <c r="B76" s="33" t="s">
        <v>122</v>
      </c>
      <c r="C76" s="34">
        <f>C75+D75</f>
        <v>138</v>
      </c>
      <c r="D76" s="34">
        <v>3</v>
      </c>
      <c r="E76" s="60" t="s">
        <v>33</v>
      </c>
    </row>
    <row r="77" spans="1:6" x14ac:dyDescent="0.3">
      <c r="A77" s="53" t="s">
        <v>136</v>
      </c>
      <c r="B77" s="54" t="s">
        <v>123</v>
      </c>
      <c r="C77" s="55"/>
      <c r="D77" s="55"/>
      <c r="E77" s="61"/>
      <c r="F77" s="57" t="s">
        <v>251</v>
      </c>
    </row>
    <row r="78" spans="1:6" x14ac:dyDescent="0.3">
      <c r="A78" s="53" t="s">
        <v>137</v>
      </c>
      <c r="B78" s="54" t="s">
        <v>124</v>
      </c>
      <c r="C78" s="55"/>
      <c r="D78" s="55"/>
      <c r="E78" s="61"/>
      <c r="F78" s="58"/>
    </row>
    <row r="79" spans="1:6" x14ac:dyDescent="0.3">
      <c r="A79" s="53" t="s">
        <v>138</v>
      </c>
      <c r="B79" s="54" t="s">
        <v>125</v>
      </c>
      <c r="C79" s="55"/>
      <c r="D79" s="55"/>
      <c r="E79" s="61"/>
      <c r="F79" s="58"/>
    </row>
    <row r="80" spans="1:6" x14ac:dyDescent="0.3">
      <c r="A80" s="53" t="s">
        <v>139</v>
      </c>
      <c r="B80" s="54" t="s">
        <v>126</v>
      </c>
      <c r="C80" s="55"/>
      <c r="D80" s="55"/>
      <c r="E80" s="61"/>
      <c r="F80" s="58"/>
    </row>
    <row r="81" spans="1:6" x14ac:dyDescent="0.3">
      <c r="A81" s="53" t="s">
        <v>140</v>
      </c>
      <c r="B81" s="54" t="s">
        <v>127</v>
      </c>
      <c r="C81" s="55"/>
      <c r="D81" s="55"/>
      <c r="E81" s="61"/>
      <c r="F81" s="58"/>
    </row>
    <row r="82" spans="1:6" x14ac:dyDescent="0.3">
      <c r="A82" s="53" t="s">
        <v>141</v>
      </c>
      <c r="B82" s="54" t="s">
        <v>128</v>
      </c>
      <c r="C82" s="55"/>
      <c r="D82" s="55"/>
      <c r="E82" s="61"/>
      <c r="F82" s="58"/>
    </row>
    <row r="83" spans="1:6" x14ac:dyDescent="0.3">
      <c r="A83" s="53" t="s">
        <v>142</v>
      </c>
      <c r="B83" s="54" t="s">
        <v>129</v>
      </c>
      <c r="C83" s="55"/>
      <c r="D83" s="55"/>
      <c r="E83" s="61"/>
      <c r="F83" s="58"/>
    </row>
    <row r="84" spans="1:6" x14ac:dyDescent="0.3">
      <c r="A84" s="53" t="s">
        <v>143</v>
      </c>
      <c r="B84" s="54" t="s">
        <v>130</v>
      </c>
      <c r="C84" s="55"/>
      <c r="D84" s="55"/>
      <c r="E84" s="61"/>
      <c r="F84" s="58"/>
    </row>
    <row r="85" spans="1:6" x14ac:dyDescent="0.3">
      <c r="A85" s="53" t="s">
        <v>144</v>
      </c>
      <c r="B85" s="54" t="s">
        <v>131</v>
      </c>
      <c r="C85" s="55"/>
      <c r="D85" s="55"/>
      <c r="E85" s="61"/>
      <c r="F85" s="58"/>
    </row>
    <row r="86" spans="1:6" x14ac:dyDescent="0.3">
      <c r="A86" s="53" t="s">
        <v>145</v>
      </c>
      <c r="B86" s="54" t="s">
        <v>132</v>
      </c>
      <c r="C86" s="55"/>
      <c r="D86" s="55"/>
      <c r="E86" s="61"/>
      <c r="F86" s="58"/>
    </row>
    <row r="87" spans="1:6" x14ac:dyDescent="0.3">
      <c r="A87" s="53" t="s">
        <v>146</v>
      </c>
      <c r="B87" s="54" t="s">
        <v>133</v>
      </c>
      <c r="C87" s="55"/>
      <c r="D87" s="55"/>
      <c r="E87" s="61"/>
      <c r="F87" s="58"/>
    </row>
    <row r="88" spans="1:6" x14ac:dyDescent="0.3">
      <c r="A88" s="53" t="s">
        <v>147</v>
      </c>
      <c r="B88" s="54" t="s">
        <v>134</v>
      </c>
      <c r="C88" s="55"/>
      <c r="D88" s="55"/>
      <c r="E88" s="61"/>
      <c r="F88" s="59"/>
    </row>
    <row r="89" spans="1:6" x14ac:dyDescent="0.3">
      <c r="A89" s="46" t="s">
        <v>153</v>
      </c>
      <c r="B89" s="47" t="s">
        <v>154</v>
      </c>
      <c r="C89" s="34"/>
      <c r="D89" s="34"/>
      <c r="E89" s="62"/>
    </row>
    <row r="90" spans="1:6" x14ac:dyDescent="0.3">
      <c r="A90" s="32" t="s">
        <v>135</v>
      </c>
      <c r="B90" s="33" t="s">
        <v>149</v>
      </c>
      <c r="C90" s="34">
        <f>C76+D76</f>
        <v>141</v>
      </c>
      <c r="D90" s="34">
        <v>8</v>
      </c>
      <c r="E90" s="22" t="s">
        <v>34</v>
      </c>
    </row>
    <row r="91" spans="1:6" x14ac:dyDescent="0.3">
      <c r="A91" s="32" t="s">
        <v>148</v>
      </c>
      <c r="B91" s="33" t="s">
        <v>150</v>
      </c>
      <c r="C91" s="34">
        <f>C90+D90</f>
        <v>149</v>
      </c>
      <c r="D91" s="34">
        <v>8</v>
      </c>
      <c r="E91" s="22" t="s">
        <v>34</v>
      </c>
    </row>
    <row r="92" spans="1:6" x14ac:dyDescent="0.3">
      <c r="A92" s="32" t="s">
        <v>254</v>
      </c>
      <c r="B92" s="33" t="s">
        <v>152</v>
      </c>
      <c r="C92" s="34">
        <f>C91+D91</f>
        <v>157</v>
      </c>
      <c r="D92" s="34">
        <v>8</v>
      </c>
      <c r="E92" s="37" t="s">
        <v>36</v>
      </c>
    </row>
    <row r="93" spans="1:6" x14ac:dyDescent="0.3">
      <c r="A93" s="32" t="s">
        <v>199</v>
      </c>
      <c r="B93" s="33" t="s">
        <v>151</v>
      </c>
      <c r="C93" s="34">
        <f>C92+D92</f>
        <v>165</v>
      </c>
      <c r="D93" s="34">
        <v>134</v>
      </c>
      <c r="E93" s="37" t="s">
        <v>36</v>
      </c>
    </row>
    <row r="94" spans="1:6" x14ac:dyDescent="0.3">
      <c r="A94" s="6" t="s">
        <v>221</v>
      </c>
      <c r="B94" s="27"/>
      <c r="C94" s="28">
        <f>C93+D93</f>
        <v>299</v>
      </c>
      <c r="D94" s="28">
        <f>4096-C94</f>
        <v>3797</v>
      </c>
      <c r="E94" s="24"/>
    </row>
    <row r="95" spans="1:6" x14ac:dyDescent="0.3">
      <c r="A95" s="25"/>
      <c r="B95" s="12"/>
      <c r="C95" s="3"/>
      <c r="D95" s="3"/>
      <c r="E95" s="24"/>
    </row>
    <row r="96" spans="1:6" x14ac:dyDescent="0.3">
      <c r="A96" s="6" t="s">
        <v>181</v>
      </c>
      <c r="B96" s="7"/>
      <c r="C96" s="8">
        <f>C94</f>
        <v>299</v>
      </c>
      <c r="D96" s="8">
        <v>0</v>
      </c>
      <c r="E96" s="24"/>
    </row>
    <row r="97" spans="1:5" x14ac:dyDescent="0.3">
      <c r="A97" s="9" t="s">
        <v>160</v>
      </c>
      <c r="B97" s="10" t="s">
        <v>212</v>
      </c>
      <c r="C97" s="19">
        <f>C96+D96</f>
        <v>299</v>
      </c>
      <c r="D97" s="10">
        <v>0</v>
      </c>
      <c r="E97" s="4"/>
    </row>
    <row r="98" spans="1:5" x14ac:dyDescent="0.3">
      <c r="A98" s="5" t="s">
        <v>162</v>
      </c>
      <c r="B98" s="4" t="s">
        <v>8</v>
      </c>
      <c r="C98" s="16">
        <f>C97+D97</f>
        <v>299</v>
      </c>
      <c r="D98" s="4">
        <v>40</v>
      </c>
      <c r="E98" s="21" t="s">
        <v>33</v>
      </c>
    </row>
    <row r="99" spans="1:5" x14ac:dyDescent="0.3">
      <c r="A99" s="5" t="s">
        <v>163</v>
      </c>
      <c r="B99" s="4" t="s">
        <v>21</v>
      </c>
      <c r="C99" s="16">
        <f t="shared" ref="C99:C117" si="1">C98+D98</f>
        <v>339</v>
      </c>
      <c r="D99" s="4">
        <v>4</v>
      </c>
      <c r="E99" s="21" t="s">
        <v>33</v>
      </c>
    </row>
    <row r="100" spans="1:5" x14ac:dyDescent="0.3">
      <c r="A100" s="5" t="s">
        <v>164</v>
      </c>
      <c r="B100" s="4" t="s">
        <v>9</v>
      </c>
      <c r="C100" s="16">
        <f t="shared" si="1"/>
        <v>343</v>
      </c>
      <c r="D100" s="4">
        <v>40</v>
      </c>
      <c r="E100" s="21" t="s">
        <v>33</v>
      </c>
    </row>
    <row r="101" spans="1:5" x14ac:dyDescent="0.3">
      <c r="A101" s="5" t="s">
        <v>165</v>
      </c>
      <c r="B101" s="4" t="s">
        <v>10</v>
      </c>
      <c r="C101" s="16">
        <f t="shared" si="1"/>
        <v>383</v>
      </c>
      <c r="D101" s="4">
        <v>40</v>
      </c>
      <c r="E101" s="22" t="s">
        <v>34</v>
      </c>
    </row>
    <row r="102" spans="1:5" x14ac:dyDescent="0.3">
      <c r="A102" s="5" t="s">
        <v>166</v>
      </c>
      <c r="B102" s="4" t="s">
        <v>11</v>
      </c>
      <c r="C102" s="16">
        <f t="shared" si="1"/>
        <v>423</v>
      </c>
      <c r="D102" s="4">
        <v>40</v>
      </c>
      <c r="E102" s="22" t="s">
        <v>34</v>
      </c>
    </row>
    <row r="103" spans="1:5" x14ac:dyDescent="0.3">
      <c r="A103" s="5" t="s">
        <v>167</v>
      </c>
      <c r="B103" s="4" t="s">
        <v>22</v>
      </c>
      <c r="C103" s="16">
        <f t="shared" si="1"/>
        <v>463</v>
      </c>
      <c r="D103" s="4">
        <v>9</v>
      </c>
      <c r="E103" s="21" t="s">
        <v>33</v>
      </c>
    </row>
    <row r="104" spans="1:5" x14ac:dyDescent="0.3">
      <c r="A104" s="5" t="s">
        <v>168</v>
      </c>
      <c r="B104" s="4" t="s">
        <v>12</v>
      </c>
      <c r="C104" s="16">
        <f t="shared" si="1"/>
        <v>472</v>
      </c>
      <c r="D104" s="4">
        <v>40</v>
      </c>
      <c r="E104" s="21" t="s">
        <v>33</v>
      </c>
    </row>
    <row r="105" spans="1:5" x14ac:dyDescent="0.3">
      <c r="A105" s="5" t="s">
        <v>169</v>
      </c>
      <c r="B105" s="4" t="s">
        <v>25</v>
      </c>
      <c r="C105" s="16">
        <f t="shared" si="1"/>
        <v>512</v>
      </c>
      <c r="D105" s="4">
        <v>3</v>
      </c>
      <c r="E105" s="21" t="s">
        <v>33</v>
      </c>
    </row>
    <row r="106" spans="1:5" x14ac:dyDescent="0.3">
      <c r="A106" s="5" t="s">
        <v>170</v>
      </c>
      <c r="B106" s="4" t="s">
        <v>26</v>
      </c>
      <c r="C106" s="16">
        <f t="shared" si="1"/>
        <v>515</v>
      </c>
      <c r="D106" s="4">
        <v>40</v>
      </c>
      <c r="E106" s="21" t="s">
        <v>33</v>
      </c>
    </row>
    <row r="107" spans="1:5" x14ac:dyDescent="0.3">
      <c r="A107" s="17" t="s">
        <v>171</v>
      </c>
      <c r="B107" s="16" t="s">
        <v>27</v>
      </c>
      <c r="C107" s="16">
        <f t="shared" si="1"/>
        <v>555</v>
      </c>
      <c r="D107" s="16">
        <v>4</v>
      </c>
      <c r="E107" s="21" t="s">
        <v>33</v>
      </c>
    </row>
    <row r="108" spans="1:5" x14ac:dyDescent="0.3">
      <c r="A108" s="17" t="s">
        <v>172</v>
      </c>
      <c r="B108" s="16" t="s">
        <v>159</v>
      </c>
      <c r="C108" s="16">
        <f>C107+D107</f>
        <v>559</v>
      </c>
      <c r="D108" s="16">
        <v>22</v>
      </c>
      <c r="E108" s="21" t="s">
        <v>33</v>
      </c>
    </row>
    <row r="109" spans="1:5" x14ac:dyDescent="0.3">
      <c r="A109" s="17" t="s">
        <v>173</v>
      </c>
      <c r="B109" s="4" t="s">
        <v>38</v>
      </c>
      <c r="C109" s="16">
        <f t="shared" si="1"/>
        <v>581</v>
      </c>
      <c r="D109" s="16">
        <v>1</v>
      </c>
      <c r="E109" s="64" t="s">
        <v>34</v>
      </c>
    </row>
    <row r="110" spans="1:5" x14ac:dyDescent="0.3">
      <c r="A110" s="17" t="s">
        <v>174</v>
      </c>
      <c r="B110" s="4" t="s">
        <v>39</v>
      </c>
      <c r="C110" s="16"/>
      <c r="D110" s="16"/>
      <c r="E110" s="65"/>
    </row>
    <row r="111" spans="1:5" x14ac:dyDescent="0.3">
      <c r="A111" s="17" t="s">
        <v>175</v>
      </c>
      <c r="B111" s="4" t="s">
        <v>40</v>
      </c>
      <c r="C111" s="16"/>
      <c r="D111" s="16"/>
      <c r="E111" s="66"/>
    </row>
    <row r="112" spans="1:5" x14ac:dyDescent="0.3">
      <c r="A112" s="9" t="s">
        <v>161</v>
      </c>
      <c r="B112" s="19"/>
      <c r="C112" s="19">
        <f>C109+D109</f>
        <v>582</v>
      </c>
      <c r="D112" s="19">
        <v>0</v>
      </c>
      <c r="E112" s="23"/>
    </row>
    <row r="113" spans="1:5" x14ac:dyDescent="0.3">
      <c r="A113" s="5" t="s">
        <v>177</v>
      </c>
      <c r="B113" s="4" t="s">
        <v>35</v>
      </c>
      <c r="C113" s="16">
        <f t="shared" si="1"/>
        <v>582</v>
      </c>
      <c r="D113" s="16">
        <v>8</v>
      </c>
      <c r="E113" s="21" t="s">
        <v>33</v>
      </c>
    </row>
    <row r="114" spans="1:5" x14ac:dyDescent="0.3">
      <c r="A114" s="13" t="s">
        <v>187</v>
      </c>
      <c r="B114" s="14" t="s">
        <v>188</v>
      </c>
      <c r="C114" s="16">
        <f t="shared" si="1"/>
        <v>590</v>
      </c>
      <c r="D114" s="14">
        <v>40</v>
      </c>
      <c r="E114" s="21" t="s">
        <v>33</v>
      </c>
    </row>
    <row r="115" spans="1:5" x14ac:dyDescent="0.3">
      <c r="A115" s="13" t="s">
        <v>255</v>
      </c>
      <c r="B115" s="14" t="s">
        <v>189</v>
      </c>
      <c r="C115" s="16">
        <f t="shared" ref="C115:C116" si="2">C114+D114</f>
        <v>630</v>
      </c>
      <c r="D115" s="14">
        <v>2</v>
      </c>
      <c r="E115" s="39" t="s">
        <v>33</v>
      </c>
    </row>
    <row r="116" spans="1:5" x14ac:dyDescent="0.3">
      <c r="A116" s="13" t="s">
        <v>256</v>
      </c>
      <c r="B116" s="14" t="s">
        <v>257</v>
      </c>
      <c r="C116" s="16">
        <f t="shared" si="2"/>
        <v>632</v>
      </c>
      <c r="D116" s="14">
        <v>8</v>
      </c>
      <c r="E116" s="21" t="s">
        <v>33</v>
      </c>
    </row>
    <row r="117" spans="1:5" x14ac:dyDescent="0.3">
      <c r="A117" s="13" t="s">
        <v>183</v>
      </c>
      <c r="B117" s="14" t="s">
        <v>182</v>
      </c>
      <c r="C117" s="16">
        <f t="shared" si="1"/>
        <v>640</v>
      </c>
      <c r="D117" s="14">
        <v>8</v>
      </c>
      <c r="E117" s="21" t="s">
        <v>33</v>
      </c>
    </row>
    <row r="118" spans="1:5" x14ac:dyDescent="0.3">
      <c r="A118" s="13" t="s">
        <v>184</v>
      </c>
      <c r="B118" s="14" t="s">
        <v>185</v>
      </c>
      <c r="C118" s="16">
        <f t="shared" ref="C118:C129" si="3">C117+D117</f>
        <v>648</v>
      </c>
      <c r="D118" s="14">
        <v>8</v>
      </c>
      <c r="E118" s="39" t="s">
        <v>33</v>
      </c>
    </row>
    <row r="119" spans="1:5" x14ac:dyDescent="0.3">
      <c r="A119" s="42" t="s">
        <v>258</v>
      </c>
      <c r="B119" s="41" t="s">
        <v>186</v>
      </c>
      <c r="C119" s="16">
        <f t="shared" si="3"/>
        <v>656</v>
      </c>
      <c r="D119" s="14">
        <v>1</v>
      </c>
      <c r="E119" s="60" t="s">
        <v>33</v>
      </c>
    </row>
    <row r="120" spans="1:5" x14ac:dyDescent="0.3">
      <c r="A120" s="17" t="s">
        <v>269</v>
      </c>
      <c r="B120" s="4" t="s">
        <v>264</v>
      </c>
      <c r="C120" s="16"/>
      <c r="D120" s="16"/>
      <c r="E120" s="61"/>
    </row>
    <row r="121" spans="1:5" x14ac:dyDescent="0.3">
      <c r="A121" s="17" t="s">
        <v>270</v>
      </c>
      <c r="B121" s="4" t="s">
        <v>265</v>
      </c>
      <c r="C121" s="16"/>
      <c r="D121" s="16"/>
      <c r="E121" s="61"/>
    </row>
    <row r="122" spans="1:5" x14ac:dyDescent="0.3">
      <c r="A122" s="17" t="s">
        <v>271</v>
      </c>
      <c r="B122" s="4" t="s">
        <v>266</v>
      </c>
      <c r="C122" s="16"/>
      <c r="D122" s="16"/>
      <c r="E122" s="61"/>
    </row>
    <row r="123" spans="1:5" x14ac:dyDescent="0.3">
      <c r="A123" s="17" t="s">
        <v>272</v>
      </c>
      <c r="B123" s="4" t="s">
        <v>267</v>
      </c>
      <c r="C123" s="16"/>
      <c r="D123" s="16"/>
      <c r="E123" s="61"/>
    </row>
    <row r="124" spans="1:5" x14ac:dyDescent="0.3">
      <c r="A124" s="17" t="s">
        <v>273</v>
      </c>
      <c r="B124" s="4" t="s">
        <v>268</v>
      </c>
      <c r="C124" s="16"/>
      <c r="D124" s="16"/>
      <c r="E124" s="62"/>
    </row>
    <row r="125" spans="1:5" x14ac:dyDescent="0.3">
      <c r="A125" s="42" t="s">
        <v>259</v>
      </c>
      <c r="B125" s="41" t="s">
        <v>263</v>
      </c>
      <c r="C125" s="16">
        <f t="shared" si="3"/>
        <v>0</v>
      </c>
      <c r="D125" s="14">
        <v>1</v>
      </c>
      <c r="E125" s="48"/>
    </row>
    <row r="126" spans="1:5" x14ac:dyDescent="0.3">
      <c r="A126" s="17" t="s">
        <v>260</v>
      </c>
      <c r="B126" s="4" t="s">
        <v>275</v>
      </c>
      <c r="C126" s="16"/>
      <c r="D126" s="16"/>
      <c r="E126" s="48"/>
    </row>
    <row r="127" spans="1:5" x14ac:dyDescent="0.3">
      <c r="A127" s="17" t="s">
        <v>261</v>
      </c>
      <c r="B127" s="4" t="s">
        <v>274</v>
      </c>
      <c r="C127" s="16"/>
      <c r="D127" s="16"/>
      <c r="E127" s="48"/>
    </row>
    <row r="128" spans="1:5" x14ac:dyDescent="0.3">
      <c r="A128" s="17" t="s">
        <v>262</v>
      </c>
      <c r="B128" s="4" t="s">
        <v>276</v>
      </c>
      <c r="C128" s="16"/>
      <c r="D128" s="16"/>
      <c r="E128" s="48"/>
    </row>
    <row r="129" spans="1:6" x14ac:dyDescent="0.3">
      <c r="A129" s="13" t="s">
        <v>190</v>
      </c>
      <c r="B129" s="41" t="s">
        <v>191</v>
      </c>
      <c r="C129" s="16">
        <f t="shared" si="3"/>
        <v>0</v>
      </c>
      <c r="D129" s="14">
        <v>30</v>
      </c>
      <c r="E129" s="40" t="s">
        <v>33</v>
      </c>
    </row>
    <row r="130" spans="1:6" x14ac:dyDescent="0.3">
      <c r="A130" s="9" t="s">
        <v>277</v>
      </c>
      <c r="B130" s="10" t="s">
        <v>36</v>
      </c>
      <c r="C130" s="19">
        <f>C129+D129</f>
        <v>30</v>
      </c>
      <c r="D130" s="10">
        <f>4096-C130</f>
        <v>4066</v>
      </c>
      <c r="E130" s="4"/>
      <c r="F130" s="51"/>
    </row>
    <row r="131" spans="1:6" x14ac:dyDescent="0.3">
      <c r="A131" s="5"/>
      <c r="B131" s="4"/>
      <c r="C131" s="3"/>
      <c r="D131" s="4"/>
      <c r="E131" s="4"/>
      <c r="F131" s="51"/>
    </row>
    <row r="132" spans="1:6" x14ac:dyDescent="0.3">
      <c r="A132" s="6" t="s">
        <v>181</v>
      </c>
      <c r="B132" s="18" t="s">
        <v>157</v>
      </c>
      <c r="C132" s="28">
        <v>299</v>
      </c>
      <c r="D132" s="28">
        <v>0</v>
      </c>
      <c r="E132" s="3"/>
      <c r="F132" s="51"/>
    </row>
    <row r="133" spans="1:6" x14ac:dyDescent="0.3">
      <c r="A133" s="9" t="s">
        <v>176</v>
      </c>
      <c r="B133" s="10" t="s">
        <v>204</v>
      </c>
      <c r="C133" s="11">
        <f>C132+D132</f>
        <v>299</v>
      </c>
      <c r="D133" s="10">
        <v>0</v>
      </c>
      <c r="E133" s="4"/>
      <c r="F133" s="51"/>
    </row>
    <row r="134" spans="1:6" x14ac:dyDescent="0.3">
      <c r="A134" s="15" t="s">
        <v>178</v>
      </c>
      <c r="B134" s="16" t="s">
        <v>158</v>
      </c>
      <c r="C134" s="3">
        <f>C133+D133</f>
        <v>299</v>
      </c>
      <c r="D134" s="16">
        <v>50</v>
      </c>
      <c r="E134" s="38" t="s">
        <v>34</v>
      </c>
      <c r="F134" s="51"/>
    </row>
    <row r="135" spans="1:6" x14ac:dyDescent="0.3">
      <c r="A135" s="9" t="s">
        <v>220</v>
      </c>
      <c r="B135" s="10" t="s">
        <v>36</v>
      </c>
      <c r="C135" s="11">
        <f>C134+D134</f>
        <v>349</v>
      </c>
      <c r="D135" s="10">
        <f>4096-C135</f>
        <v>3747</v>
      </c>
      <c r="E135" s="4"/>
      <c r="F135" s="51"/>
    </row>
    <row r="136" spans="1:6" x14ac:dyDescent="0.3">
      <c r="A136" s="5"/>
      <c r="B136" s="4"/>
      <c r="C136" s="16"/>
      <c r="D136" s="4"/>
      <c r="E136" s="4"/>
      <c r="F136" s="51"/>
    </row>
    <row r="137" spans="1:6" x14ac:dyDescent="0.3">
      <c r="A137" s="6" t="s">
        <v>181</v>
      </c>
      <c r="B137" s="18" t="s">
        <v>157</v>
      </c>
      <c r="C137" s="28">
        <v>299</v>
      </c>
      <c r="D137" s="28">
        <v>0</v>
      </c>
      <c r="E137" s="3"/>
      <c r="F137" s="51"/>
    </row>
    <row r="138" spans="1:6" x14ac:dyDescent="0.3">
      <c r="A138" s="9" t="s">
        <v>206</v>
      </c>
      <c r="B138" s="10" t="s">
        <v>207</v>
      </c>
      <c r="C138" s="11">
        <f>C137+D137</f>
        <v>299</v>
      </c>
      <c r="D138" s="10">
        <v>0</v>
      </c>
      <c r="E138" s="4"/>
      <c r="F138" s="51"/>
    </row>
    <row r="139" spans="1:6" x14ac:dyDescent="0.3">
      <c r="A139" s="15" t="s">
        <v>209</v>
      </c>
      <c r="B139" s="16" t="s">
        <v>208</v>
      </c>
      <c r="C139" s="3">
        <f>C138+D138</f>
        <v>299</v>
      </c>
      <c r="D139" s="16">
        <v>50</v>
      </c>
      <c r="E139" s="43" t="s">
        <v>34</v>
      </c>
      <c r="F139" s="51"/>
    </row>
    <row r="140" spans="1:6" x14ac:dyDescent="0.3">
      <c r="A140" s="9" t="s">
        <v>220</v>
      </c>
      <c r="B140" s="10" t="s">
        <v>36</v>
      </c>
      <c r="C140" s="11">
        <f>C139+D139</f>
        <v>349</v>
      </c>
      <c r="D140" s="10">
        <f>4096-C140</f>
        <v>3747</v>
      </c>
      <c r="E140" s="4"/>
      <c r="F140" s="51"/>
    </row>
    <row r="141" spans="1:6" x14ac:dyDescent="0.3">
      <c r="A141" s="5"/>
      <c r="B141" s="4"/>
      <c r="C141" s="3"/>
      <c r="D141" s="4"/>
      <c r="E141" s="4"/>
      <c r="F141" s="51"/>
    </row>
    <row r="142" spans="1:6" x14ac:dyDescent="0.3">
      <c r="A142" s="6" t="s">
        <v>181</v>
      </c>
      <c r="B142" s="18" t="s">
        <v>157</v>
      </c>
      <c r="C142" s="28">
        <v>299</v>
      </c>
      <c r="D142" s="28">
        <v>0</v>
      </c>
      <c r="E142" s="3"/>
      <c r="F142" s="51"/>
    </row>
    <row r="143" spans="1:6" x14ac:dyDescent="0.3">
      <c r="A143" s="9" t="s">
        <v>179</v>
      </c>
      <c r="B143" s="10" t="s">
        <v>205</v>
      </c>
      <c r="C143" s="11">
        <f>C142+D142</f>
        <v>299</v>
      </c>
      <c r="D143" s="10">
        <v>0</v>
      </c>
      <c r="E143" s="4"/>
      <c r="F143" s="51"/>
    </row>
    <row r="144" spans="1:6" x14ac:dyDescent="0.3">
      <c r="A144" s="15" t="s">
        <v>278</v>
      </c>
      <c r="B144" s="16" t="s">
        <v>155</v>
      </c>
      <c r="C144" s="3">
        <f>C143+D143</f>
        <v>299</v>
      </c>
      <c r="D144" s="16">
        <v>100</v>
      </c>
      <c r="E144" s="38" t="s">
        <v>34</v>
      </c>
      <c r="F144" s="51"/>
    </row>
    <row r="145" spans="1:6" x14ac:dyDescent="0.3">
      <c r="A145" s="15" t="s">
        <v>180</v>
      </c>
      <c r="B145" s="16" t="s">
        <v>156</v>
      </c>
      <c r="C145" s="3">
        <f t="shared" ref="C145" si="4">C144+D144</f>
        <v>399</v>
      </c>
      <c r="D145" s="16">
        <v>15</v>
      </c>
      <c r="E145" s="38" t="s">
        <v>34</v>
      </c>
      <c r="F145" s="51"/>
    </row>
    <row r="146" spans="1:6" x14ac:dyDescent="0.3">
      <c r="A146" s="9" t="s">
        <v>279</v>
      </c>
      <c r="B146" s="10" t="s">
        <v>36</v>
      </c>
      <c r="C146" s="11">
        <f>C145+D145</f>
        <v>414</v>
      </c>
      <c r="D146" s="10">
        <f>4096-C146</f>
        <v>3682</v>
      </c>
      <c r="E146" s="4"/>
      <c r="F146" s="51"/>
    </row>
    <row r="147" spans="1:6" x14ac:dyDescent="0.3">
      <c r="A147" s="5"/>
      <c r="B147" s="4"/>
      <c r="C147" s="3"/>
      <c r="D147" s="4"/>
      <c r="E147" s="4"/>
      <c r="F147" s="51"/>
    </row>
    <row r="148" spans="1:6" x14ac:dyDescent="0.3">
      <c r="A148" s="6" t="s">
        <v>181</v>
      </c>
      <c r="B148" s="18" t="s">
        <v>157</v>
      </c>
      <c r="C148" s="28">
        <v>299</v>
      </c>
      <c r="D148" s="28">
        <v>0</v>
      </c>
      <c r="E148" s="3"/>
      <c r="F148" s="51"/>
    </row>
    <row r="149" spans="1:6" x14ac:dyDescent="0.3">
      <c r="A149" s="9" t="s">
        <v>224</v>
      </c>
      <c r="B149" s="10" t="s">
        <v>226</v>
      </c>
      <c r="C149" s="11">
        <f>C148+D148</f>
        <v>299</v>
      </c>
      <c r="D149" s="10">
        <v>0</v>
      </c>
      <c r="E149" s="4"/>
      <c r="F149" s="51"/>
    </row>
    <row r="150" spans="1:6" x14ac:dyDescent="0.3">
      <c r="A150" s="15" t="s">
        <v>280</v>
      </c>
      <c r="B150" s="16" t="s">
        <v>227</v>
      </c>
      <c r="C150" s="3">
        <f>C149+D149</f>
        <v>299</v>
      </c>
      <c r="D150" s="16">
        <v>100</v>
      </c>
      <c r="E150" s="45" t="s">
        <v>34</v>
      </c>
      <c r="F150" s="51"/>
    </row>
    <row r="151" spans="1:6" x14ac:dyDescent="0.3">
      <c r="A151" s="15" t="s">
        <v>225</v>
      </c>
      <c r="B151" s="16" t="s">
        <v>228</v>
      </c>
      <c r="C151" s="3">
        <f t="shared" ref="C151" si="5">C150+D150</f>
        <v>399</v>
      </c>
      <c r="D151" s="16">
        <v>15</v>
      </c>
      <c r="E151" s="45" t="s">
        <v>34</v>
      </c>
      <c r="F151" s="51"/>
    </row>
    <row r="152" spans="1:6" x14ac:dyDescent="0.3">
      <c r="A152" s="9" t="s">
        <v>279</v>
      </c>
      <c r="B152" s="10" t="s">
        <v>36</v>
      </c>
      <c r="C152" s="11">
        <f>C151+D151</f>
        <v>414</v>
      </c>
      <c r="D152" s="10">
        <f>4096-C152</f>
        <v>3682</v>
      </c>
      <c r="E152" s="4"/>
      <c r="F152" s="51"/>
    </row>
    <row r="153" spans="1:6" x14ac:dyDescent="0.3">
      <c r="A153" s="5"/>
      <c r="B153" s="4"/>
      <c r="C153" s="3"/>
      <c r="D153" s="4"/>
      <c r="E153" s="4"/>
      <c r="F153" s="51"/>
    </row>
    <row r="154" spans="1:6" x14ac:dyDescent="0.3">
      <c r="A154" s="6" t="s">
        <v>181</v>
      </c>
      <c r="B154" s="18" t="s">
        <v>213</v>
      </c>
      <c r="C154" s="28">
        <v>299</v>
      </c>
      <c r="D154" s="28">
        <v>0</v>
      </c>
      <c r="E154" s="3"/>
      <c r="F154" s="51"/>
    </row>
    <row r="155" spans="1:6" x14ac:dyDescent="0.3">
      <c r="A155" s="9" t="s">
        <v>281</v>
      </c>
      <c r="B155" s="10" t="s">
        <v>282</v>
      </c>
      <c r="C155" s="11">
        <f>C154+D154</f>
        <v>299</v>
      </c>
      <c r="D155" s="10">
        <v>0</v>
      </c>
      <c r="E155" s="4"/>
      <c r="F155" s="51"/>
    </row>
    <row r="156" spans="1:6" x14ac:dyDescent="0.3">
      <c r="A156" s="15" t="s">
        <v>283</v>
      </c>
      <c r="B156" s="16" t="s">
        <v>287</v>
      </c>
      <c r="C156" s="3">
        <f>C155+D155</f>
        <v>299</v>
      </c>
      <c r="D156" s="16">
        <v>1</v>
      </c>
      <c r="E156" s="49" t="s">
        <v>34</v>
      </c>
      <c r="F156" s="51"/>
    </row>
    <row r="157" spans="1:6" x14ac:dyDescent="0.3">
      <c r="A157" s="15" t="s">
        <v>284</v>
      </c>
      <c r="B157" s="16" t="s">
        <v>288</v>
      </c>
      <c r="C157" s="3">
        <f t="shared" ref="C157" si="6">C156+D156</f>
        <v>300</v>
      </c>
      <c r="D157" s="16">
        <v>1</v>
      </c>
      <c r="E157" s="49" t="s">
        <v>34</v>
      </c>
      <c r="F157" s="51"/>
    </row>
    <row r="158" spans="1:6" x14ac:dyDescent="0.3">
      <c r="A158" s="9" t="s">
        <v>285</v>
      </c>
      <c r="B158" s="10" t="s">
        <v>36</v>
      </c>
      <c r="C158" s="11">
        <f>C157+D157</f>
        <v>301</v>
      </c>
      <c r="D158" s="10">
        <f>4096-C158</f>
        <v>3795</v>
      </c>
      <c r="E158" s="44" t="s">
        <v>33</v>
      </c>
    </row>
  </sheetData>
  <mergeCells count="16">
    <mergeCell ref="F14:F16"/>
    <mergeCell ref="F6:F7"/>
    <mergeCell ref="E119:E124"/>
    <mergeCell ref="E3:E7"/>
    <mergeCell ref="E8:E16"/>
    <mergeCell ref="E109:E111"/>
    <mergeCell ref="E70:E74"/>
    <mergeCell ref="E76:E89"/>
    <mergeCell ref="E49:E69"/>
    <mergeCell ref="E38:E46"/>
    <mergeCell ref="F50:F62"/>
    <mergeCell ref="F71:F74"/>
    <mergeCell ref="F77:F88"/>
    <mergeCell ref="F39:F44"/>
    <mergeCell ref="E17:E26"/>
    <mergeCell ref="F18:F25"/>
  </mergeCells>
  <pageMargins left="0.23622047244094491" right="0.23622047244094491" top="0.74803149606299213" bottom="0.74803149606299213" header="0.31496062992125984" footer="0.31496062992125984"/>
  <pageSetup paperSize="9" scale="53" fitToHeight="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BGOW0068</vt:lpstr>
    </vt:vector>
  </TitlesOfParts>
  <Company>Fidelidade Mundial,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Jorge Santos Graça [EE] (DSI)</dc:creator>
  <cp:lastModifiedBy>Nuno Jorge Sousa Fernandes [EE] (FIT)</cp:lastModifiedBy>
  <cp:lastPrinted>2016-03-09T11:26:57Z</cp:lastPrinted>
  <dcterms:created xsi:type="dcterms:W3CDTF">2015-07-28T09:44:45Z</dcterms:created>
  <dcterms:modified xsi:type="dcterms:W3CDTF">2023-03-31T10:28:09Z</dcterms:modified>
</cp:coreProperties>
</file>