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EX01105\AppData\Local\Temp\OneNote\16.0\Exported\{CC97C778-768F-4130-9473-308A2C69C329}\NT\2\"/>
    </mc:Choice>
  </mc:AlternateContent>
  <xr:revisionPtr revIDLastSave="0" documentId="13_ncr:1_{2D65E7B6-C674-4C91-ABBB-843C4E62EF87}" xr6:coauthVersionLast="47" xr6:coauthVersionMax="47" xr10:uidLastSave="{00000000-0000-0000-0000-000000000000}"/>
  <bookViews>
    <workbookView xWindow="0" yWindow="750" windowWidth="19200" windowHeight="9450" xr2:uid="{00000000-000D-0000-FFFF-FFFF00000000}"/>
  </bookViews>
  <sheets>
    <sheet name="Layout Fatura e NotaCrédit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7" i="3" s="1"/>
  <c r="E13" i="3" s="1"/>
  <c r="E17" i="3" s="1"/>
  <c r="E18" i="3" s="1"/>
  <c r="E23" i="3" s="1"/>
  <c r="E31" i="3" s="1"/>
  <c r="E33" i="3" s="1"/>
  <c r="E34" i="3" s="1"/>
  <c r="E35" i="3" s="1"/>
  <c r="E36" i="3" s="1"/>
  <c r="E46" i="3" s="1"/>
  <c r="E232" i="3" l="1"/>
  <c r="E233" i="3" s="1"/>
  <c r="E234" i="3" s="1"/>
  <c r="E263" i="3"/>
  <c r="E262" i="3"/>
  <c r="E288" i="3"/>
  <c r="E47" i="3"/>
  <c r="E50" i="3" s="1"/>
  <c r="E53" i="3" s="1"/>
  <c r="E58" i="3" s="1"/>
  <c r="E59" i="3" s="1"/>
  <c r="E60" i="3" s="1"/>
  <c r="E61" i="3" s="1"/>
  <c r="E62" i="3" s="1"/>
  <c r="E63" i="3" s="1"/>
  <c r="E87" i="3" s="1"/>
  <c r="E88" i="3" s="1"/>
  <c r="E89" i="3" s="1"/>
  <c r="I7" i="3"/>
  <c r="I13" i="3"/>
  <c r="I17" i="3"/>
  <c r="I18" i="3"/>
  <c r="I23" i="3"/>
  <c r="I31" i="3"/>
  <c r="I33" i="3"/>
  <c r="I34" i="3"/>
  <c r="I35" i="3"/>
  <c r="I36" i="3"/>
  <c r="I46" i="3"/>
  <c r="I4" i="3"/>
  <c r="I233" i="3" l="1"/>
  <c r="E264" i="3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I263" i="3"/>
  <c r="I234" i="3"/>
  <c r="E235" i="3"/>
  <c r="I50" i="3"/>
  <c r="I47" i="3"/>
  <c r="I63" i="3"/>
  <c r="I59" i="3"/>
  <c r="I61" i="3"/>
  <c r="I58" i="3"/>
  <c r="I53" i="3"/>
  <c r="I62" i="3"/>
  <c r="I87" i="3"/>
  <c r="I60" i="3"/>
  <c r="I89" i="3"/>
  <c r="E90" i="3"/>
  <c r="I264" i="3" l="1"/>
  <c r="E236" i="3"/>
  <c r="I235" i="3"/>
  <c r="E91" i="3"/>
  <c r="I90" i="3"/>
  <c r="E237" i="3" l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I265" i="3"/>
  <c r="I236" i="3"/>
  <c r="I91" i="3"/>
  <c r="E92" i="3"/>
  <c r="I258" i="3" l="1"/>
  <c r="E259" i="3"/>
  <c r="I237" i="3"/>
  <c r="I266" i="3"/>
  <c r="I238" i="3"/>
  <c r="I92" i="3"/>
  <c r="E93" i="3"/>
  <c r="I259" i="3" l="1"/>
  <c r="E260" i="3"/>
  <c r="I267" i="3"/>
  <c r="I239" i="3"/>
  <c r="E94" i="3"/>
  <c r="I93" i="3"/>
  <c r="I268" i="3" l="1"/>
  <c r="I240" i="3"/>
  <c r="I94" i="3"/>
  <c r="E95" i="3"/>
  <c r="I269" i="3" l="1"/>
  <c r="I241" i="3"/>
  <c r="E96" i="3"/>
  <c r="I95" i="3"/>
  <c r="I270" i="3" l="1"/>
  <c r="I242" i="3"/>
  <c r="E97" i="3"/>
  <c r="I96" i="3"/>
  <c r="I271" i="3" l="1"/>
  <c r="I243" i="3"/>
  <c r="I97" i="3"/>
  <c r="E98" i="3"/>
  <c r="I272" i="3" l="1"/>
  <c r="I244" i="3"/>
  <c r="E99" i="3"/>
  <c r="I98" i="3"/>
  <c r="I273" i="3" l="1"/>
  <c r="I245" i="3"/>
  <c r="I99" i="3"/>
  <c r="E100" i="3"/>
  <c r="I274" i="3" l="1"/>
  <c r="I246" i="3"/>
  <c r="I100" i="3"/>
  <c r="E103" i="3"/>
  <c r="E104" i="3" s="1"/>
  <c r="E105" i="3" s="1"/>
  <c r="E106" i="3" s="1"/>
  <c r="E107" i="3" s="1"/>
  <c r="E108" i="3" s="1"/>
  <c r="E109" i="3" s="1"/>
  <c r="E110" i="3" s="1"/>
  <c r="E111" i="3" s="1"/>
  <c r="I275" i="3" l="1"/>
  <c r="I247" i="3"/>
  <c r="E112" i="3"/>
  <c r="I111" i="3"/>
  <c r="I276" i="3" l="1"/>
  <c r="I248" i="3"/>
  <c r="E113" i="3"/>
  <c r="I112" i="3"/>
  <c r="I277" i="3" l="1"/>
  <c r="I249" i="3"/>
  <c r="E114" i="3"/>
  <c r="I113" i="3"/>
  <c r="I278" i="3" l="1"/>
  <c r="I250" i="3"/>
  <c r="E115" i="3"/>
  <c r="I114" i="3"/>
  <c r="I279" i="3" l="1"/>
  <c r="I251" i="3"/>
  <c r="E116" i="3"/>
  <c r="I115" i="3"/>
  <c r="I280" i="3" l="1"/>
  <c r="I252" i="3"/>
  <c r="E117" i="3"/>
  <c r="I116" i="3"/>
  <c r="I281" i="3" l="1"/>
  <c r="I253" i="3"/>
  <c r="E118" i="3"/>
  <c r="I117" i="3"/>
  <c r="I282" i="3" l="1"/>
  <c r="I254" i="3"/>
  <c r="E119" i="3"/>
  <c r="I118" i="3"/>
  <c r="E285" i="3" l="1"/>
  <c r="I283" i="3"/>
  <c r="I255" i="3"/>
  <c r="E120" i="3"/>
  <c r="I119" i="3"/>
  <c r="I285" i="3" l="1"/>
  <c r="E286" i="3"/>
  <c r="I284" i="3"/>
  <c r="I256" i="3"/>
  <c r="E121" i="3"/>
  <c r="I120" i="3"/>
  <c r="I286" i="3" l="1"/>
  <c r="E287" i="3"/>
  <c r="I287" i="3" s="1"/>
  <c r="F287" i="3"/>
  <c r="I257" i="3"/>
  <c r="E122" i="3"/>
  <c r="I121" i="3"/>
  <c r="I260" i="3" l="1"/>
  <c r="F260" i="3"/>
  <c r="E123" i="3"/>
  <c r="I122" i="3"/>
  <c r="E124" i="3" l="1"/>
  <c r="I123" i="3"/>
  <c r="E125" i="3" l="1"/>
  <c r="I124" i="3"/>
  <c r="E126" i="3" l="1"/>
  <c r="I125" i="3"/>
  <c r="E127" i="3" l="1"/>
  <c r="I126" i="3"/>
  <c r="E128" i="3" l="1"/>
  <c r="I127" i="3"/>
  <c r="E129" i="3" l="1"/>
  <c r="I128" i="3"/>
  <c r="E130" i="3" l="1"/>
  <c r="I129" i="3"/>
  <c r="E131" i="3" l="1"/>
  <c r="I130" i="3"/>
  <c r="E132" i="3" l="1"/>
  <c r="I131" i="3"/>
  <c r="E133" i="3" l="1"/>
  <c r="E134" i="3" s="1"/>
  <c r="I132" i="3"/>
  <c r="E135" i="3" l="1"/>
  <c r="I134" i="3"/>
  <c r="E145" i="3" l="1"/>
  <c r="I135" i="3"/>
  <c r="E191" i="3" l="1"/>
  <c r="E146" i="3"/>
  <c r="E165" i="3"/>
  <c r="E188" i="3"/>
  <c r="E189" i="3" s="1"/>
  <c r="E180" i="3"/>
  <c r="E181" i="3" l="1"/>
  <c r="I180" i="3"/>
  <c r="E190" i="3"/>
  <c r="I190" i="3" s="1"/>
  <c r="I189" i="3"/>
  <c r="E166" i="3"/>
  <c r="E173" i="3"/>
  <c r="I165" i="3"/>
  <c r="E149" i="3"/>
  <c r="E150" i="3" s="1"/>
  <c r="E147" i="3"/>
  <c r="E210" i="3"/>
  <c r="E192" i="3"/>
  <c r="E193" i="3" s="1"/>
  <c r="E199" i="3"/>
  <c r="E200" i="3" s="1"/>
  <c r="E206" i="3"/>
  <c r="E207" i="3" s="1"/>
  <c r="I173" i="3" l="1"/>
  <c r="E174" i="3"/>
  <c r="E177" i="3"/>
  <c r="E178" i="3" s="1"/>
  <c r="E197" i="3"/>
  <c r="I193" i="3"/>
  <c r="E151" i="3"/>
  <c r="I150" i="3"/>
  <c r="E208" i="3"/>
  <c r="I207" i="3"/>
  <c r="E167" i="3"/>
  <c r="I166" i="3"/>
  <c r="E201" i="3"/>
  <c r="I200" i="3"/>
  <c r="E211" i="3"/>
  <c r="E212" i="3" s="1"/>
  <c r="I210" i="3"/>
  <c r="E148" i="3"/>
  <c r="I148" i="3" s="1"/>
  <c r="I147" i="3"/>
  <c r="E182" i="3"/>
  <c r="I181" i="3"/>
  <c r="E213" i="3" l="1"/>
  <c r="I212" i="3"/>
  <c r="E175" i="3"/>
  <c r="I174" i="3"/>
  <c r="E209" i="3"/>
  <c r="I209" i="3" s="1"/>
  <c r="I208" i="3"/>
  <c r="E152" i="3"/>
  <c r="I151" i="3"/>
  <c r="E202" i="3"/>
  <c r="I201" i="3"/>
  <c r="E198" i="3"/>
  <c r="I197" i="3"/>
  <c r="E179" i="3"/>
  <c r="I179" i="3" s="1"/>
  <c r="I178" i="3"/>
  <c r="E183" i="3"/>
  <c r="I182" i="3"/>
  <c r="E168" i="3"/>
  <c r="I167" i="3"/>
  <c r="E153" i="3" l="1"/>
  <c r="I152" i="3"/>
  <c r="E184" i="3"/>
  <c r="I183" i="3"/>
  <c r="I198" i="3"/>
  <c r="E176" i="3"/>
  <c r="I176" i="3" s="1"/>
  <c r="I175" i="3"/>
  <c r="E169" i="3"/>
  <c r="I168" i="3"/>
  <c r="E203" i="3"/>
  <c r="I202" i="3"/>
  <c r="I213" i="3"/>
  <c r="E214" i="3"/>
  <c r="E215" i="3" l="1"/>
  <c r="I214" i="3"/>
  <c r="E204" i="3"/>
  <c r="I203" i="3"/>
  <c r="E185" i="3"/>
  <c r="I184" i="3"/>
  <c r="E170" i="3"/>
  <c r="I169" i="3"/>
  <c r="I153" i="3"/>
  <c r="E154" i="3"/>
  <c r="E171" i="3" l="1"/>
  <c r="I170" i="3"/>
  <c r="E186" i="3"/>
  <c r="I185" i="3"/>
  <c r="E205" i="3"/>
  <c r="I205" i="3" s="1"/>
  <c r="I204" i="3"/>
  <c r="E155" i="3"/>
  <c r="I154" i="3"/>
  <c r="E216" i="3"/>
  <c r="I215" i="3"/>
  <c r="I155" i="3" l="1"/>
  <c r="E156" i="3"/>
  <c r="I186" i="3"/>
  <c r="E187" i="3"/>
  <c r="I187" i="3" s="1"/>
  <c r="E217" i="3"/>
  <c r="I216" i="3"/>
  <c r="I171" i="3"/>
  <c r="E172" i="3"/>
  <c r="I172" i="3" s="1"/>
  <c r="I217" i="3" l="1"/>
  <c r="E218" i="3"/>
  <c r="E157" i="3"/>
  <c r="I156" i="3"/>
  <c r="I157" i="3" l="1"/>
  <c r="E158" i="3"/>
  <c r="E219" i="3"/>
  <c r="E220" i="3" s="1"/>
  <c r="I218" i="3"/>
  <c r="E221" i="3" l="1"/>
  <c r="E222" i="3" s="1"/>
  <c r="I220" i="3"/>
  <c r="I158" i="3"/>
  <c r="E164" i="3"/>
  <c r="I164" i="3" s="1"/>
  <c r="E223" i="3" l="1"/>
  <c r="E224" i="3" l="1"/>
  <c r="E225" i="3" s="1"/>
  <c r="I223" i="3"/>
  <c r="E226" i="3" l="1"/>
  <c r="I225" i="3"/>
  <c r="E227" i="3" l="1"/>
  <c r="E228" i="3" s="1"/>
  <c r="I226" i="3"/>
  <c r="I228" i="3" l="1"/>
  <c r="E230" i="3"/>
  <c r="F230" i="3" s="1"/>
  <c r="I23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Jorge Santos Graça [EE] (DSI)</author>
    <author>Nuno Jorge Sousa Fernandes [EE] (FIT)</author>
  </authors>
  <commentList>
    <comment ref="D7" authorId="0" shapeId="0" xr:uid="{6666AF68-093D-4413-B4CE-381860CA8915}">
      <text>
        <r>
          <rPr>
            <b/>
            <sz val="8"/>
            <color indexed="81"/>
            <rFont val="Tahoma"/>
            <family val="2"/>
          </rPr>
          <t>Quando Aviso-Recibo sem extrato, só vem o tipo "1"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" authorId="0" shapeId="0" xr:uid="{4BA402A2-9283-43BE-8842-4A5C9A99B1F7}">
      <text>
        <r>
          <rPr>
            <b/>
            <sz val="9"/>
            <color indexed="81"/>
            <rFont val="Tahoma"/>
            <family val="2"/>
          </rPr>
          <t>Obrigatório, quando se trata de uma impressão Online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" authorId="0" shapeId="0" xr:uid="{8477CEA6-F929-46B3-8D50-2BD09F7553EE}">
      <text>
        <r>
          <rPr>
            <b/>
            <sz val="9"/>
            <color indexed="81"/>
            <rFont val="Tahoma"/>
            <family val="2"/>
          </rPr>
          <t>Não é suposto receber ViaDirecta… deve ser enviado ficheiro para eles directamente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" authorId="0" shapeId="0" xr:uid="{BAD60910-2645-49E3-90D9-1D2C693B71E5}">
      <text>
        <r>
          <rPr>
            <b/>
            <sz val="9"/>
            <color indexed="81"/>
            <rFont val="Tahoma"/>
            <family val="2"/>
          </rPr>
          <t>Não é suposto recebermos OK Teleseguro ou Continente. Deve ser enviado ficheiro para a ViaDirecta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1" authorId="0" shapeId="0" xr:uid="{C898E927-D23F-4BB9-8844-D246E1709989}">
      <text>
        <r>
          <rPr>
            <b/>
            <sz val="9"/>
            <color indexed="81"/>
            <rFont val="Tahoma"/>
            <family val="2"/>
          </rPr>
          <t>Apenas para casos em que a marca é FM ou IB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3" authorId="0" shapeId="0" xr:uid="{DC76F948-2647-4F62-A3D7-9F02D436A421}">
      <text>
        <r>
          <rPr>
            <b/>
            <sz val="9"/>
            <color indexed="81"/>
            <rFont val="Tahoma"/>
            <family val="2"/>
          </rPr>
          <t>Obrigatório para lote, ou cobranca por agente</t>
        </r>
      </text>
    </comment>
    <comment ref="G34" authorId="0" shapeId="0" xr:uid="{BB55EAEB-89C8-4538-B0D2-FCDC7F3B4723}">
      <text>
        <r>
          <rPr>
            <b/>
            <sz val="9"/>
            <color indexed="81"/>
            <rFont val="Tahoma"/>
            <family val="2"/>
          </rPr>
          <t xml:space="preserve">Obrigatorio, excepto para lote
</t>
        </r>
      </text>
    </comment>
    <comment ref="G53" authorId="0" shapeId="0" xr:uid="{559338D4-7969-4E74-A7B8-0931A69AF259}">
      <text>
        <r>
          <rPr>
            <b/>
            <sz val="9"/>
            <color indexed="81"/>
            <rFont val="Tahoma"/>
            <family val="2"/>
          </rPr>
          <t>Obrigatório, desde que tipo de documento diferente de lote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8" authorId="0" shapeId="0" xr:uid="{04CFD1B1-0E93-43E3-A447-3F244DAA9591}">
      <text>
        <r>
          <rPr>
            <b/>
            <sz val="9"/>
            <color indexed="81"/>
            <rFont val="Tahoma"/>
            <family val="2"/>
          </rPr>
          <t>Obrigatório, desde que tipo de documento diferente de lote
Recibo apenas com cobrança por agente</t>
        </r>
      </text>
    </comment>
    <comment ref="G89" authorId="0" shapeId="0" xr:uid="{4D5937B1-E637-48A2-A2A5-D314CA08D13F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0" authorId="0" shapeId="0" xr:uid="{90749AFF-5E48-45BF-ACF2-8DC0AACFE807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91" authorId="0" shapeId="0" xr:uid="{09530755-1936-4804-8791-9E8EAA96B4AD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4" authorId="0" shapeId="0" xr:uid="{F2AC7F10-0DB4-48BF-83B5-EEC7677BDE8B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5" authorId="0" shapeId="0" xr:uid="{C6488797-75B7-4280-B6CD-2C50D941E2E5}">
      <text>
        <r>
          <rPr>
            <b/>
            <sz val="9"/>
            <color indexed="81"/>
            <rFont val="Tahoma"/>
            <family val="2"/>
          </rPr>
          <t>Numero de cliente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6" authorId="0" shapeId="0" xr:uid="{738B0161-07EC-4EFF-9FE1-DDE1B37223FF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97" authorId="0" shapeId="0" xr:uid="{F6E608D2-FE13-42D4-A99F-F60314B35054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98" authorId="0" shapeId="0" xr:uid="{1469C679-0EF0-4614-9EF7-5D1488FC3848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99" authorId="0" shapeId="0" xr:uid="{E5C14D00-D5A4-4A23-8B10-961310F58637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00" authorId="0" shapeId="0" xr:uid="{105E5326-0974-4198-A6AE-43F4D50ED5D8}">
      <text>
        <r>
          <rPr>
            <b/>
            <sz val="9"/>
            <color indexed="81"/>
            <rFont val="Tahoma"/>
            <family val="2"/>
          </rPr>
          <t>Numero de cliente</t>
        </r>
      </text>
    </comment>
    <comment ref="G104" authorId="0" shapeId="0" xr:uid="{590E3967-74FE-4768-A317-2BFBD801F3BE}">
      <text>
        <r>
          <rPr>
            <b/>
            <sz val="9"/>
            <color indexed="81"/>
            <rFont val="Tahoma"/>
            <family val="2"/>
          </rPr>
          <t xml:space="preserve">Obrigatório para FATURAS que não sejam de Indemnização ou Reembolso
</t>
        </r>
      </text>
    </comment>
    <comment ref="G105" authorId="0" shapeId="0" xr:uid="{0D25150E-9B32-4C6C-B411-8AED297DC2D1}">
      <text>
        <r>
          <rPr>
            <b/>
            <sz val="9"/>
            <color indexed="81"/>
            <rFont val="Tahoma"/>
            <family val="2"/>
          </rPr>
          <t xml:space="preserve">Obrigatório para FATURAS que não sejam de Indemnização ou Reembolso
</t>
        </r>
      </text>
    </comment>
    <comment ref="D107" authorId="0" shapeId="0" xr:uid="{773F1408-4189-4C81-8690-446D5CF8127F}">
      <text>
        <r>
          <rPr>
            <b/>
            <sz val="8"/>
            <color indexed="81"/>
            <rFont val="Tahoma"/>
            <family val="2"/>
          </rPr>
          <t xml:space="preserve">Resgate Programado até:
(Para casos Poupança Auto)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07" authorId="0" shapeId="0" xr:uid="{A37992E4-A978-4AA9-915B-8CD7844C1BEC}">
      <text>
        <r>
          <rPr>
            <b/>
            <sz val="9"/>
            <color indexed="81"/>
            <rFont val="Tahoma"/>
            <family val="2"/>
          </rPr>
          <t xml:space="preserve">Obrigatório para FATURAS que não sejam de Indemnização ou Reembolso
</t>
        </r>
      </text>
    </comment>
    <comment ref="G108" authorId="0" shapeId="0" xr:uid="{30F0C8E0-1BAE-4C77-B71A-E4EF513F3A70}">
      <text>
        <r>
          <rPr>
            <b/>
            <sz val="9"/>
            <color indexed="81"/>
            <rFont val="Tahoma"/>
            <family val="2"/>
          </rPr>
          <t>Obrigatório para premio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9" authorId="0" shapeId="0" xr:uid="{55FD57BC-9AB5-4B27-A8BE-DD5E3ACC0BC1}">
      <text>
        <r>
          <rPr>
            <b/>
            <sz val="9"/>
            <color indexed="81"/>
            <rFont val="Tahoma"/>
            <family val="2"/>
          </rPr>
          <t>Obrigatório para premio</t>
        </r>
      </text>
    </comment>
    <comment ref="D111" authorId="0" shapeId="0" xr:uid="{04620415-A72F-496F-9438-011AA7BD41B5}">
      <text>
        <r>
          <rPr>
            <b/>
            <sz val="8"/>
            <color indexed="81"/>
            <rFont val="Tahoma"/>
            <family val="2"/>
          </rPr>
          <t xml:space="preserve">C33:
Apenas para uma unidade em risco ("vários" não tem capital)
VIDA:
Valor do "Capital entregue" nas Apólices com TIPO-APOLICE:
Vida Capitalização (CI/CG) 
Vida Misto Capitalização (XI/XG)
</t>
        </r>
      </text>
    </comment>
    <comment ref="G111" authorId="0" shapeId="0" xr:uid="{F5070124-312C-4D52-AC5A-1850BDF287C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2" authorId="1" shapeId="0" xr:uid="{A1426104-274D-477B-879C-83427A443625}">
      <text>
        <r>
          <rPr>
            <b/>
            <sz val="9"/>
            <color indexed="81"/>
            <rFont val="Tahoma"/>
            <family val="2"/>
          </rPr>
          <t>VIDA:
Valor do "Prémio Risco" nas Apólices com TIPO-APOLICE:
Vida Misto Puro (MI/MG) 
Vida Misto Capitalização (XI/XG)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2" authorId="0" shapeId="0" xr:uid="{E79BC062-1194-491E-A42F-273B30C87DA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3" authorId="0" shapeId="0" xr:uid="{110EB1CC-F96A-41A6-8158-99C377673179}">
      <text>
        <r>
          <rPr>
            <b/>
            <sz val="9"/>
            <color indexed="81"/>
            <rFont val="Tahoma"/>
            <family val="2"/>
          </rPr>
          <t>BONIF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3" authorId="0" shapeId="0" xr:uid="{6AAFE833-1F6C-405D-B236-C3135DB1FC9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4" authorId="0" shapeId="0" xr:uid="{D8D4D1B1-B91F-4D3A-B721-44C8EF6557F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5" authorId="0" shapeId="0" xr:uid="{5FB36BC4-5121-4231-A54B-D7BE5DC0E501}">
      <text>
        <r>
          <rPr>
            <b/>
            <sz val="9"/>
            <color indexed="81"/>
            <rFont val="Tahoma"/>
            <family val="2"/>
          </rPr>
          <t>VAFRC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5" authorId="0" shapeId="0" xr:uid="{E3925888-72B7-4DE3-A35F-5D258369EFD5}">
      <text>
        <r>
          <rPr>
            <b/>
            <sz val="8"/>
            <color indexed="81"/>
            <rFont val="Tahoma"/>
            <family val="2"/>
          </rPr>
          <t>Para casos FGS e RVI:
RU-O-VIDA-GRUPO OR RU-O-VIDA-IND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15" authorId="0" shapeId="0" xr:uid="{0C7C0659-2BCB-43D7-834D-2A08CF38396F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6" authorId="0" shapeId="0" xr:uid="{B26498F4-22DE-4C70-B2CD-DF0475AAAE78}">
      <text>
        <r>
          <rPr>
            <b/>
            <sz val="9"/>
            <color indexed="81"/>
            <rFont val="Tahoma"/>
            <family val="2"/>
          </rPr>
          <t>VAFAT</t>
        </r>
      </text>
    </comment>
    <comment ref="D116" authorId="0" shapeId="0" xr:uid="{170C4C68-B828-4C0D-AD7B-4C3594B76E68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16" authorId="0" shapeId="0" xr:uid="{060BD82A-8DD2-4464-8FD3-3FDE137E359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7" authorId="0" shapeId="0" xr:uid="{41C7401B-0305-4F46-89A0-CBF051CBC9AF}">
      <text>
        <r>
          <rPr>
            <b/>
            <sz val="9"/>
            <color indexed="81"/>
            <rFont val="Tahoma"/>
            <family val="2"/>
          </rPr>
          <t>VAFGR</t>
        </r>
      </text>
    </comment>
    <comment ref="D117" authorId="0" shapeId="0" xr:uid="{015E8BA0-1208-4C8B-806D-3BB820308CCE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17" authorId="0" shapeId="0" xr:uid="{24716D99-B54D-4211-A826-67948A710AA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8" authorId="0" shapeId="0" xr:uid="{1C79EE52-01E0-46F1-B5A1-EFB5ADFA933E}">
      <text>
        <r>
          <rPr>
            <b/>
            <sz val="9"/>
            <color indexed="81"/>
            <rFont val="Tahoma"/>
            <family val="2"/>
          </rPr>
          <t>VASNB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8" authorId="0" shapeId="0" xr:uid="{0FB62DC1-03F8-45D8-B979-C18EF337F349}">
      <text>
        <r>
          <rPr>
            <b/>
            <sz val="8"/>
            <color indexed="81"/>
            <rFont val="Tahoma"/>
            <family val="2"/>
          </rPr>
          <t>No Output, aparecem juntos:
RU-CARTA-VERDE + RU-SNB + RU-FUNDAP
excepto quando não há valor de CV e FAT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18" authorId="0" shapeId="0" xr:uid="{67A2D67F-08E4-4D0A-B24F-49C5E5940C3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9" authorId="0" shapeId="0" xr:uid="{0E3498C9-4E80-4A1B-ACF4-AB93A8834B74}">
      <text>
        <r>
          <rPr>
            <b/>
            <sz val="9"/>
            <color indexed="81"/>
            <rFont val="Tahoma"/>
            <family val="2"/>
          </rPr>
          <t>VINEM</t>
        </r>
      </text>
    </comment>
    <comment ref="G119" authorId="0" shapeId="0" xr:uid="{3ED59426-A835-4257-8B05-83E665BA105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0" authorId="0" shapeId="0" xr:uid="{1D986DDA-1E52-4EDA-B113-BA234D4DE27C}">
      <text>
        <r>
          <rPr>
            <b/>
            <sz val="9"/>
            <color indexed="81"/>
            <rFont val="Tahoma"/>
            <family val="2"/>
          </rPr>
          <t>VACVD</t>
        </r>
      </text>
    </comment>
    <comment ref="D120" authorId="0" shapeId="0" xr:uid="{CD3A3A0E-6E2D-4342-A185-7B4CCBAFED32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0" authorId="0" shapeId="0" xr:uid="{9A5901BB-1706-428C-8827-8F0FFEA69AE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1" authorId="0" shapeId="0" xr:uid="{E92FD206-CFBB-4A0F-91DD-0B8BEB99FF17}">
      <text>
        <r>
          <rPr>
            <b/>
            <sz val="9"/>
            <color indexed="81"/>
            <rFont val="Tahoma"/>
            <family val="2"/>
          </rPr>
          <t>VASEL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1" authorId="0" shapeId="0" xr:uid="{DCF2FEFA-5F71-40E8-8746-D34B6F2973E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2" authorId="0" shapeId="0" xr:uid="{6515FAA6-89E5-4D2B-9D2D-3296911D941E}">
      <text>
        <r>
          <rPr>
            <b/>
            <sz val="9"/>
            <color indexed="81"/>
            <rFont val="Tahoma"/>
            <family val="2"/>
          </rPr>
          <t>VACTA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2" authorId="0" shapeId="0" xr:uid="{D0B2F5BB-1DBF-412B-BE45-BC7CAD7FD249}">
      <text>
        <r>
          <rPr>
            <b/>
            <sz val="8"/>
            <color indexed="81"/>
            <rFont val="Tahoma"/>
            <family val="2"/>
          </rPr>
          <t>Para casos FGS e RVI:
RU-O-VIDA-GRUPO OR RU-O-VIDA-IND
Descritivo: "CUSTO CERTIFICADO"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2" authorId="0" shapeId="0" xr:uid="{5266BB3F-D303-4BF3-AEBA-2F385EF912C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3" authorId="0" shapeId="0" xr:uid="{9DC66CF6-046D-4F62-965C-D8F2BA25758F}">
      <text>
        <r>
          <rPr>
            <b/>
            <sz val="9"/>
            <color indexed="81"/>
            <rFont val="Tahoma"/>
            <family val="2"/>
          </rPr>
          <t>VIMSL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3" authorId="0" shapeId="0" xr:uid="{CECE5F56-9CC3-4680-9C4A-7481C2ED75D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4" authorId="0" shapeId="0" xr:uid="{DAB2857D-F14B-47CD-ADFC-973C5A814EB7}">
      <text>
        <r>
          <rPr>
            <b/>
            <sz val="9"/>
            <color indexed="81"/>
            <rFont val="Tahoma"/>
            <family val="2"/>
          </rPr>
          <t>CALAM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4" authorId="0" shapeId="0" xr:uid="{95240D84-1ED6-4741-BF42-1D7917F532A0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4" authorId="0" shapeId="0" xr:uid="{C5695581-033A-4CD0-AA26-A8A7D0C7609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5" authorId="0" shapeId="0" xr:uid="{43CFC647-B46C-4E45-9EB1-A06DD6F7785E}">
      <text>
        <r>
          <rPr>
            <b/>
            <sz val="9"/>
            <color indexed="81"/>
            <rFont val="Tahoma"/>
            <family val="2"/>
          </rPr>
          <t>VAFGA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5" authorId="0" shapeId="0" xr:uid="{A5E8510F-C942-475A-B22A-E0A61EA62D1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" authorId="0" shapeId="0" xr:uid="{F85F3FA0-5BA5-4464-B450-744A7182B06C}">
      <text>
        <r>
          <rPr>
            <b/>
            <sz val="9"/>
            <color indexed="81"/>
            <rFont val="Tahoma"/>
            <family val="2"/>
          </rPr>
          <t>VAFGP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6" authorId="0" shapeId="0" xr:uid="{6E7D8EC8-A959-416D-9722-AC04105FE6A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7" authorId="0" shapeId="0" xr:uid="{F97A3BB3-5588-4DEC-9FEF-CD0978357D57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D127" authorId="0" shapeId="0" xr:uid="{512B64A8-CBE3-4047-95AA-257CBE22FD4C}">
      <text>
        <r>
          <rPr>
            <b/>
            <sz val="8"/>
            <color indexed="81"/>
            <rFont val="Tahoma"/>
            <family val="2"/>
          </rPr>
          <t>Bonificação para casos de colheitas (RU-BONIFICACAO)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7" authorId="0" shapeId="0" xr:uid="{01CB1676-57D9-4E84-85FC-C840886F17C8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8" authorId="0" shapeId="0" xr:uid="{283FE2FD-7AE0-4336-8C27-CE79E7F8627B}">
      <text>
        <r>
          <rPr>
            <b/>
            <sz val="9"/>
            <color indexed="81"/>
            <rFont val="Tahoma"/>
            <family val="2"/>
          </rPr>
          <t>VAPRS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8" authorId="0" shapeId="0" xr:uid="{BDDA0A95-3CD4-467A-B7E7-D798D4702A3D}">
      <text>
        <r>
          <rPr>
            <b/>
            <sz val="8"/>
            <color indexed="81"/>
            <rFont val="Tahoma"/>
            <family val="2"/>
          </rPr>
          <t>Prémio comercial = Prémio Simples + Bonus + Custo Fracionamento (RU-PR-SIMPLES + RU-BONUS + RU-CUSTO-FRACC)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28" authorId="0" shapeId="0" xr:uid="{950E8745-1829-42C3-935A-8A433F621E7F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9" authorId="0" shapeId="0" xr:uid="{BF223FD8-E494-419B-8362-A9D124D033C8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5" authorId="0" shapeId="0" xr:uid="{1A6999D2-D3E3-46E5-BC7E-0E1ADC778BB4}">
      <text>
        <r>
          <rPr>
            <b/>
            <sz val="9"/>
            <color indexed="81"/>
            <rFont val="Tahoma"/>
            <family val="2"/>
          </rPr>
          <t>Deve ser sempre informado o tipo de detalhe que está nos 400bytes seguintes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7" authorId="0" shapeId="0" xr:uid="{145D4D49-A555-4C3C-A42B-5C348F5ED139}">
      <text>
        <r>
          <rPr>
            <b/>
            <sz val="8"/>
            <color indexed="81"/>
            <rFont val="Tahoma"/>
            <family val="2"/>
          </rPr>
          <t>A utilizar em casos que não tem detalhe especifico por ramo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47" authorId="0" shapeId="0" xr:uid="{9B225E05-DDBD-4C12-8A70-3F562F001D80}">
      <text>
        <r>
          <rPr>
            <b/>
            <sz val="9"/>
            <color indexed="81"/>
            <rFont val="Tahoma"/>
            <family val="2"/>
          </rPr>
          <t>UR-TIPO = GR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0" authorId="0" shapeId="0" xr:uid="{06A78D37-ED26-4D99-828B-0E81FBF06476}">
      <text>
        <r>
          <rPr>
            <b/>
            <sz val="9"/>
            <color indexed="81"/>
            <rFont val="Tahoma"/>
            <family val="2"/>
          </rPr>
          <t>UR-TIPO = VI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56" authorId="0" shapeId="0" xr:uid="{090A9AC9-4942-43E6-B664-1DDCA6445F1A}">
      <text>
        <r>
          <rPr>
            <b/>
            <sz val="9"/>
            <color indexed="81"/>
            <rFont val="Tahoma"/>
            <family val="2"/>
          </rPr>
          <t xml:space="preserve">Obrigatório para A/R e FATURAS VIDA com VI-TIPO-APOLICE:
Vida Capitalização 
Vida Misto Puro 
Vida Misto Capitalização 
</t>
        </r>
      </text>
    </comment>
    <comment ref="G157" authorId="1" shapeId="0" xr:uid="{0DF5A71D-0C5D-4FBA-BA77-63A32347889D}">
      <text>
        <r>
          <rPr>
            <b/>
            <sz val="9"/>
            <color indexed="81"/>
            <rFont val="Tahoma"/>
            <family val="2"/>
          </rPr>
          <t>Obrigatório para Faturas de Indemnizações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68" authorId="0" shapeId="0" xr:uid="{3CDFB312-A338-44E8-A25E-5E7AFA8A2785}">
      <text>
        <r>
          <rPr>
            <b/>
            <sz val="9"/>
            <color indexed="81"/>
            <rFont val="Tahoma"/>
            <family val="2"/>
          </rPr>
          <t>UR-TIPO = VH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0" authorId="0" shapeId="0" xr:uid="{D5320134-ADA8-4993-8C9B-1DED2F4C2B97}">
      <text>
        <r>
          <rPr>
            <b/>
            <sz val="9"/>
            <color indexed="81"/>
            <rFont val="Tahoma"/>
            <family val="2"/>
          </rPr>
          <t>UR-TIPO = VH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1" authorId="0" shapeId="0" xr:uid="{5ACDFFC0-7A05-444B-A74C-4BD14C9FC015}">
      <text>
        <r>
          <rPr>
            <b/>
            <sz val="9"/>
            <color indexed="81"/>
            <rFont val="Tahoma"/>
            <family val="2"/>
          </rPr>
          <t>UR-TIPO = VH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4" authorId="0" shapeId="0" xr:uid="{B68422B7-2784-4F18-98FE-8DED4132508A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4" authorId="0" shapeId="0" xr:uid="{951D15A4-2F29-48DB-AD2A-02FDFDB97E56}">
      <text>
        <r>
          <rPr>
            <b/>
            <sz val="9"/>
            <color indexed="81"/>
            <rFont val="Tahoma"/>
            <family val="2"/>
          </rPr>
          <t>UR-TIPO = VG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5" authorId="0" shapeId="0" xr:uid="{46396BFB-BDDC-4FB1-A76A-CD7E26B48F19}">
      <text>
        <r>
          <rPr>
            <b/>
            <sz val="9"/>
            <color indexed="81"/>
            <rFont val="Tahoma"/>
            <family val="2"/>
          </rPr>
          <t>Especifico para Garagista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8" authorId="0" shapeId="0" xr:uid="{38AD5727-3EDC-4155-A435-A8DF63F60EB6}">
      <text>
        <r>
          <rPr>
            <b/>
            <sz val="9"/>
            <color indexed="81"/>
            <rFont val="Tahoma"/>
            <family val="2"/>
          </rPr>
          <t>UR-TIPO = 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1" authorId="0" shapeId="0" xr:uid="{4B8BBBAC-B49B-4A56-96ED-3EB06BF0DE04}">
      <text>
        <r>
          <rPr>
            <b/>
            <sz val="9"/>
            <color indexed="81"/>
            <rFont val="Tahoma"/>
            <family val="2"/>
          </rPr>
          <t>UR-TIPO = MR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89" authorId="0" shapeId="0" xr:uid="{72EDE618-F72A-402D-B315-FC3EB3904B22}">
      <text>
        <r>
          <rPr>
            <b/>
            <sz val="9"/>
            <color indexed="81"/>
            <rFont val="Tahoma"/>
            <family val="2"/>
          </rPr>
          <t>UR-TIPO = 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3" authorId="0" shapeId="0" xr:uid="{D3D4D540-DE18-4637-86AB-68B2E7BBECF8}">
      <text>
        <r>
          <rPr>
            <b/>
            <sz val="9"/>
            <color indexed="81"/>
            <rFont val="Tahoma"/>
            <family val="2"/>
          </rPr>
          <t>UR-TIPO = VI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2" authorId="0" shapeId="0" xr:uid="{86EA0D65-5DD9-48D1-930F-D1527E9E8BC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5" authorId="0" shapeId="0" xr:uid="{6D7D2294-749F-473D-830C-971254F3047D}">
      <text>
        <r>
          <rPr>
            <b/>
            <sz val="9"/>
            <color indexed="81"/>
            <rFont val="Tahoma"/>
            <family val="2"/>
          </rPr>
          <t>Se o COD-PRODUTO não vier preenchido</t>
        </r>
      </text>
    </comment>
    <comment ref="D239" authorId="0" shapeId="0" xr:uid="{5AEA7A60-FC56-4837-98E7-ED72E2EDA22E}">
      <text>
        <r>
          <rPr>
            <b/>
            <sz val="8"/>
            <color indexed="81"/>
            <rFont val="Tahoma"/>
            <family val="2"/>
          </rPr>
          <t xml:space="preserve">C33:
Apenas para uma unidade em risco ("vários" não tem capital)
VIDA:
Valor do "Capital entregue" nas Apólices com TIPO-APOLICE:
Vida Capitalização (CI/CG) 
Vida Misto Capitalização (XI/XG)
</t>
        </r>
      </text>
    </comment>
    <comment ref="G239" authorId="0" shapeId="0" xr:uid="{FC7A2DEE-2AEB-4CBD-831F-9F2F8A39174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0" authorId="1" shapeId="0" xr:uid="{1B2BD087-0135-436B-95E7-83F81A903349}">
      <text>
        <r>
          <rPr>
            <b/>
            <sz val="9"/>
            <color indexed="81"/>
            <rFont val="Tahoma"/>
            <family val="2"/>
          </rPr>
          <t>VIDA:
Valor do "Prémio Risco" nas Apólices com TIPO-APOLICE:
Vida Misto Puro (MI/MG) 
Vida Misto Capitalização (XI/XG)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0" authorId="0" shapeId="0" xr:uid="{EBE5D77D-912F-4E39-8F14-0BD254AE731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1" authorId="0" shapeId="0" xr:uid="{F6DE3EBA-6A95-4C5C-921A-2D6907710719}">
      <text>
        <r>
          <rPr>
            <b/>
            <sz val="9"/>
            <color indexed="81"/>
            <rFont val="Tahoma"/>
            <family val="2"/>
          </rPr>
          <t>BONIF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1" authorId="0" shapeId="0" xr:uid="{58F917D8-C744-493F-91E1-128F8BA5962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2" authorId="0" shapeId="0" xr:uid="{8C0C4AF8-6000-43B3-991C-E7D3C9F716B5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3" authorId="0" shapeId="0" xr:uid="{06210753-2628-4415-94AB-716D5C45DDC3}">
      <text>
        <r>
          <rPr>
            <b/>
            <sz val="9"/>
            <color indexed="81"/>
            <rFont val="Tahoma"/>
            <family val="2"/>
          </rPr>
          <t>VAFRC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3" authorId="0" shapeId="0" xr:uid="{2C2336CD-C964-405D-9FB1-666D76BAF38C}">
      <text>
        <r>
          <rPr>
            <b/>
            <sz val="8"/>
            <color indexed="81"/>
            <rFont val="Tahoma"/>
            <family val="2"/>
          </rPr>
          <t>Para casos FGS e RVI:
RU-O-VIDA-GRUPO OR RU-O-VIDA-IND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43" authorId="0" shapeId="0" xr:uid="{585FC7B6-C9A1-4CBC-8605-849C4B508B4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4" authorId="0" shapeId="0" xr:uid="{9D152BAB-6DDA-4063-B45D-EF50DE446F17}">
      <text>
        <r>
          <rPr>
            <b/>
            <sz val="9"/>
            <color indexed="81"/>
            <rFont val="Tahoma"/>
            <family val="2"/>
          </rPr>
          <t>VAFAT</t>
        </r>
      </text>
    </comment>
    <comment ref="D244" authorId="0" shapeId="0" xr:uid="{A864EC87-4E45-489E-A049-CFBEB6D2B78B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44" authorId="0" shapeId="0" xr:uid="{D118739C-1952-4DB3-A996-E60BDA7C52E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5" authorId="0" shapeId="0" xr:uid="{1BE6D987-1F8C-47B0-A688-4572427C9961}">
      <text>
        <r>
          <rPr>
            <b/>
            <sz val="9"/>
            <color indexed="81"/>
            <rFont val="Tahoma"/>
            <family val="2"/>
          </rPr>
          <t>VAFGR</t>
        </r>
      </text>
    </comment>
    <comment ref="D245" authorId="0" shapeId="0" xr:uid="{A7C8AD6F-5EAA-4FEB-81CB-3270EBCE9D13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45" authorId="0" shapeId="0" xr:uid="{A7795A25-F0BD-4C70-8E5E-5BCB66EA6C62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6" authorId="0" shapeId="0" xr:uid="{C7215275-AD0D-4998-96F1-E9A3ED167EFC}">
      <text>
        <r>
          <rPr>
            <b/>
            <sz val="9"/>
            <color indexed="81"/>
            <rFont val="Tahoma"/>
            <family val="2"/>
          </rPr>
          <t>VASNB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6" authorId="0" shapeId="0" xr:uid="{9A88FC96-FF48-4F35-8ABC-2E848B876511}">
      <text>
        <r>
          <rPr>
            <b/>
            <sz val="8"/>
            <color indexed="81"/>
            <rFont val="Tahoma"/>
            <family val="2"/>
          </rPr>
          <t>No Output, aparecem juntos:
RU-CARTA-VERDE + RU-SNB + RU-FUNDAP
excepto quando não há valor de CV e FAT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46" authorId="0" shapeId="0" xr:uid="{812A67B1-86A1-4651-8A84-104A8D2DAF6F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7" authorId="0" shapeId="0" xr:uid="{95F83605-ADBD-429D-A367-509607644190}">
      <text>
        <r>
          <rPr>
            <b/>
            <sz val="9"/>
            <color indexed="81"/>
            <rFont val="Tahoma"/>
            <family val="2"/>
          </rPr>
          <t>VINEM</t>
        </r>
      </text>
    </comment>
    <comment ref="G247" authorId="0" shapeId="0" xr:uid="{54BDC2B6-0984-4747-9135-408F16F6A864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8" authorId="0" shapeId="0" xr:uid="{5BD01CCC-49E0-42FF-A929-E6CC5005CD43}">
      <text>
        <r>
          <rPr>
            <b/>
            <sz val="9"/>
            <color indexed="81"/>
            <rFont val="Tahoma"/>
            <family val="2"/>
          </rPr>
          <t>VACVD</t>
        </r>
      </text>
    </comment>
    <comment ref="D248" authorId="0" shapeId="0" xr:uid="{8DE340EC-2C77-4519-BF77-7DF279A73081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48" authorId="0" shapeId="0" xr:uid="{57B04097-3405-46AB-A1D6-E593558AE13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9" authorId="0" shapeId="0" xr:uid="{C11F5698-DE5B-45A8-BE2D-DFE5E3D33D98}">
      <text>
        <r>
          <rPr>
            <b/>
            <sz val="9"/>
            <color indexed="81"/>
            <rFont val="Tahoma"/>
            <family val="2"/>
          </rPr>
          <t>VASEL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49" authorId="0" shapeId="0" xr:uid="{EF2F9031-75DC-4396-BDDF-D6BA2FD4006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0" authorId="0" shapeId="0" xr:uid="{AF60A4D3-7814-4B8D-AF63-00BD01EE373A}">
      <text>
        <r>
          <rPr>
            <b/>
            <sz val="9"/>
            <color indexed="81"/>
            <rFont val="Tahoma"/>
            <family val="2"/>
          </rPr>
          <t>VACTA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0" authorId="0" shapeId="0" xr:uid="{6F07CEB5-A89F-4EB9-A3CD-0FA70657D2F7}">
      <text>
        <r>
          <rPr>
            <b/>
            <sz val="8"/>
            <color indexed="81"/>
            <rFont val="Tahoma"/>
            <family val="2"/>
          </rPr>
          <t>Para casos FGS e RVI:
RU-O-VIDA-GRUPO OR RU-O-VIDA-IND
Descritivo: "CUSTO CERTIFICADO"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50" authorId="0" shapeId="0" xr:uid="{0BB7E9AA-DF48-4FB8-9ABA-549AA207192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1" authorId="0" shapeId="0" xr:uid="{A69FC363-7604-4AB2-AF7A-F97219ED3205}">
      <text>
        <r>
          <rPr>
            <b/>
            <sz val="9"/>
            <color indexed="81"/>
            <rFont val="Tahoma"/>
            <family val="2"/>
          </rPr>
          <t>VIMSL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1" authorId="0" shapeId="0" xr:uid="{02127617-CF1C-4F82-AA64-4CE7F70E07A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2" authorId="0" shapeId="0" xr:uid="{23B08A2F-73EA-413B-811A-F7EB95B7CC13}">
      <text>
        <r>
          <rPr>
            <b/>
            <sz val="9"/>
            <color indexed="81"/>
            <rFont val="Tahoma"/>
            <family val="2"/>
          </rPr>
          <t>CALAM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2" authorId="0" shapeId="0" xr:uid="{743DCF27-C44B-426E-A257-BA58EEFB61C7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52" authorId="0" shapeId="0" xr:uid="{BBDEFA26-7DD1-4295-A2C7-5E54224CC8D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3" authorId="0" shapeId="0" xr:uid="{DDE438C7-5147-48A8-B67F-E58D91D19A4D}">
      <text>
        <r>
          <rPr>
            <b/>
            <sz val="9"/>
            <color indexed="81"/>
            <rFont val="Tahoma"/>
            <family val="2"/>
          </rPr>
          <t>VAFGA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3" authorId="0" shapeId="0" xr:uid="{F54BA0BB-1761-4D73-BA05-279510676126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4" authorId="0" shapeId="0" xr:uid="{A4B109D3-04DB-4469-A04A-47584EC6735D}">
      <text>
        <r>
          <rPr>
            <b/>
            <sz val="9"/>
            <color indexed="81"/>
            <rFont val="Tahoma"/>
            <family val="2"/>
          </rPr>
          <t>VAFGP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4" authorId="0" shapeId="0" xr:uid="{6BB22A43-4BDA-4769-BEC7-292281F454BF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5" authorId="0" shapeId="0" xr:uid="{4E6B2D5F-1E42-499B-AD0C-D92CA2ABCAD8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D255" authorId="0" shapeId="0" xr:uid="{2341D9D1-1121-4BE2-B90D-E857D4B4181F}">
      <text>
        <r>
          <rPr>
            <b/>
            <sz val="8"/>
            <color indexed="81"/>
            <rFont val="Tahoma"/>
            <family val="2"/>
          </rPr>
          <t>Bonificação para casos de colheitas (RU-BONIFICACAO)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55" authorId="0" shapeId="0" xr:uid="{41241B02-CAAE-4F8A-99F3-25A089BE895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6" authorId="0" shapeId="0" xr:uid="{DF02151A-A92F-4CAA-B35D-AF07511D136F}">
      <text>
        <r>
          <rPr>
            <b/>
            <sz val="9"/>
            <color indexed="81"/>
            <rFont val="Tahoma"/>
            <family val="2"/>
          </rPr>
          <t>VAPRS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6" authorId="0" shapeId="0" xr:uid="{8E6AEC6A-8B24-466E-9B83-055B19C132DB}">
      <text>
        <r>
          <rPr>
            <b/>
            <sz val="8"/>
            <color indexed="81"/>
            <rFont val="Tahoma"/>
            <family val="2"/>
          </rPr>
          <t>Prémio comercial = Prémio Simples + Bonus + Custo Fracionamento (RU-PR-SIMPLES + RU-BONUS + RU-CUSTO-FRACC)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56" authorId="0" shapeId="0" xr:uid="{2B5155D0-B56F-433B-9FE8-B398E263BF8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7" authorId="0" shapeId="0" xr:uid="{295D5938-059B-4160-8A6D-481CC2E5FE8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8" authorId="0" shapeId="0" xr:uid="{0FEF7DCB-C712-4379-AD4F-6F67266F2BA2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59" authorId="0" shapeId="0" xr:uid="{C0C4581A-A69C-49C7-B86F-F68E0D53D6D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6" authorId="0" shapeId="0" xr:uid="{69C4FBFC-353B-47FF-8C11-A895EAD48D0C}">
      <text>
        <r>
          <rPr>
            <b/>
            <sz val="8"/>
            <color indexed="81"/>
            <rFont val="Tahoma"/>
            <family val="2"/>
          </rPr>
          <t xml:space="preserve">C33:
Apenas para uma unidade em risco ("vários" não tem capital)
VIDA:
Valor do "Capital entregue" nas Apólices com TIPO-APOLICE:
Vida Capitalização (CI/CG) 
Vida Misto Capitalização (XI/XG)
</t>
        </r>
      </text>
    </comment>
    <comment ref="G266" authorId="0" shapeId="0" xr:uid="{0C53E771-C550-4D67-AAC2-A598C4A7A66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7" authorId="1" shapeId="0" xr:uid="{5EB969AE-1F3C-4C8A-9B97-04990C7B3B30}">
      <text>
        <r>
          <rPr>
            <b/>
            <sz val="9"/>
            <color indexed="81"/>
            <rFont val="Tahoma"/>
            <family val="2"/>
          </rPr>
          <t>VIDA:
Valor do "Prémio Risco" nas Apólices com TIPO-APOLICE:
Vida Misto Puro (MI/MG) 
Vida Misto Capitalização (XI/XG)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7" authorId="0" shapeId="0" xr:uid="{6ECC731B-A928-41EB-B1A4-CB7423FAFABA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8" authorId="0" shapeId="0" xr:uid="{1CBC0B34-5EAD-420D-A047-77B610642C2E}">
      <text>
        <r>
          <rPr>
            <b/>
            <sz val="9"/>
            <color indexed="81"/>
            <rFont val="Tahoma"/>
            <family val="2"/>
          </rPr>
          <t>BONIF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8" authorId="0" shapeId="0" xr:uid="{536637CC-6386-4B49-97AF-AA1AB15B9029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69" authorId="0" shapeId="0" xr:uid="{A5CF3FC0-E764-48C2-B34A-B9CFD9EC531F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0" authorId="0" shapeId="0" xr:uid="{CDAB4E48-67AF-4E52-A110-824A01C3CDB6}">
      <text>
        <r>
          <rPr>
            <b/>
            <sz val="9"/>
            <color indexed="81"/>
            <rFont val="Tahoma"/>
            <family val="2"/>
          </rPr>
          <t>VAFRC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0" authorId="0" shapeId="0" xr:uid="{19955EE4-FF9D-4763-9AFD-6556D43B122B}">
      <text>
        <r>
          <rPr>
            <b/>
            <sz val="8"/>
            <color indexed="81"/>
            <rFont val="Tahoma"/>
            <family val="2"/>
          </rPr>
          <t>Para casos FGS e RVI:
RU-O-VIDA-GRUPO OR RU-O-VIDA-IND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0" authorId="0" shapeId="0" xr:uid="{C67BD547-848C-4E14-B004-EFCD305E730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1" authorId="0" shapeId="0" xr:uid="{6D5BD744-F428-4AB0-AFE9-76BB4B929CCD}">
      <text>
        <r>
          <rPr>
            <b/>
            <sz val="9"/>
            <color indexed="81"/>
            <rFont val="Tahoma"/>
            <family val="2"/>
          </rPr>
          <t>VAFAT</t>
        </r>
      </text>
    </comment>
    <comment ref="D271" authorId="0" shapeId="0" xr:uid="{C7FBB615-EF85-4322-9070-39D48F6A6F2B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1" authorId="0" shapeId="0" xr:uid="{1D0E8476-4612-4D34-9F76-AA5FB5D9D0B8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2" authorId="0" shapeId="0" xr:uid="{8B152B5D-9474-4A30-9893-BC5745122B33}">
      <text>
        <r>
          <rPr>
            <b/>
            <sz val="9"/>
            <color indexed="81"/>
            <rFont val="Tahoma"/>
            <family val="2"/>
          </rPr>
          <t>VAFGR</t>
        </r>
      </text>
    </comment>
    <comment ref="D272" authorId="0" shapeId="0" xr:uid="{8A843EB4-B070-4061-8134-0279F49913C9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2" authorId="0" shapeId="0" xr:uid="{6C9ED138-2652-475F-BC2C-40D233732013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3" authorId="0" shapeId="0" xr:uid="{B46153C0-04FF-4507-90AD-7714ACBEA696}">
      <text>
        <r>
          <rPr>
            <b/>
            <sz val="9"/>
            <color indexed="81"/>
            <rFont val="Tahoma"/>
            <family val="2"/>
          </rPr>
          <t>VASNB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3" authorId="0" shapeId="0" xr:uid="{AFA21C04-DB1C-4022-B0CE-5737DDC67CCA}">
      <text>
        <r>
          <rPr>
            <b/>
            <sz val="8"/>
            <color indexed="81"/>
            <rFont val="Tahoma"/>
            <family val="2"/>
          </rPr>
          <t>No Output, aparecem juntos:
RU-CARTA-VERDE + RU-SNB + RU-FUNDAP
excepto quando não há valor de CV e FAT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3" authorId="0" shapeId="0" xr:uid="{3B304E31-BC8B-48E8-B6BE-AC34788A08B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4" authorId="0" shapeId="0" xr:uid="{FB5C2BC7-36F0-4A5C-A8D3-8A897B36B5E5}">
      <text>
        <r>
          <rPr>
            <b/>
            <sz val="9"/>
            <color indexed="81"/>
            <rFont val="Tahoma"/>
            <family val="2"/>
          </rPr>
          <t>VINEM</t>
        </r>
      </text>
    </comment>
    <comment ref="G274" authorId="0" shapeId="0" xr:uid="{624FE3C6-B4B2-4280-A87D-F18E07084756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5" authorId="0" shapeId="0" xr:uid="{3D14296B-2EC0-4D55-899B-36C20C0ACBF1}">
      <text>
        <r>
          <rPr>
            <b/>
            <sz val="9"/>
            <color indexed="81"/>
            <rFont val="Tahoma"/>
            <family val="2"/>
          </rPr>
          <t>VACVD</t>
        </r>
      </text>
    </comment>
    <comment ref="D275" authorId="0" shapeId="0" xr:uid="{D23EBF0E-0A77-4FD4-85E4-BF8E4B6EBB43}">
      <text>
        <r>
          <rPr>
            <b/>
            <sz val="8"/>
            <color indexed="81"/>
            <rFont val="Tahoma"/>
            <family val="2"/>
          </rPr>
          <t>No Output, aparecem juntos:
RU-CARTA-VERDE + RU-SNB + RU-FUNDAP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5" authorId="0" shapeId="0" xr:uid="{922F7E11-3F2F-41E9-93DC-8C0EAD65F46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6" authorId="0" shapeId="0" xr:uid="{8F67AB00-9BB2-4AC2-8EC7-413761AAD6F7}">
      <text>
        <r>
          <rPr>
            <b/>
            <sz val="9"/>
            <color indexed="81"/>
            <rFont val="Tahoma"/>
            <family val="2"/>
          </rPr>
          <t>VASEL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6" authorId="0" shapeId="0" xr:uid="{6081E124-91F5-4440-B641-3614362D0A50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7" authorId="0" shapeId="0" xr:uid="{D139559A-D993-415D-B5C3-3DC8A5625DAA}">
      <text>
        <r>
          <rPr>
            <b/>
            <sz val="9"/>
            <color indexed="81"/>
            <rFont val="Tahoma"/>
            <family val="2"/>
          </rPr>
          <t>VACTA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7" authorId="0" shapeId="0" xr:uid="{4AC5249E-1030-45CF-A3FE-73F2B58CDA56}">
      <text>
        <r>
          <rPr>
            <b/>
            <sz val="8"/>
            <color indexed="81"/>
            <rFont val="Tahoma"/>
            <family val="2"/>
          </rPr>
          <t>Para casos FGS e RVI:
RU-O-VIDA-GRUPO OR RU-O-VIDA-IND
Descritivo: "CUSTO CERTIFICADO"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7" authorId="0" shapeId="0" xr:uid="{09CC7EB1-C36B-455E-8088-C0768C728A8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8" authorId="0" shapeId="0" xr:uid="{02A232C7-223F-4DCC-8250-CD6C311EC6EC}">
      <text>
        <r>
          <rPr>
            <b/>
            <sz val="9"/>
            <color indexed="81"/>
            <rFont val="Tahoma"/>
            <family val="2"/>
          </rPr>
          <t>VIMSL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8" authorId="0" shapeId="0" xr:uid="{5F38627C-0330-4E85-A500-B8E1508F3F5B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9" authorId="0" shapeId="0" xr:uid="{1488B7B6-BEB1-46CA-AF7B-45E266F19F62}">
      <text>
        <r>
          <rPr>
            <b/>
            <sz val="9"/>
            <color indexed="81"/>
            <rFont val="Tahoma"/>
            <family val="2"/>
          </rPr>
          <t>CALAM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9" authorId="0" shapeId="0" xr:uid="{119C7384-9BE8-46F1-82A4-94CFD0208F46}">
      <text>
        <r>
          <rPr>
            <b/>
            <sz val="8"/>
            <color indexed="81"/>
            <rFont val="Tahoma"/>
            <family val="2"/>
          </rPr>
          <t>No Output, aparecem juntos:
RU-FUND-CALAM + RU-FGA-ANTIGO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79" authorId="0" shapeId="0" xr:uid="{572B457D-F843-40D0-AD32-80662161ACF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0" authorId="0" shapeId="0" xr:uid="{223217BE-9EF5-437C-843A-7EE208DBAD56}">
      <text>
        <r>
          <rPr>
            <b/>
            <sz val="9"/>
            <color indexed="81"/>
            <rFont val="Tahoma"/>
            <family val="2"/>
          </rPr>
          <t>VAFGA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0" authorId="0" shapeId="0" xr:uid="{9BD35743-5A3A-4A41-A849-FC8F8F5229D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1" authorId="0" shapeId="0" xr:uid="{4A5B40ED-A783-44D7-99BF-46A45EE962CB}">
      <text>
        <r>
          <rPr>
            <b/>
            <sz val="9"/>
            <color indexed="81"/>
            <rFont val="Tahoma"/>
            <family val="2"/>
          </rPr>
          <t>VAFGP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1" authorId="0" shapeId="0" xr:uid="{5943762A-4F71-490B-B3DB-B1104ACDE791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2" authorId="0" shapeId="0" xr:uid="{3E5EDADD-A31F-4BF3-9D9A-903200ADB486}">
      <text>
        <r>
          <rPr>
            <b/>
            <sz val="9"/>
            <color indexed="81"/>
            <rFont val="Tahoma"/>
            <family val="2"/>
          </rPr>
          <t>BONUS</t>
        </r>
      </text>
    </comment>
    <comment ref="D282" authorId="0" shapeId="0" xr:uid="{2CFB04BA-3B55-474F-8AF8-BB8150A53432}">
      <text>
        <r>
          <rPr>
            <b/>
            <sz val="8"/>
            <color indexed="81"/>
            <rFont val="Tahoma"/>
            <family val="2"/>
          </rPr>
          <t>Bonificação para casos de colheitas (RU-BONIFICACAO)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82" authorId="0" shapeId="0" xr:uid="{5B0B7A28-A07B-4236-8DAB-67009F5C326D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83" authorId="0" shapeId="0" xr:uid="{839A16F2-89BC-43A8-ABF6-D7521BCC2389}">
      <text>
        <r>
          <rPr>
            <b/>
            <sz val="9"/>
            <color indexed="81"/>
            <rFont val="Tahoma"/>
            <family val="2"/>
          </rPr>
          <t>VAPRS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83" authorId="0" shapeId="0" xr:uid="{07F0AD29-11F0-4C8B-8A73-EF965A0AD323}">
      <text>
        <r>
          <rPr>
            <b/>
            <sz val="8"/>
            <color indexed="81"/>
            <rFont val="Tahoma"/>
            <family val="2"/>
          </rPr>
          <t>Prémio comercial = Prémio Simples + Bonus + Custo Fracionamento (RU-PR-SIMPLES + RU-BONUS + RU-CUSTO-FRACC)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283" authorId="0" shapeId="0" xr:uid="{4F80A6AD-0A54-491F-89FF-B1190B05492C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4" authorId="0" shapeId="0" xr:uid="{5308B562-FC59-4A65-91A8-8E6A8F77688E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5" authorId="0" shapeId="0" xr:uid="{A8F7192F-54AD-4139-BD85-959A225D3AF4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6" authorId="0" shapeId="0" xr:uid="{ED013B18-371B-4BA2-B222-2E9E54E19F17}">
      <text>
        <r>
          <rPr>
            <b/>
            <sz val="9"/>
            <color indexed="81"/>
            <rFont val="Tahoma"/>
            <family val="2"/>
          </rPr>
          <t>O sinal deve estar sempre informado.
Os campos valor devem ser zeros, quando não tem significado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<sst xmlns="http://schemas.openxmlformats.org/spreadsheetml/2006/main" count="680" uniqueCount="457">
  <si>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</si>
  <si>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</si>
  <si>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</si>
  <si>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</si>
  <si>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</si>
  <si>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</si>
  <si>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</si>
  <si>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</si>
  <si>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</si>
  <si>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</si>
  <si>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</si>
  <si>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</si>
  <si>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</si>
  <si>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</si>
  <si>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Nome Pessoa segura 1</t>
  </si>
  <si>
    <t>Nome Pessoa segura 2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</si>
  <si>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</si>
  <si>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</si>
  <si>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</si>
  <si>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</si>
  <si>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</si>
  <si>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</si>
  <si>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</si>
  <si>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</si>
  <si>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</si>
  <si>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Total:</t>
  </si>
  <si>
    <t>Marca</t>
  </si>
  <si>
    <t>Modelo</t>
  </si>
  <si>
    <t>Matrícula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</si>
  <si>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</si>
  <si>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</si>
  <si>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</si>
  <si>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</si>
  <si>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</si>
  <si>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</si>
  <si>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>Tipo de Recibo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</si>
  <si>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</si>
  <si>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</si>
  <si>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</si>
  <si>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</si>
  <si>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</si>
  <si>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>Descritivo: 'SELO de GARANTIA'</t>
  </si>
  <si>
    <t>Imposto de Selo - Descritivo: 'SELO'</t>
  </si>
  <si>
    <t>Tipo de Documento</t>
  </si>
  <si>
    <t xml:space="preserve">     'A' - Documento para agente (Recibo)</t>
  </si>
  <si>
    <t xml:space="preserve">     'C' - Documento para cliente (Aviso-Recibo)</t>
  </si>
  <si>
    <t>Inclusão de texto na frente do Aviso</t>
  </si>
  <si>
    <t>Descritivo: 'CAPITAL IMÓVEL'</t>
  </si>
  <si>
    <t>Tipo de atualização tarifária (ex: "CA" - Convencionada, "IA" - Indexada, "SA" - Sem actualização, "VA" - Vários)</t>
  </si>
  <si>
    <t>Número de unidades em risco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</si>
  <si>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</si>
  <si>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</si>
  <si>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</si>
  <si>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</si>
  <si>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</si>
  <si>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</si>
  <si>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</si>
  <si>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</si>
  <si>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</si>
  <si>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</si>
  <si>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</si>
  <si>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</si>
  <si>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</si>
  <si>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</si>
  <si>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</si>
  <si>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    88  :PREFIX:-REG-TIPO2                VALUE '2'.</t>
  </si>
  <si>
    <t xml:space="preserve">      88  :PREFIX:-REG-TIPO3                VALUE '3'.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</si>
  <si>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</si>
  <si>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</si>
  <si>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</si>
  <si>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</si>
  <si>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</si>
  <si>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</si>
  <si>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</si>
  <si>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</si>
  <si>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 xml:space="preserve">  07  :PREFIX:-DADOS-AVISO.</t>
  </si>
  <si>
    <t xml:space="preserve">        88  :PREFIX:-DOC-AGENTE             VALUE 'A'.</t>
  </si>
  <si>
    <t xml:space="preserve">        88  :PREFIX:-DOC-CLIENTE            VALUE 'C'.</t>
  </si>
  <si>
    <t xml:space="preserve">    09  :PREFIX:-TIPO-DOCUMENTO         PIC X(01).</t>
  </si>
  <si>
    <t xml:space="preserve">    09  :PREFIX:-COD-MOEDA              PIC X(03).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</si>
  <si>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</si>
  <si>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</si>
  <si>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</si>
  <si>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</si>
  <si>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</si>
  <si>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</si>
  <si>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</si>
  <si>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</si>
  <si>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</si>
  <si>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:PREFIX:-DADOS-DATA.</t>
  </si>
  <si>
    <t xml:space="preserve">  07  :PREFIX:-DADOS-VALOR.</t>
  </si>
  <si>
    <t xml:space="preserve">    09  :PREFIX:-MR-TEXT-FRENT          PIC X(60).</t>
  </si>
  <si>
    <t xml:space="preserve">    09  :PREFIX:-MR-TIPO-ACTZ           PIC X(02).</t>
  </si>
  <si>
    <t>Descritivo da unidade em risco (Objeto seguro)</t>
  </si>
  <si>
    <t xml:space="preserve">  07  :PREFIX:-USERID                   PIC X(08).</t>
  </si>
  <si>
    <t>User Id da impressão OnLine</t>
  </si>
  <si>
    <t>Carta de Condução</t>
  </si>
  <si>
    <t>Categoria (ex: Garagista até 3500Kg)</t>
  </si>
  <si>
    <t xml:space="preserve">    09  :PREFIX:-MR-MORADA1             PIC X(40).</t>
  </si>
  <si>
    <t xml:space="preserve">    09  :PREFIX:-MR-MORADA2             PIC X(40).</t>
  </si>
  <si>
    <t xml:space="preserve">    09  :PREFIX:-MR-LOCALIDADE          PIC X(40).</t>
  </si>
  <si>
    <t xml:space="preserve">    09  :PREFIX:-MR-CPOSTAL             PIC X(09).</t>
  </si>
  <si>
    <t xml:space="preserve">    09  :PREFIX:-MR-CPOSTAL-DESC        PIC X(40).</t>
  </si>
  <si>
    <t>Objeto</t>
  </si>
  <si>
    <t>Custo de Fraccionamento - Descritivo: 'CUSTO FRACCIONAMENTO'</t>
  </si>
  <si>
    <t>Imposto INEM - Descritivo: 'INEM'</t>
  </si>
  <si>
    <t>Custo da Carta Verde - Descritivo: 'CV / SNB / FAT'</t>
  </si>
  <si>
    <t>Imposto Serviço Nacional de Bombeiros - Descritivo: 'SNB' | 'CV / SNB / FAT'</t>
  </si>
  <si>
    <t>Bonificação (Colheitas) - Descritivo: 'BONIFICAÇÃO'</t>
  </si>
  <si>
    <t>Bónus - Descritivo: 'BONUS'</t>
  </si>
  <si>
    <t>Fundo de calamidades - Descritivo: 'F.CALAM / FGA'</t>
  </si>
  <si>
    <t xml:space="preserve">  07  :PREFIX:-AUX-MARCA                PIC X(01).</t>
  </si>
  <si>
    <t xml:space="preserve">      88  :PREFIX:-MAR-LEVE                 VALUE 'L'.</t>
  </si>
  <si>
    <t xml:space="preserve">    09  :PREFIX:-UR-QUANT               PIC 9(05).</t>
  </si>
  <si>
    <t>Custo da Acta/Apólice - Descritivo: 'APÓLICE / ACTA' | 'CUSTO CERTIFICADO'</t>
  </si>
  <si>
    <t>FGA, Responsabilidade Civil do Ramo Contabilistico - Descritivo: 'FGA (*)'</t>
  </si>
  <si>
    <t>FGA, Outras Coberturas do Ramo Contabilistico - Descritivo: 'FGA-PR (*)'</t>
  </si>
  <si>
    <t>Fundo de Garantia Automóvel - Descritivo: 'F.CALAM / FGA'</t>
  </si>
  <si>
    <t>Fundo de Garantia de Acidentes de Trabalho - Descritivo: 'CV / SNB / FAT'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</si>
  <si>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</si>
  <si>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</si>
  <si>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</si>
  <si>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</si>
  <si>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 'PR' - Prémio</t>
  </si>
  <si>
    <t xml:space="preserve">     'ES' - Estorno</t>
  </si>
  <si>
    <t xml:space="preserve">    09  :PREFIX:-TIPO-RECIBO            PIC X(02).</t>
  </si>
  <si>
    <t xml:space="preserve">        88  :PREFIX:-REC-PREMIO             VALUE 'PR'.</t>
  </si>
  <si>
    <t xml:space="preserve">        88  :PREFIX:-REC-ESTORNO            VALUE 'ES'.</t>
  </si>
  <si>
    <t xml:space="preserve">    09  :PREFIX:-NR-RECIBO              PIC X(16).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</si>
  <si>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</si>
  <si>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</si>
  <si>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</si>
  <si>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</si>
  <si>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</si>
  <si>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>Código do País (Se estrangeiro, diferente de 620)</t>
  </si>
  <si>
    <t xml:space="preserve">    09  :PREFIX:-CL-CPAIS               PIC X(03).</t>
  </si>
  <si>
    <t>Periodo do recibo - inicio [aaaammdd]</t>
  </si>
  <si>
    <t>Periodo do recibo - fim [aaaammdd]</t>
  </si>
  <si>
    <t>Emissão do recibo [aaaammdd]</t>
  </si>
  <si>
    <t xml:space="preserve">    09  :PREFIX:-DT-INI-RECI            PIC X(08).</t>
  </si>
  <si>
    <t xml:space="preserve">    09  :PREFIX:-DT-FIM-RECI            PIC X(08).</t>
  </si>
  <si>
    <t xml:space="preserve">    09  :PREFIX:-DT-CRI-RECI            PIC X(08).</t>
  </si>
  <si>
    <t xml:space="preserve">    09  :PREFIX:-DT-LIM-PAG             PIC X(08).</t>
  </si>
  <si>
    <t xml:space="preserve">    09  :PREFIX:-DT-LIM-DEVOL           PIC X(08).</t>
  </si>
  <si>
    <t xml:space="preserve">    09  :PREFIX:-DT-CESSACAO            PIC X(08).</t>
  </si>
  <si>
    <t xml:space="preserve">     'L' - Leve (Substitui 'L02' - FM Leve / 'L03' - IB Leve, apenas para marca 002 ou 003)</t>
  </si>
  <si>
    <t xml:space="preserve">  07  :PREFIX:-DADOS-OBJSEGURO.</t>
  </si>
  <si>
    <t xml:space="preserve">    09  :PREFIX:-GR-DETAIL              PIC X(65).</t>
  </si>
  <si>
    <t>Tipo de Unidade em risco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</si>
  <si>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</si>
  <si>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</si>
  <si>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</si>
  <si>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</si>
  <si>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 '002' - Fidelidade</t>
  </si>
  <si>
    <t xml:space="preserve">      88  :PREFIX:-MAR-FIDELIDADE           VALUE '002'.</t>
  </si>
  <si>
    <t>Prémio total recibo - Descritivo: 'VALOR A PAGAR' | 'VALOR A RECEBER' | 'TOTAL DE PRÉMIOS'</t>
  </si>
  <si>
    <t xml:space="preserve">    09  :PREFIX:-UR-TIPO                PIC X(02).</t>
  </si>
  <si>
    <t>Actualização do Prémio Anual</t>
  </si>
  <si>
    <t xml:space="preserve">        88  :PREFIX:-RAM-NVIDA              VALUE '0201  '</t>
  </si>
  <si>
    <t xml:space="preserve">              '0205  ' '0210  ' '0301  ' '0305  ' '0310  '</t>
  </si>
  <si>
    <t xml:space="preserve">              '3109  '.</t>
  </si>
  <si>
    <t>Ramos não vida</t>
  </si>
  <si>
    <t>Ramos não vida: Colheitas</t>
  </si>
  <si>
    <t>Ramos não vida: Saúde</t>
  </si>
  <si>
    <r>
      <t xml:space="preserve">Código de Produto </t>
    </r>
    <r>
      <rPr>
        <sz val="11"/>
        <color rgb="FFFF0000"/>
        <rFont val="Calibri"/>
        <family val="2"/>
        <scheme val="minor"/>
      </rPr>
      <t>[Garantir que no máximo vem 6 posições]</t>
    </r>
  </si>
  <si>
    <r>
      <t xml:space="preserve">Código do Ramo SO </t>
    </r>
    <r>
      <rPr>
        <sz val="11"/>
        <color rgb="FFFF0000"/>
        <rFont val="Calibri"/>
        <family val="2"/>
        <scheme val="minor"/>
      </rPr>
      <t>[Garantir que no máximo vem 6 posições]</t>
    </r>
  </si>
  <si>
    <t xml:space="preserve">    09  :PREFIX:-COD-PRODUTO            PIC X(10).</t>
  </si>
  <si>
    <t xml:space="preserve">    09  :PREFIX:-COD-RAMO               PIC X(10).</t>
  </si>
  <si>
    <t>Número de identificação fiscal (No caso de Portugal será PT999999999)</t>
  </si>
  <si>
    <t xml:space="preserve">    09  :PREFIX:-CL-NIF                 PIC X(22).</t>
  </si>
  <si>
    <t xml:space="preserve">     'VG' - Garagista</t>
  </si>
  <si>
    <t xml:space="preserve">     'VH' - Veículo</t>
  </si>
  <si>
    <t>Indicador de inclusão de texto no verso do Aviso (ex: "1" - Riscos Simples e "2" - Riscos Industriais)</t>
  </si>
  <si>
    <t xml:space="preserve">        88  :PREFIX:-RAM-NVIDA-MHS          VALUE '3102  '</t>
  </si>
  <si>
    <t xml:space="preserve">        88  :PREFIX:-RAM-NVIDA-CLH          VALUE '22000 '</t>
  </si>
  <si>
    <t>NIF Pessoa segura 1  (No caso de Portugal será PT999999999)</t>
  </si>
  <si>
    <t>NIF Pessoa segura 2  (No caso de Portugal será PT999999999)</t>
  </si>
  <si>
    <t xml:space="preserve">     'VG', 'VH', 'VO' - Detalhe de Automóvel</t>
  </si>
  <si>
    <t xml:space="preserve">        88  :PREFIX:-UR-TIP-AUTOMOVEL       VALUE 'VG'
                                             'VH' 'VO'.</t>
  </si>
  <si>
    <t xml:space="preserve">     'VO' - Outros veículos</t>
  </si>
  <si>
    <t xml:space="preserve">        88  :PREFIX:-UR-TIP-AU-GARAGISTA    VALUE 'VG'.</t>
  </si>
  <si>
    <t xml:space="preserve">        88  :PREFIX:-UR-TIP-AU-VEICULO      VALUE 'VH'.</t>
  </si>
  <si>
    <t xml:space="preserve">        88  :PREFIX:-UR-TIP-AU-OUTROS       VALUE 'VO'.</t>
  </si>
  <si>
    <t>Versão</t>
  </si>
  <si>
    <t xml:space="preserve">      11  :PREFIX:-VH-MATRICULA         PIC X(15).</t>
  </si>
  <si>
    <t xml:space="preserve">      11  :PREFIX:-VG-CARTA-COND        PIC X(25).</t>
  </si>
  <si>
    <t xml:space="preserve">      11  :PREFIX:-VG-CATEGORIA         PIC X(40).</t>
  </si>
  <si>
    <t>Indicador de inclusão de texto no Aviso (ex: "A" - AT Portaria e "T" - AT Tarif)</t>
  </si>
  <si>
    <t xml:space="preserve">    09  :PREFIX:-AT-IND-TEXT-FRENT      PIC X(01).</t>
  </si>
  <si>
    <t xml:space="preserve">    09  :PREFIX:-MR-IND-TEXT-FRENT      PIC X(01).</t>
  </si>
  <si>
    <t xml:space="preserve">    09  :PREFIX:-MR-IND-TEXT-VERSO      PIC X(02).</t>
  </si>
  <si>
    <t>Indicador de inclusão de texto no Aviso (ex: "S" - MR Hab)</t>
  </si>
  <si>
    <t xml:space="preserve">    09  :PREFIX:-AT-OBJETO              PIC X(65).</t>
  </si>
  <si>
    <t xml:space="preserve">    09  :PREFIX:-MR-OBJETO              PIC X(10).</t>
  </si>
  <si>
    <t xml:space="preserve">     '138' - Império</t>
  </si>
  <si>
    <t xml:space="preserve">      88  :PREFIX:-COM-IMPERIO              VALUE '138'.</t>
  </si>
  <si>
    <t xml:space="preserve">      88  :PREFIX:-MAR-IMPERIO              VALUE '003'.</t>
  </si>
  <si>
    <t xml:space="preserve">     '003' - Império</t>
  </si>
  <si>
    <t xml:space="preserve">      88  :PREFIX:-MAR-ICI                  VALUE '004'.</t>
  </si>
  <si>
    <t xml:space="preserve">     '004' - ICI</t>
  </si>
  <si>
    <t>Descritivo do Ramo / Produto (Para apresentação no A-R)</t>
  </si>
  <si>
    <t xml:space="preserve">    09  :PREFIX:-DESCR-RAMO-PROD        PIC X(40).</t>
  </si>
  <si>
    <t>Prémio Simples - Descritivo: 'PRÉMIO COMERCIAL'</t>
  </si>
  <si>
    <t xml:space="preserve">        88  :PREFIX:-UR-TIP-GERAL           VALUE 'GR'.</t>
  </si>
  <si>
    <t xml:space="preserve">     'GR' - Detalhe Geral</t>
  </si>
  <si>
    <t xml:space="preserve">        88  :PREFIX:-UR-TIP-MULTIRISCO      VALUE 'MR'.</t>
  </si>
  <si>
    <t xml:space="preserve">     'MR' - Detalhe Multiriscos</t>
  </si>
  <si>
    <t xml:space="preserve">        88  :PREFIX:-UR-TIP-AT              VALUE 'AT'.</t>
  </si>
  <si>
    <t xml:space="preserve">     'AT' - Detalhe de Acidentes Trabalho</t>
  </si>
  <si>
    <t xml:space="preserve">      11  :PREFIX:-VO-OBJETO            PIC X(65).</t>
  </si>
  <si>
    <t xml:space="preserve">    09  :PREFIX:-AT-TEXT-FRENT          PIC X(60).</t>
  </si>
  <si>
    <t>Opcional</t>
  </si>
  <si>
    <t>Condicional</t>
  </si>
  <si>
    <t>Obrigatório</t>
  </si>
  <si>
    <t>Observações</t>
  </si>
  <si>
    <t xml:space="preserve">      11  :PREFIX:-VH-MARCA             PIC X(30).</t>
  </si>
  <si>
    <t xml:space="preserve">      11  :PREFIX:-VH-VERSAO            PIC X(25).</t>
  </si>
  <si>
    <t xml:space="preserve">      11  :PREFIX:-VH-MODELO            PIC X(10).</t>
  </si>
  <si>
    <t>Data de Nascimento Pessoa segura 1 [aaaammdd]</t>
  </si>
  <si>
    <t>Data de Nascimento Pessoa segura 2 [aaaammdd]</t>
  </si>
  <si>
    <r>
      <t xml:space="preserve">Número do Recibo </t>
    </r>
    <r>
      <rPr>
        <sz val="11"/>
        <color rgb="FFFF0000"/>
        <rFont val="Calibri"/>
        <family val="2"/>
        <scheme val="minor"/>
      </rPr>
      <t>[Garantir que no máximo vem 11 posições Vida / 10 posições nos restantes]</t>
    </r>
  </si>
  <si>
    <t xml:space="preserve">     '2' - Detalhe do extrato</t>
  </si>
  <si>
    <t xml:space="preserve">     '3' - Footer do extrato</t>
  </si>
  <si>
    <t xml:space="preserve">  07  :PREFIX:-DADOS-UR                 PIC X(200).</t>
  </si>
  <si>
    <t xml:space="preserve">    09  FILLER                          PIC X(135).</t>
  </si>
  <si>
    <t xml:space="preserve">    09  :PREFIX:-AU-AREA                PIC X(200).</t>
  </si>
  <si>
    <t xml:space="preserve">      11  FILLER                        PIC X(120).</t>
  </si>
  <si>
    <t xml:space="preserve">      11  FILLER                        PIC X(135).</t>
  </si>
  <si>
    <t xml:space="preserve">    09  FILLER                          PIC X(21).</t>
  </si>
  <si>
    <t xml:space="preserve">  07  :PREFIX:-DADOS-OUT                PIC X(150).</t>
  </si>
  <si>
    <t xml:space="preserve">    09  FILLER                          PIC X(70).</t>
  </si>
  <si>
    <t xml:space="preserve">    09  FILLER                          PIC X(89).</t>
  </si>
  <si>
    <t xml:space="preserve">        88  :PREFIX:-RAM-VIDA               VALUE '11    '</t>
  </si>
  <si>
    <t xml:space="preserve">              '13    ' '14    '.</t>
  </si>
  <si>
    <t xml:space="preserve">     'FGS' - FGS</t>
  </si>
  <si>
    <t xml:space="preserve">      88  :PREFIX:-ORI-SGF-GR               VALUE 'SPG'.</t>
  </si>
  <si>
    <t xml:space="preserve">     'SPG' - SGF Grupo (Paxus)</t>
  </si>
  <si>
    <t>Número de Aderente - 'PES. SEGURA' (Obs: Preenchido, significa que o nr de apólice é composto)</t>
  </si>
  <si>
    <t xml:space="preserve">    09  FILLER                          PIC X(139).</t>
  </si>
  <si>
    <t xml:space="preserve">     'VRG' - Vida Risco Grupo</t>
  </si>
  <si>
    <t xml:space="preserve">     'VRI' - Vida Risco Individual</t>
  </si>
  <si>
    <t xml:space="preserve">     'CAP' - Vida Capitalização</t>
  </si>
  <si>
    <t>Tipo de apólice Vida</t>
  </si>
  <si>
    <t>Ramos Vida</t>
  </si>
  <si>
    <t xml:space="preserve">      88  :PREFIX:-ORI-FGS                  VALUE 'FGS'.</t>
  </si>
  <si>
    <t xml:space="preserve">      88  :PREFIX:-ORI-SGF-IN               VALUE 'SPA'.</t>
  </si>
  <si>
    <t xml:space="preserve">     'SPA' - SGF Individual (Paxus)</t>
  </si>
  <si>
    <t xml:space="preserve">        88  :PREFIX:-UR-TIP-VIDA            VALUE 'PS'.</t>
  </si>
  <si>
    <t xml:space="preserve">     'PS' - Detalhe Vida</t>
  </si>
  <si>
    <t xml:space="preserve">    09  :PREFIX:-PS-TIPO                PIC X(03).</t>
  </si>
  <si>
    <t xml:space="preserve">        88  :PREFIX:-PS-RISCO-GR            VALUE 'VRG'.</t>
  </si>
  <si>
    <t xml:space="preserve">        88  :PREFIX:-PS-RISCO-IN            VALUE 'VRI'.</t>
  </si>
  <si>
    <t xml:space="preserve">        88  :PREFIX:-PS-CAPITALI            VALUE 'CAP'.</t>
  </si>
  <si>
    <t xml:space="preserve">    09  :PREFIX:-PS-ADERENTE            PIC X(08).</t>
  </si>
  <si>
    <t xml:space="preserve"> </t>
  </si>
  <si>
    <t xml:space="preserve">      88  :PREFIX:-ORI-FCS                  VALUE 'FCS'.</t>
  </si>
  <si>
    <t xml:space="preserve">     'FCS' - FCS</t>
  </si>
  <si>
    <t xml:space="preserve">        88  :PREFIX:-UR-TIP-VIDA-NCTR       VALUE 'NC'.</t>
  </si>
  <si>
    <t xml:space="preserve">     'NC' - Detalhe Vida</t>
  </si>
  <si>
    <t xml:space="preserve">      88  :PREFIX:-MAR-EUROBIC              VALUE '028'.</t>
  </si>
  <si>
    <t xml:space="preserve">     '028' - EuroBic</t>
  </si>
  <si>
    <t xml:space="preserve">              '22002 ' '22003 '.</t>
  </si>
  <si>
    <t xml:space="preserve">              '0350  ' '0351  ' '0352  ' '0353  ' '0354  '</t>
  </si>
  <si>
    <t xml:space="preserve">              '0355  ' '0356  ' '0357  ' '0358  ' '0359  '</t>
  </si>
  <si>
    <t xml:space="preserve">              '0360  ' '0370  ' '0380  ' '0390  ' '0395  '</t>
  </si>
  <si>
    <t xml:space="preserve">              '0401  ' '0405  ' '0501  ' '0510  ' '0515  '</t>
  </si>
  <si>
    <t xml:space="preserve">              '0520  ' '0525  ' '0601  ' '0701  ' '0705  '</t>
  </si>
  <si>
    <t xml:space="preserve">              '0750  ' '0905  ' '2001  ' '2010  ' '2101  '</t>
  </si>
  <si>
    <t xml:space="preserve">              '22000 ' '22002 ' '22003 ' '2201  ' '2210  '</t>
  </si>
  <si>
    <t xml:space="preserve">              '2211  ' '2215  ' '2220  ' '2250  ' '2301  '</t>
  </si>
  <si>
    <t xml:space="preserve">              '2401  ' '2402  ' '2501  ' '2601  ' '2605  '</t>
  </si>
  <si>
    <t xml:space="preserve">              '2705  ' '2801  ' '3102  ' '3109  ' '3150  '</t>
  </si>
  <si>
    <t xml:space="preserve">              '3201  ' '3205  ' '3210  ' '3215  ' '3301  '</t>
  </si>
  <si>
    <t xml:space="preserve">              '3401  ' '3405  ' '3410  ' '3420  ' '3425  '</t>
  </si>
  <si>
    <t xml:space="preserve">              '3430  ' '3501  ' '3505  ' '3601  ' '3605  '</t>
  </si>
  <si>
    <t xml:space="preserve">              '3625  ' '3701  ' '3801  ' '3802  ' '3803  '</t>
  </si>
  <si>
    <t xml:space="preserve">              '3901  '.</t>
  </si>
  <si>
    <t xml:space="preserve">  07  :PREFIX:-DADOS-CERTIFICACAO.</t>
  </si>
  <si>
    <t xml:space="preserve">    09  :PREFIX:-CF-ATCUD               PIC X(70).</t>
  </si>
  <si>
    <t xml:space="preserve">    09  :PREFIX:-CF-HASH                PIC X(04).</t>
  </si>
  <si>
    <t xml:space="preserve">    09  :PREFIX:-CF-NUM-COMPROMISSO     PIC X(20).</t>
  </si>
  <si>
    <t xml:space="preserve">      88  :PREFIX:-DOC-FATR                 VALUE 'FATR'.</t>
  </si>
  <si>
    <t xml:space="preserve">     'FATR' - Fatura</t>
  </si>
  <si>
    <t xml:space="preserve">     'NTCR' - Nota de Crédito</t>
  </si>
  <si>
    <t xml:space="preserve">      88  :PREFIX:-DOC-NTCR                 VALUE 'NTCR'.</t>
  </si>
  <si>
    <t>TIPO-REGISTO 1: FATURA + NOTA CRÉDITO</t>
  </si>
  <si>
    <t xml:space="preserve">    09  FILLER                          PIC X(02).</t>
  </si>
  <si>
    <t>(originalmente Tipo de Cobrança)</t>
  </si>
  <si>
    <t>(originalmente Espécie de Recibo + Fraccionamento + Modo Renovação)</t>
  </si>
  <si>
    <t xml:space="preserve">    09  FILLER                          PIC X(06).</t>
  </si>
  <si>
    <t xml:space="preserve">  07  :PREFIX:-DADOS-MENSAGEM.</t>
  </si>
  <si>
    <t xml:space="preserve">    09  :PREFIX:-CF-NUM-CERTIF-AVSO     PIC X(60).</t>
  </si>
  <si>
    <t xml:space="preserve">    09  :PREFIX:-CF-NUM-PROG-CERTIF     PIC 9(04).</t>
  </si>
  <si>
    <t xml:space="preserve">    09  :PREFIX:-CF-ESTADO-DOCUMENTO    PIC X(01).</t>
  </si>
  <si>
    <t xml:space="preserve">    09  :PREFIX:-CF-ESPACO-FISCAL-IVA   PIC X(05).</t>
  </si>
  <si>
    <t xml:space="preserve">    09  :PREFIX:-CF-NUM-CERTIF-FATURA   PIC X(60).</t>
  </si>
  <si>
    <t>NIF da Entidade emissora</t>
  </si>
  <si>
    <t>Número de Certificação da Fatura / Nota de Crédito</t>
  </si>
  <si>
    <t>Valor Base para tributação pelas Finanças</t>
  </si>
  <si>
    <t>Número de Certificação do Recibo correspondente</t>
  </si>
  <si>
    <t>Número do Programa usado para Certificação do Documento</t>
  </si>
  <si>
    <t xml:space="preserve">    09  :PREFIX:-CF-NIF-EMITENTE        PIC 9(09).</t>
  </si>
  <si>
    <t>Código único de Documento</t>
  </si>
  <si>
    <t>Código Hash</t>
  </si>
  <si>
    <t>Estado do Documento</t>
  </si>
  <si>
    <t>Espaço Fiscal do IVA</t>
  </si>
  <si>
    <t>Número do Compromisso</t>
  </si>
  <si>
    <t xml:space="preserve">Indicador da existência de Mensagem adicional </t>
  </si>
  <si>
    <t xml:space="preserve">    09  :PREFIX:-MS-INDIC-MENSAGENS     PIC X(01).</t>
  </si>
  <si>
    <t xml:space="preserve">  07  :PREFIX:-REFERENCIA-ARQUIVO.</t>
  </si>
  <si>
    <t xml:space="preserve">    09  :PREFIX:-RA-GUID                PIC X(36).</t>
  </si>
  <si>
    <t>05  FILLER                        REDEFINES :PREFIX:-DADOS-DOCUMENTO.</t>
  </si>
  <si>
    <t xml:space="preserve">    09  :PREFIX:-VLR-CAPITAL-RECIBO     PIC S9(12)V9(02)
                                            SIGN LEADING SEPARATE.</t>
  </si>
  <si>
    <t>Valor de Prémio de Risco - Descritivo: 'PRÉMIO RISCO'</t>
  </si>
  <si>
    <t xml:space="preserve">    09  :PREFIX:-VLR-BONIFICACAO        PIC S9(12)V9(02)
                                            SIGN LEADING SEPARATE.</t>
  </si>
  <si>
    <t xml:space="preserve">    09  :PREFIX:-VLR-TOTAL-RECIBO       PIC S9(12)V9(02)
                                            SIGN LEADING SEPARATE.</t>
  </si>
  <si>
    <t xml:space="preserve">    09  :PREFIX:-VLR-FRACC              PIC S9(12)V9(02)
                                            SIGN LEADING SEPARATE.</t>
  </si>
  <si>
    <t xml:space="preserve">    09  :PREFIX:-VLR-FAT                PIC S9(12)V9(02)
                                            SIGN LEADING SEPARATE.</t>
  </si>
  <si>
    <t xml:space="preserve">    09  :PREFIX:-VLR-FGA                PIC S9(12)V9(02)
                                            SIGN LEADING SEPARATE.</t>
  </si>
  <si>
    <t xml:space="preserve">    09  :PREFIX:-VLR-SNB                PIC S9(12)V9(02)
                                            SIGN LEADING SEPARATE.</t>
  </si>
  <si>
    <t xml:space="preserve">    09  :PREFIX:-VLR-INEM               PIC S9(12)V9(02)
                                            SIGN LEADING SEPARATE.</t>
  </si>
  <si>
    <t xml:space="preserve">    09  :PREFIX:-VLR-CVERDE             PIC S9(12)V9(02)
                                            SIGN LEADING SEPARATE.</t>
  </si>
  <si>
    <t xml:space="preserve">    09  :PREFIX:-VLR-SELOS              PIC S9(12)V9(02)
                                            SIGN LEADING SEPARATE.</t>
  </si>
  <si>
    <t xml:space="preserve">    09  :PREFIX:-VLR-ACTA               PIC S9(12)V9(02)
                                            SIGN LEADING SEPARATE.</t>
  </si>
  <si>
    <t xml:space="preserve">    09  :PREFIX:-VLR-IMP-SELO           PIC S9(12)V9(02)
                                            SIGN LEADING SEPARATE.</t>
  </si>
  <si>
    <t xml:space="preserve">    09  :PREFIX:-VLR-FUND-CALAM         PIC S9(12)V9(02)
                                            SIGN LEADING SEPARATE.</t>
  </si>
  <si>
    <t xml:space="preserve">    09  :PREFIX:-VLR-FGA-OCOBERT        PIC S9(12)V9(02)
                                            SIGN LEADING SEPARATE.</t>
  </si>
  <si>
    <t xml:space="preserve">    09  :PREFIX:-VLR-FGA-RCIVIL         PIC S9(12)V9(02)
                                            SIGN LEADING SEPARATE.</t>
  </si>
  <si>
    <t xml:space="preserve">    09  :PREFIX:-VLR-BONUS              PIC S9(12)V9(02)
                                            SIGN LEADING SEPARATE.</t>
  </si>
  <si>
    <t xml:space="preserve">    09  :PREFIX:-VLR-PR-SIMPLES         PIC S9(12)V9(02)
                                            SIGN LEADING SEPARATE.</t>
  </si>
  <si>
    <t xml:space="preserve">    09  :PREFIX:-VLR-PR-ANUAL           PIC S9(12)V9(02)
                                            SIGN LEADING SEPARATE.</t>
  </si>
  <si>
    <t xml:space="preserve">  07  :PREFIX:-UR-GERAL           REDEFINES :PREFIX:-DADOS-UR.</t>
  </si>
  <si>
    <t xml:space="preserve">  07  :PREFIX:-UR-VIDA            REDEFINES :PREFIX:-DADOS-UR.</t>
  </si>
  <si>
    <t xml:space="preserve">    09  :PREFIX:-PS-1-NOME              PIC X(50).</t>
  </si>
  <si>
    <t xml:space="preserve">    09  :PREFIX:-PS-1-NIF               PIC X(22).</t>
  </si>
  <si>
    <t xml:space="preserve">    09  :PREFIX:-PS-1-DT-NASC           PIC X(08).</t>
  </si>
  <si>
    <t xml:space="preserve">    09  :PREFIX:-PS-2-NOME              PIC X(50).</t>
  </si>
  <si>
    <t xml:space="preserve">    09  :PREFIX:-PS-2-NIF               PIC X(22).</t>
  </si>
  <si>
    <t xml:space="preserve">    09  :PREFIX:-PS-2-DT-NASC           PIC X(08).</t>
  </si>
  <si>
    <t xml:space="preserve">    09  :PREFIX:-VI-ENCAR-AQUISICAO     PIC S9(12)V9(02)
                                            SIGN LEADING SEPARATE.</t>
  </si>
  <si>
    <t>Valor dos encargos Aquisição - componente da parcela com Descritivo: 'ENCARGOS'</t>
  </si>
  <si>
    <t xml:space="preserve">    09  :PREFIX:-VI-ENCAR-PENALIZA      PIC S9(12)V9(02)
                                            SIGN LEADING SEPARATE.</t>
  </si>
  <si>
    <t xml:space="preserve">Valor dos encargos Penalização - Parcela das Faturas de Indemnizações com Descritivo: ENCARGOS/COMISSÕES </t>
  </si>
  <si>
    <t xml:space="preserve">    09  :PREFIX:-VI-TIPO-APOLICE        PIC X(02).</t>
  </si>
  <si>
    <t xml:space="preserve">  07  :PREFIX:-UR-AUTOMOVEL       REDEFINES :PREFIX:-DADOS-UR.</t>
  </si>
  <si>
    <t xml:space="preserve">    09  :PREFIX:-AU-VH            REDEFINES :PREFIX:-AU-AREA.</t>
  </si>
  <si>
    <t xml:space="preserve">    09  :PREFIX:-AU-VG            REDEFINES :PREFIX:-AU-AREA.</t>
  </si>
  <si>
    <t xml:space="preserve">    09  :PREFIX:-AU-VO            REDEFINES :PREFIX:-AU-AREA.</t>
  </si>
  <si>
    <t xml:space="preserve">  07  :PREFIX:-UR-MULTIRISCO      REDEFINES :PREFIX:-DADOS-UR.</t>
  </si>
  <si>
    <t xml:space="preserve">  07  :PREFIX:-UR-AT              REDEFINES :PREFIX:-DADOS-UR.</t>
  </si>
  <si>
    <t xml:space="preserve">  07  :PREFIX:-OUT-VIDA           REDEFINES :PREFIX:-DADOS-OUT.</t>
  </si>
  <si>
    <t xml:space="preserve">  07  :PREFIX:-OUT-MULTIRISCO     REDEFINES :PREFIX:-DADOS-OUT.</t>
  </si>
  <si>
    <t xml:space="preserve">    09  :PREFIX:-MR-CAP-IMOV            PIC S9(12)V9(02)
                                            SIGN LEADING SEPARATE.</t>
  </si>
  <si>
    <t xml:space="preserve">  07  :PREFIX:-OUT-AT             REDEFINES :PREFIX:-DADOS-OUT.</t>
  </si>
  <si>
    <t xml:space="preserve">    09  :PREFIX:-CF-BASE-TRIBUTAVEL     PIC S9(12)V9(02)
                                            SIGN LEADING SEPARATE.</t>
  </si>
  <si>
    <t xml:space="preserve">    09  :PREFIX:-VLR-PREMIO-RISCO       PIC S9(12)V9(02)
                                            SIGN LEADING SEPARATE.</t>
  </si>
  <si>
    <t xml:space="preserve">    09  FILLER                          PIC X(08).</t>
  </si>
  <si>
    <t>Valor do capital / valor da entrega - Descritivo: 'CAPITAL' | 'PREMIO INVEST' |'CAPITAL ENTREGUE'</t>
  </si>
  <si>
    <t xml:space="preserve">        88  :PREFIX:-VI-CAPITALIZA          VALUE 'CI' 'CG'.</t>
  </si>
  <si>
    <t xml:space="preserve">        88  :PREFIX:-VI-RISCO               VALUE 'MI' 'MG'.</t>
  </si>
  <si>
    <t xml:space="preserve">        88  :PREFIX:-VI-MISTO               VALUE 'XI' 'XG'.</t>
  </si>
  <si>
    <t>Tipo de Apólice Vida</t>
  </si>
  <si>
    <t xml:space="preserve">     'CI' / 'CG' - Capitalização	</t>
  </si>
  <si>
    <t xml:space="preserve">     'MI' / 'MG' - Misto Puro (Risco)</t>
  </si>
  <si>
    <t xml:space="preserve">     'XI' / 'XG' - Misto Capitalização (Risco / Capitalização)</t>
  </si>
  <si>
    <t xml:space="preserve">        88  :PREFIX:-REC-INDEMNIZACAO       VALUE 'IN'.</t>
  </si>
  <si>
    <t xml:space="preserve">        88  :PREFIX:-REC-REEMBOLSO          VALUE 'RE'.</t>
  </si>
  <si>
    <t xml:space="preserve">     'IN' - Indemnização</t>
  </si>
  <si>
    <t xml:space="preserve">     'RE' - Reembolso</t>
  </si>
  <si>
    <t>05  :PREFIX:-DADOS-DOCUMENTO            PIC X(2906).</t>
  </si>
  <si>
    <t xml:space="preserve">  07  :PREFIX:-DETALHE-TAILOR.</t>
  </si>
  <si>
    <t xml:space="preserve">    09  :PREFIX:-TA-NR-APOLICE          PIC X(16).</t>
  </si>
  <si>
    <t xml:space="preserve">    09  :PREFIX:-TA-COD-PRODUTO         PIC X(10).</t>
  </si>
  <si>
    <t>Código de Produto [Garantir que no máximo vem 6 posições]</t>
  </si>
  <si>
    <t xml:space="preserve">    09  :PREFIX:-TA-COD-RAMO            PIC X(10).</t>
  </si>
  <si>
    <t>Código do Ramo SO [Garantir que no máximo vem 6 posições]</t>
  </si>
  <si>
    <t xml:space="preserve">    09  :PREFIX:-TA-DESCR-RAMO-PROD     PIC X(40).</t>
  </si>
  <si>
    <t xml:space="preserve">    09  :PREFIX:-DET-VALORES-TAILOR.</t>
  </si>
  <si>
    <t xml:space="preserve">  07  :PREFIX:-FOOTER-TAILOR.</t>
  </si>
  <si>
    <t xml:space="preserve">    09  :PREFIX:-FTR-VALORES-TAILOR.</t>
  </si>
  <si>
    <t xml:space="preserve">    09  :PREFIX:-FT-TOT-REGISTOS        PIC 9(05).</t>
  </si>
  <si>
    <t xml:space="preserve">    09  :PREFIX:-TA-VI-TIPO-APOLICE     PIC X(02).</t>
  </si>
  <si>
    <t xml:space="preserve">  07  FILLER                            PIC X(2513).</t>
  </si>
  <si>
    <t xml:space="preserve">    09  FILLER                          PIC X(73).</t>
  </si>
  <si>
    <t>ESPAÇOS</t>
  </si>
  <si>
    <t xml:space="preserve">      11  :PREFIX:-FT-VLR-CAPITAL-RECIBO PIC S9(12)V9(02)
                                            SIGN LEADING SEPARATE.</t>
  </si>
  <si>
    <t xml:space="preserve">      11  :PREFIX:-FT-VLR-PREMIO-RISCO   PIC S9(12)V9(02)
                                            SIGN LEADING SEPARATE.</t>
  </si>
  <si>
    <t xml:space="preserve">      11  :PREFIX:-FT-VLR-BONIFICACAO    PIC S9(12)V9(02)
                                            SIGN LEADING SEPARATE.</t>
  </si>
  <si>
    <t xml:space="preserve">      11  :PREFIX:-FT-VLR-TOTAL-RECIBO   PIC S9(12)V9(02)
                                            SIGN LEADING SEPARATE.</t>
  </si>
  <si>
    <t xml:space="preserve">      11  :PREFIX:-FT-VLR-FRACC          PIC S9(12)V9(02)
                                            SIGN LEADING SEPARATE.</t>
  </si>
  <si>
    <t xml:space="preserve">      11  :PREFIX:-FT-VLR-FAT            PIC S9(12)V9(02)
                                            SIGN LEADING SEPARATE.</t>
  </si>
  <si>
    <t xml:space="preserve">      11  :PREFIX:-FT-VLR-FGA            PIC S9(12)V9(02)
                                            SIGN LEADING SEPARATE.</t>
  </si>
  <si>
    <t xml:space="preserve">      11  :PREFIX:-FT-VLR-SNB            PIC S9(12)V9(02)
                                            SIGN LEADING SEPARATE.</t>
  </si>
  <si>
    <t xml:space="preserve">      11  :PREFIX:-FT-VLR-INEM           PIC S9(12)V9(02)
                                            SIGN LEADING SEPARATE.</t>
  </si>
  <si>
    <t xml:space="preserve">      11  :PREFIX:-FT-VLR-CVERDE         PIC S9(12)V9(02)
                                            SIGN LEADING SEPARATE.</t>
  </si>
  <si>
    <t xml:space="preserve">      11  :PREFIX:-FT-VLR-SELOS          PIC S9(12)V9(02)
                                            SIGN LEADING SEPARATE.</t>
  </si>
  <si>
    <t xml:space="preserve">      11  :PREFIX:-FT-VLR-ACTA           PIC S9(12)V9(02)
                                            SIGN LEADING SEPARATE.</t>
  </si>
  <si>
    <t xml:space="preserve">      11  :PREFIX:-FT-VLR-IMP-SELO       PIC S9(12)V9(02)
                                            SIGN LEADING SEPARATE.</t>
  </si>
  <si>
    <t xml:space="preserve">      11  :PREFIX:-FT-VLR-FUND-CALAM     PIC S9(12)V9(02)
                                            SIGN LEADING SEPARATE.</t>
  </si>
  <si>
    <t xml:space="preserve">      11  :PREFIX:-FT-VLR-FGA-OCOBERT    PIC S9(12)V9(02)
                                            SIGN LEADING SEPARATE.</t>
  </si>
  <si>
    <t xml:space="preserve">      11  :PREFIX:-FT-VLR-FGA-RCIVIL     PIC S9(12)V9(02)
                                            SIGN LEADING SEPARATE.</t>
  </si>
  <si>
    <t xml:space="preserve">      11  :PREFIX:-FT-VLR-BONUS          PIC S9(12)V9(02)
                                            SIGN LEADING SEPARATE.</t>
  </si>
  <si>
    <t xml:space="preserve">      11  :PREFIX:-FT-VLR-PR-SIMPLES     PIC S9(12)V9(02)
                                            SIGN LEADING SEPARATE.</t>
  </si>
  <si>
    <t xml:space="preserve">      11  :PREFIX:-FT-VLR-PR-ANUAL       PIC S9(12)V9(02)
                                            SIGN LEADING SEPARATE.</t>
  </si>
  <si>
    <t xml:space="preserve">      11  :PREFIX:-FT-VLR-ENC-AQUIS      PIC S9(12)V9(02)
                                            SIGN LEADING SEPARATE.</t>
  </si>
  <si>
    <t xml:space="preserve">      11  :PREFIX:-FT-VLR-ENC-PENAL      PIC S9(12)V9(02)
                                            SIGN LEADING SEPARATE.</t>
  </si>
  <si>
    <t xml:space="preserve">      11  :PREFIX:-DT-VLR-CAPITAL-RECIBO PIC S9(12)V9(02)
                                             SIGN LEADING SEPARATE.</t>
  </si>
  <si>
    <t xml:space="preserve">      11  :PREFIX:-DT-VLR-PREMIO-RISCO   PIC S9(12)V9(02)
                                             SIGN LEADING SEPARATE.</t>
  </si>
  <si>
    <t xml:space="preserve">      11  :PREFIX:-DT-VLR-BONIFICACAO    PIC S9(12)V9(02)
                                             SIGN LEADING SEPARATE.</t>
  </si>
  <si>
    <t xml:space="preserve">      11  :PREFIX:-DT-VLR-TOTAL-RECIBO   PIC S9(12)V9(02)
                                             SIGN LEADING SEPARATE.</t>
  </si>
  <si>
    <t xml:space="preserve">      11  :PREFIX:-DT-VLR-FRACC          PIC S9(12)V9(02)
                                             SIGN LEADING SEPARATE.</t>
  </si>
  <si>
    <t xml:space="preserve">      11  :PREFIX:-DT-VLR-FAT            PIC S9(12)V9(02)
                                             SIGN LEADING SEPARATE.</t>
  </si>
  <si>
    <t xml:space="preserve">      11  :PREFIX:-DT-VLR-FGA            PIC S9(12)V9(02)
                                             SIGN LEADING SEPARATE.</t>
  </si>
  <si>
    <t xml:space="preserve">      11  :PREFIX:-DT-VLR-SNB            PIC S9(12)V9(02)
                                             SIGN LEADING SEPARATE.</t>
  </si>
  <si>
    <t xml:space="preserve">      11  :PREFIX:-DT-VLR-INEM           PIC S9(12)V9(02)
                                             SIGN LEADING SEPARATE.</t>
  </si>
  <si>
    <t xml:space="preserve">      11  :PREFIX:-DT-VLR-CVERDE         PIC S9(12)V9(02)
                                             SIGN LEADING SEPARATE.</t>
  </si>
  <si>
    <t xml:space="preserve">      11  :PREFIX:-DT-VLR-SELOS          PIC S9(12)V9(02)
                                             SIGN LEADING SEPARATE.</t>
  </si>
  <si>
    <t xml:space="preserve">      11  :PREFIX:-DT-VLR-ACTA           PIC S9(12)V9(02)
                                              SIGN LEADING SEPARATE.</t>
  </si>
  <si>
    <t xml:space="preserve">      11  :PREFIX:-DT-VLR-IMP-SELO       PIC S9(12)V9(02)
                                             SIGN LEADING SEPARATE.</t>
  </si>
  <si>
    <t xml:space="preserve">      11  :PREFIX:-DT-VLR-FUND-CALAM     PIC S9(12)V9(02)
                                             SIGN LEADING SEPARATE.</t>
  </si>
  <si>
    <t xml:space="preserve">      11  :PREFIX:-DT-VLR-FGA-OCOBERT    PIC S9(12)V9(02)
                                             SIGN LEADING SEPARATE.</t>
  </si>
  <si>
    <t xml:space="preserve">      11  :PREFIX:-DT-VLR-FGA-RCIVIL     PIC S9(12)V9(02)
                                             SIGN LEADING SEPARATE.</t>
  </si>
  <si>
    <t xml:space="preserve">      11  :PREFIX:-DT-VLR-BONUS          PIC S9(12)V9(02)
                                             SIGN LEADING SEPARATE.</t>
  </si>
  <si>
    <t xml:space="preserve">      11  :PREFIX:-DT-VLR-PR-SIMPLES     PIC S9(12)V9(02)
                                             SIGN LEADING SEPARATE.</t>
  </si>
  <si>
    <t xml:space="preserve">      11  :PREFIX:-DT-VLR-PR-ANUAL       PIC S9(12)V9(02)
                                             SIGN LEADING SEPARATE.</t>
  </si>
  <si>
    <t xml:space="preserve">      11  :PREFIX:-DT-VLR-ENC-AQUIS      PIC S9(12)V9(02)
                                             SIGN LEADING SEPARATE.</t>
  </si>
  <si>
    <t xml:space="preserve">      11  :PREFIX:-DT-VLR-ENC-PENAL      PIC S9(12)V9(02)
                                             SIGN LEADING SEPARATE.</t>
  </si>
  <si>
    <t xml:space="preserve">      88  :PREFIX:-REG-TIPO4                VALUE '4'.</t>
  </si>
  <si>
    <t xml:space="preserve">      88  :PREFIX:-REG-TIPO5                VALUE '5'.</t>
  </si>
  <si>
    <t xml:space="preserve">     '4' - Detalhe do Tailor</t>
  </si>
  <si>
    <t xml:space="preserve">     '5' - Footer do Tailor</t>
  </si>
  <si>
    <t xml:space="preserve">     '1' - Aviso-Recibo / Fatura / NotaCrédito</t>
  </si>
  <si>
    <t xml:space="preserve">  07  :PREFIX:-DADOS-TAILOR.</t>
  </si>
  <si>
    <t xml:space="preserve">  07  :PREFIX:-DADOS-ASF                PIC X(78).</t>
  </si>
  <si>
    <t>(originalmente DADOS-ASF)</t>
  </si>
  <si>
    <t xml:space="preserve">  07  :PREFIX:-DADOS-EXTRATO            PIC X(32).</t>
  </si>
  <si>
    <t>(originalmente DADOS-EXTRATO)</t>
  </si>
  <si>
    <t xml:space="preserve">  07  :PREFIX:-DADOS-PAGAMENTO          PIC X(240).</t>
  </si>
  <si>
    <t xml:space="preserve">  07  :PREFIX:-DADOS-AGENTE             PIC X(452).</t>
  </si>
  <si>
    <t xml:space="preserve">  07  :PREFIX:-DADOS-CREDORHIP          PIC X(275).</t>
  </si>
  <si>
    <t>(originalmente DADOS-PAGAMENTO)</t>
  </si>
  <si>
    <t>(originalmente DADOS-AGENTE)</t>
  </si>
  <si>
    <t>(originalmente DADOS-CREDORHIP)</t>
  </si>
  <si>
    <t xml:space="preserve">    09  :PREFIX:-DT-IND-APOL-AGREGADA   PIC X(01).</t>
  </si>
  <si>
    <t>Indicador de Apólice Agregada (S/N)</t>
  </si>
  <si>
    <t xml:space="preserve">        88  :PREFIX:-DT-APOL-TAILOR         VALUE 'S'.</t>
  </si>
  <si>
    <t xml:space="preserve">     'S' - Apólice Tailor</t>
  </si>
  <si>
    <t xml:space="preserve">  07  FILLER                            PIC X(480).</t>
  </si>
  <si>
    <t xml:space="preserve">     'E' - Impressão OnLine (Arquivar sem expedir)</t>
  </si>
  <si>
    <t xml:space="preserve">      88  :PREFIX:-IMP-ARQ-IMED             VALUE '128'</t>
  </si>
  <si>
    <t>Data de Cessação [aaaammdd]</t>
  </si>
  <si>
    <t>Data Limite de Devolução [aaaammdd]</t>
  </si>
  <si>
    <t>Data Limite de Pagamento [aaaammdd]</t>
  </si>
  <si>
    <t xml:space="preserve">        88  :PREFIX:-VI-TP-VALID            VALUE 'CI' 'CG' 'MI' 'MG' 'XI'                                                           'XG' '  '.</t>
  </si>
  <si>
    <t xml:space="preserve">    Tipo de Produto/Apólice Vida valido para processar</t>
  </si>
  <si>
    <t xml:space="preserve">        88  :PREFIX:-VI-TP-AP-PROCESS       VALUE 'CI' 'CG' 'MI' 'MG' 'XI' 'XG'.</t>
  </si>
  <si>
    <t>Chave Única do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</si>
</sst>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ourier New"/>
      <family val="3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1" fillId="2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3" fillId="3" borderId="1" xfId="0" applyFont="1" applyFill="1" applyBorder="1"/>
    <xf numFmtId="0" fontId="4" fillId="3" borderId="1" xfId="0" applyFont="1" applyFill="1" applyBorder="1"/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3" fillId="8" borderId="1" xfId="0" applyFont="1" applyFill="1" applyBorder="1"/>
    <xf numFmtId="0" fontId="4" fillId="8" borderId="1" xfId="0" applyFont="1" applyFill="1" applyBorder="1"/>
    <xf numFmtId="0" fontId="3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0" fillId="3" borderId="1" xfId="0" applyFill="1" applyBorder="1"/>
    <xf numFmtId="4" fontId="0" fillId="0" borderId="0" xfId="0" applyNumberFormat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0" fillId="0" borderId="2" xfId="0" applyBorder="1"/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/>
    <xf numFmtId="0" fontId="4" fillId="4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0" fillId="8" borderId="1" xfId="0" applyFill="1" applyBorder="1" applyAlignment="1">
      <alignment vertical="top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1" fillId="0" borderId="1" xfId="0" applyFont="1" applyBorder="1"/>
    <xf numFmtId="4" fontId="0" fillId="0" borderId="0" xfId="1" applyNumberFormat="1" applyFont="1"/>
    <xf numFmtId="0" fontId="3" fillId="0" borderId="1" xfId="0" applyFont="1" applyBorder="1" applyAlignment="1">
      <alignment vertical="center" wrapText="1"/>
    </xf>
    <xf numFmtId="4" fontId="0" fillId="0" borderId="0" xfId="1" applyNumberFormat="1" applyFont="1" applyFill="1"/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 vertical="center"/>
    </xf>
    <xf numFmtId="0" fontId="11" fillId="3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8" borderId="1" xfId="0" applyFill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88"/>
  <sheetViews>
    <sheetView tabSelected="1" topLeftCell="A215" zoomScale="90" zoomScaleNormal="90" workbookViewId="0">
      <selection activeCell="D225" sqref="D225"/>
    </sheetView>
  </sheetViews>
  <sheetFormatPr defaultRowHeight="15" x14ac:dyDescent="0.25"/>
  <cols>
    <col min="1" max="1" width="1.85546875" customWidth="1"/>
    <col min="2" max="2" width="93.85546875" customWidth="1"/>
    <col min="3" max="3" width="7.85546875" bestFit="1" customWidth="1"/>
    <col min="4" max="4" width="90.85546875" customWidth="1"/>
    <col min="5" max="5" width="9.140625" customWidth="1"/>
    <col min="6" max="6" width="11.42578125" customWidth="1"/>
    <col min="7" max="7" width="12.140625" style="19" bestFit="1" customWidth="1"/>
    <col min="8" max="8" width="1.85546875" customWidth="1"/>
    <col min="10" max="10" width="8.85546875" style="28"/>
  </cols>
  <sheetData>
    <row r="1" spans="2:9" ht="9" customHeight="1" x14ac:dyDescent="0.25"/>
    <row r="2" spans="2:9" x14ac:dyDescent="0.25">
      <c r="B2" s="1" t="s">
        <v>2</v>
      </c>
      <c r="C2" s="1" t="s">
        <v>29</v>
      </c>
      <c r="D2" s="1" t="s">
        <v>31</v>
      </c>
      <c r="E2" s="2" t="s">
        <v>0</v>
      </c>
      <c r="F2" s="2" t="s">
        <v>1</v>
      </c>
      <c r="G2" s="18" t="s">
        <v>214</v>
      </c>
    </row>
    <row r="3" spans="2:9" x14ac:dyDescent="0.25">
      <c r="B3" s="8" t="s">
        <v>16</v>
      </c>
      <c r="C3" s="9"/>
      <c r="D3" s="10"/>
      <c r="E3" s="11">
        <v>1</v>
      </c>
      <c r="F3" s="11"/>
      <c r="G3" s="20"/>
    </row>
    <row r="4" spans="2:9" x14ac:dyDescent="0.25">
      <c r="B4" s="6" t="s">
        <v>50</v>
      </c>
      <c r="C4" s="5"/>
      <c r="D4" s="30" t="s">
        <v>17</v>
      </c>
      <c r="E4" s="31">
        <f>E3+F3</f>
        <v>1</v>
      </c>
      <c r="F4" s="31">
        <v>4</v>
      </c>
      <c r="G4" s="80" t="s">
        <v>213</v>
      </c>
      <c r="I4">
        <f>33+E4</f>
        <v>34</v>
      </c>
    </row>
    <row r="5" spans="2:9" x14ac:dyDescent="0.25">
      <c r="B5" s="6" t="s">
        <v>281</v>
      </c>
      <c r="C5" s="5"/>
      <c r="D5" s="30" t="s">
        <v>282</v>
      </c>
      <c r="E5" s="31"/>
      <c r="F5" s="31"/>
      <c r="G5" s="85"/>
    </row>
    <row r="6" spans="2:9" x14ac:dyDescent="0.25">
      <c r="B6" s="6" t="s">
        <v>284</v>
      </c>
      <c r="C6" s="5"/>
      <c r="D6" s="30" t="s">
        <v>283</v>
      </c>
      <c r="E6" s="31"/>
      <c r="F6" s="31"/>
      <c r="G6" s="81"/>
    </row>
    <row r="7" spans="2:9" x14ac:dyDescent="0.25">
      <c r="B7" s="6" t="s">
        <v>63</v>
      </c>
      <c r="C7" s="5"/>
      <c r="D7" s="4" t="s">
        <v>51</v>
      </c>
      <c r="E7" s="31">
        <f>E4+F4</f>
        <v>5</v>
      </c>
      <c r="F7" s="4">
        <v>1</v>
      </c>
      <c r="G7" s="80" t="s">
        <v>213</v>
      </c>
      <c r="I7">
        <f t="shared" ref="I7:I63" si="0">33+E7</f>
        <v>38</v>
      </c>
    </row>
    <row r="8" spans="2:9" x14ac:dyDescent="0.25">
      <c r="B8" s="6" t="s">
        <v>64</v>
      </c>
      <c r="C8" s="5"/>
      <c r="D8" s="4" t="s">
        <v>431</v>
      </c>
      <c r="E8" s="31"/>
      <c r="F8" s="4"/>
      <c r="G8" s="85"/>
    </row>
    <row r="9" spans="2:9" x14ac:dyDescent="0.25">
      <c r="B9" s="6" t="s">
        <v>65</v>
      </c>
      <c r="C9" s="5"/>
      <c r="D9" s="4" t="s">
        <v>221</v>
      </c>
      <c r="E9" s="31"/>
      <c r="F9" s="4"/>
      <c r="G9" s="85"/>
    </row>
    <row r="10" spans="2:9" x14ac:dyDescent="0.25">
      <c r="B10" s="6" t="s">
        <v>66</v>
      </c>
      <c r="C10" s="5"/>
      <c r="D10" s="4" t="s">
        <v>222</v>
      </c>
      <c r="E10" s="31"/>
      <c r="F10" s="4"/>
      <c r="G10" s="85"/>
    </row>
    <row r="11" spans="2:9" x14ac:dyDescent="0.25">
      <c r="B11" s="6" t="s">
        <v>427</v>
      </c>
      <c r="C11" s="5"/>
      <c r="D11" s="4" t="s">
        <v>429</v>
      </c>
      <c r="E11" s="31"/>
      <c r="F11" s="4"/>
      <c r="G11" s="63"/>
    </row>
    <row r="12" spans="2:9" x14ac:dyDescent="0.25">
      <c r="B12" s="6" t="s">
        <v>428</v>
      </c>
      <c r="C12" s="5"/>
      <c r="D12" s="4" t="s">
        <v>430</v>
      </c>
      <c r="E12" s="31"/>
      <c r="F12" s="4"/>
      <c r="G12" s="63"/>
    </row>
    <row r="13" spans="2:9" x14ac:dyDescent="0.25">
      <c r="B13" s="6" t="s">
        <v>52</v>
      </c>
      <c r="C13" s="5"/>
      <c r="D13" s="30" t="s">
        <v>38</v>
      </c>
      <c r="E13" s="31">
        <f>E7+F7</f>
        <v>6</v>
      </c>
      <c r="F13" s="31">
        <v>1</v>
      </c>
      <c r="G13" s="80" t="s">
        <v>213</v>
      </c>
      <c r="I13">
        <f t="shared" si="0"/>
        <v>39</v>
      </c>
    </row>
    <row r="14" spans="2:9" x14ac:dyDescent="0.25">
      <c r="B14" s="6" t="s">
        <v>449</v>
      </c>
      <c r="C14" s="5"/>
      <c r="D14" s="30" t="s">
        <v>448</v>
      </c>
      <c r="E14" s="31"/>
      <c r="F14" s="31"/>
      <c r="G14" s="85"/>
    </row>
    <row r="15" spans="2:9" x14ac:dyDescent="0.25">
      <c r="B15" s="6" t="s">
        <v>53</v>
      </c>
      <c r="C15" s="5"/>
      <c r="D15" s="30" t="s">
        <v>39</v>
      </c>
      <c r="E15" s="31"/>
      <c r="F15" s="31"/>
      <c r="G15" s="85"/>
    </row>
    <row r="16" spans="2:9" x14ac:dyDescent="0.25">
      <c r="B16" s="6" t="s">
        <v>54</v>
      </c>
      <c r="C16" s="5"/>
      <c r="D16" s="30" t="s">
        <v>40</v>
      </c>
      <c r="E16" s="31"/>
      <c r="F16" s="31"/>
      <c r="G16" s="81"/>
    </row>
    <row r="17" spans="2:9" x14ac:dyDescent="0.25">
      <c r="B17" s="6" t="s">
        <v>94</v>
      </c>
      <c r="C17" s="5"/>
      <c r="D17" s="4" t="s">
        <v>95</v>
      </c>
      <c r="E17" s="31">
        <f>E13+F13</f>
        <v>7</v>
      </c>
      <c r="F17" s="4">
        <v>8</v>
      </c>
      <c r="G17" s="32" t="s">
        <v>212</v>
      </c>
      <c r="I17">
        <f t="shared" si="0"/>
        <v>40</v>
      </c>
    </row>
    <row r="18" spans="2:9" x14ac:dyDescent="0.25">
      <c r="B18" s="6" t="s">
        <v>55</v>
      </c>
      <c r="C18" s="33"/>
      <c r="D18" s="30" t="s">
        <v>3</v>
      </c>
      <c r="E18" s="31">
        <f>E17+F17</f>
        <v>15</v>
      </c>
      <c r="F18" s="31">
        <v>3</v>
      </c>
      <c r="G18" s="80" t="s">
        <v>213</v>
      </c>
      <c r="I18">
        <f t="shared" si="0"/>
        <v>48</v>
      </c>
    </row>
    <row r="19" spans="2:9" x14ac:dyDescent="0.25">
      <c r="B19" s="6" t="s">
        <v>56</v>
      </c>
      <c r="C19" s="33"/>
      <c r="D19" s="30" t="s">
        <v>18</v>
      </c>
      <c r="E19" s="31"/>
      <c r="F19" s="31"/>
      <c r="G19" s="85"/>
    </row>
    <row r="20" spans="2:9" x14ac:dyDescent="0.25">
      <c r="B20" s="6" t="s">
        <v>57</v>
      </c>
      <c r="C20" s="33"/>
      <c r="D20" s="30" t="s">
        <v>36</v>
      </c>
      <c r="E20" s="31"/>
      <c r="F20" s="31"/>
      <c r="G20" s="85"/>
    </row>
    <row r="21" spans="2:9" x14ac:dyDescent="0.25">
      <c r="B21" s="6" t="s">
        <v>195</v>
      </c>
      <c r="C21" s="33"/>
      <c r="D21" s="30" t="s">
        <v>194</v>
      </c>
      <c r="E21" s="31"/>
      <c r="F21" s="31"/>
      <c r="G21" s="85"/>
    </row>
    <row r="22" spans="2:9" x14ac:dyDescent="0.25">
      <c r="B22" s="6" t="s">
        <v>58</v>
      </c>
      <c r="C22" s="5"/>
      <c r="D22" s="30" t="s">
        <v>19</v>
      </c>
      <c r="E22" s="4"/>
      <c r="F22" s="4"/>
      <c r="G22" s="81"/>
    </row>
    <row r="23" spans="2:9" x14ac:dyDescent="0.25">
      <c r="B23" s="6" t="s">
        <v>59</v>
      </c>
      <c r="C23" s="5"/>
      <c r="D23" s="30" t="s">
        <v>4</v>
      </c>
      <c r="E23" s="31">
        <f>E18+F18</f>
        <v>18</v>
      </c>
      <c r="F23" s="4">
        <v>3</v>
      </c>
      <c r="G23" s="80" t="s">
        <v>213</v>
      </c>
      <c r="I23">
        <f t="shared" si="0"/>
        <v>51</v>
      </c>
    </row>
    <row r="24" spans="2:9" x14ac:dyDescent="0.25">
      <c r="B24" s="6" t="s">
        <v>60</v>
      </c>
      <c r="C24" s="5"/>
      <c r="D24" s="30" t="s">
        <v>20</v>
      </c>
      <c r="E24" s="4"/>
      <c r="F24" s="4"/>
      <c r="G24" s="85"/>
    </row>
    <row r="25" spans="2:9" x14ac:dyDescent="0.25">
      <c r="B25" s="6" t="s">
        <v>154</v>
      </c>
      <c r="C25" s="5"/>
      <c r="D25" s="30" t="s">
        <v>153</v>
      </c>
      <c r="E25" s="4"/>
      <c r="F25" s="4"/>
      <c r="G25" s="85"/>
    </row>
    <row r="26" spans="2:9" x14ac:dyDescent="0.25">
      <c r="B26" s="6" t="s">
        <v>196</v>
      </c>
      <c r="C26" s="5"/>
      <c r="D26" s="30" t="s">
        <v>197</v>
      </c>
      <c r="E26" s="4"/>
      <c r="F26" s="4"/>
      <c r="G26" s="85"/>
    </row>
    <row r="27" spans="2:9" x14ac:dyDescent="0.25">
      <c r="B27" s="6" t="s">
        <v>198</v>
      </c>
      <c r="C27" s="5"/>
      <c r="D27" s="30" t="s">
        <v>199</v>
      </c>
      <c r="E27" s="4"/>
      <c r="F27" s="4"/>
      <c r="G27" s="85"/>
    </row>
    <row r="28" spans="2:9" x14ac:dyDescent="0.25">
      <c r="B28" s="6" t="s">
        <v>61</v>
      </c>
      <c r="C28" s="5"/>
      <c r="D28" s="30" t="s">
        <v>22</v>
      </c>
      <c r="E28" s="4"/>
      <c r="F28" s="4"/>
      <c r="G28" s="85"/>
    </row>
    <row r="29" spans="2:9" x14ac:dyDescent="0.25">
      <c r="B29" s="6" t="s">
        <v>62</v>
      </c>
      <c r="C29" s="5"/>
      <c r="D29" s="30" t="s">
        <v>21</v>
      </c>
      <c r="E29" s="4"/>
      <c r="F29" s="4"/>
      <c r="G29" s="85"/>
    </row>
    <row r="30" spans="2:9" x14ac:dyDescent="0.25">
      <c r="B30" s="6" t="s">
        <v>259</v>
      </c>
      <c r="C30" s="5"/>
      <c r="D30" s="30" t="s">
        <v>260</v>
      </c>
      <c r="E30" s="4"/>
      <c r="F30" s="4"/>
      <c r="G30" s="81"/>
    </row>
    <row r="31" spans="2:9" x14ac:dyDescent="0.25">
      <c r="B31" s="6" t="s">
        <v>111</v>
      </c>
      <c r="C31" s="5"/>
      <c r="D31" s="30"/>
      <c r="E31" s="4">
        <f>E23+F23</f>
        <v>21</v>
      </c>
      <c r="F31" s="4">
        <v>1</v>
      </c>
      <c r="G31" s="89" t="s">
        <v>211</v>
      </c>
      <c r="I31">
        <f t="shared" si="0"/>
        <v>54</v>
      </c>
    </row>
    <row r="32" spans="2:9" x14ac:dyDescent="0.25">
      <c r="B32" s="6" t="s">
        <v>112</v>
      </c>
      <c r="C32" s="5"/>
      <c r="D32" s="30" t="s">
        <v>145</v>
      </c>
      <c r="E32" s="4"/>
      <c r="F32" s="4"/>
      <c r="G32" s="90"/>
    </row>
    <row r="33" spans="2:9" x14ac:dyDescent="0.25">
      <c r="B33" s="6" t="s">
        <v>67</v>
      </c>
      <c r="C33" s="5"/>
      <c r="D33" s="4" t="s">
        <v>6</v>
      </c>
      <c r="E33" s="31">
        <f>E31+F31</f>
        <v>22</v>
      </c>
      <c r="F33" s="4">
        <v>10</v>
      </c>
      <c r="G33" s="32" t="s">
        <v>212</v>
      </c>
      <c r="I33">
        <f t="shared" si="0"/>
        <v>55</v>
      </c>
    </row>
    <row r="34" spans="2:9" x14ac:dyDescent="0.25">
      <c r="B34" s="6" t="s">
        <v>68</v>
      </c>
      <c r="C34" s="5"/>
      <c r="D34" s="4" t="s">
        <v>7</v>
      </c>
      <c r="E34" s="31">
        <f>E33+F33</f>
        <v>32</v>
      </c>
      <c r="F34" s="4">
        <v>10</v>
      </c>
      <c r="G34" s="32" t="s">
        <v>212</v>
      </c>
      <c r="I34">
        <f t="shared" si="0"/>
        <v>65</v>
      </c>
    </row>
    <row r="35" spans="2:9" x14ac:dyDescent="0.25">
      <c r="B35" s="6" t="s">
        <v>69</v>
      </c>
      <c r="C35" s="5"/>
      <c r="D35" s="4" t="s">
        <v>8</v>
      </c>
      <c r="E35" s="31">
        <f>E34+F34</f>
        <v>42</v>
      </c>
      <c r="F35" s="4">
        <v>16</v>
      </c>
      <c r="G35" s="34" t="s">
        <v>213</v>
      </c>
      <c r="I35">
        <f t="shared" si="0"/>
        <v>75</v>
      </c>
    </row>
    <row r="36" spans="2:9" x14ac:dyDescent="0.25">
      <c r="B36" s="6" t="s">
        <v>70</v>
      </c>
      <c r="C36" s="5"/>
      <c r="D36" s="30" t="s">
        <v>5</v>
      </c>
      <c r="E36" s="31">
        <f>E35+F35</f>
        <v>58</v>
      </c>
      <c r="F36" s="4">
        <v>3</v>
      </c>
      <c r="G36" s="80" t="s">
        <v>213</v>
      </c>
      <c r="I36">
        <f t="shared" si="0"/>
        <v>91</v>
      </c>
    </row>
    <row r="37" spans="2:9" x14ac:dyDescent="0.25">
      <c r="B37" s="6" t="s">
        <v>129</v>
      </c>
      <c r="C37" s="5"/>
      <c r="D37" s="4" t="s">
        <v>130</v>
      </c>
      <c r="E37" s="4"/>
      <c r="F37" s="4"/>
      <c r="G37" s="85"/>
    </row>
    <row r="38" spans="2:9" x14ac:dyDescent="0.25">
      <c r="B38" s="6" t="s">
        <v>131</v>
      </c>
      <c r="C38" s="5"/>
      <c r="D38" s="4" t="s">
        <v>132</v>
      </c>
      <c r="E38" s="4"/>
      <c r="F38" s="4"/>
      <c r="G38" s="85"/>
    </row>
    <row r="39" spans="2:9" x14ac:dyDescent="0.25">
      <c r="B39" s="6" t="s">
        <v>71</v>
      </c>
      <c r="C39" s="5"/>
      <c r="D39" s="4" t="s">
        <v>23</v>
      </c>
      <c r="E39" s="4"/>
      <c r="F39" s="4"/>
      <c r="G39" s="85"/>
    </row>
    <row r="40" spans="2:9" x14ac:dyDescent="0.25">
      <c r="B40" s="6" t="s">
        <v>72</v>
      </c>
      <c r="C40" s="5"/>
      <c r="D40" s="4" t="s">
        <v>133</v>
      </c>
      <c r="E40" s="4"/>
      <c r="F40" s="4"/>
      <c r="G40" s="85"/>
    </row>
    <row r="41" spans="2:9" x14ac:dyDescent="0.25">
      <c r="B41" s="6" t="s">
        <v>73</v>
      </c>
      <c r="C41" s="5"/>
      <c r="D41" s="4" t="s">
        <v>24</v>
      </c>
      <c r="E41" s="4"/>
      <c r="F41" s="4"/>
      <c r="G41" s="85"/>
    </row>
    <row r="42" spans="2:9" x14ac:dyDescent="0.25">
      <c r="B42" s="6" t="s">
        <v>235</v>
      </c>
      <c r="C42" s="5" t="s">
        <v>254</v>
      </c>
      <c r="D42" s="4" t="s">
        <v>236</v>
      </c>
      <c r="E42" s="4"/>
      <c r="F42" s="4"/>
      <c r="G42" s="85"/>
    </row>
    <row r="43" spans="2:9" x14ac:dyDescent="0.25">
      <c r="B43" s="6" t="s">
        <v>245</v>
      </c>
      <c r="C43" s="5" t="s">
        <v>254</v>
      </c>
      <c r="D43" s="4" t="s">
        <v>246</v>
      </c>
      <c r="E43" s="4"/>
      <c r="F43" s="4"/>
      <c r="G43" s="85"/>
    </row>
    <row r="44" spans="2:9" x14ac:dyDescent="0.25">
      <c r="B44" s="6" t="s">
        <v>244</v>
      </c>
      <c r="C44" s="5" t="s">
        <v>254</v>
      </c>
      <c r="D44" s="4" t="s">
        <v>234</v>
      </c>
      <c r="E44" s="4"/>
      <c r="F44" s="4"/>
      <c r="G44" s="85"/>
    </row>
    <row r="45" spans="2:9" x14ac:dyDescent="0.25">
      <c r="B45" s="6" t="s">
        <v>255</v>
      </c>
      <c r="C45" s="5" t="s">
        <v>254</v>
      </c>
      <c r="D45" s="4" t="s">
        <v>256</v>
      </c>
      <c r="E45" s="4"/>
      <c r="F45" s="4"/>
      <c r="G45" s="84"/>
    </row>
    <row r="46" spans="2:9" x14ac:dyDescent="0.25">
      <c r="B46" s="6" t="s">
        <v>74</v>
      </c>
      <c r="C46" s="5"/>
      <c r="D46" s="4" t="s">
        <v>30</v>
      </c>
      <c r="E46" s="31">
        <f>E36+F36</f>
        <v>61</v>
      </c>
      <c r="F46" s="4">
        <v>1</v>
      </c>
      <c r="G46" s="35" t="s">
        <v>211</v>
      </c>
      <c r="I46">
        <f t="shared" si="0"/>
        <v>94</v>
      </c>
    </row>
    <row r="47" spans="2:9" x14ac:dyDescent="0.25">
      <c r="B47" s="8" t="s">
        <v>369</v>
      </c>
      <c r="C47" s="9"/>
      <c r="D47" s="10"/>
      <c r="E47" s="11">
        <f>E46+F46</f>
        <v>62</v>
      </c>
      <c r="F47" s="11">
        <v>2906</v>
      </c>
      <c r="G47" s="20"/>
      <c r="I47">
        <f t="shared" si="0"/>
        <v>95</v>
      </c>
    </row>
    <row r="48" spans="2:9" x14ac:dyDescent="0.25">
      <c r="B48" s="8" t="s">
        <v>311</v>
      </c>
      <c r="C48" s="9"/>
      <c r="D48" s="10" t="s">
        <v>285</v>
      </c>
      <c r="E48" s="11"/>
      <c r="F48" s="11"/>
      <c r="G48" s="20"/>
    </row>
    <row r="49" spans="2:9" x14ac:dyDescent="0.25">
      <c r="B49" s="12" t="s">
        <v>75</v>
      </c>
      <c r="C49" s="13"/>
      <c r="D49" s="27"/>
      <c r="E49" s="14"/>
      <c r="F49" s="27"/>
      <c r="G49" s="21"/>
    </row>
    <row r="50" spans="2:9" x14ac:dyDescent="0.25">
      <c r="B50" s="6" t="s">
        <v>78</v>
      </c>
      <c r="C50" s="5"/>
      <c r="D50" s="4" t="s">
        <v>43</v>
      </c>
      <c r="E50" s="4">
        <f>E47</f>
        <v>62</v>
      </c>
      <c r="F50" s="4">
        <v>1</v>
      </c>
      <c r="G50" s="80" t="s">
        <v>213</v>
      </c>
      <c r="I50">
        <f t="shared" si="0"/>
        <v>95</v>
      </c>
    </row>
    <row r="51" spans="2:9" x14ac:dyDescent="0.25">
      <c r="B51" s="6" t="s">
        <v>76</v>
      </c>
      <c r="C51" s="5"/>
      <c r="D51" s="4" t="s">
        <v>44</v>
      </c>
      <c r="E51" s="4"/>
      <c r="F51" s="4"/>
      <c r="G51" s="85"/>
    </row>
    <row r="52" spans="2:9" x14ac:dyDescent="0.25">
      <c r="B52" s="6" t="s">
        <v>77</v>
      </c>
      <c r="C52" s="5"/>
      <c r="D52" s="4" t="s">
        <v>45</v>
      </c>
      <c r="E52" s="4"/>
      <c r="F52" s="4"/>
      <c r="G52" s="85"/>
    </row>
    <row r="53" spans="2:9" x14ac:dyDescent="0.25">
      <c r="B53" s="6" t="s">
        <v>125</v>
      </c>
      <c r="C53" s="5"/>
      <c r="D53" s="4" t="s">
        <v>35</v>
      </c>
      <c r="E53" s="4">
        <f>E50+F50</f>
        <v>63</v>
      </c>
      <c r="F53" s="4">
        <v>2</v>
      </c>
      <c r="G53" s="86" t="s">
        <v>212</v>
      </c>
      <c r="I53">
        <f t="shared" si="0"/>
        <v>96</v>
      </c>
    </row>
    <row r="54" spans="2:9" x14ac:dyDescent="0.25">
      <c r="B54" s="6" t="s">
        <v>126</v>
      </c>
      <c r="C54" s="5"/>
      <c r="D54" s="4" t="s">
        <v>123</v>
      </c>
      <c r="E54" s="4"/>
      <c r="F54" s="4"/>
      <c r="G54" s="87"/>
    </row>
    <row r="55" spans="2:9" x14ac:dyDescent="0.25">
      <c r="B55" s="6" t="s">
        <v>127</v>
      </c>
      <c r="C55" s="5"/>
      <c r="D55" s="4" t="s">
        <v>124</v>
      </c>
      <c r="E55" s="4"/>
      <c r="F55" s="4"/>
      <c r="G55" s="88"/>
    </row>
    <row r="56" spans="2:9" x14ac:dyDescent="0.25">
      <c r="B56" s="6" t="s">
        <v>365</v>
      </c>
      <c r="C56" s="5"/>
      <c r="D56" s="4" t="s">
        <v>367</v>
      </c>
      <c r="E56" s="4"/>
      <c r="F56" s="4"/>
      <c r="G56" s="62"/>
    </row>
    <row r="57" spans="2:9" x14ac:dyDescent="0.25">
      <c r="B57" s="6" t="s">
        <v>366</v>
      </c>
      <c r="C57" s="5"/>
      <c r="D57" s="4" t="s">
        <v>368</v>
      </c>
      <c r="E57" s="4"/>
      <c r="F57" s="4"/>
      <c r="G57" s="62"/>
    </row>
    <row r="58" spans="2:9" x14ac:dyDescent="0.25">
      <c r="B58" s="6" t="s">
        <v>286</v>
      </c>
      <c r="C58" s="5"/>
      <c r="D58" s="4" t="s">
        <v>287</v>
      </c>
      <c r="E58" s="4">
        <f>E53+F53</f>
        <v>65</v>
      </c>
      <c r="F58" s="4">
        <v>2</v>
      </c>
      <c r="G58" s="36" t="s">
        <v>212</v>
      </c>
      <c r="I58">
        <f t="shared" si="0"/>
        <v>98</v>
      </c>
    </row>
    <row r="59" spans="2:9" x14ac:dyDescent="0.25">
      <c r="B59" s="6" t="s">
        <v>128</v>
      </c>
      <c r="C59" s="5"/>
      <c r="D59" s="4" t="s">
        <v>220</v>
      </c>
      <c r="E59" s="31">
        <f>E58+F58</f>
        <v>67</v>
      </c>
      <c r="F59" s="4">
        <v>16</v>
      </c>
      <c r="G59" s="34" t="s">
        <v>213</v>
      </c>
      <c r="I59">
        <f t="shared" si="0"/>
        <v>100</v>
      </c>
    </row>
    <row r="60" spans="2:9" x14ac:dyDescent="0.25">
      <c r="B60" s="6" t="s">
        <v>289</v>
      </c>
      <c r="C60" s="5"/>
      <c r="D60" s="4" t="s">
        <v>288</v>
      </c>
      <c r="E60" s="31">
        <f>E59+F59</f>
        <v>83</v>
      </c>
      <c r="F60" s="4">
        <v>6</v>
      </c>
      <c r="G60" s="37" t="s">
        <v>213</v>
      </c>
      <c r="I60">
        <f t="shared" si="0"/>
        <v>116</v>
      </c>
    </row>
    <row r="61" spans="2:9" x14ac:dyDescent="0.25">
      <c r="B61" s="38" t="s">
        <v>79</v>
      </c>
      <c r="C61" s="39"/>
      <c r="D61" s="40" t="s">
        <v>32</v>
      </c>
      <c r="E61" s="31">
        <f t="shared" ref="E61:E63" si="1">E60+F60</f>
        <v>89</v>
      </c>
      <c r="F61" s="40">
        <v>3</v>
      </c>
      <c r="G61" s="34" t="s">
        <v>213</v>
      </c>
      <c r="I61">
        <f t="shared" si="0"/>
        <v>122</v>
      </c>
    </row>
    <row r="62" spans="2:9" x14ac:dyDescent="0.25">
      <c r="B62" s="6" t="s">
        <v>166</v>
      </c>
      <c r="C62" s="5"/>
      <c r="D62" s="4" t="s">
        <v>164</v>
      </c>
      <c r="E62" s="31">
        <f t="shared" si="1"/>
        <v>92</v>
      </c>
      <c r="F62" s="4">
        <v>10</v>
      </c>
      <c r="G62" s="34" t="s">
        <v>213</v>
      </c>
      <c r="I62">
        <f t="shared" si="0"/>
        <v>125</v>
      </c>
    </row>
    <row r="63" spans="2:9" x14ac:dyDescent="0.25">
      <c r="B63" s="6" t="s">
        <v>167</v>
      </c>
      <c r="C63" s="5"/>
      <c r="D63" s="4" t="s">
        <v>165</v>
      </c>
      <c r="E63" s="31">
        <f t="shared" si="1"/>
        <v>102</v>
      </c>
      <c r="F63" s="4">
        <v>10</v>
      </c>
      <c r="G63" s="80" t="s">
        <v>213</v>
      </c>
      <c r="I63">
        <f t="shared" si="0"/>
        <v>135</v>
      </c>
    </row>
    <row r="64" spans="2:9" x14ac:dyDescent="0.25">
      <c r="B64" s="6" t="s">
        <v>158</v>
      </c>
      <c r="C64" s="5"/>
      <c r="D64" s="4" t="s">
        <v>161</v>
      </c>
      <c r="E64" s="31"/>
      <c r="F64" s="4"/>
      <c r="G64" s="85"/>
    </row>
    <row r="65" spans="2:7" x14ac:dyDescent="0.25">
      <c r="B65" s="6" t="s">
        <v>159</v>
      </c>
      <c r="C65" s="5"/>
      <c r="D65" s="4"/>
      <c r="E65" s="31"/>
      <c r="F65" s="4"/>
      <c r="G65" s="85"/>
    </row>
    <row r="66" spans="2:7" x14ac:dyDescent="0.25">
      <c r="B66" s="6" t="s">
        <v>262</v>
      </c>
      <c r="C66" s="5"/>
      <c r="D66" s="4"/>
      <c r="E66" s="31"/>
      <c r="F66" s="4"/>
      <c r="G66" s="85"/>
    </row>
    <row r="67" spans="2:7" x14ac:dyDescent="0.25">
      <c r="B67" s="6" t="s">
        <v>263</v>
      </c>
      <c r="C67" s="5"/>
      <c r="D67" s="4"/>
      <c r="E67" s="31"/>
      <c r="F67" s="4"/>
      <c r="G67" s="85"/>
    </row>
    <row r="68" spans="2:7" x14ac:dyDescent="0.25">
      <c r="B68" s="6" t="s">
        <v>264</v>
      </c>
      <c r="C68" s="5"/>
      <c r="D68" s="4"/>
      <c r="E68" s="31"/>
      <c r="F68" s="4"/>
      <c r="G68" s="85"/>
    </row>
    <row r="69" spans="2:7" x14ac:dyDescent="0.25">
      <c r="B69" s="6" t="s">
        <v>265</v>
      </c>
      <c r="C69" s="5"/>
      <c r="D69" s="4"/>
      <c r="E69" s="31"/>
      <c r="F69" s="4"/>
      <c r="G69" s="85"/>
    </row>
    <row r="70" spans="2:7" x14ac:dyDescent="0.25">
      <c r="B70" s="6" t="s">
        <v>266</v>
      </c>
      <c r="C70" s="5"/>
      <c r="D70" s="4"/>
      <c r="E70" s="31"/>
      <c r="F70" s="4"/>
      <c r="G70" s="85"/>
    </row>
    <row r="71" spans="2:7" x14ac:dyDescent="0.25">
      <c r="B71" s="6" t="s">
        <v>267</v>
      </c>
      <c r="C71" s="5"/>
      <c r="D71" s="4"/>
      <c r="E71" s="31"/>
      <c r="F71" s="4"/>
      <c r="G71" s="85"/>
    </row>
    <row r="72" spans="2:7" x14ac:dyDescent="0.25">
      <c r="B72" s="6" t="s">
        <v>268</v>
      </c>
      <c r="C72" s="5"/>
      <c r="D72" s="4"/>
      <c r="E72" s="31"/>
      <c r="F72" s="4"/>
      <c r="G72" s="85"/>
    </row>
    <row r="73" spans="2:7" x14ac:dyDescent="0.25">
      <c r="B73" s="6" t="s">
        <v>269</v>
      </c>
      <c r="C73" s="5"/>
      <c r="D73" s="4"/>
      <c r="E73" s="31"/>
      <c r="F73" s="4"/>
      <c r="G73" s="85"/>
    </row>
    <row r="74" spans="2:7" x14ac:dyDescent="0.25">
      <c r="B74" s="6" t="s">
        <v>270</v>
      </c>
      <c r="C74" s="5"/>
      <c r="D74" s="4"/>
      <c r="E74" s="31"/>
      <c r="F74" s="4"/>
      <c r="G74" s="85"/>
    </row>
    <row r="75" spans="2:7" x14ac:dyDescent="0.25">
      <c r="B75" s="6" t="s">
        <v>271</v>
      </c>
      <c r="C75" s="5"/>
      <c r="D75" s="4"/>
      <c r="E75" s="31"/>
      <c r="F75" s="4"/>
      <c r="G75" s="85"/>
    </row>
    <row r="76" spans="2:7" x14ac:dyDescent="0.25">
      <c r="B76" s="6" t="s">
        <v>272</v>
      </c>
      <c r="C76" s="5"/>
      <c r="D76" s="4"/>
      <c r="E76" s="31"/>
      <c r="F76" s="4"/>
      <c r="G76" s="85"/>
    </row>
    <row r="77" spans="2:7" x14ac:dyDescent="0.25">
      <c r="B77" s="6" t="s">
        <v>273</v>
      </c>
      <c r="C77" s="5"/>
      <c r="D77" s="4"/>
      <c r="E77" s="31"/>
      <c r="F77" s="4"/>
      <c r="G77" s="85"/>
    </row>
    <row r="78" spans="2:7" x14ac:dyDescent="0.25">
      <c r="B78" s="6" t="s">
        <v>274</v>
      </c>
      <c r="C78" s="5"/>
      <c r="D78" s="4"/>
      <c r="E78" s="31"/>
      <c r="F78" s="4"/>
      <c r="G78" s="85"/>
    </row>
    <row r="79" spans="2:7" x14ac:dyDescent="0.25">
      <c r="B79" s="6" t="s">
        <v>275</v>
      </c>
      <c r="C79" s="5"/>
      <c r="D79" s="4"/>
      <c r="E79" s="31"/>
      <c r="F79" s="4"/>
      <c r="G79" s="85"/>
    </row>
    <row r="80" spans="2:7" x14ac:dyDescent="0.25">
      <c r="B80" s="6" t="s">
        <v>276</v>
      </c>
      <c r="C80" s="5"/>
      <c r="D80" s="4"/>
      <c r="E80" s="31"/>
      <c r="F80" s="4"/>
      <c r="G80" s="85"/>
    </row>
    <row r="81" spans="1:9" x14ac:dyDescent="0.25">
      <c r="B81" s="6" t="s">
        <v>174</v>
      </c>
      <c r="C81" s="5"/>
      <c r="D81" s="4" t="s">
        <v>162</v>
      </c>
      <c r="E81" s="31"/>
      <c r="F81" s="4"/>
      <c r="G81" s="85"/>
    </row>
    <row r="82" spans="1:9" x14ac:dyDescent="0.25">
      <c r="B82" s="6" t="s">
        <v>261</v>
      </c>
      <c r="C82" s="5"/>
      <c r="D82" s="4"/>
      <c r="E82" s="31"/>
      <c r="F82" s="4"/>
      <c r="G82" s="85"/>
    </row>
    <row r="83" spans="1:9" x14ac:dyDescent="0.25">
      <c r="B83" s="6" t="s">
        <v>173</v>
      </c>
      <c r="C83" s="5"/>
      <c r="D83" s="4" t="s">
        <v>163</v>
      </c>
      <c r="E83" s="31"/>
      <c r="F83" s="4"/>
      <c r="G83" s="85"/>
    </row>
    <row r="84" spans="1:9" x14ac:dyDescent="0.25">
      <c r="B84" s="6" t="s">
        <v>160</v>
      </c>
      <c r="C84" s="5"/>
      <c r="D84" s="4"/>
      <c r="E84" s="31"/>
      <c r="F84" s="4"/>
      <c r="G84" s="85"/>
    </row>
    <row r="85" spans="1:9" x14ac:dyDescent="0.25">
      <c r="B85" s="6" t="s">
        <v>232</v>
      </c>
      <c r="C85" s="5"/>
      <c r="D85" s="4" t="s">
        <v>243</v>
      </c>
      <c r="E85" s="31"/>
      <c r="F85" s="4"/>
      <c r="G85" s="85"/>
    </row>
    <row r="86" spans="1:9" x14ac:dyDescent="0.25">
      <c r="B86" s="6" t="s">
        <v>233</v>
      </c>
      <c r="C86" s="5"/>
      <c r="D86" s="4"/>
      <c r="E86" s="31"/>
      <c r="F86" s="4"/>
      <c r="G86" s="85"/>
    </row>
    <row r="87" spans="1:9" x14ac:dyDescent="0.25">
      <c r="A87" s="17"/>
      <c r="B87" s="41" t="s">
        <v>201</v>
      </c>
      <c r="C87" s="16"/>
      <c r="D87" s="42" t="s">
        <v>200</v>
      </c>
      <c r="E87" s="43">
        <f>E63+F63</f>
        <v>112</v>
      </c>
      <c r="F87" s="42">
        <v>40</v>
      </c>
      <c r="G87" s="34" t="s">
        <v>213</v>
      </c>
      <c r="I87">
        <f t="shared" ref="I87:I100" si="2">33+E87</f>
        <v>145</v>
      </c>
    </row>
    <row r="88" spans="1:9" x14ac:dyDescent="0.25">
      <c r="B88" s="12" t="s">
        <v>80</v>
      </c>
      <c r="C88" s="13"/>
      <c r="D88" s="27"/>
      <c r="E88" s="14">
        <f>E87+F87</f>
        <v>152</v>
      </c>
      <c r="F88" s="27"/>
      <c r="G88" s="21"/>
    </row>
    <row r="89" spans="1:9" x14ac:dyDescent="0.25">
      <c r="B89" s="6" t="s">
        <v>81</v>
      </c>
      <c r="C89" s="5"/>
      <c r="D89" s="4" t="s">
        <v>9</v>
      </c>
      <c r="E89" s="31">
        <f t="shared" ref="E89:E100" si="3">E88+F88</f>
        <v>152</v>
      </c>
      <c r="F89" s="4">
        <v>40</v>
      </c>
      <c r="G89" s="32" t="s">
        <v>212</v>
      </c>
      <c r="I89">
        <f t="shared" si="2"/>
        <v>185</v>
      </c>
    </row>
    <row r="90" spans="1:9" x14ac:dyDescent="0.25">
      <c r="B90" s="6" t="s">
        <v>82</v>
      </c>
      <c r="C90" s="5"/>
      <c r="D90" s="4" t="s">
        <v>33</v>
      </c>
      <c r="E90" s="31">
        <f t="shared" si="3"/>
        <v>192</v>
      </c>
      <c r="F90" s="4">
        <v>4</v>
      </c>
      <c r="G90" s="32" t="s">
        <v>212</v>
      </c>
      <c r="I90">
        <f t="shared" si="2"/>
        <v>225</v>
      </c>
    </row>
    <row r="91" spans="1:9" x14ac:dyDescent="0.25">
      <c r="B91" s="6" t="s">
        <v>83</v>
      </c>
      <c r="C91" s="5"/>
      <c r="D91" s="4" t="s">
        <v>10</v>
      </c>
      <c r="E91" s="31">
        <f t="shared" si="3"/>
        <v>196</v>
      </c>
      <c r="F91" s="4">
        <v>40</v>
      </c>
      <c r="G91" s="32" t="s">
        <v>212</v>
      </c>
      <c r="I91">
        <f t="shared" si="2"/>
        <v>229</v>
      </c>
    </row>
    <row r="92" spans="1:9" x14ac:dyDescent="0.25">
      <c r="B92" s="6" t="s">
        <v>84</v>
      </c>
      <c r="C92" s="5"/>
      <c r="D92" s="4" t="s">
        <v>11</v>
      </c>
      <c r="E92" s="31">
        <f t="shared" si="3"/>
        <v>236</v>
      </c>
      <c r="F92" s="4">
        <v>40</v>
      </c>
      <c r="G92" s="35" t="s">
        <v>211</v>
      </c>
      <c r="I92">
        <f t="shared" si="2"/>
        <v>269</v>
      </c>
    </row>
    <row r="93" spans="1:9" x14ac:dyDescent="0.25">
      <c r="B93" s="6" t="s">
        <v>85</v>
      </c>
      <c r="C93" s="5"/>
      <c r="D93" s="4" t="s">
        <v>12</v>
      </c>
      <c r="E93" s="31">
        <f t="shared" si="3"/>
        <v>276</v>
      </c>
      <c r="F93" s="4">
        <v>40</v>
      </c>
      <c r="G93" s="35" t="s">
        <v>211</v>
      </c>
      <c r="I93">
        <f t="shared" si="2"/>
        <v>309</v>
      </c>
    </row>
    <row r="94" spans="1:9" x14ac:dyDescent="0.25">
      <c r="B94" s="6" t="s">
        <v>86</v>
      </c>
      <c r="C94" s="5"/>
      <c r="D94" s="4" t="s">
        <v>34</v>
      </c>
      <c r="E94" s="31">
        <f t="shared" si="3"/>
        <v>316</v>
      </c>
      <c r="F94" s="4">
        <v>9</v>
      </c>
      <c r="G94" s="32" t="s">
        <v>212</v>
      </c>
      <c r="I94">
        <f t="shared" si="2"/>
        <v>349</v>
      </c>
    </row>
    <row r="95" spans="1:9" x14ac:dyDescent="0.25">
      <c r="B95" s="6" t="s">
        <v>87</v>
      </c>
      <c r="C95" s="5"/>
      <c r="D95" s="4" t="s">
        <v>13</v>
      </c>
      <c r="E95" s="31">
        <f t="shared" si="3"/>
        <v>325</v>
      </c>
      <c r="F95" s="4">
        <v>40</v>
      </c>
      <c r="G95" s="32" t="s">
        <v>212</v>
      </c>
      <c r="I95">
        <f t="shared" si="2"/>
        <v>358</v>
      </c>
    </row>
    <row r="96" spans="1:9" x14ac:dyDescent="0.25">
      <c r="B96" s="6" t="s">
        <v>135</v>
      </c>
      <c r="C96" s="5"/>
      <c r="D96" s="4" t="s">
        <v>134</v>
      </c>
      <c r="E96" s="31">
        <f>E95+F95</f>
        <v>365</v>
      </c>
      <c r="F96" s="4">
        <v>3</v>
      </c>
      <c r="G96" s="32" t="s">
        <v>212</v>
      </c>
      <c r="I96">
        <f t="shared" si="2"/>
        <v>398</v>
      </c>
    </row>
    <row r="97" spans="2:9" x14ac:dyDescent="0.25">
      <c r="B97" s="6" t="s">
        <v>149</v>
      </c>
      <c r="C97" s="5"/>
      <c r="D97" s="4" t="s">
        <v>150</v>
      </c>
      <c r="E97" s="31">
        <f>E96+F96</f>
        <v>368</v>
      </c>
      <c r="F97" s="4">
        <v>40</v>
      </c>
      <c r="G97" s="32" t="s">
        <v>212</v>
      </c>
      <c r="I97">
        <f t="shared" si="2"/>
        <v>401</v>
      </c>
    </row>
    <row r="98" spans="2:9" x14ac:dyDescent="0.25">
      <c r="B98" s="6" t="s">
        <v>151</v>
      </c>
      <c r="C98" s="5"/>
      <c r="D98" s="4" t="s">
        <v>152</v>
      </c>
      <c r="E98" s="31">
        <f t="shared" si="3"/>
        <v>408</v>
      </c>
      <c r="F98" s="4">
        <v>4</v>
      </c>
      <c r="G98" s="32" t="s">
        <v>212</v>
      </c>
      <c r="I98">
        <f t="shared" si="2"/>
        <v>441</v>
      </c>
    </row>
    <row r="99" spans="2:9" x14ac:dyDescent="0.25">
      <c r="B99" s="6" t="s">
        <v>169</v>
      </c>
      <c r="C99" s="5"/>
      <c r="D99" s="4" t="s">
        <v>168</v>
      </c>
      <c r="E99" s="31">
        <f t="shared" si="3"/>
        <v>412</v>
      </c>
      <c r="F99" s="4">
        <v>22</v>
      </c>
      <c r="G99" s="32" t="s">
        <v>212</v>
      </c>
      <c r="I99">
        <f t="shared" si="2"/>
        <v>445</v>
      </c>
    </row>
    <row r="100" spans="2:9" x14ac:dyDescent="0.25">
      <c r="B100" s="6" t="s">
        <v>88</v>
      </c>
      <c r="C100" s="5"/>
      <c r="D100" s="4" t="s">
        <v>37</v>
      </c>
      <c r="E100" s="31">
        <f t="shared" si="3"/>
        <v>434</v>
      </c>
      <c r="F100" s="4">
        <v>1</v>
      </c>
      <c r="G100" s="86" t="s">
        <v>212</v>
      </c>
      <c r="I100">
        <f t="shared" si="2"/>
        <v>467</v>
      </c>
    </row>
    <row r="101" spans="2:9" x14ac:dyDescent="0.25">
      <c r="B101" s="6" t="s">
        <v>119</v>
      </c>
      <c r="C101" s="5"/>
      <c r="D101" s="4" t="s">
        <v>121</v>
      </c>
      <c r="E101" s="31"/>
      <c r="F101" s="4"/>
      <c r="G101" s="87"/>
    </row>
    <row r="102" spans="2:9" x14ac:dyDescent="0.25">
      <c r="B102" s="6" t="s">
        <v>120</v>
      </c>
      <c r="C102" s="5"/>
      <c r="D102" s="4" t="s">
        <v>122</v>
      </c>
      <c r="E102" s="31"/>
      <c r="F102" s="4"/>
      <c r="G102" s="88"/>
    </row>
    <row r="103" spans="2:9" x14ac:dyDescent="0.25">
      <c r="B103" s="12" t="s">
        <v>89</v>
      </c>
      <c r="C103" s="13"/>
      <c r="D103" s="27"/>
      <c r="E103" s="14">
        <f>E100+F100</f>
        <v>435</v>
      </c>
      <c r="F103" s="27"/>
      <c r="G103" s="21"/>
    </row>
    <row r="104" spans="2:9" x14ac:dyDescent="0.25">
      <c r="B104" s="6" t="s">
        <v>139</v>
      </c>
      <c r="C104" s="5"/>
      <c r="D104" s="4" t="s">
        <v>136</v>
      </c>
      <c r="E104" s="31">
        <f>E103+F103</f>
        <v>435</v>
      </c>
      <c r="F104" s="4">
        <v>8</v>
      </c>
      <c r="G104" s="32" t="s">
        <v>212</v>
      </c>
    </row>
    <row r="105" spans="2:9" x14ac:dyDescent="0.25">
      <c r="B105" s="6" t="s">
        <v>140</v>
      </c>
      <c r="C105" s="5"/>
      <c r="D105" s="4" t="s">
        <v>137</v>
      </c>
      <c r="E105" s="31">
        <f t="shared" ref="E105:E114" si="4">E104+F104</f>
        <v>443</v>
      </c>
      <c r="F105" s="4">
        <v>8</v>
      </c>
      <c r="G105" s="32" t="s">
        <v>212</v>
      </c>
    </row>
    <row r="106" spans="2:9" x14ac:dyDescent="0.25">
      <c r="B106" s="6" t="s">
        <v>141</v>
      </c>
      <c r="C106" s="5"/>
      <c r="D106" s="4" t="s">
        <v>138</v>
      </c>
      <c r="E106" s="31">
        <f t="shared" si="4"/>
        <v>451</v>
      </c>
      <c r="F106" s="4">
        <v>8</v>
      </c>
      <c r="G106" s="34" t="s">
        <v>213</v>
      </c>
    </row>
    <row r="107" spans="2:9" x14ac:dyDescent="0.25">
      <c r="B107" s="6" t="s">
        <v>142</v>
      </c>
      <c r="C107" s="5"/>
      <c r="D107" s="4" t="s">
        <v>452</v>
      </c>
      <c r="E107" s="31">
        <f t="shared" si="4"/>
        <v>459</v>
      </c>
      <c r="F107" s="4">
        <v>8</v>
      </c>
      <c r="G107" s="32" t="s">
        <v>212</v>
      </c>
    </row>
    <row r="108" spans="2:9" x14ac:dyDescent="0.25">
      <c r="B108" s="6" t="s">
        <v>143</v>
      </c>
      <c r="C108" s="5"/>
      <c r="D108" s="4" t="s">
        <v>451</v>
      </c>
      <c r="E108" s="31">
        <f t="shared" si="4"/>
        <v>467</v>
      </c>
      <c r="F108" s="4">
        <v>8</v>
      </c>
      <c r="G108" s="32" t="s">
        <v>212</v>
      </c>
    </row>
    <row r="109" spans="2:9" x14ac:dyDescent="0.25">
      <c r="B109" s="6" t="s">
        <v>144</v>
      </c>
      <c r="C109" s="5"/>
      <c r="D109" s="4" t="s">
        <v>450</v>
      </c>
      <c r="E109" s="31">
        <f t="shared" si="4"/>
        <v>475</v>
      </c>
      <c r="F109" s="4">
        <v>8</v>
      </c>
      <c r="G109" s="32" t="s">
        <v>212</v>
      </c>
    </row>
    <row r="110" spans="2:9" x14ac:dyDescent="0.25">
      <c r="B110" s="12" t="s">
        <v>90</v>
      </c>
      <c r="C110" s="13"/>
      <c r="D110" s="27"/>
      <c r="E110" s="14">
        <f t="shared" si="4"/>
        <v>483</v>
      </c>
      <c r="F110" s="27"/>
      <c r="G110" s="21"/>
    </row>
    <row r="111" spans="2:9" ht="30" x14ac:dyDescent="0.25">
      <c r="B111" s="15" t="s">
        <v>312</v>
      </c>
      <c r="C111" s="16"/>
      <c r="D111" s="57" t="s">
        <v>357</v>
      </c>
      <c r="E111" s="53">
        <f t="shared" si="4"/>
        <v>483</v>
      </c>
      <c r="F111" s="54">
        <v>15</v>
      </c>
      <c r="G111" s="35" t="s">
        <v>211</v>
      </c>
      <c r="H111" s="17"/>
      <c r="I111">
        <f>E111+33</f>
        <v>516</v>
      </c>
    </row>
    <row r="112" spans="2:9" ht="30" x14ac:dyDescent="0.25">
      <c r="B112" s="55" t="s">
        <v>355</v>
      </c>
      <c r="C112" s="56"/>
      <c r="D112" s="57" t="s">
        <v>313</v>
      </c>
      <c r="E112" s="53">
        <f t="shared" si="4"/>
        <v>498</v>
      </c>
      <c r="F112" s="54">
        <v>15</v>
      </c>
      <c r="G112" s="35" t="s">
        <v>211</v>
      </c>
      <c r="H112" s="17"/>
      <c r="I112">
        <f t="shared" ref="I112:I148" si="5">E112+33</f>
        <v>531</v>
      </c>
    </row>
    <row r="113" spans="2:9" ht="30" x14ac:dyDescent="0.25">
      <c r="B113" s="15" t="s">
        <v>314</v>
      </c>
      <c r="C113" s="16"/>
      <c r="D113" s="42" t="s">
        <v>108</v>
      </c>
      <c r="E113" s="43">
        <f t="shared" si="4"/>
        <v>513</v>
      </c>
      <c r="F113" s="42">
        <v>15</v>
      </c>
      <c r="G113" s="35" t="s">
        <v>211</v>
      </c>
      <c r="H113" s="17"/>
      <c r="I113">
        <f t="shared" si="5"/>
        <v>546</v>
      </c>
    </row>
    <row r="114" spans="2:9" ht="30" x14ac:dyDescent="0.25">
      <c r="B114" s="15" t="s">
        <v>315</v>
      </c>
      <c r="C114" s="16"/>
      <c r="D114" s="42" t="s">
        <v>155</v>
      </c>
      <c r="E114" s="43">
        <f t="shared" si="4"/>
        <v>528</v>
      </c>
      <c r="F114" s="42">
        <v>15</v>
      </c>
      <c r="G114" s="35" t="s">
        <v>211</v>
      </c>
      <c r="H114" s="17"/>
      <c r="I114">
        <f t="shared" si="5"/>
        <v>561</v>
      </c>
    </row>
    <row r="115" spans="2:9" ht="30" x14ac:dyDescent="0.25">
      <c r="B115" s="15" t="s">
        <v>316</v>
      </c>
      <c r="C115" s="16"/>
      <c r="D115" s="42" t="s">
        <v>104</v>
      </c>
      <c r="E115" s="43">
        <f>E114+F114</f>
        <v>543</v>
      </c>
      <c r="F115" s="42">
        <v>15</v>
      </c>
      <c r="G115" s="35" t="s">
        <v>211</v>
      </c>
      <c r="H115" s="17"/>
      <c r="I115">
        <f t="shared" si="5"/>
        <v>576</v>
      </c>
    </row>
    <row r="116" spans="2:9" ht="30" x14ac:dyDescent="0.25">
      <c r="B116" s="15" t="s">
        <v>317</v>
      </c>
      <c r="C116" s="16"/>
      <c r="D116" s="42" t="s">
        <v>118</v>
      </c>
      <c r="E116" s="43">
        <f t="shared" ref="E116:E128" si="6">E115+F115</f>
        <v>558</v>
      </c>
      <c r="F116" s="42">
        <v>15</v>
      </c>
      <c r="G116" s="35" t="s">
        <v>211</v>
      </c>
      <c r="H116" s="17"/>
      <c r="I116">
        <f t="shared" si="5"/>
        <v>591</v>
      </c>
    </row>
    <row r="117" spans="2:9" ht="30" x14ac:dyDescent="0.25">
      <c r="B117" s="15" t="s">
        <v>318</v>
      </c>
      <c r="C117" s="16"/>
      <c r="D117" s="42" t="s">
        <v>117</v>
      </c>
      <c r="E117" s="43">
        <f t="shared" si="6"/>
        <v>573</v>
      </c>
      <c r="F117" s="42">
        <v>15</v>
      </c>
      <c r="G117" s="35" t="s">
        <v>211</v>
      </c>
      <c r="H117" s="17"/>
      <c r="I117">
        <f t="shared" si="5"/>
        <v>606</v>
      </c>
    </row>
    <row r="118" spans="2:9" ht="30" x14ac:dyDescent="0.25">
      <c r="B118" s="15" t="s">
        <v>319</v>
      </c>
      <c r="C118" s="16"/>
      <c r="D118" s="42" t="s">
        <v>107</v>
      </c>
      <c r="E118" s="43">
        <f t="shared" si="6"/>
        <v>588</v>
      </c>
      <c r="F118" s="42">
        <v>15</v>
      </c>
      <c r="G118" s="35" t="s">
        <v>211</v>
      </c>
      <c r="H118" s="17"/>
      <c r="I118">
        <f t="shared" si="5"/>
        <v>621</v>
      </c>
    </row>
    <row r="119" spans="2:9" ht="30" x14ac:dyDescent="0.25">
      <c r="B119" s="15" t="s">
        <v>320</v>
      </c>
      <c r="C119" s="16"/>
      <c r="D119" s="42" t="s">
        <v>105</v>
      </c>
      <c r="E119" s="43">
        <f t="shared" si="6"/>
        <v>603</v>
      </c>
      <c r="F119" s="42">
        <v>15</v>
      </c>
      <c r="G119" s="35" t="s">
        <v>211</v>
      </c>
      <c r="H119" s="17"/>
      <c r="I119">
        <f t="shared" si="5"/>
        <v>636</v>
      </c>
    </row>
    <row r="120" spans="2:9" ht="30" x14ac:dyDescent="0.25">
      <c r="B120" s="15" t="s">
        <v>321</v>
      </c>
      <c r="C120" s="16"/>
      <c r="D120" s="42" t="s">
        <v>106</v>
      </c>
      <c r="E120" s="43">
        <f t="shared" si="6"/>
        <v>618</v>
      </c>
      <c r="F120" s="42">
        <v>15</v>
      </c>
      <c r="G120" s="35" t="s">
        <v>211</v>
      </c>
      <c r="H120" s="17"/>
      <c r="I120">
        <f t="shared" si="5"/>
        <v>651</v>
      </c>
    </row>
    <row r="121" spans="2:9" ht="30" x14ac:dyDescent="0.25">
      <c r="B121" s="15" t="s">
        <v>322</v>
      </c>
      <c r="C121" s="16"/>
      <c r="D121" s="42" t="s">
        <v>41</v>
      </c>
      <c r="E121" s="43">
        <f t="shared" si="6"/>
        <v>633</v>
      </c>
      <c r="F121" s="42">
        <v>15</v>
      </c>
      <c r="G121" s="35" t="s">
        <v>211</v>
      </c>
      <c r="H121" s="17"/>
      <c r="I121">
        <f t="shared" si="5"/>
        <v>666</v>
      </c>
    </row>
    <row r="122" spans="2:9" ht="30" x14ac:dyDescent="0.25">
      <c r="B122" s="15" t="s">
        <v>323</v>
      </c>
      <c r="C122" s="16"/>
      <c r="D122" s="44" t="s">
        <v>114</v>
      </c>
      <c r="E122" s="43">
        <f t="shared" si="6"/>
        <v>648</v>
      </c>
      <c r="F122" s="42">
        <v>15</v>
      </c>
      <c r="G122" s="35" t="s">
        <v>211</v>
      </c>
      <c r="H122" s="17"/>
      <c r="I122">
        <f t="shared" si="5"/>
        <v>681</v>
      </c>
    </row>
    <row r="123" spans="2:9" ht="30" x14ac:dyDescent="0.25">
      <c r="B123" s="15" t="s">
        <v>324</v>
      </c>
      <c r="C123" s="16"/>
      <c r="D123" s="42" t="s">
        <v>42</v>
      </c>
      <c r="E123" s="43">
        <f t="shared" si="6"/>
        <v>663</v>
      </c>
      <c r="F123" s="42">
        <v>15</v>
      </c>
      <c r="G123" s="35" t="s">
        <v>211</v>
      </c>
      <c r="H123" s="17"/>
      <c r="I123">
        <f t="shared" si="5"/>
        <v>696</v>
      </c>
    </row>
    <row r="124" spans="2:9" ht="30" x14ac:dyDescent="0.25">
      <c r="B124" s="15" t="s">
        <v>325</v>
      </c>
      <c r="C124" s="16"/>
      <c r="D124" s="42" t="s">
        <v>110</v>
      </c>
      <c r="E124" s="43">
        <f t="shared" si="6"/>
        <v>678</v>
      </c>
      <c r="F124" s="42">
        <v>15</v>
      </c>
      <c r="G124" s="35" t="s">
        <v>211</v>
      </c>
      <c r="H124" s="17"/>
      <c r="I124">
        <f t="shared" si="5"/>
        <v>711</v>
      </c>
    </row>
    <row r="125" spans="2:9" ht="30" x14ac:dyDescent="0.25">
      <c r="B125" s="15" t="s">
        <v>326</v>
      </c>
      <c r="C125" s="16"/>
      <c r="D125" s="42" t="s">
        <v>116</v>
      </c>
      <c r="E125" s="43">
        <f t="shared" si="6"/>
        <v>693</v>
      </c>
      <c r="F125" s="42">
        <v>15</v>
      </c>
      <c r="G125" s="35" t="s">
        <v>211</v>
      </c>
      <c r="H125" s="17"/>
      <c r="I125">
        <f t="shared" si="5"/>
        <v>726</v>
      </c>
    </row>
    <row r="126" spans="2:9" ht="30" x14ac:dyDescent="0.25">
      <c r="B126" s="15" t="s">
        <v>327</v>
      </c>
      <c r="C126" s="16"/>
      <c r="D126" s="42" t="s">
        <v>115</v>
      </c>
      <c r="E126" s="43">
        <f t="shared" si="6"/>
        <v>708</v>
      </c>
      <c r="F126" s="42">
        <v>15</v>
      </c>
      <c r="G126" s="35" t="s">
        <v>211</v>
      </c>
      <c r="H126" s="17"/>
      <c r="I126">
        <f t="shared" si="5"/>
        <v>741</v>
      </c>
    </row>
    <row r="127" spans="2:9" ht="30" x14ac:dyDescent="0.25">
      <c r="B127" s="15" t="s">
        <v>328</v>
      </c>
      <c r="C127" s="16"/>
      <c r="D127" s="42" t="s">
        <v>109</v>
      </c>
      <c r="E127" s="43">
        <f t="shared" si="6"/>
        <v>723</v>
      </c>
      <c r="F127" s="42">
        <v>15</v>
      </c>
      <c r="G127" s="35" t="s">
        <v>211</v>
      </c>
      <c r="H127" s="17"/>
      <c r="I127">
        <f t="shared" si="5"/>
        <v>756</v>
      </c>
    </row>
    <row r="128" spans="2:9" ht="30" x14ac:dyDescent="0.25">
      <c r="B128" s="15" t="s">
        <v>329</v>
      </c>
      <c r="C128" s="16"/>
      <c r="D128" s="42" t="s">
        <v>202</v>
      </c>
      <c r="E128" s="43">
        <f t="shared" si="6"/>
        <v>738</v>
      </c>
      <c r="F128" s="42">
        <v>15</v>
      </c>
      <c r="G128" s="35" t="s">
        <v>211</v>
      </c>
      <c r="H128" s="17"/>
      <c r="I128">
        <f t="shared" si="5"/>
        <v>771</v>
      </c>
    </row>
    <row r="129" spans="2:9" ht="30" x14ac:dyDescent="0.25">
      <c r="B129" s="15" t="s">
        <v>330</v>
      </c>
      <c r="C129" s="16"/>
      <c r="D129" s="42" t="s">
        <v>157</v>
      </c>
      <c r="E129" s="43">
        <f>E128+F128</f>
        <v>753</v>
      </c>
      <c r="F129" s="42">
        <v>15</v>
      </c>
      <c r="G129" s="35" t="s">
        <v>211</v>
      </c>
      <c r="H129" s="17"/>
      <c r="I129">
        <f t="shared" si="5"/>
        <v>786</v>
      </c>
    </row>
    <row r="130" spans="2:9" x14ac:dyDescent="0.25">
      <c r="B130" s="12" t="s">
        <v>437</v>
      </c>
      <c r="C130" s="13"/>
      <c r="D130" s="27" t="s">
        <v>440</v>
      </c>
      <c r="E130" s="14">
        <f>E129+F129</f>
        <v>768</v>
      </c>
      <c r="F130" s="27">
        <v>240</v>
      </c>
      <c r="G130" s="21"/>
      <c r="I130">
        <f t="shared" si="5"/>
        <v>801</v>
      </c>
    </row>
    <row r="131" spans="2:9" x14ac:dyDescent="0.25">
      <c r="B131" s="12" t="s">
        <v>438</v>
      </c>
      <c r="C131" s="13"/>
      <c r="D131" s="27" t="s">
        <v>441</v>
      </c>
      <c r="E131" s="14">
        <f t="shared" ref="E131:E133" si="7">E130+F130</f>
        <v>1008</v>
      </c>
      <c r="F131" s="27">
        <v>452</v>
      </c>
      <c r="G131" s="21"/>
      <c r="I131">
        <f t="shared" si="5"/>
        <v>1041</v>
      </c>
    </row>
    <row r="132" spans="2:9" x14ac:dyDescent="0.25">
      <c r="B132" s="12" t="s">
        <v>439</v>
      </c>
      <c r="C132" s="13"/>
      <c r="D132" s="27" t="s">
        <v>442</v>
      </c>
      <c r="E132" s="14">
        <f t="shared" si="7"/>
        <v>1460</v>
      </c>
      <c r="F132" s="27">
        <v>275</v>
      </c>
      <c r="G132" s="21"/>
      <c r="I132">
        <f t="shared" si="5"/>
        <v>1493</v>
      </c>
    </row>
    <row r="133" spans="2:9" x14ac:dyDescent="0.25">
      <c r="B133" s="12" t="s">
        <v>146</v>
      </c>
      <c r="C133" s="13"/>
      <c r="D133" s="27"/>
      <c r="E133" s="14">
        <f t="shared" si="7"/>
        <v>1735</v>
      </c>
      <c r="F133" s="27"/>
      <c r="G133" s="21"/>
    </row>
    <row r="134" spans="2:9" x14ac:dyDescent="0.25">
      <c r="B134" s="6" t="s">
        <v>113</v>
      </c>
      <c r="C134" s="5"/>
      <c r="D134" s="4" t="s">
        <v>49</v>
      </c>
      <c r="E134" s="31">
        <f>E133+F133</f>
        <v>1735</v>
      </c>
      <c r="F134" s="4">
        <v>5</v>
      </c>
      <c r="G134" s="34" t="s">
        <v>213</v>
      </c>
      <c r="I134">
        <f t="shared" si="5"/>
        <v>1768</v>
      </c>
    </row>
    <row r="135" spans="2:9" x14ac:dyDescent="0.25">
      <c r="B135" s="6" t="s">
        <v>156</v>
      </c>
      <c r="C135" s="5"/>
      <c r="D135" s="4" t="s">
        <v>148</v>
      </c>
      <c r="E135" s="31">
        <f>E134+F134</f>
        <v>1740</v>
      </c>
      <c r="F135" s="4">
        <v>2</v>
      </c>
      <c r="G135" s="80" t="s">
        <v>213</v>
      </c>
      <c r="I135">
        <f t="shared" si="5"/>
        <v>1773</v>
      </c>
    </row>
    <row r="136" spans="2:9" x14ac:dyDescent="0.25">
      <c r="B136" s="15" t="s">
        <v>203</v>
      </c>
      <c r="C136" s="16"/>
      <c r="D136" s="42" t="s">
        <v>204</v>
      </c>
      <c r="E136" s="43"/>
      <c r="F136" s="42"/>
      <c r="G136" s="85"/>
      <c r="H136" s="17"/>
    </row>
    <row r="137" spans="2:9" x14ac:dyDescent="0.25">
      <c r="B137" s="15" t="s">
        <v>247</v>
      </c>
      <c r="C137" s="16"/>
      <c r="D137" s="42" t="s">
        <v>248</v>
      </c>
      <c r="E137" s="43"/>
      <c r="F137" s="42"/>
      <c r="G137" s="85"/>
      <c r="H137" s="17"/>
    </row>
    <row r="138" spans="2:9" x14ac:dyDescent="0.25">
      <c r="B138" s="15" t="s">
        <v>257</v>
      </c>
      <c r="C138" s="16"/>
      <c r="D138" s="42" t="s">
        <v>258</v>
      </c>
      <c r="E138" s="43"/>
      <c r="F138" s="42"/>
      <c r="G138" s="85"/>
      <c r="H138" s="17"/>
    </row>
    <row r="139" spans="2:9" ht="30" x14ac:dyDescent="0.25">
      <c r="B139" s="15" t="s">
        <v>178</v>
      </c>
      <c r="C139" s="16"/>
      <c r="D139" s="42" t="s">
        <v>177</v>
      </c>
      <c r="E139" s="43"/>
      <c r="F139" s="42"/>
      <c r="G139" s="85"/>
      <c r="H139" s="17"/>
    </row>
    <row r="140" spans="2:9" x14ac:dyDescent="0.25">
      <c r="B140" s="6" t="s">
        <v>180</v>
      </c>
      <c r="C140" s="5"/>
      <c r="D140" s="4" t="s">
        <v>170</v>
      </c>
      <c r="E140" s="31"/>
      <c r="F140" s="4"/>
      <c r="G140" s="85"/>
    </row>
    <row r="141" spans="2:9" x14ac:dyDescent="0.25">
      <c r="B141" s="6" t="s">
        <v>181</v>
      </c>
      <c r="C141" s="5"/>
      <c r="D141" s="4" t="s">
        <v>171</v>
      </c>
      <c r="E141" s="31"/>
      <c r="F141" s="4"/>
      <c r="G141" s="85"/>
    </row>
    <row r="142" spans="2:9" x14ac:dyDescent="0.25">
      <c r="B142" s="6" t="s">
        <v>182</v>
      </c>
      <c r="C142" s="5"/>
      <c r="D142" s="4" t="s">
        <v>179</v>
      </c>
      <c r="E142" s="31"/>
      <c r="F142" s="4"/>
      <c r="G142" s="85"/>
    </row>
    <row r="143" spans="2:9" x14ac:dyDescent="0.25">
      <c r="B143" s="15" t="s">
        <v>205</v>
      </c>
      <c r="C143" s="16"/>
      <c r="D143" s="42" t="s">
        <v>206</v>
      </c>
      <c r="E143" s="43"/>
      <c r="F143" s="42"/>
      <c r="G143" s="85"/>
    </row>
    <row r="144" spans="2:9" x14ac:dyDescent="0.25">
      <c r="B144" s="15" t="s">
        <v>207</v>
      </c>
      <c r="C144" s="16"/>
      <c r="D144" s="42" t="s">
        <v>208</v>
      </c>
      <c r="E144" s="43"/>
      <c r="F144" s="42"/>
      <c r="G144" s="85"/>
    </row>
    <row r="145" spans="1:21" x14ac:dyDescent="0.25">
      <c r="B145" s="8" t="s">
        <v>223</v>
      </c>
      <c r="C145" s="9"/>
      <c r="D145" s="10"/>
      <c r="E145" s="11">
        <f>E135+F135</f>
        <v>1742</v>
      </c>
      <c r="F145" s="11">
        <v>200</v>
      </c>
      <c r="G145" s="20"/>
    </row>
    <row r="146" spans="1:21" x14ac:dyDescent="0.25">
      <c r="B146" s="45" t="s">
        <v>331</v>
      </c>
      <c r="C146" s="46"/>
      <c r="D146" s="47"/>
      <c r="E146" s="11">
        <f>E145</f>
        <v>1742</v>
      </c>
      <c r="F146" s="47"/>
      <c r="G146" s="20"/>
    </row>
    <row r="147" spans="1:21" x14ac:dyDescent="0.25">
      <c r="B147" s="6" t="s">
        <v>147</v>
      </c>
      <c r="C147" s="5"/>
      <c r="D147" s="4" t="s">
        <v>93</v>
      </c>
      <c r="E147" s="31">
        <f t="shared" ref="E147" si="8">E146+F146</f>
        <v>1742</v>
      </c>
      <c r="F147" s="4">
        <v>65</v>
      </c>
      <c r="G147" s="32" t="s">
        <v>212</v>
      </c>
      <c r="I147">
        <f t="shared" si="5"/>
        <v>1775</v>
      </c>
    </row>
    <row r="148" spans="1:21" x14ac:dyDescent="0.25">
      <c r="B148" s="6" t="s">
        <v>224</v>
      </c>
      <c r="C148" s="5"/>
      <c r="D148" s="4"/>
      <c r="E148" s="31">
        <f>E147+F147</f>
        <v>1807</v>
      </c>
      <c r="F148" s="4">
        <v>135</v>
      </c>
      <c r="G148" s="48"/>
      <c r="I148">
        <f t="shared" si="5"/>
        <v>1840</v>
      </c>
    </row>
    <row r="149" spans="1:21" x14ac:dyDescent="0.25">
      <c r="B149" s="45" t="s">
        <v>332</v>
      </c>
      <c r="C149" s="46"/>
      <c r="D149" s="47"/>
      <c r="E149" s="11">
        <f>E146</f>
        <v>1742</v>
      </c>
      <c r="F149" s="47"/>
      <c r="G149" s="20"/>
    </row>
    <row r="150" spans="1:21" x14ac:dyDescent="0.25">
      <c r="B150" s="6" t="s">
        <v>333</v>
      </c>
      <c r="C150" s="5"/>
      <c r="D150" s="4" t="s">
        <v>14</v>
      </c>
      <c r="E150" s="31">
        <f>E149+F149</f>
        <v>1742</v>
      </c>
      <c r="F150" s="4">
        <v>50</v>
      </c>
      <c r="G150" s="48" t="s">
        <v>212</v>
      </c>
      <c r="I150">
        <f>E150+33</f>
        <v>1775</v>
      </c>
    </row>
    <row r="151" spans="1:21" x14ac:dyDescent="0.25">
      <c r="B151" s="6" t="s">
        <v>334</v>
      </c>
      <c r="C151" s="5"/>
      <c r="D151" s="4" t="s">
        <v>175</v>
      </c>
      <c r="E151" s="31">
        <f t="shared" ref="E151:E158" si="9">E150+F150</f>
        <v>1792</v>
      </c>
      <c r="F151" s="4">
        <v>22</v>
      </c>
      <c r="G151" s="48" t="s">
        <v>211</v>
      </c>
      <c r="I151">
        <f t="shared" ref="I151:I209" si="10">E151+33</f>
        <v>1825</v>
      </c>
    </row>
    <row r="152" spans="1:21" x14ac:dyDescent="0.25">
      <c r="B152" s="6" t="s">
        <v>335</v>
      </c>
      <c r="C152" s="5"/>
      <c r="D152" s="4" t="s">
        <v>218</v>
      </c>
      <c r="E152" s="31">
        <f t="shared" si="9"/>
        <v>1814</v>
      </c>
      <c r="F152" s="4">
        <v>8</v>
      </c>
      <c r="G152" s="48" t="s">
        <v>211</v>
      </c>
      <c r="I152">
        <f t="shared" si="10"/>
        <v>1847</v>
      </c>
    </row>
    <row r="153" spans="1:21" x14ac:dyDescent="0.25">
      <c r="B153" s="6" t="s">
        <v>336</v>
      </c>
      <c r="C153" s="5"/>
      <c r="D153" s="4" t="s">
        <v>15</v>
      </c>
      <c r="E153" s="31">
        <f t="shared" si="9"/>
        <v>1822</v>
      </c>
      <c r="F153" s="4">
        <v>50</v>
      </c>
      <c r="G153" s="48" t="s">
        <v>211</v>
      </c>
      <c r="I153">
        <f t="shared" si="10"/>
        <v>1855</v>
      </c>
    </row>
    <row r="154" spans="1:21" x14ac:dyDescent="0.25">
      <c r="B154" s="6" t="s">
        <v>337</v>
      </c>
      <c r="C154" s="5"/>
      <c r="D154" s="4" t="s">
        <v>176</v>
      </c>
      <c r="E154" s="31">
        <f t="shared" si="9"/>
        <v>1872</v>
      </c>
      <c r="F154" s="4">
        <v>22</v>
      </c>
      <c r="G154" s="48" t="s">
        <v>211</v>
      </c>
      <c r="I154">
        <f t="shared" si="10"/>
        <v>1905</v>
      </c>
    </row>
    <row r="155" spans="1:21" x14ac:dyDescent="0.25">
      <c r="B155" s="6" t="s">
        <v>338</v>
      </c>
      <c r="C155" s="5"/>
      <c r="D155" s="4" t="s">
        <v>219</v>
      </c>
      <c r="E155" s="31">
        <f t="shared" si="9"/>
        <v>1894</v>
      </c>
      <c r="F155" s="4">
        <v>8</v>
      </c>
      <c r="G155" s="48" t="s">
        <v>211</v>
      </c>
      <c r="I155">
        <f t="shared" si="10"/>
        <v>1927</v>
      </c>
    </row>
    <row r="156" spans="1:21" ht="30" x14ac:dyDescent="0.25">
      <c r="B156" s="29" t="s">
        <v>339</v>
      </c>
      <c r="C156" s="5" t="s">
        <v>254</v>
      </c>
      <c r="D156" s="42" t="s">
        <v>340</v>
      </c>
      <c r="E156" s="53">
        <f t="shared" si="9"/>
        <v>1902</v>
      </c>
      <c r="F156" s="54">
        <v>15</v>
      </c>
      <c r="G156" s="32" t="s">
        <v>212</v>
      </c>
      <c r="I156">
        <f t="shared" si="10"/>
        <v>1935</v>
      </c>
    </row>
    <row r="157" spans="1:21" ht="30" x14ac:dyDescent="0.25">
      <c r="B157" s="29" t="s">
        <v>341</v>
      </c>
      <c r="C157" s="5" t="s">
        <v>254</v>
      </c>
      <c r="D157" s="44" t="s">
        <v>342</v>
      </c>
      <c r="E157" s="53">
        <f t="shared" si="9"/>
        <v>1917</v>
      </c>
      <c r="F157" s="54">
        <v>15</v>
      </c>
      <c r="G157" s="32" t="s">
        <v>212</v>
      </c>
      <c r="I157">
        <f t="shared" si="10"/>
        <v>1950</v>
      </c>
    </row>
    <row r="158" spans="1:21" x14ac:dyDescent="0.25">
      <c r="B158" s="60" t="s">
        <v>343</v>
      </c>
      <c r="C158" s="5" t="s">
        <v>254</v>
      </c>
      <c r="D158" s="44" t="s">
        <v>361</v>
      </c>
      <c r="E158" s="53">
        <f t="shared" si="9"/>
        <v>1932</v>
      </c>
      <c r="F158" s="54">
        <v>2</v>
      </c>
      <c r="G158" s="89" t="s">
        <v>211</v>
      </c>
      <c r="H158" s="61"/>
      <c r="I158">
        <f t="shared" si="10"/>
        <v>1965</v>
      </c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</row>
    <row r="159" spans="1:21" ht="45" x14ac:dyDescent="0.25">
      <c r="A159" s="92"/>
      <c r="B159" s="15" t="s">
        <v>453</v>
      </c>
      <c r="C159" s="5"/>
      <c r="D159" s="44" t="s">
        <v>454</v>
      </c>
      <c r="E159" s="53"/>
      <c r="F159" s="54"/>
      <c r="G159" s="91"/>
      <c r="H159" s="61"/>
      <c r="K159" s="28"/>
      <c r="L159" s="28"/>
      <c r="M159" s="28"/>
      <c r="N159" s="28"/>
      <c r="O159" s="28"/>
      <c r="P159" s="28"/>
      <c r="Q159" s="28"/>
      <c r="R159" s="28"/>
      <c r="S159" s="28"/>
      <c r="T159" s="28"/>
    </row>
    <row r="160" spans="1:21" ht="30" x14ac:dyDescent="0.25">
      <c r="A160" s="92"/>
      <c r="B160" s="15" t="s">
        <v>455</v>
      </c>
      <c r="C160" s="5"/>
      <c r="D160" s="44" t="s">
        <v>454</v>
      </c>
      <c r="E160" s="53"/>
      <c r="F160" s="54"/>
      <c r="G160" s="91"/>
      <c r="H160" s="61"/>
      <c r="K160" s="28"/>
      <c r="L160" s="28"/>
      <c r="M160" s="28"/>
      <c r="N160" s="28"/>
      <c r="O160" s="28"/>
      <c r="P160" s="28"/>
      <c r="Q160" s="28"/>
      <c r="R160" s="28"/>
      <c r="S160" s="28"/>
      <c r="T160" s="28"/>
    </row>
    <row r="161" spans="2:21" x14ac:dyDescent="0.25">
      <c r="B161" s="15" t="s">
        <v>358</v>
      </c>
      <c r="C161" s="16"/>
      <c r="D161" s="42" t="s">
        <v>362</v>
      </c>
      <c r="E161" s="53"/>
      <c r="F161" s="54"/>
      <c r="G161" s="91"/>
      <c r="H161" s="59"/>
      <c r="I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</row>
    <row r="162" spans="2:21" x14ac:dyDescent="0.25">
      <c r="B162" s="15" t="s">
        <v>359</v>
      </c>
      <c r="C162" s="16"/>
      <c r="D162" s="42" t="s">
        <v>363</v>
      </c>
      <c r="E162" s="53"/>
      <c r="F162" s="54"/>
      <c r="G162" s="91"/>
      <c r="H162" s="59"/>
      <c r="I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</row>
    <row r="163" spans="2:21" x14ac:dyDescent="0.25">
      <c r="B163" s="15" t="s">
        <v>360</v>
      </c>
      <c r="C163" s="16"/>
      <c r="D163" s="42" t="s">
        <v>364</v>
      </c>
      <c r="E163" s="53"/>
      <c r="F163" s="54"/>
      <c r="G163" s="90"/>
      <c r="H163" s="59"/>
      <c r="I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</row>
    <row r="164" spans="2:21" x14ac:dyDescent="0.25">
      <c r="B164" s="58" t="s">
        <v>356</v>
      </c>
      <c r="C164" s="5"/>
      <c r="D164" s="4"/>
      <c r="E164" s="53">
        <f>E158+F158</f>
        <v>1934</v>
      </c>
      <c r="F164" s="54">
        <v>8</v>
      </c>
      <c r="G164" s="48"/>
      <c r="I164">
        <f t="shared" si="10"/>
        <v>1967</v>
      </c>
    </row>
    <row r="165" spans="2:21" x14ac:dyDescent="0.25">
      <c r="B165" s="45" t="s">
        <v>344</v>
      </c>
      <c r="C165" s="46"/>
      <c r="D165" s="47"/>
      <c r="E165" s="11">
        <f>E145</f>
        <v>1742</v>
      </c>
      <c r="F165" s="47"/>
      <c r="G165" s="20"/>
      <c r="I165">
        <f t="shared" si="10"/>
        <v>1775</v>
      </c>
    </row>
    <row r="166" spans="2:21" x14ac:dyDescent="0.25">
      <c r="B166" s="6" t="s">
        <v>225</v>
      </c>
      <c r="C166" s="5"/>
      <c r="D166" s="4"/>
      <c r="E166" s="4">
        <f>E165+F165</f>
        <v>1742</v>
      </c>
      <c r="F166" s="4">
        <v>200</v>
      </c>
      <c r="G166" s="48"/>
      <c r="I166">
        <f t="shared" si="10"/>
        <v>1775</v>
      </c>
    </row>
    <row r="167" spans="2:21" x14ac:dyDescent="0.25">
      <c r="B167" s="6" t="s">
        <v>345</v>
      </c>
      <c r="C167" s="5"/>
      <c r="D167" s="4"/>
      <c r="E167" s="4">
        <f>E166</f>
        <v>1742</v>
      </c>
      <c r="F167" s="4"/>
      <c r="G167" s="48"/>
      <c r="I167">
        <f t="shared" si="10"/>
        <v>1775</v>
      </c>
    </row>
    <row r="168" spans="2:21" x14ac:dyDescent="0.25">
      <c r="B168" s="6" t="s">
        <v>215</v>
      </c>
      <c r="C168" s="5"/>
      <c r="D168" s="4" t="s">
        <v>26</v>
      </c>
      <c r="E168" s="4">
        <f>E167+F167</f>
        <v>1742</v>
      </c>
      <c r="F168" s="4">
        <v>30</v>
      </c>
      <c r="G168" s="32" t="s">
        <v>212</v>
      </c>
      <c r="I168">
        <f t="shared" si="10"/>
        <v>1775</v>
      </c>
    </row>
    <row r="169" spans="2:21" x14ac:dyDescent="0.25">
      <c r="B169" s="6" t="s">
        <v>217</v>
      </c>
      <c r="C169" s="5"/>
      <c r="D169" s="4" t="s">
        <v>27</v>
      </c>
      <c r="E169" s="4">
        <f>E168+F168</f>
        <v>1772</v>
      </c>
      <c r="F169" s="4">
        <v>10</v>
      </c>
      <c r="G169" s="35" t="s">
        <v>211</v>
      </c>
      <c r="I169">
        <f t="shared" si="10"/>
        <v>1805</v>
      </c>
    </row>
    <row r="170" spans="2:21" x14ac:dyDescent="0.25">
      <c r="B170" s="6" t="s">
        <v>216</v>
      </c>
      <c r="C170" s="5"/>
      <c r="D170" s="4" t="s">
        <v>183</v>
      </c>
      <c r="E170" s="4">
        <f>E169+F169</f>
        <v>1782</v>
      </c>
      <c r="F170" s="4">
        <v>25</v>
      </c>
      <c r="G170" s="32" t="s">
        <v>212</v>
      </c>
      <c r="I170">
        <f t="shared" si="10"/>
        <v>1815</v>
      </c>
    </row>
    <row r="171" spans="2:21" x14ac:dyDescent="0.25">
      <c r="B171" s="6" t="s">
        <v>184</v>
      </c>
      <c r="C171" s="5"/>
      <c r="D171" s="4" t="s">
        <v>28</v>
      </c>
      <c r="E171" s="4">
        <f>E170+F170</f>
        <v>1807</v>
      </c>
      <c r="F171" s="4">
        <v>15</v>
      </c>
      <c r="G171" s="32" t="s">
        <v>212</v>
      </c>
      <c r="I171">
        <f t="shared" si="10"/>
        <v>1840</v>
      </c>
    </row>
    <row r="172" spans="2:21" x14ac:dyDescent="0.25">
      <c r="B172" s="6" t="s">
        <v>226</v>
      </c>
      <c r="C172" s="5"/>
      <c r="D172" s="4"/>
      <c r="E172" s="4">
        <f>E171+F171</f>
        <v>1822</v>
      </c>
      <c r="F172" s="4">
        <v>120</v>
      </c>
      <c r="G172" s="48"/>
      <c r="I172">
        <f t="shared" si="10"/>
        <v>1855</v>
      </c>
    </row>
    <row r="173" spans="2:21" x14ac:dyDescent="0.25">
      <c r="B173" s="6" t="s">
        <v>346</v>
      </c>
      <c r="C173" s="5"/>
      <c r="D173" s="4"/>
      <c r="E173" s="4">
        <f>E165</f>
        <v>1742</v>
      </c>
      <c r="F173" s="4"/>
      <c r="G173" s="48"/>
      <c r="I173">
        <f t="shared" si="10"/>
        <v>1775</v>
      </c>
    </row>
    <row r="174" spans="2:21" x14ac:dyDescent="0.25">
      <c r="B174" s="6" t="s">
        <v>185</v>
      </c>
      <c r="C174" s="5"/>
      <c r="D174" s="4" t="s">
        <v>96</v>
      </c>
      <c r="E174" s="4">
        <f>E173+F173</f>
        <v>1742</v>
      </c>
      <c r="F174" s="4">
        <v>25</v>
      </c>
      <c r="G174" s="32" t="s">
        <v>212</v>
      </c>
      <c r="I174">
        <f t="shared" si="10"/>
        <v>1775</v>
      </c>
    </row>
    <row r="175" spans="2:21" x14ac:dyDescent="0.25">
      <c r="B175" s="6" t="s">
        <v>186</v>
      </c>
      <c r="C175" s="5"/>
      <c r="D175" s="4" t="s">
        <v>97</v>
      </c>
      <c r="E175" s="4">
        <f>E174+F174</f>
        <v>1767</v>
      </c>
      <c r="F175" s="4">
        <v>40</v>
      </c>
      <c r="G175" s="35" t="s">
        <v>211</v>
      </c>
      <c r="I175">
        <f t="shared" si="10"/>
        <v>1800</v>
      </c>
    </row>
    <row r="176" spans="2:21" x14ac:dyDescent="0.25">
      <c r="B176" s="6" t="s">
        <v>227</v>
      </c>
      <c r="C176" s="5"/>
      <c r="D176" s="4"/>
      <c r="E176" s="4">
        <f>E175+F175</f>
        <v>1807</v>
      </c>
      <c r="F176" s="4">
        <v>135</v>
      </c>
      <c r="G176" s="48"/>
      <c r="I176">
        <f t="shared" si="10"/>
        <v>1840</v>
      </c>
    </row>
    <row r="177" spans="1:9" x14ac:dyDescent="0.25">
      <c r="B177" s="6" t="s">
        <v>347</v>
      </c>
      <c r="C177" s="5"/>
      <c r="D177" s="4"/>
      <c r="E177" s="4">
        <f>E173</f>
        <v>1742</v>
      </c>
      <c r="F177" s="4"/>
      <c r="G177" s="48"/>
    </row>
    <row r="178" spans="1:9" x14ac:dyDescent="0.25">
      <c r="B178" s="6" t="s">
        <v>209</v>
      </c>
      <c r="C178" s="5"/>
      <c r="D178" s="4" t="s">
        <v>103</v>
      </c>
      <c r="E178" s="4">
        <f>E177+F177</f>
        <v>1742</v>
      </c>
      <c r="F178" s="4">
        <v>65</v>
      </c>
      <c r="G178" s="32" t="s">
        <v>212</v>
      </c>
      <c r="I178">
        <f t="shared" si="10"/>
        <v>1775</v>
      </c>
    </row>
    <row r="179" spans="1:9" x14ac:dyDescent="0.25">
      <c r="B179" s="6" t="s">
        <v>227</v>
      </c>
      <c r="C179" s="5"/>
      <c r="D179" s="4"/>
      <c r="E179" s="4">
        <f>E178+F178</f>
        <v>1807</v>
      </c>
      <c r="F179" s="4">
        <v>135</v>
      </c>
      <c r="G179" s="48"/>
      <c r="I179">
        <f t="shared" si="10"/>
        <v>1840</v>
      </c>
    </row>
    <row r="180" spans="1:9" x14ac:dyDescent="0.25">
      <c r="B180" s="45" t="s">
        <v>348</v>
      </c>
      <c r="C180" s="46"/>
      <c r="D180" s="47"/>
      <c r="E180" s="11">
        <f>E145</f>
        <v>1742</v>
      </c>
      <c r="F180" s="47"/>
      <c r="G180" s="20"/>
      <c r="I180">
        <f t="shared" si="10"/>
        <v>1775</v>
      </c>
    </row>
    <row r="181" spans="1:9" x14ac:dyDescent="0.25">
      <c r="B181" s="6" t="s">
        <v>193</v>
      </c>
      <c r="C181" s="5"/>
      <c r="D181" s="4" t="s">
        <v>103</v>
      </c>
      <c r="E181" s="31">
        <f>E180+F180</f>
        <v>1742</v>
      </c>
      <c r="F181" s="4">
        <v>10</v>
      </c>
      <c r="G181" s="32" t="s">
        <v>212</v>
      </c>
      <c r="I181">
        <f t="shared" si="10"/>
        <v>1775</v>
      </c>
    </row>
    <row r="182" spans="1:9" x14ac:dyDescent="0.25">
      <c r="B182" s="6" t="s">
        <v>98</v>
      </c>
      <c r="C182" s="5"/>
      <c r="D182" s="4" t="s">
        <v>10</v>
      </c>
      <c r="E182" s="31">
        <f>E181+F181</f>
        <v>1752</v>
      </c>
      <c r="F182" s="4">
        <v>40</v>
      </c>
      <c r="G182" s="35" t="s">
        <v>211</v>
      </c>
      <c r="I182">
        <f t="shared" si="10"/>
        <v>1785</v>
      </c>
    </row>
    <row r="183" spans="1:9" x14ac:dyDescent="0.25">
      <c r="B183" s="6" t="s">
        <v>99</v>
      </c>
      <c r="C183" s="5"/>
      <c r="D183" s="4" t="s">
        <v>11</v>
      </c>
      <c r="E183" s="31">
        <f t="shared" ref="E183:E186" si="11">E182+F182</f>
        <v>1792</v>
      </c>
      <c r="F183" s="4">
        <v>40</v>
      </c>
      <c r="G183" s="35" t="s">
        <v>211</v>
      </c>
      <c r="I183">
        <f t="shared" si="10"/>
        <v>1825</v>
      </c>
    </row>
    <row r="184" spans="1:9" x14ac:dyDescent="0.25">
      <c r="B184" s="6" t="s">
        <v>100</v>
      </c>
      <c r="C184" s="5"/>
      <c r="D184" s="4" t="s">
        <v>12</v>
      </c>
      <c r="E184" s="31">
        <f t="shared" si="11"/>
        <v>1832</v>
      </c>
      <c r="F184" s="4">
        <v>40</v>
      </c>
      <c r="G184" s="35" t="s">
        <v>211</v>
      </c>
      <c r="I184">
        <f t="shared" si="10"/>
        <v>1865</v>
      </c>
    </row>
    <row r="185" spans="1:9" x14ac:dyDescent="0.25">
      <c r="B185" s="6" t="s">
        <v>101</v>
      </c>
      <c r="C185" s="5"/>
      <c r="D185" s="4" t="s">
        <v>34</v>
      </c>
      <c r="E185" s="31">
        <f t="shared" si="11"/>
        <v>1872</v>
      </c>
      <c r="F185" s="4">
        <v>9</v>
      </c>
      <c r="G185" s="35" t="s">
        <v>211</v>
      </c>
      <c r="I185">
        <f t="shared" si="10"/>
        <v>1905</v>
      </c>
    </row>
    <row r="186" spans="1:9" x14ac:dyDescent="0.25">
      <c r="B186" s="6" t="s">
        <v>102</v>
      </c>
      <c r="C186" s="5"/>
      <c r="D186" s="4" t="s">
        <v>13</v>
      </c>
      <c r="E186" s="31">
        <f t="shared" si="11"/>
        <v>1881</v>
      </c>
      <c r="F186" s="4">
        <v>40</v>
      </c>
      <c r="G186" s="35" t="s">
        <v>211</v>
      </c>
      <c r="I186">
        <f t="shared" si="10"/>
        <v>1914</v>
      </c>
    </row>
    <row r="187" spans="1:9" x14ac:dyDescent="0.25">
      <c r="B187" s="6" t="s">
        <v>228</v>
      </c>
      <c r="C187" s="5"/>
      <c r="D187" s="4"/>
      <c r="E187" s="31">
        <f>E186+F186</f>
        <v>1921</v>
      </c>
      <c r="F187" s="4">
        <v>21</v>
      </c>
      <c r="G187" s="48"/>
      <c r="I187">
        <f t="shared" si="10"/>
        <v>1954</v>
      </c>
    </row>
    <row r="188" spans="1:9" x14ac:dyDescent="0.25">
      <c r="A188" s="22"/>
      <c r="B188" s="45" t="s">
        <v>349</v>
      </c>
      <c r="C188" s="46"/>
      <c r="D188" s="47"/>
      <c r="E188" s="11">
        <f>E145</f>
        <v>1742</v>
      </c>
      <c r="F188" s="47"/>
      <c r="G188" s="20"/>
    </row>
    <row r="189" spans="1:9" x14ac:dyDescent="0.25">
      <c r="B189" s="6" t="s">
        <v>192</v>
      </c>
      <c r="C189" s="5"/>
      <c r="D189" s="4" t="s">
        <v>103</v>
      </c>
      <c r="E189" s="31">
        <f>E188+F188</f>
        <v>1742</v>
      </c>
      <c r="F189" s="4">
        <v>65</v>
      </c>
      <c r="G189" s="32" t="s">
        <v>212</v>
      </c>
      <c r="I189">
        <f t="shared" si="10"/>
        <v>1775</v>
      </c>
    </row>
    <row r="190" spans="1:9" x14ac:dyDescent="0.25">
      <c r="B190" s="6" t="s">
        <v>224</v>
      </c>
      <c r="C190" s="5"/>
      <c r="D190" s="4"/>
      <c r="E190" s="31">
        <f>E189+F189</f>
        <v>1807</v>
      </c>
      <c r="F190" s="4">
        <v>135</v>
      </c>
      <c r="G190" s="48"/>
      <c r="I190">
        <f t="shared" si="10"/>
        <v>1840</v>
      </c>
    </row>
    <row r="191" spans="1:9" x14ac:dyDescent="0.25">
      <c r="B191" s="8" t="s">
        <v>229</v>
      </c>
      <c r="C191" s="9"/>
      <c r="D191" s="10"/>
      <c r="E191" s="11">
        <f>E145+F145</f>
        <v>1942</v>
      </c>
      <c r="F191" s="11">
        <v>150</v>
      </c>
      <c r="G191" s="20"/>
    </row>
    <row r="192" spans="1:9" x14ac:dyDescent="0.25">
      <c r="B192" s="45" t="s">
        <v>350</v>
      </c>
      <c r="C192" s="46" t="s">
        <v>254</v>
      </c>
      <c r="D192" s="47"/>
      <c r="E192" s="11">
        <f>E191</f>
        <v>1942</v>
      </c>
      <c r="F192" s="47"/>
      <c r="G192" s="20"/>
    </row>
    <row r="193" spans="2:9" x14ac:dyDescent="0.25">
      <c r="B193" s="6" t="s">
        <v>249</v>
      </c>
      <c r="C193" s="5" t="s">
        <v>254</v>
      </c>
      <c r="D193" s="4" t="s">
        <v>242</v>
      </c>
      <c r="E193" s="31">
        <f>E192+F192</f>
        <v>1942</v>
      </c>
      <c r="F193" s="4">
        <v>3</v>
      </c>
      <c r="G193" s="82" t="s">
        <v>212</v>
      </c>
      <c r="I193">
        <f t="shared" si="10"/>
        <v>1975</v>
      </c>
    </row>
    <row r="194" spans="2:9" x14ac:dyDescent="0.25">
      <c r="B194" s="6" t="s">
        <v>250</v>
      </c>
      <c r="C194" s="5" t="s">
        <v>254</v>
      </c>
      <c r="D194" s="42" t="s">
        <v>239</v>
      </c>
      <c r="E194" s="31"/>
      <c r="F194" s="4"/>
      <c r="G194" s="83"/>
    </row>
    <row r="195" spans="2:9" x14ac:dyDescent="0.25">
      <c r="B195" s="6" t="s">
        <v>251</v>
      </c>
      <c r="C195" s="5" t="s">
        <v>254</v>
      </c>
      <c r="D195" s="42" t="s">
        <v>240</v>
      </c>
      <c r="E195" s="31"/>
      <c r="F195" s="4"/>
      <c r="G195" s="83"/>
    </row>
    <row r="196" spans="2:9" x14ac:dyDescent="0.25">
      <c r="B196" s="6" t="s">
        <v>252</v>
      </c>
      <c r="C196" s="5" t="s">
        <v>254</v>
      </c>
      <c r="D196" s="42" t="s">
        <v>241</v>
      </c>
      <c r="E196" s="31"/>
      <c r="F196" s="4"/>
      <c r="G196" s="84"/>
    </row>
    <row r="197" spans="2:9" x14ac:dyDescent="0.25">
      <c r="B197" s="6" t="s">
        <v>253</v>
      </c>
      <c r="C197" s="5" t="s">
        <v>254</v>
      </c>
      <c r="D197" s="4" t="s">
        <v>237</v>
      </c>
      <c r="E197" s="31">
        <f>E193+F193</f>
        <v>1945</v>
      </c>
      <c r="F197" s="4">
        <v>8</v>
      </c>
      <c r="G197" s="48" t="s">
        <v>211</v>
      </c>
      <c r="I197">
        <f t="shared" si="10"/>
        <v>1978</v>
      </c>
    </row>
    <row r="198" spans="2:9" x14ac:dyDescent="0.25">
      <c r="B198" s="6" t="s">
        <v>238</v>
      </c>
      <c r="C198" s="5" t="s">
        <v>254</v>
      </c>
      <c r="D198" s="4"/>
      <c r="E198" s="31">
        <f>E197+F197</f>
        <v>1953</v>
      </c>
      <c r="F198" s="4">
        <v>139</v>
      </c>
      <c r="G198" s="48"/>
      <c r="I198">
        <f t="shared" si="10"/>
        <v>1986</v>
      </c>
    </row>
    <row r="199" spans="2:9" x14ac:dyDescent="0.25">
      <c r="B199" s="45" t="s">
        <v>351</v>
      </c>
      <c r="C199" s="46"/>
      <c r="D199" s="47"/>
      <c r="E199" s="11">
        <f>E191</f>
        <v>1942</v>
      </c>
      <c r="F199" s="47"/>
      <c r="G199" s="20"/>
      <c r="H199" s="17"/>
    </row>
    <row r="200" spans="2:9" x14ac:dyDescent="0.25">
      <c r="B200" s="6" t="s">
        <v>189</v>
      </c>
      <c r="C200" s="5"/>
      <c r="D200" s="4" t="s">
        <v>191</v>
      </c>
      <c r="E200" s="31">
        <f t="shared" ref="E200:E204" si="12">E199+F199</f>
        <v>1942</v>
      </c>
      <c r="F200" s="4">
        <v>1</v>
      </c>
      <c r="G200" s="35" t="s">
        <v>211</v>
      </c>
      <c r="I200">
        <f t="shared" si="10"/>
        <v>1975</v>
      </c>
    </row>
    <row r="201" spans="2:9" x14ac:dyDescent="0.25">
      <c r="B201" s="6" t="s">
        <v>190</v>
      </c>
      <c r="C201" s="5"/>
      <c r="D201" s="4" t="s">
        <v>172</v>
      </c>
      <c r="E201" s="31">
        <f t="shared" si="12"/>
        <v>1943</v>
      </c>
      <c r="F201" s="4">
        <v>2</v>
      </c>
      <c r="G201" s="35" t="s">
        <v>211</v>
      </c>
      <c r="I201">
        <f t="shared" si="10"/>
        <v>1976</v>
      </c>
    </row>
    <row r="202" spans="2:9" ht="30" x14ac:dyDescent="0.25">
      <c r="B202" s="15" t="s">
        <v>352</v>
      </c>
      <c r="C202" s="49"/>
      <c r="D202" s="42" t="s">
        <v>47</v>
      </c>
      <c r="E202" s="43">
        <f t="shared" si="12"/>
        <v>1945</v>
      </c>
      <c r="F202" s="42">
        <v>15</v>
      </c>
      <c r="G202" s="35" t="s">
        <v>211</v>
      </c>
      <c r="I202">
        <f t="shared" si="10"/>
        <v>1978</v>
      </c>
    </row>
    <row r="203" spans="2:9" x14ac:dyDescent="0.25">
      <c r="B203" s="6" t="s">
        <v>92</v>
      </c>
      <c r="C203" s="5"/>
      <c r="D203" s="4" t="s">
        <v>48</v>
      </c>
      <c r="E203" s="31">
        <f t="shared" si="12"/>
        <v>1960</v>
      </c>
      <c r="F203" s="4">
        <v>2</v>
      </c>
      <c r="G203" s="35" t="s">
        <v>211</v>
      </c>
      <c r="I203">
        <f t="shared" si="10"/>
        <v>1993</v>
      </c>
    </row>
    <row r="204" spans="2:9" x14ac:dyDescent="0.25">
      <c r="B204" s="6" t="s">
        <v>91</v>
      </c>
      <c r="C204" s="5"/>
      <c r="D204" s="4" t="s">
        <v>46</v>
      </c>
      <c r="E204" s="31">
        <f t="shared" si="12"/>
        <v>1962</v>
      </c>
      <c r="F204" s="4">
        <v>60</v>
      </c>
      <c r="G204" s="35" t="s">
        <v>211</v>
      </c>
      <c r="I204">
        <f t="shared" si="10"/>
        <v>1995</v>
      </c>
    </row>
    <row r="205" spans="2:9" x14ac:dyDescent="0.25">
      <c r="B205" s="6" t="s">
        <v>230</v>
      </c>
      <c r="C205" s="5"/>
      <c r="D205" s="4"/>
      <c r="E205" s="31">
        <f>E204+F204</f>
        <v>2022</v>
      </c>
      <c r="F205" s="4">
        <v>70</v>
      </c>
      <c r="G205" s="48"/>
      <c r="I205">
        <f t="shared" si="10"/>
        <v>2055</v>
      </c>
    </row>
    <row r="206" spans="2:9" x14ac:dyDescent="0.25">
      <c r="B206" s="45" t="s">
        <v>353</v>
      </c>
      <c r="C206" s="46"/>
      <c r="D206" s="47"/>
      <c r="E206" s="11">
        <f>E191</f>
        <v>1942</v>
      </c>
      <c r="F206" s="47"/>
      <c r="G206" s="20"/>
    </row>
    <row r="207" spans="2:9" x14ac:dyDescent="0.25">
      <c r="B207" s="6" t="s">
        <v>188</v>
      </c>
      <c r="C207" s="5"/>
      <c r="D207" s="4" t="s">
        <v>187</v>
      </c>
      <c r="E207" s="31">
        <f>E206+F206</f>
        <v>1942</v>
      </c>
      <c r="F207" s="4">
        <v>1</v>
      </c>
      <c r="G207" s="35" t="s">
        <v>211</v>
      </c>
      <c r="I207">
        <f t="shared" si="10"/>
        <v>1975</v>
      </c>
    </row>
    <row r="208" spans="2:9" x14ac:dyDescent="0.25">
      <c r="B208" s="6" t="s">
        <v>210</v>
      </c>
      <c r="C208" s="5"/>
      <c r="D208" s="4" t="s">
        <v>46</v>
      </c>
      <c r="E208" s="31">
        <f>E207+F207</f>
        <v>1943</v>
      </c>
      <c r="F208" s="4">
        <v>60</v>
      </c>
      <c r="G208" s="35" t="s">
        <v>211</v>
      </c>
      <c r="I208">
        <f t="shared" si="10"/>
        <v>1976</v>
      </c>
    </row>
    <row r="209" spans="2:9" x14ac:dyDescent="0.25">
      <c r="B209" s="6" t="s">
        <v>231</v>
      </c>
      <c r="C209" s="5"/>
      <c r="D209" s="4"/>
      <c r="E209" s="31">
        <f>E208+F208</f>
        <v>2003</v>
      </c>
      <c r="F209" s="4">
        <v>89</v>
      </c>
      <c r="G209" s="48"/>
      <c r="I209">
        <f t="shared" si="10"/>
        <v>2036</v>
      </c>
    </row>
    <row r="210" spans="2:9" x14ac:dyDescent="0.25">
      <c r="B210" s="12" t="s">
        <v>435</v>
      </c>
      <c r="C210" s="13"/>
      <c r="D210" s="27" t="s">
        <v>436</v>
      </c>
      <c r="E210" s="14">
        <f>E191+F191</f>
        <v>2092</v>
      </c>
      <c r="F210" s="27">
        <v>32</v>
      </c>
      <c r="G210" s="21"/>
      <c r="I210">
        <f t="shared" ref="I210:I226" si="13">E210+33</f>
        <v>2125</v>
      </c>
    </row>
    <row r="211" spans="2:9" x14ac:dyDescent="0.25">
      <c r="B211" s="12" t="s">
        <v>277</v>
      </c>
      <c r="C211" s="13"/>
      <c r="D211" s="27"/>
      <c r="E211" s="14">
        <f>E210+F210</f>
        <v>2124</v>
      </c>
      <c r="F211" s="27"/>
      <c r="G211" s="21"/>
    </row>
    <row r="212" spans="2:9" x14ac:dyDescent="0.25">
      <c r="B212" s="23" t="s">
        <v>301</v>
      </c>
      <c r="C212" s="24"/>
      <c r="D212" s="50" t="s">
        <v>296</v>
      </c>
      <c r="E212" s="51">
        <f>E211+F211</f>
        <v>2124</v>
      </c>
      <c r="F212" s="50">
        <v>9</v>
      </c>
      <c r="G212" s="34" t="s">
        <v>213</v>
      </c>
      <c r="I212">
        <f t="shared" si="13"/>
        <v>2157</v>
      </c>
    </row>
    <row r="213" spans="2:9" x14ac:dyDescent="0.25">
      <c r="B213" s="23" t="s">
        <v>291</v>
      </c>
      <c r="C213" s="24"/>
      <c r="D213" s="50" t="s">
        <v>299</v>
      </c>
      <c r="E213" s="51">
        <f t="shared" ref="E213:E221" si="14">E212+F212</f>
        <v>2133</v>
      </c>
      <c r="F213" s="50">
        <v>60</v>
      </c>
      <c r="G213" s="34" t="s">
        <v>213</v>
      </c>
      <c r="I213">
        <f t="shared" si="13"/>
        <v>2166</v>
      </c>
    </row>
    <row r="214" spans="2:9" x14ac:dyDescent="0.25">
      <c r="B214" s="23" t="s">
        <v>278</v>
      </c>
      <c r="C214" s="24"/>
      <c r="D214" s="50" t="s">
        <v>302</v>
      </c>
      <c r="E214" s="51">
        <f t="shared" si="14"/>
        <v>2193</v>
      </c>
      <c r="F214" s="50">
        <v>70</v>
      </c>
      <c r="G214" s="34" t="s">
        <v>213</v>
      </c>
      <c r="I214">
        <f t="shared" si="13"/>
        <v>2226</v>
      </c>
    </row>
    <row r="215" spans="2:9" x14ac:dyDescent="0.25">
      <c r="B215" s="23" t="s">
        <v>292</v>
      </c>
      <c r="C215" s="24"/>
      <c r="D215" s="50" t="s">
        <v>300</v>
      </c>
      <c r="E215" s="51">
        <f t="shared" si="14"/>
        <v>2263</v>
      </c>
      <c r="F215" s="50">
        <v>4</v>
      </c>
      <c r="G215" s="34" t="s">
        <v>213</v>
      </c>
      <c r="I215">
        <f t="shared" si="13"/>
        <v>2296</v>
      </c>
    </row>
    <row r="216" spans="2:9" x14ac:dyDescent="0.25">
      <c r="B216" s="23" t="s">
        <v>279</v>
      </c>
      <c r="C216" s="24"/>
      <c r="D216" s="50" t="s">
        <v>303</v>
      </c>
      <c r="E216" s="51">
        <f t="shared" si="14"/>
        <v>2267</v>
      </c>
      <c r="F216" s="50">
        <v>4</v>
      </c>
      <c r="G216" s="34" t="s">
        <v>213</v>
      </c>
      <c r="I216">
        <f t="shared" si="13"/>
        <v>2300</v>
      </c>
    </row>
    <row r="217" spans="2:9" x14ac:dyDescent="0.25">
      <c r="B217" s="23" t="s">
        <v>280</v>
      </c>
      <c r="C217" s="24"/>
      <c r="D217" s="50" t="s">
        <v>306</v>
      </c>
      <c r="E217" s="51">
        <f t="shared" si="14"/>
        <v>2271</v>
      </c>
      <c r="F217" s="50">
        <v>20</v>
      </c>
      <c r="G217" s="34" t="s">
        <v>213</v>
      </c>
      <c r="I217">
        <f t="shared" si="13"/>
        <v>2304</v>
      </c>
    </row>
    <row r="218" spans="2:9" ht="30" x14ac:dyDescent="0.25">
      <c r="B218" s="25" t="s">
        <v>354</v>
      </c>
      <c r="C218" s="26"/>
      <c r="D218" s="52" t="s">
        <v>298</v>
      </c>
      <c r="E218" s="51">
        <f t="shared" si="14"/>
        <v>2291</v>
      </c>
      <c r="F218" s="50">
        <v>15</v>
      </c>
      <c r="G218" s="34" t="s">
        <v>213</v>
      </c>
      <c r="I218">
        <f t="shared" si="13"/>
        <v>2324</v>
      </c>
    </row>
    <row r="219" spans="2:9" x14ac:dyDescent="0.25">
      <c r="B219" s="23" t="s">
        <v>293</v>
      </c>
      <c r="C219" s="24"/>
      <c r="D219" s="50" t="s">
        <v>304</v>
      </c>
      <c r="E219" s="51">
        <f t="shared" si="14"/>
        <v>2306</v>
      </c>
      <c r="F219" s="50">
        <v>1</v>
      </c>
      <c r="G219" s="34" t="s">
        <v>213</v>
      </c>
    </row>
    <row r="220" spans="2:9" x14ac:dyDescent="0.25">
      <c r="B220" s="23" t="s">
        <v>294</v>
      </c>
      <c r="C220" s="24"/>
      <c r="D220" s="50" t="s">
        <v>305</v>
      </c>
      <c r="E220" s="51">
        <f t="shared" si="14"/>
        <v>2307</v>
      </c>
      <c r="F220" s="50">
        <v>5</v>
      </c>
      <c r="G220" s="34" t="s">
        <v>213</v>
      </c>
      <c r="I220">
        <f t="shared" si="13"/>
        <v>2340</v>
      </c>
    </row>
    <row r="221" spans="2:9" x14ac:dyDescent="0.25">
      <c r="B221" s="23" t="s">
        <v>295</v>
      </c>
      <c r="C221" s="24"/>
      <c r="D221" s="50" t="s">
        <v>297</v>
      </c>
      <c r="E221" s="51">
        <f t="shared" si="14"/>
        <v>2312</v>
      </c>
      <c r="F221" s="50">
        <v>60</v>
      </c>
      <c r="G221" s="34" t="s">
        <v>213</v>
      </c>
    </row>
    <row r="222" spans="2:9" x14ac:dyDescent="0.25">
      <c r="B222" s="12" t="s">
        <v>290</v>
      </c>
      <c r="C222" s="13"/>
      <c r="D222" s="27"/>
      <c r="E222" s="14">
        <f>E221+F221</f>
        <v>2372</v>
      </c>
      <c r="F222" s="27"/>
      <c r="G222" s="21"/>
    </row>
    <row r="223" spans="2:9" x14ac:dyDescent="0.25">
      <c r="B223" s="23" t="s">
        <v>308</v>
      </c>
      <c r="C223" s="24"/>
      <c r="D223" s="50" t="s">
        <v>307</v>
      </c>
      <c r="E223" s="51">
        <f t="shared" ref="E223:E228" si="15">E222+F222</f>
        <v>2372</v>
      </c>
      <c r="F223" s="50">
        <v>1</v>
      </c>
      <c r="G223" s="50"/>
      <c r="I223">
        <f t="shared" si="13"/>
        <v>2405</v>
      </c>
    </row>
    <row r="224" spans="2:9" x14ac:dyDescent="0.25">
      <c r="B224" s="12" t="s">
        <v>309</v>
      </c>
      <c r="C224" s="13"/>
      <c r="D224" s="27"/>
      <c r="E224" s="14">
        <f t="shared" si="15"/>
        <v>2373</v>
      </c>
      <c r="F224" s="27"/>
      <c r="G224" s="21"/>
    </row>
    <row r="225" spans="1:23" x14ac:dyDescent="0.25">
      <c r="B225" s="6" t="s">
        <v>310</v>
      </c>
      <c r="C225" s="5"/>
      <c r="D225" s="4" t="s">
        <v>456</v>
      </c>
      <c r="E225" s="51">
        <f t="shared" si="15"/>
        <v>2373</v>
      </c>
      <c r="F225" s="4">
        <v>36</v>
      </c>
      <c r="G225" s="4"/>
      <c r="I225">
        <f t="shared" si="13"/>
        <v>2406</v>
      </c>
    </row>
    <row r="226" spans="1:23" x14ac:dyDescent="0.25">
      <c r="B226" s="12" t="s">
        <v>433</v>
      </c>
      <c r="C226" s="13"/>
      <c r="D226" s="27" t="s">
        <v>434</v>
      </c>
      <c r="E226" s="14">
        <f t="shared" si="15"/>
        <v>2409</v>
      </c>
      <c r="F226" s="27">
        <v>78</v>
      </c>
      <c r="G226" s="21"/>
      <c r="I226">
        <f t="shared" si="13"/>
        <v>2442</v>
      </c>
    </row>
    <row r="227" spans="1:23" x14ac:dyDescent="0.25">
      <c r="B227" s="12" t="s">
        <v>432</v>
      </c>
      <c r="C227" s="13"/>
      <c r="D227" s="75"/>
      <c r="E227" s="76">
        <f t="shared" si="15"/>
        <v>2487</v>
      </c>
      <c r="F227" s="77"/>
      <c r="G227" s="21"/>
      <c r="J227" s="59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</row>
    <row r="228" spans="1:23" x14ac:dyDescent="0.25">
      <c r="B228" s="6" t="s">
        <v>443</v>
      </c>
      <c r="C228" s="5"/>
      <c r="D228" s="4" t="s">
        <v>444</v>
      </c>
      <c r="E228" s="78">
        <f t="shared" si="15"/>
        <v>2487</v>
      </c>
      <c r="F228" s="79">
        <v>1</v>
      </c>
      <c r="G228" s="80" t="s">
        <v>213</v>
      </c>
      <c r="I228">
        <f t="shared" ref="I228" si="16">E228+33</f>
        <v>2520</v>
      </c>
      <c r="J228" s="59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</row>
    <row r="229" spans="1:23" x14ac:dyDescent="0.25">
      <c r="B229" s="6" t="s">
        <v>445</v>
      </c>
      <c r="C229" s="5" t="s">
        <v>254</v>
      </c>
      <c r="D229" s="44" t="s">
        <v>446</v>
      </c>
      <c r="E229" s="78"/>
      <c r="F229" s="79"/>
      <c r="G229" s="81"/>
      <c r="J229" s="61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</row>
    <row r="230" spans="1:23" x14ac:dyDescent="0.25">
      <c r="B230" s="67" t="s">
        <v>447</v>
      </c>
      <c r="C230" s="13"/>
      <c r="D230" s="27"/>
      <c r="E230" s="76">
        <f>E228+F228</f>
        <v>2488</v>
      </c>
      <c r="F230" s="77">
        <f>E288-E230+1</f>
        <v>480</v>
      </c>
      <c r="G230" s="21"/>
      <c r="I230">
        <f t="shared" ref="I230" si="17">E230+33</f>
        <v>2521</v>
      </c>
      <c r="J230" s="59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</row>
    <row r="231" spans="1:23" x14ac:dyDescent="0.25">
      <c r="B231" s="64" t="s">
        <v>311</v>
      </c>
      <c r="C231" s="64"/>
      <c r="D231" s="65"/>
      <c r="E231" s="66"/>
      <c r="F231" s="66"/>
      <c r="G231" s="20"/>
      <c r="J231" s="59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</row>
    <row r="232" spans="1:23" x14ac:dyDescent="0.25">
      <c r="B232" s="67" t="s">
        <v>370</v>
      </c>
      <c r="C232" s="67"/>
      <c r="D232" s="68"/>
      <c r="E232" s="69">
        <f>E46+F46</f>
        <v>62</v>
      </c>
      <c r="F232" s="70"/>
      <c r="G232" s="21"/>
      <c r="J232" s="59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</row>
    <row r="233" spans="1:23" x14ac:dyDescent="0.25">
      <c r="B233" s="58" t="s">
        <v>371</v>
      </c>
      <c r="C233" s="58"/>
      <c r="D233" s="71" t="s">
        <v>8</v>
      </c>
      <c r="E233" s="72">
        <f>E232+F232</f>
        <v>62</v>
      </c>
      <c r="F233" s="73">
        <v>16</v>
      </c>
      <c r="G233" s="34" t="s">
        <v>213</v>
      </c>
      <c r="I233">
        <f t="shared" ref="I233:I257" si="18">E233+33</f>
        <v>95</v>
      </c>
      <c r="J233" s="59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</row>
    <row r="234" spans="1:23" x14ac:dyDescent="0.25">
      <c r="B234" s="58" t="s">
        <v>372</v>
      </c>
      <c r="C234" s="58"/>
      <c r="D234" s="71" t="s">
        <v>373</v>
      </c>
      <c r="E234" s="72">
        <f t="shared" ref="E234:E257" si="19">E233+F233</f>
        <v>78</v>
      </c>
      <c r="F234" s="73">
        <v>10</v>
      </c>
      <c r="G234" s="32" t="s">
        <v>212</v>
      </c>
      <c r="I234">
        <f t="shared" si="18"/>
        <v>111</v>
      </c>
      <c r="J234" s="59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</row>
    <row r="235" spans="1:23" x14ac:dyDescent="0.25">
      <c r="B235" s="58" t="s">
        <v>374</v>
      </c>
      <c r="C235" s="58"/>
      <c r="D235" s="71" t="s">
        <v>375</v>
      </c>
      <c r="E235" s="72">
        <f t="shared" si="19"/>
        <v>88</v>
      </c>
      <c r="F235" s="73">
        <v>10</v>
      </c>
      <c r="G235" s="32" t="s">
        <v>212</v>
      </c>
      <c r="I235">
        <f t="shared" si="18"/>
        <v>121</v>
      </c>
      <c r="J235" s="59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</row>
    <row r="236" spans="1:23" x14ac:dyDescent="0.25">
      <c r="A236" s="17"/>
      <c r="B236" s="56" t="s">
        <v>376</v>
      </c>
      <c r="C236" s="56"/>
      <c r="D236" s="57" t="s">
        <v>200</v>
      </c>
      <c r="E236" s="72">
        <f t="shared" si="19"/>
        <v>98</v>
      </c>
      <c r="F236" s="73">
        <v>40</v>
      </c>
      <c r="G236" s="34" t="s">
        <v>213</v>
      </c>
      <c r="I236">
        <f t="shared" si="18"/>
        <v>131</v>
      </c>
      <c r="J236" s="59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</row>
    <row r="237" spans="1:23" x14ac:dyDescent="0.25">
      <c r="A237" s="17"/>
      <c r="B237" s="56" t="s">
        <v>381</v>
      </c>
      <c r="C237" s="56"/>
      <c r="D237" s="57" t="s">
        <v>361</v>
      </c>
      <c r="E237" s="72">
        <f t="shared" si="19"/>
        <v>138</v>
      </c>
      <c r="F237" s="73">
        <v>2</v>
      </c>
      <c r="G237" s="35" t="s">
        <v>211</v>
      </c>
      <c r="I237">
        <f t="shared" ref="I237" si="20">E237+33</f>
        <v>171</v>
      </c>
      <c r="J237" s="59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</row>
    <row r="238" spans="1:23" x14ac:dyDescent="0.25">
      <c r="B238" s="58" t="s">
        <v>377</v>
      </c>
      <c r="C238" s="58"/>
      <c r="D238" s="71"/>
      <c r="E238" s="72">
        <f t="shared" si="19"/>
        <v>140</v>
      </c>
      <c r="F238" s="73"/>
      <c r="G238" s="48"/>
      <c r="I238">
        <f t="shared" si="18"/>
        <v>173</v>
      </c>
      <c r="K238" s="28"/>
      <c r="L238" s="28"/>
      <c r="M238" s="28"/>
      <c r="N238" s="28"/>
      <c r="O238" s="28"/>
    </row>
    <row r="239" spans="1:23" ht="30" x14ac:dyDescent="0.25">
      <c r="B239" s="55" t="s">
        <v>406</v>
      </c>
      <c r="C239" s="56"/>
      <c r="D239" s="57" t="s">
        <v>357</v>
      </c>
      <c r="E239" s="72">
        <f t="shared" si="19"/>
        <v>140</v>
      </c>
      <c r="F239" s="73">
        <v>15</v>
      </c>
      <c r="G239" s="35" t="s">
        <v>211</v>
      </c>
      <c r="H239" s="17"/>
      <c r="I239">
        <f t="shared" si="18"/>
        <v>173</v>
      </c>
      <c r="K239" s="28"/>
      <c r="L239" s="28"/>
      <c r="M239" s="28"/>
      <c r="N239" s="28"/>
      <c r="O239" s="28"/>
    </row>
    <row r="240" spans="1:23" ht="30" x14ac:dyDescent="0.25">
      <c r="B240" s="55" t="s">
        <v>407</v>
      </c>
      <c r="C240" s="56"/>
      <c r="D240" s="57" t="s">
        <v>313</v>
      </c>
      <c r="E240" s="72">
        <f t="shared" si="19"/>
        <v>155</v>
      </c>
      <c r="F240" s="73">
        <v>15</v>
      </c>
      <c r="G240" s="35" t="s">
        <v>211</v>
      </c>
      <c r="H240" s="17"/>
      <c r="I240">
        <f t="shared" si="18"/>
        <v>188</v>
      </c>
      <c r="K240" s="28"/>
      <c r="L240" s="28"/>
      <c r="M240" s="28"/>
      <c r="N240" s="28"/>
      <c r="O240" s="28"/>
    </row>
    <row r="241" spans="2:23" ht="30" x14ac:dyDescent="0.25">
      <c r="B241" s="55" t="s">
        <v>408</v>
      </c>
      <c r="C241" s="56"/>
      <c r="D241" s="57" t="s">
        <v>108</v>
      </c>
      <c r="E241" s="72">
        <f t="shared" si="19"/>
        <v>170</v>
      </c>
      <c r="F241" s="73">
        <v>15</v>
      </c>
      <c r="G241" s="35" t="s">
        <v>211</v>
      </c>
      <c r="H241" s="17"/>
      <c r="I241">
        <f t="shared" si="18"/>
        <v>203</v>
      </c>
      <c r="K241" s="28"/>
      <c r="L241" s="28"/>
      <c r="M241" s="28"/>
      <c r="N241" s="28"/>
      <c r="O241" s="28"/>
    </row>
    <row r="242" spans="2:23" ht="30" x14ac:dyDescent="0.25">
      <c r="B242" s="55" t="s">
        <v>409</v>
      </c>
      <c r="C242" s="56"/>
      <c r="D242" s="57" t="s">
        <v>155</v>
      </c>
      <c r="E242" s="72">
        <f t="shared" si="19"/>
        <v>185</v>
      </c>
      <c r="F242" s="73">
        <v>15</v>
      </c>
      <c r="G242" s="35" t="s">
        <v>211</v>
      </c>
      <c r="H242" s="17"/>
      <c r="I242">
        <f t="shared" si="18"/>
        <v>218</v>
      </c>
      <c r="J242" s="59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</row>
    <row r="243" spans="2:23" ht="30" x14ac:dyDescent="0.25">
      <c r="B243" s="55" t="s">
        <v>410</v>
      </c>
      <c r="C243" s="56"/>
      <c r="D243" s="57" t="s">
        <v>104</v>
      </c>
      <c r="E243" s="72">
        <f t="shared" si="19"/>
        <v>200</v>
      </c>
      <c r="F243" s="73">
        <v>15</v>
      </c>
      <c r="G243" s="35" t="s">
        <v>211</v>
      </c>
      <c r="H243" s="17"/>
      <c r="I243">
        <f t="shared" si="18"/>
        <v>233</v>
      </c>
      <c r="J243" s="59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</row>
    <row r="244" spans="2:23" ht="30" x14ac:dyDescent="0.25">
      <c r="B244" s="55" t="s">
        <v>411</v>
      </c>
      <c r="C244" s="56"/>
      <c r="D244" s="57" t="s">
        <v>118</v>
      </c>
      <c r="E244" s="72">
        <f t="shared" si="19"/>
        <v>215</v>
      </c>
      <c r="F244" s="73">
        <v>15</v>
      </c>
      <c r="G244" s="35" t="s">
        <v>211</v>
      </c>
      <c r="H244" s="17"/>
      <c r="I244">
        <f t="shared" si="18"/>
        <v>248</v>
      </c>
      <c r="J244" s="59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</row>
    <row r="245" spans="2:23" ht="30" x14ac:dyDescent="0.25">
      <c r="B245" s="55" t="s">
        <v>412</v>
      </c>
      <c r="C245" s="56"/>
      <c r="D245" s="57" t="s">
        <v>117</v>
      </c>
      <c r="E245" s="72">
        <f t="shared" si="19"/>
        <v>230</v>
      </c>
      <c r="F245" s="73">
        <v>15</v>
      </c>
      <c r="G245" s="35" t="s">
        <v>211</v>
      </c>
      <c r="H245" s="17"/>
      <c r="I245">
        <f t="shared" si="18"/>
        <v>263</v>
      </c>
      <c r="J245" s="59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</row>
    <row r="246" spans="2:23" ht="30" x14ac:dyDescent="0.25">
      <c r="B246" s="55" t="s">
        <v>413</v>
      </c>
      <c r="C246" s="56"/>
      <c r="D246" s="57" t="s">
        <v>107</v>
      </c>
      <c r="E246" s="72">
        <f t="shared" si="19"/>
        <v>245</v>
      </c>
      <c r="F246" s="73">
        <v>15</v>
      </c>
      <c r="G246" s="35" t="s">
        <v>211</v>
      </c>
      <c r="H246" s="17"/>
      <c r="I246">
        <f t="shared" si="18"/>
        <v>278</v>
      </c>
      <c r="J246" s="59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</row>
    <row r="247" spans="2:23" ht="30" x14ac:dyDescent="0.25">
      <c r="B247" s="55" t="s">
        <v>414</v>
      </c>
      <c r="C247" s="56"/>
      <c r="D247" s="57" t="s">
        <v>105</v>
      </c>
      <c r="E247" s="72">
        <f t="shared" si="19"/>
        <v>260</v>
      </c>
      <c r="F247" s="73">
        <v>15</v>
      </c>
      <c r="G247" s="35" t="s">
        <v>211</v>
      </c>
      <c r="H247" s="17"/>
      <c r="I247">
        <f t="shared" si="18"/>
        <v>293</v>
      </c>
      <c r="J247" s="59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</row>
    <row r="248" spans="2:23" ht="30" x14ac:dyDescent="0.25">
      <c r="B248" s="55" t="s">
        <v>415</v>
      </c>
      <c r="C248" s="56"/>
      <c r="D248" s="57" t="s">
        <v>106</v>
      </c>
      <c r="E248" s="72">
        <f t="shared" si="19"/>
        <v>275</v>
      </c>
      <c r="F248" s="73">
        <v>15</v>
      </c>
      <c r="G248" s="35" t="s">
        <v>211</v>
      </c>
      <c r="H248" s="17"/>
      <c r="I248">
        <f t="shared" si="18"/>
        <v>308</v>
      </c>
      <c r="J248" s="59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</row>
    <row r="249" spans="2:23" ht="30" x14ac:dyDescent="0.25">
      <c r="B249" s="55" t="s">
        <v>416</v>
      </c>
      <c r="C249" s="56"/>
      <c r="D249" s="57" t="s">
        <v>41</v>
      </c>
      <c r="E249" s="72">
        <f t="shared" si="19"/>
        <v>290</v>
      </c>
      <c r="F249" s="73">
        <v>15</v>
      </c>
      <c r="G249" s="35" t="s">
        <v>211</v>
      </c>
      <c r="H249" s="17"/>
      <c r="I249">
        <f t="shared" si="18"/>
        <v>323</v>
      </c>
      <c r="J249" s="59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</row>
    <row r="250" spans="2:23" ht="30" x14ac:dyDescent="0.25">
      <c r="B250" s="55" t="s">
        <v>417</v>
      </c>
      <c r="C250" s="56"/>
      <c r="D250" s="74" t="s">
        <v>114</v>
      </c>
      <c r="E250" s="72">
        <f t="shared" si="19"/>
        <v>305</v>
      </c>
      <c r="F250" s="73">
        <v>15</v>
      </c>
      <c r="G250" s="35" t="s">
        <v>211</v>
      </c>
      <c r="H250" s="17"/>
      <c r="I250">
        <f t="shared" si="18"/>
        <v>338</v>
      </c>
      <c r="J250" s="59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</row>
    <row r="251" spans="2:23" ht="30" x14ac:dyDescent="0.25">
      <c r="B251" s="55" t="s">
        <v>418</v>
      </c>
      <c r="C251" s="56"/>
      <c r="D251" s="57" t="s">
        <v>42</v>
      </c>
      <c r="E251" s="72">
        <f t="shared" si="19"/>
        <v>320</v>
      </c>
      <c r="F251" s="73">
        <v>15</v>
      </c>
      <c r="G251" s="35" t="s">
        <v>211</v>
      </c>
      <c r="H251" s="17"/>
      <c r="I251">
        <f t="shared" si="18"/>
        <v>353</v>
      </c>
      <c r="J251" s="59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</row>
    <row r="252" spans="2:23" ht="30" x14ac:dyDescent="0.25">
      <c r="B252" s="55" t="s">
        <v>419</v>
      </c>
      <c r="C252" s="56"/>
      <c r="D252" s="57" t="s">
        <v>110</v>
      </c>
      <c r="E252" s="72">
        <f t="shared" si="19"/>
        <v>335</v>
      </c>
      <c r="F252" s="73">
        <v>15</v>
      </c>
      <c r="G252" s="35" t="s">
        <v>211</v>
      </c>
      <c r="H252" s="17"/>
      <c r="I252">
        <f t="shared" si="18"/>
        <v>368</v>
      </c>
      <c r="J252" s="59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</row>
    <row r="253" spans="2:23" ht="30" x14ac:dyDescent="0.25">
      <c r="B253" s="55" t="s">
        <v>420</v>
      </c>
      <c r="C253" s="56"/>
      <c r="D253" s="57" t="s">
        <v>116</v>
      </c>
      <c r="E253" s="72">
        <f t="shared" si="19"/>
        <v>350</v>
      </c>
      <c r="F253" s="73">
        <v>15</v>
      </c>
      <c r="G253" s="35" t="s">
        <v>211</v>
      </c>
      <c r="H253" s="17"/>
      <c r="I253">
        <f t="shared" si="18"/>
        <v>383</v>
      </c>
      <c r="J253" s="59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</row>
    <row r="254" spans="2:23" ht="30" x14ac:dyDescent="0.25">
      <c r="B254" s="55" t="s">
        <v>421</v>
      </c>
      <c r="C254" s="56"/>
      <c r="D254" s="57" t="s">
        <v>115</v>
      </c>
      <c r="E254" s="72">
        <f t="shared" si="19"/>
        <v>365</v>
      </c>
      <c r="F254" s="73">
        <v>15</v>
      </c>
      <c r="G254" s="35" t="s">
        <v>211</v>
      </c>
      <c r="H254" s="17"/>
      <c r="I254">
        <f t="shared" si="18"/>
        <v>398</v>
      </c>
      <c r="J254" s="59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</row>
    <row r="255" spans="2:23" ht="30" x14ac:dyDescent="0.25">
      <c r="B255" s="55" t="s">
        <v>422</v>
      </c>
      <c r="C255" s="56"/>
      <c r="D255" s="57" t="s">
        <v>109</v>
      </c>
      <c r="E255" s="72">
        <f t="shared" si="19"/>
        <v>380</v>
      </c>
      <c r="F255" s="73">
        <v>15</v>
      </c>
      <c r="G255" s="35" t="s">
        <v>211</v>
      </c>
      <c r="H255" s="17"/>
      <c r="I255">
        <f t="shared" si="18"/>
        <v>413</v>
      </c>
      <c r="J255" s="59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</row>
    <row r="256" spans="2:23" ht="30" x14ac:dyDescent="0.25">
      <c r="B256" s="55" t="s">
        <v>423</v>
      </c>
      <c r="C256" s="56"/>
      <c r="D256" s="57" t="s">
        <v>202</v>
      </c>
      <c r="E256" s="72">
        <f t="shared" si="19"/>
        <v>395</v>
      </c>
      <c r="F256" s="73">
        <v>15</v>
      </c>
      <c r="G256" s="35" t="s">
        <v>211</v>
      </c>
      <c r="H256" s="17"/>
      <c r="I256">
        <f t="shared" si="18"/>
        <v>428</v>
      </c>
      <c r="J256" s="59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</row>
    <row r="257" spans="2:23" ht="30" x14ac:dyDescent="0.25">
      <c r="B257" s="55" t="s">
        <v>424</v>
      </c>
      <c r="C257" s="56"/>
      <c r="D257" s="57" t="s">
        <v>157</v>
      </c>
      <c r="E257" s="72">
        <f t="shared" si="19"/>
        <v>410</v>
      </c>
      <c r="F257" s="73">
        <v>15</v>
      </c>
      <c r="G257" s="35" t="s">
        <v>211</v>
      </c>
      <c r="H257" s="17"/>
      <c r="I257">
        <f t="shared" si="18"/>
        <v>443</v>
      </c>
      <c r="J257" s="59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</row>
    <row r="258" spans="2:23" ht="30" x14ac:dyDescent="0.25">
      <c r="B258" s="55" t="s">
        <v>425</v>
      </c>
      <c r="C258" s="56"/>
      <c r="D258" s="57" t="s">
        <v>340</v>
      </c>
      <c r="E258" s="72">
        <f t="shared" ref="E258:E259" si="21">E257+F257</f>
        <v>425</v>
      </c>
      <c r="F258" s="73">
        <v>15</v>
      </c>
      <c r="G258" s="35" t="s">
        <v>211</v>
      </c>
      <c r="H258" s="17"/>
      <c r="I258">
        <f t="shared" ref="I258:I259" si="22">E258+33</f>
        <v>458</v>
      </c>
      <c r="J258" s="59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</row>
    <row r="259" spans="2:23" ht="30" x14ac:dyDescent="0.25">
      <c r="B259" s="55" t="s">
        <v>426</v>
      </c>
      <c r="C259" s="56"/>
      <c r="D259" s="74" t="s">
        <v>342</v>
      </c>
      <c r="E259" s="72">
        <f t="shared" si="21"/>
        <v>440</v>
      </c>
      <c r="F259" s="73">
        <v>15</v>
      </c>
      <c r="G259" s="35" t="s">
        <v>211</v>
      </c>
      <c r="H259" s="17"/>
      <c r="I259">
        <f t="shared" si="22"/>
        <v>473</v>
      </c>
      <c r="J259" s="59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</row>
    <row r="260" spans="2:23" x14ac:dyDescent="0.25">
      <c r="B260" s="67" t="s">
        <v>382</v>
      </c>
      <c r="C260" s="67"/>
      <c r="D260" s="68"/>
      <c r="E260" s="69">
        <f>E259+F259</f>
        <v>455</v>
      </c>
      <c r="F260" s="70">
        <f>E288-E260+1</f>
        <v>2513</v>
      </c>
      <c r="G260" s="21"/>
      <c r="I260">
        <f>E260+33</f>
        <v>488</v>
      </c>
      <c r="J260" s="59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</row>
    <row r="261" spans="2:23" x14ac:dyDescent="0.25">
      <c r="B261" s="64" t="s">
        <v>311</v>
      </c>
      <c r="C261" s="64"/>
      <c r="D261" s="65"/>
      <c r="E261" s="66"/>
      <c r="F261" s="66"/>
      <c r="G261" s="20"/>
      <c r="J261" s="59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</row>
    <row r="262" spans="2:23" x14ac:dyDescent="0.25">
      <c r="B262" s="67" t="s">
        <v>378</v>
      </c>
      <c r="C262" s="67"/>
      <c r="D262" s="68"/>
      <c r="E262" s="69">
        <f>E46+F46</f>
        <v>62</v>
      </c>
      <c r="F262" s="70"/>
      <c r="G262" s="21"/>
      <c r="J262" s="59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</row>
    <row r="263" spans="2:23" x14ac:dyDescent="0.25">
      <c r="B263" s="58" t="s">
        <v>380</v>
      </c>
      <c r="C263" s="58"/>
      <c r="D263" s="71" t="s">
        <v>8</v>
      </c>
      <c r="E263" s="72">
        <f>E46+F46</f>
        <v>62</v>
      </c>
      <c r="F263" s="73">
        <v>5</v>
      </c>
      <c r="G263" s="34" t="s">
        <v>213</v>
      </c>
      <c r="I263">
        <f t="shared" ref="I263:I264" si="23">E263+33</f>
        <v>95</v>
      </c>
      <c r="J263" s="59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</row>
    <row r="264" spans="2:23" x14ac:dyDescent="0.25">
      <c r="B264" s="58" t="s">
        <v>383</v>
      </c>
      <c r="C264" s="58"/>
      <c r="D264" s="71" t="s">
        <v>384</v>
      </c>
      <c r="E264" s="72">
        <f t="shared" ref="E264:E284" si="24">E263+F263</f>
        <v>67</v>
      </c>
      <c r="F264" s="73">
        <v>73</v>
      </c>
      <c r="G264" s="48"/>
      <c r="I264">
        <f t="shared" si="23"/>
        <v>100</v>
      </c>
      <c r="J264" s="59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</row>
    <row r="265" spans="2:23" x14ac:dyDescent="0.25">
      <c r="B265" s="58" t="s">
        <v>379</v>
      </c>
      <c r="C265" s="58"/>
      <c r="D265" s="71"/>
      <c r="E265" s="72">
        <f t="shared" si="24"/>
        <v>140</v>
      </c>
      <c r="F265" s="73"/>
      <c r="G265" s="48"/>
      <c r="I265">
        <f t="shared" ref="I265:I286" si="25">E265+33</f>
        <v>173</v>
      </c>
      <c r="K265" s="28"/>
      <c r="L265" s="28"/>
      <c r="M265" s="28"/>
      <c r="N265" s="28"/>
      <c r="O265" s="28"/>
    </row>
    <row r="266" spans="2:23" ht="30" x14ac:dyDescent="0.25">
      <c r="B266" s="55" t="s">
        <v>385</v>
      </c>
      <c r="C266" s="56"/>
      <c r="D266" s="57" t="s">
        <v>357</v>
      </c>
      <c r="E266" s="72">
        <f t="shared" si="24"/>
        <v>140</v>
      </c>
      <c r="F266" s="73">
        <v>15</v>
      </c>
      <c r="G266" s="35" t="s">
        <v>211</v>
      </c>
      <c r="H266" s="17"/>
      <c r="I266">
        <f t="shared" si="25"/>
        <v>173</v>
      </c>
      <c r="K266" s="28"/>
      <c r="L266" s="28"/>
      <c r="M266" s="28"/>
      <c r="N266" s="28"/>
      <c r="O266" s="28"/>
    </row>
    <row r="267" spans="2:23" ht="30" x14ac:dyDescent="0.25">
      <c r="B267" s="55" t="s">
        <v>386</v>
      </c>
      <c r="C267" s="56"/>
      <c r="D267" s="57" t="s">
        <v>313</v>
      </c>
      <c r="E267" s="72">
        <f t="shared" si="24"/>
        <v>155</v>
      </c>
      <c r="F267" s="73">
        <v>15</v>
      </c>
      <c r="G267" s="35" t="s">
        <v>211</v>
      </c>
      <c r="H267" s="17"/>
      <c r="I267">
        <f t="shared" si="25"/>
        <v>188</v>
      </c>
      <c r="K267" s="28"/>
      <c r="L267" s="28"/>
      <c r="M267" s="28"/>
      <c r="N267" s="28"/>
      <c r="O267" s="28"/>
    </row>
    <row r="268" spans="2:23" ht="30" x14ac:dyDescent="0.25">
      <c r="B268" s="55" t="s">
        <v>387</v>
      </c>
      <c r="C268" s="56"/>
      <c r="D268" s="57" t="s">
        <v>108</v>
      </c>
      <c r="E268" s="72">
        <f t="shared" si="24"/>
        <v>170</v>
      </c>
      <c r="F268" s="73">
        <v>15</v>
      </c>
      <c r="G268" s="35" t="s">
        <v>211</v>
      </c>
      <c r="H268" s="17"/>
      <c r="I268">
        <f t="shared" si="25"/>
        <v>203</v>
      </c>
      <c r="K268" s="28"/>
      <c r="L268" s="28"/>
      <c r="M268" s="28"/>
      <c r="N268" s="28"/>
      <c r="O268" s="28"/>
    </row>
    <row r="269" spans="2:23" ht="30" x14ac:dyDescent="0.25">
      <c r="B269" s="55" t="s">
        <v>388</v>
      </c>
      <c r="C269" s="56"/>
      <c r="D269" s="57" t="s">
        <v>155</v>
      </c>
      <c r="E269" s="72">
        <f t="shared" si="24"/>
        <v>185</v>
      </c>
      <c r="F269" s="73">
        <v>15</v>
      </c>
      <c r="G269" s="35" t="s">
        <v>211</v>
      </c>
      <c r="H269" s="17"/>
      <c r="I269">
        <f t="shared" si="25"/>
        <v>218</v>
      </c>
      <c r="J269" s="59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</row>
    <row r="270" spans="2:23" ht="30" x14ac:dyDescent="0.25">
      <c r="B270" s="55" t="s">
        <v>389</v>
      </c>
      <c r="C270" s="56"/>
      <c r="D270" s="57" t="s">
        <v>104</v>
      </c>
      <c r="E270" s="72">
        <f t="shared" si="24"/>
        <v>200</v>
      </c>
      <c r="F270" s="73">
        <v>15</v>
      </c>
      <c r="G270" s="35" t="s">
        <v>211</v>
      </c>
      <c r="H270" s="17"/>
      <c r="I270">
        <f t="shared" si="25"/>
        <v>233</v>
      </c>
      <c r="J270" s="59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</row>
    <row r="271" spans="2:23" ht="30" x14ac:dyDescent="0.25">
      <c r="B271" s="55" t="s">
        <v>390</v>
      </c>
      <c r="C271" s="56"/>
      <c r="D271" s="57" t="s">
        <v>118</v>
      </c>
      <c r="E271" s="72">
        <f t="shared" si="24"/>
        <v>215</v>
      </c>
      <c r="F271" s="73">
        <v>15</v>
      </c>
      <c r="G271" s="35" t="s">
        <v>211</v>
      </c>
      <c r="H271" s="17"/>
      <c r="I271">
        <f t="shared" si="25"/>
        <v>248</v>
      </c>
      <c r="J271" s="59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</row>
    <row r="272" spans="2:23" ht="30" x14ac:dyDescent="0.25">
      <c r="B272" s="55" t="s">
        <v>391</v>
      </c>
      <c r="C272" s="56"/>
      <c r="D272" s="57" t="s">
        <v>117</v>
      </c>
      <c r="E272" s="72">
        <f t="shared" si="24"/>
        <v>230</v>
      </c>
      <c r="F272" s="73">
        <v>15</v>
      </c>
      <c r="G272" s="35" t="s">
        <v>211</v>
      </c>
      <c r="H272" s="17"/>
      <c r="I272">
        <f t="shared" si="25"/>
        <v>263</v>
      </c>
      <c r="J272" s="59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</row>
    <row r="273" spans="2:23" ht="30" x14ac:dyDescent="0.25">
      <c r="B273" s="55" t="s">
        <v>392</v>
      </c>
      <c r="C273" s="56"/>
      <c r="D273" s="57" t="s">
        <v>107</v>
      </c>
      <c r="E273" s="72">
        <f t="shared" si="24"/>
        <v>245</v>
      </c>
      <c r="F273" s="73">
        <v>15</v>
      </c>
      <c r="G273" s="35" t="s">
        <v>211</v>
      </c>
      <c r="H273" s="17"/>
      <c r="I273">
        <f t="shared" si="25"/>
        <v>278</v>
      </c>
      <c r="J273" s="59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</row>
    <row r="274" spans="2:23" ht="30" x14ac:dyDescent="0.25">
      <c r="B274" s="55" t="s">
        <v>393</v>
      </c>
      <c r="C274" s="56"/>
      <c r="D274" s="57" t="s">
        <v>105</v>
      </c>
      <c r="E274" s="72">
        <f t="shared" si="24"/>
        <v>260</v>
      </c>
      <c r="F274" s="73">
        <v>15</v>
      </c>
      <c r="G274" s="35" t="s">
        <v>211</v>
      </c>
      <c r="H274" s="17"/>
      <c r="I274">
        <f t="shared" si="25"/>
        <v>293</v>
      </c>
      <c r="J274" s="59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</row>
    <row r="275" spans="2:23" ht="30" x14ac:dyDescent="0.25">
      <c r="B275" s="55" t="s">
        <v>394</v>
      </c>
      <c r="C275" s="56"/>
      <c r="D275" s="57" t="s">
        <v>106</v>
      </c>
      <c r="E275" s="72">
        <f t="shared" si="24"/>
        <v>275</v>
      </c>
      <c r="F275" s="73">
        <v>15</v>
      </c>
      <c r="G275" s="35" t="s">
        <v>211</v>
      </c>
      <c r="H275" s="17"/>
      <c r="I275">
        <f t="shared" si="25"/>
        <v>308</v>
      </c>
      <c r="J275" s="59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</row>
    <row r="276" spans="2:23" ht="30" x14ac:dyDescent="0.25">
      <c r="B276" s="55" t="s">
        <v>395</v>
      </c>
      <c r="C276" s="56"/>
      <c r="D276" s="57" t="s">
        <v>41</v>
      </c>
      <c r="E276" s="72">
        <f t="shared" si="24"/>
        <v>290</v>
      </c>
      <c r="F276" s="73">
        <v>15</v>
      </c>
      <c r="G276" s="35" t="s">
        <v>211</v>
      </c>
      <c r="H276" s="17"/>
      <c r="I276">
        <f t="shared" si="25"/>
        <v>323</v>
      </c>
      <c r="J276" s="59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</row>
    <row r="277" spans="2:23" ht="30" x14ac:dyDescent="0.25">
      <c r="B277" s="55" t="s">
        <v>396</v>
      </c>
      <c r="C277" s="56"/>
      <c r="D277" s="74" t="s">
        <v>114</v>
      </c>
      <c r="E277" s="72">
        <f t="shared" si="24"/>
        <v>305</v>
      </c>
      <c r="F277" s="73">
        <v>15</v>
      </c>
      <c r="G277" s="35" t="s">
        <v>211</v>
      </c>
      <c r="H277" s="17"/>
      <c r="I277">
        <f t="shared" si="25"/>
        <v>338</v>
      </c>
      <c r="J277" s="59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</row>
    <row r="278" spans="2:23" ht="30" x14ac:dyDescent="0.25">
      <c r="B278" s="55" t="s">
        <v>397</v>
      </c>
      <c r="C278" s="56"/>
      <c r="D278" s="57" t="s">
        <v>42</v>
      </c>
      <c r="E278" s="72">
        <f t="shared" si="24"/>
        <v>320</v>
      </c>
      <c r="F278" s="73">
        <v>15</v>
      </c>
      <c r="G278" s="35" t="s">
        <v>211</v>
      </c>
      <c r="H278" s="17"/>
      <c r="I278">
        <f t="shared" si="25"/>
        <v>353</v>
      </c>
      <c r="J278" s="59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</row>
    <row r="279" spans="2:23" ht="30" x14ac:dyDescent="0.25">
      <c r="B279" s="55" t="s">
        <v>398</v>
      </c>
      <c r="C279" s="56"/>
      <c r="D279" s="57" t="s">
        <v>110</v>
      </c>
      <c r="E279" s="72">
        <f t="shared" si="24"/>
        <v>335</v>
      </c>
      <c r="F279" s="73">
        <v>15</v>
      </c>
      <c r="G279" s="35" t="s">
        <v>211</v>
      </c>
      <c r="H279" s="17"/>
      <c r="I279">
        <f t="shared" si="25"/>
        <v>368</v>
      </c>
      <c r="J279" s="59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</row>
    <row r="280" spans="2:23" ht="30" x14ac:dyDescent="0.25">
      <c r="B280" s="55" t="s">
        <v>399</v>
      </c>
      <c r="C280" s="56"/>
      <c r="D280" s="57" t="s">
        <v>116</v>
      </c>
      <c r="E280" s="72">
        <f t="shared" si="24"/>
        <v>350</v>
      </c>
      <c r="F280" s="73">
        <v>15</v>
      </c>
      <c r="G280" s="35" t="s">
        <v>211</v>
      </c>
      <c r="H280" s="17"/>
      <c r="I280">
        <f t="shared" si="25"/>
        <v>383</v>
      </c>
      <c r="J280" s="59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</row>
    <row r="281" spans="2:23" ht="30" x14ac:dyDescent="0.25">
      <c r="B281" s="55" t="s">
        <v>400</v>
      </c>
      <c r="C281" s="56"/>
      <c r="D281" s="57" t="s">
        <v>115</v>
      </c>
      <c r="E281" s="72">
        <f t="shared" si="24"/>
        <v>365</v>
      </c>
      <c r="F281" s="73">
        <v>15</v>
      </c>
      <c r="G281" s="35" t="s">
        <v>211</v>
      </c>
      <c r="H281" s="17"/>
      <c r="I281">
        <f t="shared" si="25"/>
        <v>398</v>
      </c>
      <c r="J281" s="59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</row>
    <row r="282" spans="2:23" ht="30" x14ac:dyDescent="0.25">
      <c r="B282" s="55" t="s">
        <v>401</v>
      </c>
      <c r="C282" s="56"/>
      <c r="D282" s="57" t="s">
        <v>109</v>
      </c>
      <c r="E282" s="72">
        <f t="shared" si="24"/>
        <v>380</v>
      </c>
      <c r="F282" s="73">
        <v>15</v>
      </c>
      <c r="G282" s="35" t="s">
        <v>211</v>
      </c>
      <c r="H282" s="17"/>
      <c r="I282">
        <f t="shared" si="25"/>
        <v>413</v>
      </c>
      <c r="J282" s="59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</row>
    <row r="283" spans="2:23" ht="30" x14ac:dyDescent="0.25">
      <c r="B283" s="55" t="s">
        <v>402</v>
      </c>
      <c r="C283" s="56"/>
      <c r="D283" s="57" t="s">
        <v>202</v>
      </c>
      <c r="E283" s="72">
        <f t="shared" si="24"/>
        <v>395</v>
      </c>
      <c r="F283" s="73">
        <v>15</v>
      </c>
      <c r="G283" s="35" t="s">
        <v>211</v>
      </c>
      <c r="H283" s="17"/>
      <c r="I283">
        <f t="shared" si="25"/>
        <v>428</v>
      </c>
      <c r="J283" s="59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</row>
    <row r="284" spans="2:23" ht="30" x14ac:dyDescent="0.25">
      <c r="B284" s="55" t="s">
        <v>403</v>
      </c>
      <c r="C284" s="56"/>
      <c r="D284" s="57" t="s">
        <v>157</v>
      </c>
      <c r="E284" s="72">
        <f t="shared" si="24"/>
        <v>410</v>
      </c>
      <c r="F284" s="73">
        <v>15</v>
      </c>
      <c r="G284" s="35" t="s">
        <v>211</v>
      </c>
      <c r="H284" s="17"/>
      <c r="I284">
        <f t="shared" si="25"/>
        <v>443</v>
      </c>
      <c r="J284" s="59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</row>
    <row r="285" spans="2:23" ht="30" x14ac:dyDescent="0.25">
      <c r="B285" s="55" t="s">
        <v>404</v>
      </c>
      <c r="C285" s="56"/>
      <c r="D285" s="57" t="s">
        <v>340</v>
      </c>
      <c r="E285" s="72">
        <f t="shared" ref="E285:E286" si="26">E284+F284</f>
        <v>425</v>
      </c>
      <c r="F285" s="73">
        <v>15</v>
      </c>
      <c r="G285" s="35" t="s">
        <v>211</v>
      </c>
      <c r="H285" s="17"/>
      <c r="I285">
        <f t="shared" si="25"/>
        <v>458</v>
      </c>
      <c r="J285" s="59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</row>
    <row r="286" spans="2:23" ht="30" x14ac:dyDescent="0.25">
      <c r="B286" s="55" t="s">
        <v>405</v>
      </c>
      <c r="C286" s="56"/>
      <c r="D286" s="74" t="s">
        <v>342</v>
      </c>
      <c r="E286" s="72">
        <f t="shared" si="26"/>
        <v>440</v>
      </c>
      <c r="F286" s="73">
        <v>15</v>
      </c>
      <c r="G286" s="35" t="s">
        <v>211</v>
      </c>
      <c r="H286" s="17"/>
      <c r="I286">
        <f t="shared" si="25"/>
        <v>473</v>
      </c>
      <c r="J286" s="59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</row>
    <row r="287" spans="2:23" x14ac:dyDescent="0.25">
      <c r="B287" s="67" t="s">
        <v>382</v>
      </c>
      <c r="C287" s="67"/>
      <c r="D287" s="68"/>
      <c r="E287" s="69">
        <f>E286+F286</f>
        <v>455</v>
      </c>
      <c r="F287" s="70">
        <f>E288-E287+1</f>
        <v>2513</v>
      </c>
      <c r="G287" s="21"/>
      <c r="I287">
        <f>E287+33</f>
        <v>488</v>
      </c>
      <c r="J287" s="59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</row>
    <row r="288" spans="2:23" x14ac:dyDescent="0.25">
      <c r="D288" s="3" t="s">
        <v>25</v>
      </c>
      <c r="E288" s="7">
        <f>E46+F47</f>
        <v>2967</v>
      </c>
    </row>
  </sheetData>
  <mergeCells count="15">
    <mergeCell ref="G228:G229"/>
    <mergeCell ref="G193:G196"/>
    <mergeCell ref="G135:G144"/>
    <mergeCell ref="G4:G6"/>
    <mergeCell ref="G100:G102"/>
    <mergeCell ref="G31:G32"/>
    <mergeCell ref="G50:G52"/>
    <mergeCell ref="G63:G86"/>
    <mergeCell ref="G53:G55"/>
    <mergeCell ref="G7:G10"/>
    <mergeCell ref="G13:G16"/>
    <mergeCell ref="G18:G22"/>
    <mergeCell ref="G23:G30"/>
    <mergeCell ref="G36:G45"/>
    <mergeCell ref="G158:G163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ignoredErrors>
    <ignoredError sqref="E167:E188 E199:E21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Fatura e NotaCrédito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(FIT)</cp:lastModifiedBy>
  <cp:lastPrinted>2016-03-09T11:26:57Z</cp:lastPrinted>
  <dcterms:created xsi:type="dcterms:W3CDTF">2015-07-28T09:44:45Z</dcterms:created>
  <dcterms:modified xsi:type="dcterms:W3CDTF">2024-07-25T14:46:43Z</dcterms:modified>
</cp:coreProperties>
</file>