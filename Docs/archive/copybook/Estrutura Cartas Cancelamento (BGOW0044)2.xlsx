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F005473\AppData\Local\Temp\OneNote\16.0\Exported\{C8C01DCA-90CF-4553-B509-6B77130C8EBF}\NT\0\"/>
    </mc:Choice>
  </mc:AlternateContent>
  <xr:revisionPtr revIDLastSave="0" documentId="13_ncr:1_{EFB41792-2181-4C14-9DF0-33848931CBD9}" xr6:coauthVersionLast="47" xr6:coauthVersionMax="47" xr10:uidLastSave="{00000000-0000-0000-0000-000000000000}"/>
  <bookViews>
    <workbookView xWindow="28680" yWindow="-120" windowWidth="29040" windowHeight="15840" tabRatio="753" firstSheet="10" activeTab="10" xr2:uid="{00000000-000D-0000-FFFF-FFFF00000000}"/>
  </bookViews>
  <sheets>
    <sheet name="Programas e Copybooks actuais" sheetId="1" r:id="rId1"/>
    <sheet name="Relação entre Copybooks" sheetId="2" r:id="rId2"/>
    <sheet name="Programas" sheetId="8" r:id="rId3"/>
    <sheet name="Chapões" sheetId="9" r:id="rId4"/>
    <sheet name="Novo Layout" sheetId="3" r:id="rId5"/>
    <sheet name="CDC1-Regras" sheetId="10" r:id="rId6"/>
    <sheet name="PC01-Regras" sheetId="11" r:id="rId7"/>
    <sheet name="CHIP-Regras" sheetId="12" r:id="rId8"/>
    <sheet name="CTAD - Regras" sheetId="13" r:id="rId9"/>
    <sheet name="ENTI - Regras" sheetId="14" r:id="rId10"/>
    <sheet name="Novo Layout - Final" sheetId="15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4" i="15" l="1"/>
  <c r="J21" i="15"/>
  <c r="J25" i="15"/>
  <c r="J28" i="15"/>
  <c r="J29" i="15"/>
  <c r="J34" i="15"/>
  <c r="J42" i="15"/>
  <c r="J44" i="15"/>
  <c r="J45" i="15"/>
  <c r="J46" i="15"/>
  <c r="J47" i="15"/>
  <c r="J57" i="15"/>
  <c r="J58" i="15"/>
  <c r="J60" i="15"/>
  <c r="J61" i="15"/>
  <c r="J62" i="15"/>
  <c r="J79" i="15"/>
  <c r="J80" i="15"/>
  <c r="J81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J119" i="15"/>
  <c r="J120" i="15"/>
  <c r="J121" i="15"/>
  <c r="J122" i="15"/>
  <c r="J123" i="15"/>
  <c r="J126" i="15"/>
  <c r="J127" i="15"/>
  <c r="J128" i="15"/>
  <c r="J129" i="15"/>
  <c r="J130" i="15"/>
  <c r="J131" i="15"/>
  <c r="J132" i="15"/>
  <c r="J133" i="15"/>
  <c r="J134" i="15"/>
  <c r="J135" i="15"/>
  <c r="J136" i="15"/>
  <c r="J137" i="15"/>
  <c r="J138" i="15"/>
  <c r="J139" i="15"/>
  <c r="J140" i="15"/>
  <c r="J141" i="15"/>
  <c r="J142" i="15"/>
  <c r="J143" i="15"/>
  <c r="J144" i="15"/>
  <c r="J145" i="15"/>
  <c r="J146" i="15"/>
  <c r="J147" i="15"/>
  <c r="J148" i="15"/>
  <c r="J149" i="15"/>
  <c r="J150" i="15"/>
  <c r="J151" i="15"/>
  <c r="J152" i="15"/>
  <c r="J153" i="15"/>
  <c r="J154" i="15"/>
  <c r="J155" i="15"/>
  <c r="J156" i="15"/>
  <c r="J157" i="15"/>
  <c r="J158" i="15"/>
  <c r="J159" i="15"/>
  <c r="J160" i="15"/>
  <c r="J161" i="15"/>
  <c r="J162" i="15"/>
  <c r="J163" i="15"/>
  <c r="J164" i="15"/>
  <c r="J165" i="15"/>
  <c r="J166" i="15"/>
  <c r="J167" i="15"/>
  <c r="J168" i="15"/>
  <c r="J169" i="15"/>
  <c r="J170" i="15"/>
  <c r="J171" i="15"/>
  <c r="J180" i="15"/>
  <c r="J181" i="15"/>
  <c r="J182" i="15"/>
  <c r="J183" i="15"/>
  <c r="J184" i="15"/>
  <c r="J185" i="15"/>
  <c r="J186" i="15"/>
  <c r="J187" i="15"/>
  <c r="J188" i="15"/>
  <c r="J189" i="15"/>
  <c r="J190" i="15"/>
  <c r="J191" i="15"/>
  <c r="J192" i="15"/>
  <c r="J193" i="15"/>
  <c r="J194" i="15"/>
  <c r="J195" i="15"/>
  <c r="J196" i="15"/>
  <c r="J197" i="15"/>
  <c r="J198" i="15"/>
  <c r="J199" i="15"/>
  <c r="J200" i="15"/>
  <c r="J201" i="15"/>
  <c r="J202" i="15"/>
  <c r="J203" i="15"/>
  <c r="J204" i="15"/>
  <c r="J205" i="15"/>
  <c r="J206" i="15"/>
  <c r="J207" i="15"/>
  <c r="J208" i="15"/>
  <c r="J209" i="15"/>
  <c r="J210" i="15"/>
  <c r="J211" i="15"/>
  <c r="J212" i="15"/>
  <c r="J213" i="15"/>
  <c r="J214" i="15"/>
  <c r="J215" i="15"/>
  <c r="J216" i="15"/>
  <c r="J217" i="15"/>
  <c r="J218" i="15"/>
  <c r="J219" i="15"/>
  <c r="J220" i="15"/>
  <c r="J221" i="15"/>
  <c r="J222" i="15"/>
  <c r="J223" i="15"/>
  <c r="J224" i="15"/>
  <c r="J229" i="15"/>
  <c r="J230" i="15"/>
  <c r="J231" i="15"/>
  <c r="J232" i="15"/>
  <c r="J233" i="15"/>
  <c r="J234" i="15"/>
  <c r="J235" i="15"/>
  <c r="J236" i="15"/>
  <c r="J237" i="15"/>
  <c r="J238" i="15"/>
  <c r="J239" i="15"/>
  <c r="J240" i="15"/>
  <c r="J241" i="15"/>
  <c r="J4" i="15"/>
  <c r="E4" i="15" l="1"/>
  <c r="E21" i="15" s="1"/>
  <c r="E25" i="15" s="1"/>
  <c r="E28" i="15" s="1"/>
  <c r="E29" i="15" s="1"/>
  <c r="E34" i="15" s="1"/>
  <c r="E42" i="15" s="1"/>
  <c r="E44" i="15" s="1"/>
  <c r="E45" i="15" s="1"/>
  <c r="E46" i="15" s="1"/>
  <c r="E47" i="15" s="1"/>
  <c r="E57" i="15" s="1"/>
  <c r="F58" i="15" l="1"/>
  <c r="E242" i="15" s="1"/>
  <c r="E230" i="15"/>
  <c r="E231" i="15" s="1"/>
  <c r="E232" i="15" s="1"/>
  <c r="E233" i="15" s="1"/>
  <c r="E234" i="15" s="1"/>
  <c r="E235" i="15" s="1"/>
  <c r="E236" i="15" s="1"/>
  <c r="E237" i="15" s="1"/>
  <c r="E238" i="15"/>
  <c r="E239" i="15" s="1"/>
  <c r="E240" i="15" s="1"/>
  <c r="E241" i="15" s="1"/>
  <c r="E58" i="15"/>
  <c r="F241" i="15" l="1"/>
  <c r="F237" i="15"/>
  <c r="E60" i="15"/>
  <c r="E61" i="15" s="1"/>
  <c r="E62" i="15" s="1"/>
  <c r="E79" i="15" s="1"/>
  <c r="E80" i="15" s="1"/>
  <c r="E81" i="15" s="1"/>
  <c r="E105" i="15" s="1"/>
  <c r="E106" i="15" s="1"/>
  <c r="E4" i="3"/>
  <c r="E10" i="3" s="1"/>
  <c r="E14" i="3" s="1"/>
  <c r="E107" i="15" l="1"/>
  <c r="E108" i="15" s="1"/>
  <c r="E109" i="15" s="1"/>
  <c r="E110" i="15" s="1"/>
  <c r="E111" i="15" s="1"/>
  <c r="E112" i="15" s="1"/>
  <c r="E113" i="15" s="1"/>
  <c r="E17" i="3"/>
  <c r="E18" i="3" s="1"/>
  <c r="E23" i="3" s="1"/>
  <c r="E30" i="3" s="1"/>
  <c r="E32" i="3" s="1"/>
  <c r="E33" i="3" s="1"/>
  <c r="E34" i="3" s="1"/>
  <c r="E35" i="3" s="1"/>
  <c r="E42" i="3" s="1"/>
  <c r="E114" i="15" l="1"/>
  <c r="E115" i="15" s="1"/>
  <c r="E116" i="15" s="1"/>
  <c r="E117" i="15" s="1"/>
  <c r="E118" i="15" s="1"/>
  <c r="E119" i="15" s="1"/>
  <c r="E120" i="15" s="1"/>
  <c r="E121" i="15" s="1"/>
  <c r="E122" i="15" s="1"/>
  <c r="E123" i="15" s="1"/>
  <c r="E126" i="15" s="1"/>
  <c r="E127" i="15" s="1"/>
  <c r="E128" i="15" s="1"/>
  <c r="E129" i="15" s="1"/>
  <c r="E130" i="15" s="1"/>
  <c r="E218" i="3"/>
  <c r="E219" i="3" s="1"/>
  <c r="E220" i="3" s="1"/>
  <c r="E221" i="3" s="1"/>
  <c r="E222" i="3" s="1"/>
  <c r="E223" i="3" s="1"/>
  <c r="E224" i="3" s="1"/>
  <c r="E225" i="3" s="1"/>
  <c r="E229" i="3"/>
  <c r="E230" i="3" s="1"/>
  <c r="E231" i="3" s="1"/>
  <c r="E232" i="3" s="1"/>
  <c r="E44" i="3"/>
  <c r="E45" i="3" s="1"/>
  <c r="E46" i="3" s="1"/>
  <c r="E51" i="3" s="1"/>
  <c r="E43" i="3"/>
  <c r="E236" i="3" s="1"/>
  <c r="E131" i="15" l="1"/>
  <c r="E132" i="15" s="1"/>
  <c r="E133" i="15" s="1"/>
  <c r="E134" i="15" s="1"/>
  <c r="E135" i="15" s="1"/>
  <c r="E136" i="15" s="1"/>
  <c r="E137" i="15" s="1"/>
  <c r="E138" i="15" s="1"/>
  <c r="E139" i="15" s="1"/>
  <c r="E140" i="15" s="1"/>
  <c r="E141" i="15" s="1"/>
  <c r="E142" i="15" s="1"/>
  <c r="E143" i="15" s="1"/>
  <c r="E233" i="3"/>
  <c r="E234" i="3" s="1"/>
  <c r="E235" i="3" s="1"/>
  <c r="E226" i="3"/>
  <c r="E227" i="3" s="1"/>
  <c r="E228" i="3" s="1"/>
  <c r="E52" i="3"/>
  <c r="E68" i="3" s="1"/>
  <c r="E144" i="15" l="1"/>
  <c r="E145" i="15" s="1"/>
  <c r="E146" i="15" s="1"/>
  <c r="E147" i="15" s="1"/>
  <c r="E148" i="15" s="1"/>
  <c r="E149" i="15" s="1"/>
  <c r="E150" i="15" s="1"/>
  <c r="E151" i="15" s="1"/>
  <c r="E152" i="15" s="1"/>
  <c r="E153" i="15" s="1"/>
  <c r="E154" i="15" s="1"/>
  <c r="E155" i="15" s="1"/>
  <c r="E156" i="15" s="1"/>
  <c r="E157" i="15" s="1"/>
  <c r="E69" i="3"/>
  <c r="E158" i="15" l="1"/>
  <c r="E159" i="15" s="1"/>
  <c r="E160" i="15" s="1"/>
  <c r="E161" i="15" s="1"/>
  <c r="E162" i="15" s="1"/>
  <c r="E163" i="15" s="1"/>
  <c r="E164" i="15" s="1"/>
  <c r="E165" i="15" s="1"/>
  <c r="E166" i="15" s="1"/>
  <c r="E167" i="15" s="1"/>
  <c r="E168" i="15" s="1"/>
  <c r="E169" i="15" s="1"/>
  <c r="E170" i="15" s="1"/>
  <c r="E171" i="15" s="1"/>
  <c r="E180" i="15" s="1"/>
  <c r="E70" i="3"/>
  <c r="E91" i="3" s="1"/>
  <c r="E92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7" i="3" s="1"/>
  <c r="E118" i="3" s="1"/>
  <c r="E119" i="3" s="1"/>
  <c r="E192" i="15" l="1"/>
  <c r="E193" i="15" s="1"/>
  <c r="E194" i="15" s="1"/>
  <c r="E195" i="15" s="1"/>
  <c r="E196" i="15" s="1"/>
  <c r="E197" i="15" s="1"/>
  <c r="E229" i="15"/>
  <c r="F229" i="15" s="1"/>
  <c r="E221" i="15"/>
  <c r="E222" i="15" s="1"/>
  <c r="E223" i="15" s="1"/>
  <c r="E213" i="15"/>
  <c r="E214" i="15" s="1"/>
  <c r="E215" i="15" s="1"/>
  <c r="E216" i="15" s="1"/>
  <c r="E217" i="15" s="1"/>
  <c r="E218" i="15" s="1"/>
  <c r="E219" i="15" s="1"/>
  <c r="E220" i="15" s="1"/>
  <c r="E198" i="15"/>
  <c r="E199" i="15" s="1"/>
  <c r="E181" i="15"/>
  <c r="E120" i="3"/>
  <c r="E121" i="3" s="1"/>
  <c r="E122" i="3" s="1"/>
  <c r="E123" i="3" s="1"/>
  <c r="E124" i="3" s="1"/>
  <c r="E200" i="15" l="1"/>
  <c r="E201" i="15" s="1"/>
  <c r="E202" i="15" s="1"/>
  <c r="E203" i="15" s="1"/>
  <c r="E204" i="15" s="1"/>
  <c r="E205" i="15" s="1"/>
  <c r="E210" i="15"/>
  <c r="E206" i="15"/>
  <c r="E182" i="15"/>
  <c r="E183" i="15" s="1"/>
  <c r="E225" i="15" s="1"/>
  <c r="E184" i="15"/>
  <c r="E125" i="3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70" i="3" s="1"/>
  <c r="E214" i="3" s="1"/>
  <c r="E215" i="3" s="1"/>
  <c r="E216" i="3" s="1"/>
  <c r="E226" i="15" l="1"/>
  <c r="J225" i="15"/>
  <c r="E185" i="15"/>
  <c r="E186" i="15" s="1"/>
  <c r="E187" i="15" s="1"/>
  <c r="E188" i="15" s="1"/>
  <c r="E189" i="15" s="1"/>
  <c r="E190" i="15" s="1"/>
  <c r="E191" i="15" s="1"/>
  <c r="E207" i="15"/>
  <c r="E208" i="15" s="1"/>
  <c r="E209" i="15" s="1"/>
  <c r="E211" i="15" s="1"/>
  <c r="E212" i="15" s="1"/>
  <c r="E217" i="3"/>
  <c r="E191" i="3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171" i="3"/>
  <c r="E206" i="3"/>
  <c r="E207" i="3" s="1"/>
  <c r="E227" i="15" l="1"/>
  <c r="J226" i="15"/>
  <c r="E174" i="3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/>
  <c r="E186" i="3" s="1"/>
  <c r="E187" i="3" s="1"/>
  <c r="E188" i="3" s="1"/>
  <c r="E189" i="3" s="1"/>
  <c r="E190" i="3" s="1"/>
  <c r="E172" i="3"/>
  <c r="E173" i="3" s="1"/>
  <c r="E228" i="15" l="1"/>
  <c r="J228" i="15" s="1"/>
  <c r="J227" i="15"/>
  <c r="E208" i="3"/>
  <c r="E209" i="3" s="1"/>
  <c r="E210" i="3" s="1"/>
  <c r="E211" i="3" s="1"/>
  <c r="E212" i="3" s="1"/>
  <c r="E21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Ângela Cristiane Puhl [EE] (DSI)</author>
    <author>Paulo Jorge Santos Graça [EE] (DSI)</author>
  </authors>
  <commentList>
    <comment ref="G17" authorId="0" shapeId="0" xr:uid="{00000000-0006-0000-0400-000001000000}">
      <text>
        <r>
          <rPr>
            <sz val="9"/>
            <color indexed="81"/>
            <rFont val="Tahoma"/>
            <family val="2"/>
          </rPr>
          <t xml:space="preserve">Preenchido quando impressão on-line, TIPO-IMPRESSAO = I </t>
        </r>
      </text>
    </comment>
    <comment ref="G30" authorId="0" shapeId="0" xr:uid="{00000000-0006-0000-0400-000002000000}">
      <text>
        <r>
          <rPr>
            <sz val="9"/>
            <color indexed="81"/>
            <rFont val="Tahoma"/>
            <family val="2"/>
          </rPr>
          <t xml:space="preserve">Preenchido quando Leve, apenas para marcas FM e IB.
</t>
        </r>
      </text>
    </comment>
    <comment ref="S32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>Igual a: BUSK410A-R2-MEDIADOR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3" authorId="0" shapeId="0" xr:uid="{00000000-0006-0000-0400-000004000000}">
      <text>
        <r>
          <rPr>
            <sz val="9"/>
            <color indexed="81"/>
            <rFont val="Tahoma"/>
            <family val="2"/>
          </rPr>
          <t>Nos casos que existir</t>
        </r>
      </text>
    </comment>
    <comment ref="N34" authorId="1" shapeId="0" xr:uid="{00000000-0006-0000-0400-000005000000}">
      <text>
        <r>
          <rPr>
            <b/>
            <sz val="9"/>
            <color indexed="81"/>
            <rFont val="Tahoma"/>
            <family val="2"/>
          </rPr>
          <t>NY5BAU01-SORT-POLICY-NUMBER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6" authorId="1" shapeId="0" xr:uid="{00000000-0006-0000-0400-000006000000}">
      <text>
        <r>
          <rPr>
            <b/>
            <sz val="9"/>
            <color indexed="81"/>
            <rFont val="Tahoma"/>
            <family val="2"/>
          </rPr>
          <t>NZ5PDU01-C-TIPO-CTAD
  88  NZ5PDU01-CTAD-NO-RCIB-PEND  VALUE ' '.
  88  NZ5PDU01-CTAD-RCIB-PEND     VALUE 'P'.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6" authorId="1" shapeId="0" xr:uid="{00000000-0006-0000-0400-000007000000}">
      <text>
        <r>
          <rPr>
            <b/>
            <sz val="9"/>
            <color indexed="81"/>
            <rFont val="Tahoma"/>
            <family val="2"/>
          </rPr>
          <t>:PREFIX:-TIPO-REG
  88  :PREFIX:-CDC1  VALUE 'CDC1'. (*)
  88  :PREFIX:-CHIP  VALUE 'CHIP'.
  88  :PREFIX:-ENTI  VALUE 'ENTI'.
  88  :PREFIX:-CTAD  VALUE 'CTAD'.
  88  :PREFIX:-CCAG  VALUE 'CCAG'. (*)
  88  :PREFIX:-CAVR  VALUE 'CAVR'. (*)
  88  :PREFIX:-PTLI  VALUE 'PTLI'.
  88  :PREFIX:-PREX  VALUE 'PREX'.
  88  :PREFIX:-PTEX  VALUE 'PTEX'.
  88  :PREFIX:-PHAT  VALUE 'PHAT'.
  88  :PREFIX:-ORSM  VALUE 'ORSM'.
  88  :PREFIX:-CTAJ  VALUE 'CTAJ'.
  88  :PREFIX:-CTRG  VALUE 'CTRG'.
  88  :PREFIX:-ESTI  VALUE 'ESTI'.
:PREFIX:-FAZ-DOC-CANCEL
  88   :PREFIX:-DOC-CANCEL  VALUE 'S'.</t>
        </r>
        <r>
          <rPr>
            <sz val="9"/>
            <color indexed="81"/>
            <rFont val="Tahoma"/>
            <family val="2"/>
          </rPr>
          <t xml:space="preserve">
(*) Utilizados no PGOC011A</t>
        </r>
      </text>
    </comment>
    <comment ref="M46" authorId="1" shapeId="0" xr:uid="{00000000-0006-0000-0400-000008000000}">
      <text>
        <r>
          <rPr>
            <b/>
            <sz val="9"/>
            <color indexed="81"/>
            <rFont val="Tahoma"/>
            <family val="2"/>
          </rPr>
          <t>88 NZ44CU01-CARTA-NCDC  VALUE 'NCDC'.
88 NZ44CU01-CARTA-ENT1  VALUE 'ENT1'.
88 NZ44CU01-CARTA-ENT2  VALUE 'ENT2'.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6" authorId="1" shapeId="0" xr:uid="{00000000-0006-0000-0400-000009000000}">
      <text>
        <r>
          <rPr>
            <b/>
            <sz val="9"/>
            <color indexed="81"/>
            <rFont val="Tahoma"/>
            <family val="2"/>
          </rPr>
          <t>88  BUSK410A-COD-C001  VALUE 'C001'.
88  BUSK410A-COD-C002  VALUE 'C002'.
88  BUSK410A-COD-C003  VALUE 'C003'.
88  BUSK410A-COD-C004  VALUE 'C004'.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6" authorId="1" shapeId="0" xr:uid="{00000000-0006-0000-0400-00000A000000}">
      <text>
        <r>
          <rPr>
            <b/>
            <sz val="9"/>
            <color indexed="81"/>
            <rFont val="Tahoma"/>
            <family val="2"/>
          </rPr>
          <t>88  BGOW0027-TIPO-CARTA-1  VALUE '1'.
88  BGOW0027-TIPO-CARTA-2  VALUE '2'.
88  BGOW0027-TIPO-CARTA-3  VALUE '3'.
88  BGOW0027-TIPO-CARTA-4  VALUE '4'.</t>
        </r>
      </text>
    </comment>
    <comment ref="G52" authorId="0" shapeId="0" xr:uid="{00000000-0006-0000-0400-00000B000000}">
      <text>
        <r>
          <rPr>
            <sz val="9"/>
            <color indexed="81"/>
            <rFont val="Tahoma"/>
            <family val="2"/>
          </rPr>
          <t>CHIP</t>
        </r>
      </text>
    </comment>
    <comment ref="J52" authorId="1" shapeId="0" xr:uid="{00000000-0006-0000-0400-00000C000000}">
      <text>
        <r>
          <rPr>
            <b/>
            <sz val="9"/>
            <color indexed="81"/>
            <rFont val="Tahoma"/>
            <family val="2"/>
          </rPr>
          <t>88  NZ5PDU01-TIPO-RECIBO-N  VALUE 'N'.
88  NZ5PDU01-TIPO-RECIBO-A  VALUE 'A'.
88  NZ5PDU01-TIPO-RECIBO-C  VALUE 'C'.
88  NZ5PDU01-TIPO-RECIBO-M  VALUE 'M'.
88  NZ5PDU01-TIPO-RECIBO-F  VALUE 'F'.
88  NZ5PDU01-TIPO-RECIBO-L  VALUE 'L'.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3" authorId="1" shapeId="0" xr:uid="{00000000-0006-0000-0400-00000D000000}">
      <text>
        <r>
          <rPr>
            <b/>
            <sz val="8"/>
            <color indexed="81"/>
            <rFont val="Tahoma"/>
            <family val="2"/>
          </rPr>
          <t>Seguro Novo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91" authorId="0" shapeId="0" xr:uid="{00000000-0006-0000-0400-00000E000000}">
      <text>
        <r>
          <rPr>
            <sz val="9"/>
            <color indexed="81"/>
            <rFont val="Tahoma"/>
            <family val="2"/>
          </rPr>
          <t>CDC1
PC01</t>
        </r>
      </text>
    </comment>
    <comment ref="L92" authorId="1" shapeId="0" xr:uid="{00000000-0006-0000-0400-00000F000000}">
      <text>
        <r>
          <rPr>
            <b/>
            <sz val="9"/>
            <color indexed="81"/>
            <rFont val="Tahoma"/>
            <family val="2"/>
          </rPr>
          <t>88  :PREFIX:-AGRAVA-RISCOR        VALUE 'AR'. (*)
88  :PREFIX:-FIM-CONTR-LOC        VALUE 'CL'.
88  :PREFIX:-DESISTENCIA0         VALUE 'D1'. (*)
88  :PREFIX:-DESISTENCIA50        VALUE 'D2'.
88  :PREFIX:-DESISTENCIA100       VALUE 'D3'.
88  :PREFIX:-MIG-DESISTENCIA      VALUE 'D4'.
88  :PREFIX:-ERRO                 VALUE 'ER'.
88  :PREFIX:-EXTINCAO             VALUE 'FA'.
88  :PREFIX:-FALSAS-DECLAFD       VALUE 'FD'. (*)
88  :PREFIX:-FALTA-PAG-CADUC      VALUE 'FG'.
88  :PREFIX:-FALTA-PAG-MANUAL     VALUE 'FM'.
88  :PREFIX:-FALTA-PAG-MANUAL0    VALUE 'FP'.
88  :PREFIX:-FALTA-PAG-SUBST      VALUE 'FS'.
88  :PREFIX:-FALSAS-DECLAF1       VALUE 'F1'. (*)
88  :PREFIX:-FALSAS-DECLAF3       VALUE 'F3'.
88  :PREFIX:-MIGRACAO-MAQUIN      VALUE 'MM'.
88  :PREFIX:-PENALIZACAO-100      VALUE 'OM'.
88  :PREFIX:-PEN-COB-PERDA-TOTAL  VALUE 'PC'. (*)
88  :PREFIX:-ANUL-PERDA-DIREC     VALUE 'PD'.
88  :PREFIX:-APEDIDO-SEGURADO     VALUE 'PS'.
88  :PREFIX:-FRAUDE0              VALUE 'R1'. (*)
88  :PREFIX:-FRAUDE50             VALUE 'R2'.
88  :PREFIX:-FRAUDE100            VALUE 'R3'.
88  :PREFIX:-SUBSTITUICAO         VALUE 'SB'.
88  :PREFIX:-SELECCAO-CARTEIRA    VALUE 'SI'.
88  :PREFIX:-SUBSTIT-PRODUTO      VALUE 'SP'.
88  :PREFIX:-SUBSTIT-TRANSF       VALUE 'ST'.
88  :PREFIX:-PERDA-TOTAL          VALUE 'TP'. (*)
88  :PREFIX:-PAG-SINI-PERDA-TOTAL VALUE 'TX'. (*)
88  :PREFIX:-TRANSFERENCIA0       VALUE 'T1'.
88  :PREFIX:-TRANSFERENCIA50      VALUE 'T2'.
88  :PREFIX:-TRANSFERENCIA100     VALUE 'T3'.
88  :PREFIX:-MIG-TRANSF           VALUE 'T4'.
88  :PREFIX:-EXTINCAO-RISCO0      VALUE 'X1'. (*)
88  :PREFIX:-EXTINCAO-RISCO50     VALUE 'X2'.
88  :PREFIX:-EXTINCAO-RISCO100    VALUE 'X3'.
88  :PREFIX:-MIG-EXTIN-RISCO      VALUE 'X4'.
88  :PREFIX:-FALTA-PAGAMENTO      VALUE '01'.
88  :PREFIX:-CANCEL-NOTA-COB      VALUE '02'.
88  :PREFIX:-FALTA-PAGAM-INI      VALUE '03'.
88  :PREFIX:-FALTA-APGAM-INM      VALUE '04'.
88  :PREFIX:-FALTA-PAGAM-CAD      VALUE '05'.
88  :PREFIX:-FALTA-PAGAM-ALT      VALUE '07'.</t>
        </r>
        <r>
          <rPr>
            <sz val="9"/>
            <color indexed="81"/>
            <rFont val="Tahoma"/>
            <family val="2"/>
          </rPr>
          <t xml:space="preserve">
(*) Utilizado no PGOC011A</t>
        </r>
      </text>
    </comment>
    <comment ref="M92" authorId="1" shapeId="0" xr:uid="{00000000-0006-0000-0400-000010000000}">
      <text>
        <r>
          <rPr>
            <b/>
            <sz val="9"/>
            <color indexed="81"/>
            <rFont val="Tahoma"/>
            <family val="2"/>
          </rPr>
          <t>88 NZ44CU01-CANC-REQ-COMPANY  VALUE 'C'.
88 NZ44CU01-CANC-REQ-CLIENT   VALUE 'U'.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97" authorId="0" shapeId="0" xr:uid="{00000000-0006-0000-0400-000011000000}">
      <text>
        <r>
          <rPr>
            <sz val="9"/>
            <color indexed="81"/>
            <rFont val="Tahoma"/>
            <family val="2"/>
          </rPr>
          <t>CDC1
CHIP</t>
        </r>
      </text>
    </comment>
    <comment ref="J97" authorId="1" shapeId="0" xr:uid="{00000000-0006-0000-0400-000012000000}">
      <text>
        <r>
          <rPr>
            <b/>
            <sz val="9"/>
            <color indexed="81"/>
            <rFont val="Tahoma"/>
            <family val="2"/>
          </rPr>
          <t>NZ5PDU01-N-NIB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97" authorId="1" shapeId="0" xr:uid="{00000000-0006-0000-0400-000013000000}">
      <text>
        <r>
          <rPr>
            <b/>
            <sz val="9"/>
            <color indexed="81"/>
            <rFont val="Tahoma"/>
            <family val="2"/>
          </rPr>
          <t>NY5BAU01-NIB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98" authorId="0" shapeId="0" xr:uid="{00000000-0006-0000-0400-000014000000}">
      <text>
        <r>
          <rPr>
            <sz val="9"/>
            <color indexed="81"/>
            <rFont val="Tahoma"/>
            <family val="2"/>
          </rPr>
          <t>CHIP</t>
        </r>
      </text>
    </comment>
    <comment ref="G103" authorId="0" shapeId="0" xr:uid="{00000000-0006-0000-0400-000015000000}">
      <text>
        <r>
          <rPr>
            <sz val="9"/>
            <color indexed="81"/>
            <rFont val="Tahoma"/>
            <family val="2"/>
          </rPr>
          <t>CDC1
PC01
CHIP</t>
        </r>
      </text>
    </comment>
    <comment ref="G104" authorId="0" shapeId="0" xr:uid="{00000000-0006-0000-0400-000016000000}">
      <text>
        <r>
          <rPr>
            <sz val="9"/>
            <color indexed="81"/>
            <rFont val="Tahoma"/>
            <family val="2"/>
          </rPr>
          <t>CDC1
PC01
CHIP</t>
        </r>
      </text>
    </comment>
    <comment ref="G105" authorId="0" shapeId="0" xr:uid="{00000000-0006-0000-0400-000017000000}">
      <text>
        <r>
          <rPr>
            <sz val="9"/>
            <color indexed="81"/>
            <rFont val="Tahoma"/>
            <family val="2"/>
          </rPr>
          <t>CDC1
PC01
CHIP</t>
        </r>
      </text>
    </comment>
    <comment ref="G106" authorId="0" shapeId="0" xr:uid="{00000000-0006-0000-0400-000018000000}">
      <text>
        <r>
          <rPr>
            <sz val="9"/>
            <color indexed="81"/>
            <rFont val="Tahoma"/>
            <family val="2"/>
          </rPr>
          <t>CDC1
PC01
CHIP</t>
        </r>
      </text>
    </comment>
    <comment ref="G107" authorId="0" shapeId="0" xr:uid="{00000000-0006-0000-0400-000019000000}">
      <text>
        <r>
          <rPr>
            <sz val="9"/>
            <color indexed="81"/>
            <rFont val="Tahoma"/>
            <family val="2"/>
          </rPr>
          <t>CDC1
PC01
CHIP</t>
        </r>
      </text>
    </comment>
    <comment ref="G108" authorId="0" shapeId="0" xr:uid="{00000000-0006-0000-0400-00001A000000}">
      <text>
        <r>
          <rPr>
            <sz val="9"/>
            <color indexed="81"/>
            <rFont val="Tahoma"/>
            <family val="2"/>
          </rPr>
          <t>CDC1
PC01
CHIP</t>
        </r>
      </text>
    </comment>
    <comment ref="G109" authorId="0" shapeId="0" xr:uid="{00000000-0006-0000-0400-00001B000000}">
      <text>
        <r>
          <rPr>
            <sz val="9"/>
            <color indexed="81"/>
            <rFont val="Tahoma"/>
            <family val="2"/>
          </rPr>
          <t>CDC1
PC01
CHIP</t>
        </r>
      </text>
    </comment>
    <comment ref="G110" authorId="0" shapeId="0" xr:uid="{00000000-0006-0000-0400-00001C000000}">
      <text>
        <r>
          <rPr>
            <sz val="9"/>
            <color indexed="81"/>
            <rFont val="Tahoma"/>
            <family val="2"/>
          </rPr>
          <t>CDC1
PC01
CHIP</t>
        </r>
      </text>
    </comment>
    <comment ref="G111" authorId="0" shapeId="0" xr:uid="{00000000-0006-0000-0400-00001D000000}">
      <text>
        <r>
          <rPr>
            <sz val="9"/>
            <color indexed="81"/>
            <rFont val="Tahoma"/>
            <family val="2"/>
          </rPr>
          <t>CDC1
PC01
CHIP</t>
        </r>
      </text>
    </comment>
    <comment ref="G112" authorId="0" shapeId="0" xr:uid="{00000000-0006-0000-0400-00001E000000}">
      <text>
        <r>
          <rPr>
            <sz val="9"/>
            <color indexed="81"/>
            <rFont val="Tahoma"/>
            <family val="2"/>
          </rPr>
          <t>CDC1
PC01
CHIP</t>
        </r>
      </text>
    </comment>
    <comment ref="G113" authorId="0" shapeId="0" xr:uid="{00000000-0006-0000-0400-00001F000000}">
      <text>
        <r>
          <rPr>
            <sz val="9"/>
            <color indexed="81"/>
            <rFont val="Tahoma"/>
            <family val="2"/>
          </rPr>
          <t xml:space="preserve">CHIP
</t>
        </r>
      </text>
    </comment>
    <comment ref="G118" authorId="0" shapeId="0" xr:uid="{00000000-0006-0000-0400-000020000000}">
      <text>
        <r>
          <rPr>
            <sz val="9"/>
            <color indexed="81"/>
            <rFont val="Tahoma"/>
            <family val="2"/>
          </rPr>
          <t xml:space="preserve">CDC1
</t>
        </r>
      </text>
    </comment>
    <comment ref="G119" authorId="0" shapeId="0" xr:uid="{00000000-0006-0000-0400-000021000000}">
      <text>
        <r>
          <rPr>
            <sz val="9"/>
            <color indexed="81"/>
            <rFont val="Tahoma"/>
            <family val="2"/>
          </rPr>
          <t xml:space="preserve">CDC1
</t>
        </r>
      </text>
    </comment>
    <comment ref="G120" authorId="0" shapeId="0" xr:uid="{00000000-0006-0000-0400-000022000000}">
      <text>
        <r>
          <rPr>
            <sz val="9"/>
            <color indexed="81"/>
            <rFont val="Tahoma"/>
            <family val="2"/>
          </rPr>
          <t>CDC1
PC01
CHIP</t>
        </r>
      </text>
    </comment>
    <comment ref="G121" authorId="0" shapeId="0" xr:uid="{00000000-0006-0000-0400-000023000000}">
      <text>
        <r>
          <rPr>
            <sz val="9"/>
            <color indexed="81"/>
            <rFont val="Tahoma"/>
            <family val="2"/>
          </rPr>
          <t>CDC1
PC01
CHIP</t>
        </r>
      </text>
    </comment>
    <comment ref="G123" authorId="0" shapeId="0" xr:uid="{00000000-0006-0000-0400-000024000000}">
      <text>
        <r>
          <rPr>
            <sz val="9"/>
            <color indexed="81"/>
            <rFont val="Tahoma"/>
            <family val="2"/>
          </rPr>
          <t>CDC1 - quando &lt;&gt; espaços faz carta perda total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33" authorId="0" shapeId="0" xr:uid="{00000000-0006-0000-0400-000025000000}">
      <text>
        <r>
          <rPr>
            <sz val="9"/>
            <color indexed="81"/>
            <rFont val="Tahoma"/>
            <family val="2"/>
          </rPr>
          <t>CDC1 - quando possui agente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34" authorId="0" shapeId="0" xr:uid="{00000000-0006-0000-0400-000026000000}">
      <text>
        <r>
          <rPr>
            <sz val="9"/>
            <color indexed="81"/>
            <rFont val="Tahoma"/>
            <family val="2"/>
          </rPr>
          <t>CDC1 - quando possui agente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35" authorId="0" shapeId="0" xr:uid="{00000000-0006-0000-0400-000027000000}">
      <text>
        <r>
          <rPr>
            <sz val="9"/>
            <color indexed="81"/>
            <rFont val="Tahoma"/>
            <family val="2"/>
          </rPr>
          <t>CDC1 - quando possui agente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36" authorId="0" shapeId="0" xr:uid="{00000000-0006-0000-0400-000028000000}">
      <text>
        <r>
          <rPr>
            <sz val="9"/>
            <color indexed="81"/>
            <rFont val="Tahoma"/>
            <family val="2"/>
          </rPr>
          <t>CDC1 - quando possui agente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37" authorId="0" shapeId="0" xr:uid="{00000000-0006-0000-0400-000029000000}">
      <text>
        <r>
          <rPr>
            <sz val="9"/>
            <color indexed="81"/>
            <rFont val="Tahoma"/>
            <family val="2"/>
          </rPr>
          <t>CDC1 - quando possui agente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38" authorId="0" shapeId="0" xr:uid="{00000000-0006-0000-0400-00002A000000}">
      <text>
        <r>
          <rPr>
            <sz val="9"/>
            <color indexed="81"/>
            <rFont val="Tahoma"/>
            <family val="2"/>
          </rPr>
          <t>CDC1 - quando possui agente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39" authorId="0" shapeId="0" xr:uid="{00000000-0006-0000-0400-00002B000000}">
      <text>
        <r>
          <rPr>
            <sz val="9"/>
            <color indexed="81"/>
            <rFont val="Tahoma"/>
            <family val="2"/>
          </rPr>
          <t>CDC1 - quando possui agente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0" authorId="0" shapeId="0" xr:uid="{00000000-0006-0000-0400-00002C000000}">
      <text>
        <r>
          <rPr>
            <sz val="9"/>
            <color indexed="81"/>
            <rFont val="Tahoma"/>
            <family val="2"/>
          </rPr>
          <t>CDC1 - quando possui agente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1" authorId="0" shapeId="0" xr:uid="{00000000-0006-0000-0400-00002D000000}">
      <text>
        <r>
          <rPr>
            <sz val="9"/>
            <color indexed="81"/>
            <rFont val="Tahoma"/>
            <family val="2"/>
          </rPr>
          <t>CDC1 - quando possui agente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2" authorId="0" shapeId="0" xr:uid="{00000000-0006-0000-0400-00002E000000}">
      <text>
        <r>
          <rPr>
            <sz val="9"/>
            <color indexed="81"/>
            <rFont val="Tahoma"/>
            <family val="2"/>
          </rPr>
          <t>CDC1 - quando possui agente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7" authorId="0" shapeId="0" xr:uid="{00000000-0006-0000-0400-00002F000000}">
      <text>
        <r>
          <rPr>
            <sz val="9"/>
            <color indexed="81"/>
            <rFont val="Tahoma"/>
            <family val="2"/>
          </rPr>
          <t>CHIP - deve ser '1'. Os dados abaixo serão para preenchimento da zona de endereçamento da carta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8" authorId="0" shapeId="0" xr:uid="{00000000-0006-0000-0400-000030000000}">
      <text>
        <r>
          <rPr>
            <sz val="9"/>
            <color indexed="81"/>
            <rFont val="Tahoma"/>
            <family val="2"/>
          </rPr>
          <t xml:space="preserve">CHIP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9" authorId="0" shapeId="0" xr:uid="{00000000-0006-0000-0400-000031000000}">
      <text>
        <r>
          <rPr>
            <sz val="9"/>
            <color indexed="81"/>
            <rFont val="Tahoma"/>
            <family val="2"/>
          </rPr>
          <t xml:space="preserve">CHIP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50" authorId="0" shapeId="0" xr:uid="{00000000-0006-0000-0400-000032000000}">
      <text>
        <r>
          <rPr>
            <sz val="9"/>
            <color indexed="81"/>
            <rFont val="Tahoma"/>
            <family val="2"/>
          </rPr>
          <t xml:space="preserve">CHIP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51" authorId="0" shapeId="0" xr:uid="{00000000-0006-0000-0400-000033000000}">
      <text>
        <r>
          <rPr>
            <sz val="9"/>
            <color indexed="81"/>
            <rFont val="Tahoma"/>
            <family val="2"/>
          </rPr>
          <t xml:space="preserve">CHIP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52" authorId="0" shapeId="0" xr:uid="{00000000-0006-0000-0400-000034000000}">
      <text>
        <r>
          <rPr>
            <sz val="9"/>
            <color indexed="81"/>
            <rFont val="Tahoma"/>
            <family val="2"/>
          </rPr>
          <t xml:space="preserve">CHIP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53" authorId="0" shapeId="0" xr:uid="{00000000-0006-0000-0400-000035000000}">
      <text>
        <r>
          <rPr>
            <sz val="9"/>
            <color indexed="81"/>
            <rFont val="Tahoma"/>
            <family val="2"/>
          </rPr>
          <t xml:space="preserve">CHIP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54" authorId="0" shapeId="0" xr:uid="{00000000-0006-0000-0400-000036000000}">
      <text>
        <r>
          <rPr>
            <sz val="9"/>
            <color indexed="81"/>
            <rFont val="Tahoma"/>
            <family val="2"/>
          </rPr>
          <t xml:space="preserve">CHIP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55" authorId="0" shapeId="0" xr:uid="{00000000-0006-0000-0400-000037000000}">
      <text>
        <r>
          <rPr>
            <sz val="9"/>
            <color indexed="81"/>
            <rFont val="Tahoma"/>
            <family val="2"/>
          </rPr>
          <t xml:space="preserve">CHIP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56" authorId="0" shapeId="0" xr:uid="{00000000-0006-0000-0400-000038000000}">
      <text>
        <r>
          <rPr>
            <sz val="9"/>
            <color indexed="81"/>
            <rFont val="Tahoma"/>
            <family val="2"/>
          </rPr>
          <t xml:space="preserve">CHIP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57" authorId="0" shapeId="0" xr:uid="{00000000-0006-0000-0400-000039000000}">
      <text>
        <r>
          <rPr>
            <sz val="9"/>
            <color indexed="81"/>
            <rFont val="Tahoma"/>
            <family val="2"/>
          </rPr>
          <t xml:space="preserve">CHIP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58" authorId="0" shapeId="0" xr:uid="{00000000-0006-0000-0400-00003A000000}">
      <text>
        <r>
          <rPr>
            <sz val="9"/>
            <color indexed="81"/>
            <rFont val="Tahoma"/>
            <family val="2"/>
          </rPr>
          <t xml:space="preserve">CHIP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60" authorId="0" shapeId="0" xr:uid="{00000000-0006-0000-0400-00003B000000}">
      <text>
        <r>
          <rPr>
            <sz val="9"/>
            <color indexed="81"/>
            <rFont val="Tahoma"/>
            <family val="2"/>
          </rPr>
          <t>CDC1
CHIP - Tem de ser 1</t>
        </r>
      </text>
    </comment>
    <comment ref="K160" authorId="1" shapeId="0" xr:uid="{00000000-0006-0000-0400-00003C000000}">
      <text>
        <r>
          <rPr>
            <b/>
            <sz val="9"/>
            <color indexed="81"/>
            <rFont val="Tahoma"/>
            <family val="2"/>
          </rPr>
          <t>88  NZ44DU01-UAR-UNIQUE    VALUE 'U'.
88  NZ44DU01-MULTIPLE-UAR  VALUE 'M'.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60" authorId="1" shapeId="0" xr:uid="{00000000-0006-0000-0400-00003D000000}">
      <text>
        <r>
          <rPr>
            <b/>
            <sz val="9"/>
            <color indexed="81"/>
            <rFont val="Tahoma"/>
            <family val="2"/>
          </rPr>
          <t>88  :PREFIX:-UAR-UNICA     VALUE 'U'.
88  :PREFIX:-UAR-MULTIPLA  VALUE 'M'.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61" authorId="0" shapeId="0" xr:uid="{00000000-0006-0000-0400-00003E000000}">
      <text>
        <r>
          <rPr>
            <sz val="9"/>
            <color indexed="81"/>
            <rFont val="Tahoma"/>
            <family val="2"/>
          </rPr>
          <t>CDC1
CHIP</t>
        </r>
      </text>
    </comment>
    <comment ref="D172" authorId="1" shapeId="0" xr:uid="{00000000-0006-0000-0400-00003F000000}">
      <text>
        <r>
          <rPr>
            <b/>
            <sz val="8"/>
            <color indexed="81"/>
            <rFont val="Tahoma"/>
            <family val="2"/>
          </rPr>
          <t>A utilizar em casos que não tem detalhe especifico por ramo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72" authorId="0" shapeId="0" xr:uid="{00000000-0006-0000-0400-000040000000}">
      <text>
        <r>
          <rPr>
            <sz val="9"/>
            <color indexed="81"/>
            <rFont val="Tahoma"/>
            <family val="2"/>
          </rPr>
          <t>CDC1
CHIP</t>
        </r>
      </text>
    </comment>
    <comment ref="L172" authorId="1" shapeId="0" xr:uid="{00000000-0006-0000-0400-000041000000}">
      <text>
        <r>
          <rPr>
            <b/>
            <sz val="9"/>
            <color indexed="81"/>
            <rFont val="Tahoma"/>
            <family val="2"/>
          </rPr>
          <t>Tamanho x(72)</t>
        </r>
      </text>
    </comment>
    <comment ref="G175" authorId="0" shapeId="0" xr:uid="{00000000-0006-0000-0400-000042000000}">
      <text>
        <r>
          <rPr>
            <sz val="9"/>
            <color indexed="81"/>
            <rFont val="Tahoma"/>
            <family val="2"/>
          </rPr>
          <t xml:space="preserve">CDC1
</t>
        </r>
      </text>
    </comment>
    <comment ref="G176" authorId="0" shapeId="0" xr:uid="{00000000-0006-0000-0400-000043000000}">
      <text>
        <r>
          <rPr>
            <sz val="9"/>
            <color indexed="81"/>
            <rFont val="Tahoma"/>
            <family val="2"/>
          </rPr>
          <t xml:space="preserve">CDC1
</t>
        </r>
      </text>
    </comment>
    <comment ref="G177" authorId="0" shapeId="0" xr:uid="{00000000-0006-0000-0400-000044000000}">
      <text>
        <r>
          <rPr>
            <sz val="9"/>
            <color indexed="81"/>
            <rFont val="Tahoma"/>
            <family val="2"/>
          </rPr>
          <t xml:space="preserve">CDC1
</t>
        </r>
      </text>
    </comment>
    <comment ref="G178" authorId="0" shapeId="0" xr:uid="{00000000-0006-0000-0400-000045000000}">
      <text>
        <r>
          <rPr>
            <sz val="9"/>
            <color indexed="81"/>
            <rFont val="Tahoma"/>
            <family val="2"/>
          </rPr>
          <t xml:space="preserve">CDC1
</t>
        </r>
      </text>
    </comment>
    <comment ref="G179" authorId="0" shapeId="0" xr:uid="{00000000-0006-0000-0400-000046000000}">
      <text>
        <r>
          <rPr>
            <sz val="9"/>
            <color indexed="81"/>
            <rFont val="Tahoma"/>
            <family val="2"/>
          </rPr>
          <t xml:space="preserve">CDC1
</t>
        </r>
      </text>
    </comment>
    <comment ref="G180" authorId="0" shapeId="0" xr:uid="{00000000-0006-0000-0400-000047000000}">
      <text>
        <r>
          <rPr>
            <sz val="9"/>
            <color indexed="81"/>
            <rFont val="Tahoma"/>
            <family val="2"/>
          </rPr>
          <t xml:space="preserve">CDC1
</t>
        </r>
      </text>
    </comment>
    <comment ref="G181" authorId="0" shapeId="0" xr:uid="{00000000-0006-0000-0400-000048000000}">
      <text>
        <r>
          <rPr>
            <sz val="9"/>
            <color indexed="81"/>
            <rFont val="Tahoma"/>
            <family val="2"/>
          </rPr>
          <t xml:space="preserve">CDC1
</t>
        </r>
      </text>
    </comment>
    <comment ref="G182" authorId="0" shapeId="0" xr:uid="{00000000-0006-0000-0400-000049000000}">
      <text>
        <r>
          <rPr>
            <sz val="9"/>
            <color indexed="81"/>
            <rFont val="Tahoma"/>
            <family val="2"/>
          </rPr>
          <t xml:space="preserve">CDC1
</t>
        </r>
      </text>
    </comment>
    <comment ref="G183" authorId="0" shapeId="0" xr:uid="{00000000-0006-0000-0400-00004A000000}">
      <text>
        <r>
          <rPr>
            <sz val="9"/>
            <color indexed="81"/>
            <rFont val="Tahoma"/>
            <family val="2"/>
          </rPr>
          <t xml:space="preserve">CDC1
</t>
        </r>
      </text>
    </comment>
    <comment ref="G186" authorId="0" shapeId="0" xr:uid="{00000000-0006-0000-0400-00004B000000}">
      <text>
        <r>
          <rPr>
            <sz val="9"/>
            <color indexed="81"/>
            <rFont val="Tahoma"/>
            <family val="2"/>
          </rPr>
          <t xml:space="preserve">CDC1
</t>
        </r>
      </text>
    </comment>
    <comment ref="G187" authorId="0" shapeId="0" xr:uid="{00000000-0006-0000-0400-00004C000000}">
      <text>
        <r>
          <rPr>
            <sz val="9"/>
            <color indexed="81"/>
            <rFont val="Tahoma"/>
            <family val="2"/>
          </rPr>
          <t xml:space="preserve">CDC1
</t>
        </r>
      </text>
    </comment>
    <comment ref="G188" authorId="0" shapeId="0" xr:uid="{00000000-0006-0000-0400-00004D000000}">
      <text>
        <r>
          <rPr>
            <sz val="9"/>
            <color indexed="81"/>
            <rFont val="Tahoma"/>
            <family val="2"/>
          </rPr>
          <t xml:space="preserve">CDC1
</t>
        </r>
      </text>
    </comment>
    <comment ref="G189" authorId="0" shapeId="0" xr:uid="{00000000-0006-0000-0400-00004E000000}">
      <text>
        <r>
          <rPr>
            <sz val="9"/>
            <color indexed="81"/>
            <rFont val="Tahoma"/>
            <family val="2"/>
          </rPr>
          <t xml:space="preserve">CDC1
</t>
        </r>
      </text>
    </comment>
    <comment ref="G194" authorId="0" shapeId="0" xr:uid="{00000000-0006-0000-0400-00004F000000}">
      <text>
        <r>
          <rPr>
            <sz val="9"/>
            <color indexed="81"/>
            <rFont val="Tahoma"/>
            <family val="2"/>
          </rPr>
          <t xml:space="preserve">CDC1
CHIP
</t>
        </r>
      </text>
    </comment>
    <comment ref="G195" authorId="0" shapeId="0" xr:uid="{00000000-0006-0000-0400-000050000000}">
      <text>
        <r>
          <rPr>
            <sz val="9"/>
            <color indexed="81"/>
            <rFont val="Tahoma"/>
            <family val="2"/>
          </rPr>
          <t xml:space="preserve">CDC1
CHIP
</t>
        </r>
      </text>
    </comment>
    <comment ref="G196" authorId="0" shapeId="0" xr:uid="{00000000-0006-0000-0400-000051000000}">
      <text>
        <r>
          <rPr>
            <sz val="9"/>
            <color indexed="81"/>
            <rFont val="Tahoma"/>
            <family val="2"/>
          </rPr>
          <t xml:space="preserve">CDC1
CHIP
</t>
        </r>
      </text>
    </comment>
    <comment ref="G197" authorId="0" shapeId="0" xr:uid="{00000000-0006-0000-0400-000052000000}">
      <text>
        <r>
          <rPr>
            <sz val="9"/>
            <color indexed="81"/>
            <rFont val="Tahoma"/>
            <family val="2"/>
          </rPr>
          <t xml:space="preserve">CDC1
CHIP
</t>
        </r>
      </text>
    </comment>
    <comment ref="D200" authorId="1" shapeId="0" xr:uid="{00000000-0006-0000-0400-000053000000}">
      <text>
        <r>
          <rPr>
            <b/>
            <sz val="9"/>
            <color indexed="81"/>
            <rFont val="Tahoma"/>
            <family val="2"/>
          </rPr>
          <t>Especifico para Garagista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0" authorId="0" shapeId="0" xr:uid="{00000000-0006-0000-0400-000054000000}">
      <text>
        <r>
          <rPr>
            <sz val="9"/>
            <color indexed="81"/>
            <rFont val="Tahoma"/>
            <family val="2"/>
          </rPr>
          <t xml:space="preserve">CDC1
</t>
        </r>
      </text>
    </comment>
    <comment ref="D201" authorId="1" shapeId="0" xr:uid="{00000000-0006-0000-0400-000055000000}">
      <text>
        <r>
          <rPr>
            <b/>
            <sz val="9"/>
            <color indexed="81"/>
            <rFont val="Tahoma"/>
            <family val="2"/>
          </rPr>
          <t>Especifico para Garagista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1" authorId="0" shapeId="0" xr:uid="{00000000-0006-0000-0400-000056000000}">
      <text>
        <r>
          <rPr>
            <sz val="9"/>
            <color indexed="81"/>
            <rFont val="Tahoma"/>
            <family val="2"/>
          </rPr>
          <t xml:space="preserve">CDC1
</t>
        </r>
      </text>
    </comment>
    <comment ref="G204" authorId="0" shapeId="0" xr:uid="{00000000-0006-0000-0400-000057000000}">
      <text>
        <r>
          <rPr>
            <sz val="9"/>
            <color indexed="81"/>
            <rFont val="Tahoma"/>
            <family val="2"/>
          </rPr>
          <t xml:space="preserve">CDC1
</t>
        </r>
      </text>
    </comment>
    <comment ref="G207" authorId="0" shapeId="0" xr:uid="{00000000-0006-0000-0400-000058000000}">
      <text>
        <r>
          <rPr>
            <sz val="9"/>
            <color indexed="81"/>
            <rFont val="Tahoma"/>
            <family val="2"/>
          </rPr>
          <t xml:space="preserve">CDC1
</t>
        </r>
      </text>
    </comment>
    <comment ref="G208" authorId="0" shapeId="0" xr:uid="{00000000-0006-0000-0400-000059000000}">
      <text>
        <r>
          <rPr>
            <sz val="9"/>
            <color indexed="81"/>
            <rFont val="Tahoma"/>
            <family val="2"/>
          </rPr>
          <t xml:space="preserve">CDC1
</t>
        </r>
      </text>
    </comment>
    <comment ref="G209" authorId="0" shapeId="0" xr:uid="{00000000-0006-0000-0400-00005A000000}">
      <text>
        <r>
          <rPr>
            <sz val="9"/>
            <color indexed="81"/>
            <rFont val="Tahoma"/>
            <family val="2"/>
          </rPr>
          <t xml:space="preserve">CDC1
</t>
        </r>
      </text>
    </comment>
    <comment ref="G210" authorId="0" shapeId="0" xr:uid="{00000000-0006-0000-0400-00005B000000}">
      <text>
        <r>
          <rPr>
            <sz val="9"/>
            <color indexed="81"/>
            <rFont val="Tahoma"/>
            <family val="2"/>
          </rPr>
          <t xml:space="preserve">CDC1
</t>
        </r>
      </text>
    </comment>
    <comment ref="G211" authorId="0" shapeId="0" xr:uid="{00000000-0006-0000-0400-00005C000000}">
      <text>
        <r>
          <rPr>
            <sz val="9"/>
            <color indexed="81"/>
            <rFont val="Tahoma"/>
            <family val="2"/>
          </rPr>
          <t xml:space="preserve">CDC1
</t>
        </r>
      </text>
    </comment>
    <comment ref="G212" authorId="0" shapeId="0" xr:uid="{00000000-0006-0000-0400-00005D000000}">
      <text>
        <r>
          <rPr>
            <sz val="9"/>
            <color indexed="81"/>
            <rFont val="Tahoma"/>
            <family val="2"/>
          </rPr>
          <t xml:space="preserve">CDC1
</t>
        </r>
      </text>
    </comment>
    <comment ref="G215" authorId="0" shapeId="0" xr:uid="{00000000-0006-0000-0400-00005E000000}">
      <text>
        <r>
          <rPr>
            <sz val="9"/>
            <color indexed="81"/>
            <rFont val="Tahoma"/>
            <family val="2"/>
          </rPr>
          <t xml:space="preserve">CDC1
</t>
        </r>
      </text>
    </comment>
    <comment ref="G219" authorId="0" shapeId="0" xr:uid="{00000000-0006-0000-0400-00005F000000}">
      <text>
        <r>
          <rPr>
            <sz val="9"/>
            <color indexed="81"/>
            <rFont val="Tahoma"/>
            <family val="2"/>
          </rPr>
          <t xml:space="preserve">CDC1
PC01
</t>
        </r>
      </text>
    </comment>
    <comment ref="G220" authorId="0" shapeId="0" xr:uid="{00000000-0006-0000-0400-000060000000}">
      <text>
        <r>
          <rPr>
            <sz val="9"/>
            <color indexed="81"/>
            <rFont val="Tahoma"/>
            <family val="2"/>
          </rPr>
          <t>PC01
CHIP</t>
        </r>
      </text>
    </comment>
    <comment ref="G221" authorId="0" shapeId="0" xr:uid="{00000000-0006-0000-0400-000061000000}">
      <text>
        <r>
          <rPr>
            <sz val="9"/>
            <color indexed="81"/>
            <rFont val="Tahoma"/>
            <family val="2"/>
          </rPr>
          <t>CDC1 - premios e estornos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Tahoma"/>
            <family val="2"/>
          </rPr>
          <t xml:space="preserve">CHIP
</t>
        </r>
      </text>
    </comment>
    <comment ref="G222" authorId="0" shapeId="0" xr:uid="{00000000-0006-0000-0400-000062000000}">
      <text>
        <r>
          <rPr>
            <sz val="9"/>
            <color indexed="81"/>
            <rFont val="Tahoma"/>
            <family val="2"/>
          </rPr>
          <t>CDC1 - premios e estornos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CHIP</t>
        </r>
      </text>
    </comment>
    <comment ref="G223" authorId="0" shapeId="0" xr:uid="{00000000-0006-0000-0400-000063000000}">
      <text>
        <r>
          <rPr>
            <sz val="9"/>
            <color indexed="81"/>
            <rFont val="Tahoma"/>
            <family val="2"/>
          </rPr>
          <t xml:space="preserve">PC01
</t>
        </r>
      </text>
    </comment>
    <comment ref="G224" authorId="0" shapeId="0" xr:uid="{00000000-0006-0000-0400-000064000000}">
      <text>
        <r>
          <rPr>
            <sz val="9"/>
            <color indexed="81"/>
            <rFont val="Tahoma"/>
            <family val="2"/>
          </rPr>
          <t>PC01
CHIP</t>
        </r>
      </text>
    </comment>
    <comment ref="S224" authorId="1" shapeId="0" xr:uid="{00000000-0006-0000-0400-000065000000}">
      <text>
        <r>
          <rPr>
            <b/>
            <sz val="9"/>
            <color indexed="81"/>
            <rFont val="Tahoma"/>
            <family val="2"/>
          </rPr>
          <t>BUSK410A-TOT-REC - Quando é sem ocorrências</t>
        </r>
      </text>
    </comment>
    <comment ref="G225" authorId="0" shapeId="0" xr:uid="{00000000-0006-0000-0400-000066000000}">
      <text>
        <r>
          <rPr>
            <sz val="9"/>
            <color indexed="81"/>
            <rFont val="Tahoma"/>
            <family val="2"/>
          </rPr>
          <t xml:space="preserve">PC01
</t>
        </r>
      </text>
    </comment>
    <comment ref="S225" authorId="1" shapeId="0" xr:uid="{00000000-0006-0000-0400-000067000000}">
      <text>
        <r>
          <rPr>
            <b/>
            <sz val="9"/>
            <color indexed="81"/>
            <rFont val="Tahoma"/>
            <family val="2"/>
          </rPr>
          <t>BUSK410A-TOT-JUR - Quando é sem ocorrências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26" authorId="0" shapeId="0" xr:uid="{00000000-0006-0000-0400-000068000000}">
      <text>
        <r>
          <rPr>
            <sz val="9"/>
            <color indexed="81"/>
            <rFont val="Tahoma"/>
            <family val="2"/>
          </rPr>
          <t xml:space="preserve">PC01
</t>
        </r>
      </text>
    </comment>
    <comment ref="G227" authorId="0" shapeId="0" xr:uid="{00000000-0006-0000-0400-000069000000}">
      <text>
        <r>
          <rPr>
            <sz val="9"/>
            <color indexed="81"/>
            <rFont val="Tahoma"/>
            <family val="2"/>
          </rPr>
          <t xml:space="preserve">CDC1 
- qdo zeros faz carta sem divida 
- qdo &gt; zeros e AG-NOME preenchido faz carta premio com agente
- qdo &gt; zeros e AG-NOME espaços faz carta premio sem agente
- qdo &lt; zeros e AG-NOME preenchido faz carta estorno com agente
- qdo &lt; zeros e AG-NOME espaços faz carta estorno sem agente
</t>
        </r>
      </text>
    </comment>
    <comment ref="O227" authorId="1" shapeId="0" xr:uid="{00000000-0006-0000-0400-00006A000000}">
      <text>
        <r>
          <rPr>
            <b/>
            <sz val="9"/>
            <color indexed="81"/>
            <rFont val="Tahoma"/>
            <family val="2"/>
          </rPr>
          <t>NZ5B8U01-CANC-RCIB-PEND = NZ5B8U01-AMOUNT - é utilizado quando não há detalhe de Juros e Penalidades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27" authorId="1" shapeId="0" xr:uid="{00000000-0006-0000-0400-00006B000000}">
      <text>
        <r>
          <rPr>
            <b/>
            <sz val="9"/>
            <color indexed="81"/>
            <rFont val="Tahoma"/>
            <family val="2"/>
          </rPr>
          <t>BUSK410A-TOT-REC-JUR - Quando é sem ocorrências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30" authorId="0" shapeId="0" xr:uid="{00000000-0006-0000-0400-00006C000000}">
      <text>
        <r>
          <rPr>
            <sz val="9"/>
            <color indexed="81"/>
            <rFont val="Tahoma"/>
            <family val="2"/>
          </rPr>
          <t xml:space="preserve">CDC1
PC01
</t>
        </r>
      </text>
    </comment>
    <comment ref="J239" authorId="1" shapeId="0" xr:uid="{00000000-0006-0000-0400-00006D000000}">
      <text>
        <r>
          <rPr>
            <b/>
            <sz val="9"/>
            <color indexed="81"/>
            <rFont val="Tahoma"/>
            <family val="2"/>
          </rPr>
          <t>88  NZ5PDU01-NOTICE-DATA      VALUE 'A'.
88  NZ5PDU01-CLIENT-DATA      VALUE 'B'.
88  NZ5PDU01-AGENT-DATA       VALUE 'C'.
88  NZ5PDU01-PAYMENT-DATA     VALUE 'D'.
88  NZ5PDU01-OBJECTO-DATA     VALUE 'E'.
88  NZ5PDU01-LISTA-DATA       VALUE 'F'.
88  NZ5PDU01-CREDOR-DATA      VALUE 'G'.
88  NZ5PDU01-END-OF-DOCUMENT  VALUE 'Z'.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39" authorId="1" shapeId="0" xr:uid="{00000000-0006-0000-0400-00006E000000}">
      <text>
        <r>
          <rPr>
            <b/>
            <sz val="9"/>
            <color indexed="81"/>
            <rFont val="Tahoma"/>
            <family val="2"/>
          </rPr>
          <t>88  NZ44DU01-POLICY-BASIC-DATA  VALUE '1'.
88  NZ44DU01-UAR-DATA           VALUE '2'.
88  NZ44DU01-T-UAR-DATA         VALUE '3'.
88  NZ44DU01-AGENT-DATA         VALUE '4'.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39" authorId="1" shapeId="0" xr:uid="{00000000-0006-0000-0400-00006F000000}">
      <text>
        <r>
          <rPr>
            <b/>
            <sz val="9"/>
            <color indexed="81"/>
            <rFont val="Tahoma"/>
            <family val="2"/>
          </rPr>
          <t>88 NZ44CU01-RECORD-TYPE-1  VALUE '1'.
88 NZ44CU01-RECORD-TYPE-2  VALUE '2'.
88 NZ44CU01-RECORD-TYPE-3  VALUE '3'.
88 NZ44CU01-RECORD-TYPE-4  VALUE '5'.
88 NZ44CU01-RECORD-TYPE-5  VALUE '4'.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39" authorId="1" shapeId="0" xr:uid="{00000000-0006-0000-0400-000070000000}">
      <text>
        <r>
          <rPr>
            <b/>
            <sz val="9"/>
            <color indexed="81"/>
            <rFont val="Tahoma"/>
            <family val="2"/>
          </rPr>
          <t>88 NY5BAU01-REC-TYPE-1  VALUE '1'.
88 NY5BAU01-REC-TYPE-2  VALUE '2'.
88 NY5BAU01-REC-TYPE-3  VALUE '3'.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39" authorId="1" shapeId="0" xr:uid="{00000000-0006-0000-0400-000071000000}">
      <text>
        <r>
          <rPr>
            <b/>
            <sz val="9"/>
            <color indexed="81"/>
            <rFont val="Tahoma"/>
            <family val="2"/>
          </rPr>
          <t>88 NZ5B8U01-NOTICE-BASIC-DATA  VALUE '1'.
88 NZ5B8U01-AGENT-BASIC-DATA   VALUE '2'.
88 NZ5B8U01-NOTICE-LIST-DATA   VALUE '3'.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39" authorId="1" shapeId="0" xr:uid="{00000000-0006-0000-0400-000072000000}">
      <text>
        <r>
          <rPr>
            <b/>
            <sz val="9"/>
            <color indexed="81"/>
            <rFont val="Tahoma"/>
            <family val="2"/>
          </rPr>
          <t>88  BGOW0027-REG-A  VALUE 'A'.
88  BGOW0027-REG-B  VALUE 'B'.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0" authorId="1" shapeId="0" xr:uid="{00000000-0006-0000-0400-000073000000}">
      <text>
        <r>
          <rPr>
            <b/>
            <sz val="9"/>
            <color indexed="81"/>
            <rFont val="Tahoma"/>
            <family val="2"/>
          </rPr>
          <t>Com a inexistência de regime, caí o campo:
NZ5PDU01-C-TIPO-RCIB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3" authorId="1" shapeId="0" xr:uid="{00000000-0006-0000-0400-000074000000}">
      <text>
        <r>
          <rPr>
            <b/>
            <sz val="9"/>
            <color indexed="81"/>
            <rFont val="Tahoma"/>
            <family val="2"/>
          </rPr>
          <t>Apenas para PRIC: CHIP
88  NZ5PDU01-1-VIA         VALUE ' ' '1'.
88  NZ5PDU01-RE-IMPRESSAO  VALUE '2'.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43" authorId="1" shapeId="0" xr:uid="{00000000-0006-0000-0400-000075000000}">
      <text>
        <r>
          <rPr>
            <b/>
            <sz val="9"/>
            <color indexed="81"/>
            <rFont val="Tahoma"/>
            <family val="2"/>
          </rPr>
          <t>Apenas para C3.3: CHIP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44" authorId="1" shapeId="0" xr:uid="{00000000-0006-0000-0400-000076000000}">
      <text>
        <r>
          <rPr>
            <b/>
            <sz val="9"/>
            <color indexed="81"/>
            <rFont val="Tahoma"/>
            <family val="2"/>
          </rPr>
          <t>88  NZ44DU01-IMPRIME      VALUE 'S'.
88  NZ44DU01-NAO-IMPRIME  VALUE 'N'.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44" authorId="1" shapeId="0" xr:uid="{00000000-0006-0000-0400-000077000000}">
      <text>
        <r>
          <rPr>
            <b/>
            <sz val="9"/>
            <color indexed="81"/>
            <rFont val="Tahoma"/>
            <family val="2"/>
          </rPr>
          <t>88   :PREFIX:-CARTA   VALUE 'S'.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47" authorId="1" shapeId="0" xr:uid="{00000000-0006-0000-0400-000078000000}">
      <text>
        <r>
          <rPr>
            <b/>
            <sz val="9"/>
            <color indexed="81"/>
            <rFont val="Tahoma"/>
            <family val="2"/>
          </rPr>
          <t>88  :PREFIX:-FERNANDES  VALUE 'NF00'.
88  :PREFIX:-HELENA     VALUE 'HM00'.
88  :PREFIX:-HELENA1    VALUE 'HM01'.
88  :PREFIX:-HELENA2    VALUE 'HM02'.
88  :PREFIX:-RITA       VALUE 'RS01'.
88  :PREFIX:-CADMIN     VALUE 'CA6R'.
88  :PREFIX:-CADMIN1    VALUE 'CA61'.
88  :PREFIX:-ARTUR      VALUE 'AM00'.
88  :PREFIX:-ARTUR1     VALUE 'AM01'.
88  :PREFIX:-EUGENIA    VALUE 'EC00'.
88  :PREFIX:-BRISSOS    VALUE 'BC00'.
88  :PREFIX:-BRIART     VALUE 'BCAM'.
88  :PREFIX:-CORDEIRO   VALUE 'PC00'.
88  :PREFIX:-CORDEIRO1  VALUE 'PC01'.
88  :PREFIX:-BRICORD    VALUE 'BCPC'.
88  :PREFIX:-FFSANTOS   VALUE 'FS00'.
88  :PREFIX:-FFSANTOS1  VALUE 'FS01'.
88  :PREFIX:-BRISANTOS  VALUE 'BCFS'.</t>
        </r>
      </text>
    </comment>
    <comment ref="R247" authorId="1" shapeId="0" xr:uid="{00000000-0006-0000-0400-000079000000}">
      <text>
        <r>
          <rPr>
            <b/>
            <sz val="9"/>
            <color indexed="81"/>
            <rFont val="Tahoma"/>
            <family val="2"/>
          </rPr>
          <t>88  :PREFIX:-FERNANDES  VALUE 'NF00'.
88  :PREFIX:-HELENA     VALUE 'HM00'.
88  :PREFIX:-HELENA1    VALUE 'HM01'.
88  :PREFIX:-HELENA2    VALUE 'HM02'.
88  :PREFIX:-RITA       VALUE 'RS01'.
88  :PREFIX:-CADMIN     VALUE 'CA6R'.
88  :PREFIX:-CADMIN1    VALUE 'CA61'.
88  :PREFIX:-ARTUR      VALUE 'AM00'.
88  :PREFIX:-ARTUR1     VALUE 'AM01'.
88  :PREFIX:-EUGENIA    VALUE 'EC00'.
88  :PREFIX:-BRISSOS    VALUE 'BC00'.
88  :PREFIX:-BRIART     VALUE 'BCAM'.
88  :PREFIX:-CORDEIRO   VALUE 'PC00'.
88  :PREFIX:-CORDEIRO1  VALUE 'PC01'.
88  :PREFIX:-BRICORD    VALUE 'BCPC'.
88  :PREFIX:-FFSANTOS   VALUE 'FS00'.
88  :PREFIX:-FFSANTOS1  VALUE 'FS01'.
88  :PREFIX:-BRISANTOS  VALUE 'BCFS'.</t>
        </r>
      </text>
    </comment>
    <comment ref="Q248" authorId="1" shapeId="0" xr:uid="{00000000-0006-0000-0400-00007A000000}">
      <text>
        <r>
          <rPr>
            <b/>
            <sz val="9"/>
            <color indexed="81"/>
            <rFont val="Tahoma"/>
            <family val="2"/>
          </rPr>
          <t>88  :PREFIX:-CEN-AGR-EX    VALUE 'CAE'.
88  :PREFIX:-CEN-AGR-NEX   VALUE 'CAN'.
88  :PREFIX:-CEN-NAGR-EX   VALUE 'CNE'.
88  :PREFIX:-CEN-NAGR-NEX  VALUE 'CNN'.
88  :PREFIX:-DES-AGR-NEX   VALUE 'DAN'.
88  :PREFIX:-DES-NAGR-NEX  VALUE 'DNN'.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48" authorId="1" shapeId="0" xr:uid="{00000000-0006-0000-0400-00007B000000}">
      <text>
        <r>
          <rPr>
            <b/>
            <sz val="9"/>
            <color indexed="81"/>
            <rFont val="Tahoma"/>
            <family val="2"/>
          </rPr>
          <t>88  :PREFIX:-CEN-AGR-EX    VALUE 'CAE'.
88  :PREFIX:-CEN-AGR-NEX   VALUE 'CAN'.
88  :PREFIX:-CEN-NAGR-EX   VALUE 'CNE'.
88  :PREFIX:-CEN-NAGR-NEX  VALUE 'CNN'.
88  :PREFIX:-DES-AGR-NEX   VALUE 'DAN'.
88  :PREFIX:-DES-NAGR-NEX  VALUE 'DNN'.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50" authorId="1" shapeId="0" xr:uid="{00000000-0006-0000-0400-00007C000000}">
      <text>
        <r>
          <rPr>
            <b/>
            <sz val="9"/>
            <color indexed="81"/>
            <rFont val="Tahoma"/>
            <family val="2"/>
          </rPr>
          <t>88  :PREFIX:-TIPO-HEADERM   VALUE 'HDMM'.
88  :PREFIX:-TIPO-HEADER01  VALUE 'HD01'.
88  :PREFIX:-TIPO-HEADER02  VALUE 'HD02'.
88  :PREFIX:-TIPO-HEADER03  VALUE 'HD03'.
88  :PREFIX:-TIPO-HEADER04  VALUE 'HD04'.
88  :PREFIX:-TIPO-HEADER05  VALUE 'HD05'.
88  :PREFIX:-TIPO-HEADER06  VALUE 'HD06'.
88  :PREFIX:-FRASE-REEMIS   VALUE 'DT00'.
88  :PREFIX:-TIPO-DETALHE   VALUE 'DT01'.
88  :PREFIX:-FIM-DOCUMENTO  VALUE 'ENDD'.
88  :PREFIX:-TRSF-INI       VALUE '0001'.
88  :PREFIX:-TRSF-FIM       VALUE '0002'.
88  :PREFIX:-TRSF-003       VALUE '0003'.
88  :PREFIX:-TRSF-004       VALUE '0004'.</t>
        </r>
      </text>
    </comment>
    <comment ref="R250" authorId="1" shapeId="0" xr:uid="{00000000-0006-0000-0400-00007D000000}">
      <text>
        <r>
          <rPr>
            <b/>
            <sz val="9"/>
            <color indexed="81"/>
            <rFont val="Tahoma"/>
            <family val="2"/>
          </rPr>
          <t>88  :PREFIX:-TIPO-HEADERM   VALUE 'HDMM'.
88  :PREFIX:-TIPO-HEADER01  VALUE 'HD01'.
88  :PREFIX:-TIPO-HEADER02  VALUE 'HD02'.
88  :PREFIX:-TIPO-HEADER03  VALUE 'HD03'.
88  :PREFIX:-TIPO-HEADER04  VALUE 'HD04'.
88  :PREFIX:-TIPO-HEADER05  VALUE 'HD05'.
88  :PREFIX:-TIPO-HEADER06  VALUE 'HD06'.
88  :PREFIX:-FRASE-REEMIS   VALUE 'DT00'.
88  :PREFIX:-TIPO-DETALHE   VALUE 'DT01'.
88  :PREFIX:-FIM-DOCUMENTO  VALUE 'ENDD'.
88  :PREFIX:-TRSF-INI       VALUE '0001'.
88  :PREFIX:-TRSF-FIM       VALUE '0002'.
88  :PREFIX:-TRSF-003       VALUE '0003'.
88  :PREFIX:-TRSF-004       VALUE '0004'.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51" authorId="1" shapeId="0" xr:uid="{00000000-0006-0000-0400-00007E000000}">
      <text>
        <r>
          <rPr>
            <b/>
            <sz val="9"/>
            <color indexed="81"/>
            <rFont val="Tahoma"/>
            <family val="2"/>
          </rPr>
          <t>88  :PREFIX:-ESPACO     VALUE ' '.
88  :PREFIX:-ONLINE     VALUE '1'.
88  :PREFIX:-SEG-VIA    VALUE '2'.
88  :PREFIX:-REGISTADA  VALUE '3'.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51" authorId="1" shapeId="0" xr:uid="{00000000-0006-0000-0400-00007F000000}">
      <text>
        <r>
          <rPr>
            <b/>
            <sz val="9"/>
            <color indexed="81"/>
            <rFont val="Tahoma"/>
            <family val="2"/>
          </rPr>
          <t>88  :PREFIX:-ESPACO     VALUE ' '.
88  :PREFIX:-ONLINE     VALUE '1'.
88  :PREFIX:-SEG-VIA    VALUE '2'.
88  :PREFIX:-REGISTADA  VALUE '3'.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52" authorId="1" shapeId="0" xr:uid="{00000000-0006-0000-0400-000080000000}">
      <text>
        <r>
          <rPr>
            <b/>
            <sz val="9"/>
            <color indexed="81"/>
            <rFont val="Tahoma"/>
            <family val="2"/>
          </rPr>
          <t>88  :PREFIX:-DOCID-CART       VALUE '   '.
88  :PREFIX:-DOCID-CART1      VALUE '001'.
88  :PREFIX:-DOCID-CP         VALUE '002'.
88  :PREFIX:-DOCID-CR         VALUE '003'.
88  :PREFIX:-DOCID-CERT       VALUE '004'.
88  :PREFIX:-DOCID-EXTR       VALUE '005'.
88  :PREFIX:-DOCID-TRF-CART   VALUE '006'.
88  :PREFIX:-DOCID-REC-SINIS  VALUE '007'.
88  :PREFIX:-DOCID-LISTA      VALUE '008'.
88  :PREFIX:-DOCID-LISTAH     VALUE '009'.</t>
        </r>
      </text>
    </comment>
    <comment ref="Q265" authorId="1" shapeId="0" xr:uid="{00000000-0006-0000-0400-000081000000}">
      <text>
        <r>
          <rPr>
            <b/>
            <sz val="9"/>
            <color indexed="81"/>
            <rFont val="Tahoma"/>
            <family val="2"/>
          </rPr>
          <t>88  :PREFIX:-TL-SAUDACAO          VALUE '0001'.
88  :PREFIX:-TL-ESPACOS           VALUE '0002'.
88  :PREFIX:-TL-CORRENTE          VALUE '0003'.
88  :PREFIX:-TL-FINAL-CORRENTE    VALUE 'F003'.
88  :PREFIX:-TL-RISCO             VALUE '0004'.
88  :PREFIX:-TL-TESOURA           VALUE '0005'.
88  :PREFIX:-TL-TRACEJADO         VALUE '0006'.
88  :PREFIX:-TL-TESOURA-COM-TR    VALUE '0007'.
88  :PREFIX:-TL-CUMPRIMENTOS      VALUE '0008'.
88  :PREFIX:-TL-LINHA-FIXA        VALUE '0009'.
88  :PREFIX:-TL-VERSO             VALUE '0010'.
88  :PREFIX:-TL-TITULO            VALUE '0011'.
88  :PREFIX:-TL-BLOCO-CG          VALUE '0012'.
88  :PREFIX:-TL-TES-TRAC-COMP     VALUE '0013'.
88  :PREFIX:-TL-TES-TRAC-MEDICIL  VALUE '0014'.
88  :PREFIX:-TL-RECSIN-CAIXA      VALUE '0015'.
88  :PREFIX:-TL-RECSIN-CBARRAS    VALUE '0016'.
88  :PREFIX:-TL-FIXA-BIN          VALUE '0017'.
88  :PREFIX:-TL-FRASE-REEMIS      VALUE '0018'.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65" authorId="1" shapeId="0" xr:uid="{00000000-0006-0000-0400-000082000000}">
      <text>
        <r>
          <rPr>
            <b/>
            <sz val="9"/>
            <color indexed="81"/>
            <rFont val="Tahoma"/>
            <family val="2"/>
          </rPr>
          <t>88  :PREFIX:-TL-SAUDACAO          VALUE '0001'.
88  :PREFIX:-TL-ESPACOS           VALUE '0002'.
88  :PREFIX:-TL-CORRENTE          VALUE '0003'.
88  :PREFIX:-TL-FINAL-CORRENTE    VALUE 'F003'.
88  :PREFIX:-TL-RISCO             VALUE '0004'.
88  :PREFIX:-TL-TESOURA           VALUE '0005'.
88  :PREFIX:-TL-TRACEJADO         VALUE '0006'.
88  :PREFIX:-TL-TESOURA-COM-TR    VALUE '0007'.
88  :PREFIX:-TL-CUMPRIMENTOS      VALUE '0008'.
88  :PREFIX:-TL-LINHA-FIXA        VALUE '0009'.
88  :PREFIX:-TL-VERSO             VALUE '0010'.
88  :PREFIX:-TL-TITULO            VALUE '0011'.
88  :PREFIX:-TL-BLOCO-CG          VALUE '0012'.
88  :PREFIX:-TL-TES-TRAC-COMP     VALUE '0013'.
88  :PREFIX:-TL-TES-TRAC-MEDICIL  VALUE '0014'.
88  :PREFIX:-TL-RECSIN-CAIXA      VALUE '0015'.
88  :PREFIX:-TL-RECSIN-CBARRAS    VALUE '0016'.
88  :PREFIX:-TL-FIXA-BIN          VALUE '0017'.
88  :PREFIX:-TL-FRASE-REEMIS      VALUE '0018'.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66" authorId="1" shapeId="0" xr:uid="{00000000-0006-0000-0400-000083000000}">
      <text>
        <r>
          <rPr>
            <b/>
            <sz val="9"/>
            <color indexed="81"/>
            <rFont val="Tahoma"/>
            <family val="2"/>
          </rPr>
          <t>88  :PREFIX:-TL-NORM         VALUE '0001'.
88  :PREFIX:-TL-INDENT-NORM  VALUE '0002'.
88  :PREFIX:-TL-BOLD         VALUE '0003'.
88  :PREFIX:-TL-INDENT-BOLD  VALUE '0004'.
88  :PREFIX:-TL-NORM-PEQ     VALUE '0005'.
88  :PREFIX:-TL-BOLD-PEQ     VALUE '0006'.
88  :PREFIX:-TL-FIXA-PEQ     VALUE '0007'.</t>
        </r>
      </text>
    </comment>
    <comment ref="R266" authorId="1" shapeId="0" xr:uid="{00000000-0006-0000-0400-000084000000}">
      <text>
        <r>
          <rPr>
            <b/>
            <sz val="9"/>
            <color indexed="81"/>
            <rFont val="Tahoma"/>
            <family val="2"/>
          </rPr>
          <t>88  :PREFIX:-TL-NORM         VALUE '0001'.
88  :PREFIX:-TL-INDENT-NORM  VALUE '0002'.
88  :PREFIX:-TL-BOLD         VALUE '0003'.
88  :PREFIX:-TL-INDENT-BOLD  VALUE '0004'.
88  :PREFIX:-TL-NORM-PEQ     VALUE '0005'.
88  :PREFIX:-TL-BOLD-PEQ     VALUE '0006'.
88  :PREFIX:-TL-FIXA-PEQ     VALUE '0007'.</t>
        </r>
      </text>
    </comment>
    <comment ref="K269" authorId="1" shapeId="0" xr:uid="{00000000-0006-0000-0400-000085000000}">
      <text>
        <r>
          <rPr>
            <b/>
            <sz val="9"/>
            <color indexed="81"/>
            <rFont val="Tahoma"/>
            <family val="2"/>
          </rPr>
          <t>É passado ao PGOC011A que por sua vez não utiliza!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69" authorId="1" shapeId="0" xr:uid="{00000000-0006-0000-0400-000086000000}">
      <text>
        <r>
          <rPr>
            <b/>
            <sz val="9"/>
            <color indexed="81"/>
            <rFont val="Tahoma"/>
            <family val="2"/>
          </rPr>
          <t>Não é utilizado!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69" authorId="1" shapeId="0" xr:uid="{00000000-0006-0000-0400-000087000000}">
      <text>
        <r>
          <rPr>
            <b/>
            <sz val="9"/>
            <color indexed="81"/>
            <rFont val="Tahoma"/>
            <family val="2"/>
          </rPr>
          <t>Utilizado apenas para o "CERTIFICADO DE TARIFACAO"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70" authorId="1" shapeId="0" xr:uid="{00000000-0006-0000-0400-000088000000}">
      <text>
        <r>
          <rPr>
            <b/>
            <sz val="9"/>
            <color indexed="81"/>
            <rFont val="Tahoma"/>
            <family val="2"/>
          </rPr>
          <t>É passado ao PGOC011A que por sua vez não utiliza!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70" authorId="1" shapeId="0" xr:uid="{00000000-0006-0000-0400-000089000000}">
      <text>
        <r>
          <rPr>
            <b/>
            <sz val="9"/>
            <color indexed="81"/>
            <rFont val="Tahoma"/>
            <family val="2"/>
          </rPr>
          <t>Não é utilizado!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71" authorId="1" shapeId="0" xr:uid="{00000000-0006-0000-0400-00008A000000}">
      <text>
        <r>
          <rPr>
            <b/>
            <sz val="9"/>
            <color indexed="81"/>
            <rFont val="Tahoma"/>
            <family val="2"/>
          </rPr>
          <t>Apenas VD
Vem sempre a Zeros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71" authorId="1" shapeId="0" xr:uid="{00000000-0006-0000-0400-00008B000000}">
      <text>
        <r>
          <rPr>
            <b/>
            <sz val="9"/>
            <color indexed="81"/>
            <rFont val="Tahoma"/>
            <family val="2"/>
          </rPr>
          <t>Apenas VD
Vem sempre a Zeros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72" authorId="1" shapeId="0" xr:uid="{00000000-0006-0000-0400-00008C000000}">
      <text>
        <r>
          <rPr>
            <b/>
            <sz val="9"/>
            <color indexed="81"/>
            <rFont val="Tahoma"/>
            <family val="2"/>
          </rPr>
          <t>Apenas VD
Vem sempre a Zeros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72" authorId="1" shapeId="0" xr:uid="{00000000-0006-0000-0400-00008D000000}">
      <text>
        <r>
          <rPr>
            <b/>
            <sz val="9"/>
            <color indexed="81"/>
            <rFont val="Tahoma"/>
            <family val="2"/>
          </rPr>
          <t>Apenas VD
Vem sempre a Zeros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73" authorId="1" shapeId="0" xr:uid="{00000000-0006-0000-0400-00008E000000}">
      <text>
        <r>
          <rPr>
            <b/>
            <sz val="9"/>
            <color indexed="81"/>
            <rFont val="Tahoma"/>
            <family val="2"/>
          </rPr>
          <t>Apenas VD
Vem sempre a Zeros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73" authorId="1" shapeId="0" xr:uid="{00000000-0006-0000-0400-00008F000000}">
      <text>
        <r>
          <rPr>
            <b/>
            <sz val="9"/>
            <color indexed="81"/>
            <rFont val="Tahoma"/>
            <family val="2"/>
          </rPr>
          <t>Apenas VD
Vem sempre a Zeros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74" authorId="1" shapeId="0" xr:uid="{00000000-0006-0000-0400-000090000000}">
      <text>
        <r>
          <rPr>
            <b/>
            <sz val="9"/>
            <color indexed="81"/>
            <rFont val="Tahoma"/>
            <family val="2"/>
          </rPr>
          <t>Apenas VD
Vem sempre a Zeros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74" authorId="1" shapeId="0" xr:uid="{00000000-0006-0000-0400-000091000000}">
      <text>
        <r>
          <rPr>
            <b/>
            <sz val="9"/>
            <color indexed="81"/>
            <rFont val="Tahoma"/>
            <family val="2"/>
          </rPr>
          <t>Apenas VD
Vem sempre a Zeros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75" authorId="1" shapeId="0" xr:uid="{00000000-0006-0000-0400-000092000000}">
      <text>
        <r>
          <rPr>
            <b/>
            <sz val="9"/>
            <color indexed="81"/>
            <rFont val="Tahoma"/>
            <family val="2"/>
          </rPr>
          <t>Apenas VD
Vem sempre a Zeros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75" authorId="1" shapeId="0" xr:uid="{00000000-0006-0000-0400-000093000000}">
      <text>
        <r>
          <rPr>
            <b/>
            <sz val="9"/>
            <color indexed="81"/>
            <rFont val="Tahoma"/>
            <family val="2"/>
          </rPr>
          <t>Apenas VD
Vem sempre a Zeros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Ângela Cristiane Puhl [EE] (DSI)</author>
    <author>Paulo Jorge Santos Graça [EE] (DSI)</author>
  </authors>
  <commentList>
    <comment ref="G28" authorId="0" shapeId="0" xr:uid="{00000000-0006-0000-0A00-000001000000}">
      <text>
        <r>
          <rPr>
            <sz val="9"/>
            <color indexed="81"/>
            <rFont val="Tahoma"/>
            <family val="2"/>
          </rPr>
          <t xml:space="preserve">Obrigatório quando impressão on-line, TIPO-IMPRESSAO = I </t>
        </r>
      </text>
    </comment>
    <comment ref="G42" authorId="0" shapeId="0" xr:uid="{00000000-0006-0000-0A00-000002000000}">
      <text>
        <r>
          <rPr>
            <sz val="9"/>
            <color indexed="81"/>
            <rFont val="Tahoma"/>
            <family val="2"/>
          </rPr>
          <t xml:space="preserve">Preenchido quando Leve, apenas para marcas FM e IB.
</t>
        </r>
      </text>
    </comment>
    <comment ref="G61" authorId="0" shapeId="0" xr:uid="{00000000-0006-0000-0A00-000003000000}">
      <text>
        <r>
          <rPr>
            <sz val="9"/>
            <color indexed="81"/>
            <rFont val="Tahoma"/>
            <family val="2"/>
          </rPr>
          <t>CDC1</t>
        </r>
      </text>
    </comment>
    <comment ref="G62" authorId="0" shapeId="0" xr:uid="{00000000-0006-0000-0A00-000004000000}">
      <text>
        <r>
          <rPr>
            <sz val="9"/>
            <color indexed="81"/>
            <rFont val="Tahoma"/>
            <family val="2"/>
          </rPr>
          <t>CHIP</t>
        </r>
      </text>
    </comment>
    <comment ref="D63" authorId="1" shapeId="0" xr:uid="{00000000-0006-0000-0A00-000005000000}">
      <text>
        <r>
          <rPr>
            <b/>
            <sz val="8"/>
            <color indexed="81"/>
            <rFont val="Tahoma"/>
            <family val="2"/>
          </rPr>
          <t>Seguro Novo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05" authorId="0" shapeId="0" xr:uid="{00000000-0006-0000-0A00-000006000000}">
      <text>
        <r>
          <rPr>
            <sz val="9"/>
            <color indexed="81"/>
            <rFont val="Tahoma"/>
            <family val="2"/>
          </rPr>
          <t>CDC1
PC01</t>
        </r>
      </text>
    </comment>
    <comment ref="G106" authorId="0" shapeId="0" xr:uid="{00000000-0006-0000-0A00-000007000000}">
      <text>
        <r>
          <rPr>
            <sz val="9"/>
            <color indexed="81"/>
            <rFont val="Tahoma"/>
            <family val="2"/>
          </rPr>
          <t>CDC1
PC01</t>
        </r>
      </text>
    </comment>
    <comment ref="G112" authorId="0" shapeId="0" xr:uid="{00000000-0006-0000-0A00-000008000000}">
      <text>
        <r>
          <rPr>
            <sz val="9"/>
            <color indexed="81"/>
            <rFont val="Tahoma"/>
            <family val="2"/>
          </rPr>
          <t>CDC1
PC01
CHIP</t>
        </r>
      </text>
    </comment>
    <comment ref="G113" authorId="0" shapeId="0" xr:uid="{00000000-0006-0000-0A00-000009000000}">
      <text>
        <r>
          <rPr>
            <sz val="9"/>
            <color indexed="81"/>
            <rFont val="Tahoma"/>
            <family val="2"/>
          </rPr>
          <t>CDC1
PC01
CHIP</t>
        </r>
      </text>
    </comment>
    <comment ref="G114" authorId="0" shapeId="0" xr:uid="{00000000-0006-0000-0A00-00000A000000}">
      <text>
        <r>
          <rPr>
            <sz val="9"/>
            <color indexed="81"/>
            <rFont val="Tahoma"/>
            <family val="2"/>
          </rPr>
          <t>CDC1
PC01
CHIP</t>
        </r>
      </text>
    </comment>
    <comment ref="G115" authorId="0" shapeId="0" xr:uid="{00000000-0006-0000-0A00-00000B000000}">
      <text>
        <r>
          <rPr>
            <sz val="9"/>
            <color indexed="81"/>
            <rFont val="Tahoma"/>
            <family val="2"/>
          </rPr>
          <t>CDC1
PC01
CHIP</t>
        </r>
      </text>
    </comment>
    <comment ref="G116" authorId="0" shapeId="0" xr:uid="{00000000-0006-0000-0A00-00000C000000}">
      <text>
        <r>
          <rPr>
            <sz val="9"/>
            <color indexed="81"/>
            <rFont val="Tahoma"/>
            <family val="2"/>
          </rPr>
          <t>CDC1
PC01
CHIP</t>
        </r>
      </text>
    </comment>
    <comment ref="G117" authorId="0" shapeId="0" xr:uid="{00000000-0006-0000-0A00-00000D000000}">
      <text>
        <r>
          <rPr>
            <sz val="9"/>
            <color indexed="81"/>
            <rFont val="Tahoma"/>
            <family val="2"/>
          </rPr>
          <t>CDC1
PC01
CHIP</t>
        </r>
      </text>
    </comment>
    <comment ref="G118" authorId="0" shapeId="0" xr:uid="{00000000-0006-0000-0A00-00000E000000}">
      <text>
        <r>
          <rPr>
            <sz val="9"/>
            <color indexed="81"/>
            <rFont val="Tahoma"/>
            <family val="2"/>
          </rPr>
          <t>CDC1
PC01
CHIP</t>
        </r>
      </text>
    </comment>
    <comment ref="G119" authorId="0" shapeId="0" xr:uid="{00000000-0006-0000-0A00-00000F000000}">
      <text>
        <r>
          <rPr>
            <sz val="9"/>
            <color indexed="81"/>
            <rFont val="Tahoma"/>
            <family val="2"/>
          </rPr>
          <t>CDC1
PC01
CHIP</t>
        </r>
      </text>
    </comment>
    <comment ref="G120" authorId="0" shapeId="0" xr:uid="{00000000-0006-0000-0A00-000010000000}">
      <text>
        <r>
          <rPr>
            <sz val="9"/>
            <color indexed="81"/>
            <rFont val="Tahoma"/>
            <family val="2"/>
          </rPr>
          <t>CDC1
PC01
CHIP</t>
        </r>
      </text>
    </comment>
    <comment ref="G121" authorId="0" shapeId="0" xr:uid="{00000000-0006-0000-0A00-000011000000}">
      <text>
        <r>
          <rPr>
            <sz val="9"/>
            <color indexed="81"/>
            <rFont val="Tahoma"/>
            <family val="2"/>
          </rPr>
          <t>CDC1
PC01
CHIP</t>
        </r>
      </text>
    </comment>
    <comment ref="G127" authorId="0" shapeId="0" xr:uid="{00000000-0006-0000-0A00-000012000000}">
      <text>
        <r>
          <rPr>
            <sz val="9"/>
            <color indexed="81"/>
            <rFont val="Tahoma"/>
            <family val="2"/>
          </rPr>
          <t xml:space="preserve">CDC1
</t>
        </r>
      </text>
    </comment>
    <comment ref="G128" authorId="0" shapeId="0" xr:uid="{00000000-0006-0000-0A00-000013000000}">
      <text>
        <r>
          <rPr>
            <sz val="9"/>
            <color indexed="81"/>
            <rFont val="Tahoma"/>
            <family val="2"/>
          </rPr>
          <t xml:space="preserve">CDC1
</t>
        </r>
      </text>
    </comment>
    <comment ref="G129" authorId="0" shapeId="0" xr:uid="{00000000-0006-0000-0A00-000014000000}">
      <text>
        <r>
          <rPr>
            <sz val="9"/>
            <color indexed="81"/>
            <rFont val="Tahoma"/>
            <family val="2"/>
          </rPr>
          <t>CDC1
PC01
CHIP</t>
        </r>
      </text>
    </comment>
    <comment ref="G130" authorId="0" shapeId="0" xr:uid="{00000000-0006-0000-0A00-000015000000}">
      <text>
        <r>
          <rPr>
            <sz val="9"/>
            <color indexed="81"/>
            <rFont val="Tahoma"/>
            <family val="2"/>
          </rPr>
          <t>CDC1
PC01
CHIP</t>
        </r>
      </text>
    </comment>
    <comment ref="G131" authorId="0" shapeId="0" xr:uid="{00000000-0006-0000-0A00-000016000000}">
      <text>
        <r>
          <rPr>
            <sz val="9"/>
            <color indexed="81"/>
            <rFont val="Tahoma"/>
            <family val="2"/>
          </rPr>
          <t>CDC1 - quando &lt;&gt; espaços faz carta perda total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33" authorId="0" shapeId="0" xr:uid="{00000000-0006-0000-0A00-000017000000}">
      <text>
        <r>
          <rPr>
            <sz val="9"/>
            <color indexed="81"/>
            <rFont val="Tahoma"/>
            <family val="2"/>
          </rPr>
          <t xml:space="preserve">CDC1
</t>
        </r>
      </text>
    </comment>
    <comment ref="G143" authorId="0" shapeId="0" xr:uid="{00000000-0006-0000-0A00-000018000000}">
      <text>
        <r>
          <rPr>
            <sz val="9"/>
            <color indexed="81"/>
            <rFont val="Tahoma"/>
            <family val="2"/>
          </rPr>
          <t>CDC1 - quando possui agente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4" authorId="0" shapeId="0" xr:uid="{00000000-0006-0000-0A00-000019000000}">
      <text>
        <r>
          <rPr>
            <sz val="9"/>
            <color indexed="81"/>
            <rFont val="Tahoma"/>
            <family val="2"/>
          </rPr>
          <t>CDC1 - quando possui agente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5" authorId="0" shapeId="0" xr:uid="{00000000-0006-0000-0A00-00001A000000}">
      <text>
        <r>
          <rPr>
            <sz val="9"/>
            <color indexed="81"/>
            <rFont val="Tahoma"/>
            <family val="2"/>
          </rPr>
          <t>CDC1 - quando possui agente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6" authorId="0" shapeId="0" xr:uid="{00000000-0006-0000-0A00-00001B000000}">
      <text>
        <r>
          <rPr>
            <sz val="9"/>
            <color indexed="81"/>
            <rFont val="Tahoma"/>
            <family val="2"/>
          </rPr>
          <t>CDC1 - quando possui agente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7" authorId="0" shapeId="0" xr:uid="{00000000-0006-0000-0A00-00001C000000}">
      <text>
        <r>
          <rPr>
            <sz val="9"/>
            <color indexed="81"/>
            <rFont val="Tahoma"/>
            <family val="2"/>
          </rPr>
          <t>CDC1 - quando possui agente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8" authorId="0" shapeId="0" xr:uid="{00000000-0006-0000-0A00-00001D000000}">
      <text>
        <r>
          <rPr>
            <sz val="9"/>
            <color indexed="81"/>
            <rFont val="Tahoma"/>
            <family val="2"/>
          </rPr>
          <t>CDC1 - quando possui agente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9" authorId="0" shapeId="0" xr:uid="{00000000-0006-0000-0A00-00001E000000}">
      <text>
        <r>
          <rPr>
            <sz val="9"/>
            <color indexed="81"/>
            <rFont val="Tahoma"/>
            <family val="2"/>
          </rPr>
          <t>CDC1 - quando possui agente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50" authorId="0" shapeId="0" xr:uid="{00000000-0006-0000-0A00-00001F000000}">
      <text>
        <r>
          <rPr>
            <sz val="9"/>
            <color indexed="81"/>
            <rFont val="Tahoma"/>
            <family val="2"/>
          </rPr>
          <t>CDC1 - quando possui agente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51" authorId="0" shapeId="0" xr:uid="{00000000-0006-0000-0A00-000020000000}">
      <text>
        <r>
          <rPr>
            <sz val="9"/>
            <color indexed="81"/>
            <rFont val="Tahoma"/>
            <family val="2"/>
          </rPr>
          <t>CDC1 - quando possui agente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52" authorId="0" shapeId="0" xr:uid="{00000000-0006-0000-0A00-000021000000}">
      <text>
        <r>
          <rPr>
            <sz val="9"/>
            <color indexed="81"/>
            <rFont val="Tahoma"/>
            <family val="2"/>
          </rPr>
          <t>CDC1 - quando possui agente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57" authorId="0" shapeId="0" xr:uid="{00000000-0006-0000-0A00-000022000000}">
      <text>
        <r>
          <rPr>
            <sz val="9"/>
            <color indexed="81"/>
            <rFont val="Tahoma"/>
            <family val="2"/>
          </rPr>
          <t>CHIP e ENTI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58" authorId="0" shapeId="0" xr:uid="{00000000-0006-0000-0A00-000023000000}">
      <text>
        <r>
          <rPr>
            <sz val="9"/>
            <color indexed="81"/>
            <rFont val="Tahoma"/>
            <family val="2"/>
          </rPr>
          <t>CHIP e ENTI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59" authorId="0" shapeId="0" xr:uid="{00000000-0006-0000-0A00-000024000000}">
      <text>
        <r>
          <rPr>
            <sz val="9"/>
            <color indexed="81"/>
            <rFont val="Tahoma"/>
            <family val="2"/>
          </rPr>
          <t>CHIP e ENTI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60" authorId="0" shapeId="0" xr:uid="{00000000-0006-0000-0A00-000025000000}">
      <text>
        <r>
          <rPr>
            <sz val="9"/>
            <color indexed="81"/>
            <rFont val="Tahoma"/>
            <family val="2"/>
          </rPr>
          <t>CHIP e ENTI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61" authorId="0" shapeId="0" xr:uid="{00000000-0006-0000-0A00-000026000000}">
      <text>
        <r>
          <rPr>
            <sz val="9"/>
            <color indexed="81"/>
            <rFont val="Tahoma"/>
            <family val="2"/>
          </rPr>
          <t>CHIP e ENTI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62" authorId="0" shapeId="0" xr:uid="{00000000-0006-0000-0A00-000027000000}">
      <text>
        <r>
          <rPr>
            <sz val="9"/>
            <color indexed="81"/>
            <rFont val="Tahoma"/>
            <family val="2"/>
          </rPr>
          <t>CHIP e ENTI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63" authorId="0" shapeId="0" xr:uid="{00000000-0006-0000-0A00-000028000000}">
      <text>
        <r>
          <rPr>
            <sz val="9"/>
            <color indexed="81"/>
            <rFont val="Tahoma"/>
            <family val="2"/>
          </rPr>
          <t>CHIP e ENTI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64" authorId="0" shapeId="0" xr:uid="{00000000-0006-0000-0A00-000029000000}">
      <text>
        <r>
          <rPr>
            <sz val="9"/>
            <color indexed="81"/>
            <rFont val="Tahoma"/>
            <family val="2"/>
          </rPr>
          <t>CHIP e ENTI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65" authorId="0" shapeId="0" xr:uid="{00000000-0006-0000-0A00-00002A000000}">
      <text>
        <r>
          <rPr>
            <sz val="9"/>
            <color indexed="81"/>
            <rFont val="Tahoma"/>
            <family val="2"/>
          </rPr>
          <t>CHIP e ENTI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66" authorId="0" shapeId="0" xr:uid="{00000000-0006-0000-0A00-00002B000000}">
      <text>
        <r>
          <rPr>
            <sz val="9"/>
            <color indexed="81"/>
            <rFont val="Tahoma"/>
            <family val="2"/>
          </rPr>
          <t>CHIP e ENTI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67" authorId="0" shapeId="0" xr:uid="{00000000-0006-0000-0A00-00002C000000}">
      <text>
        <r>
          <rPr>
            <sz val="9"/>
            <color indexed="81"/>
            <rFont val="Tahoma"/>
            <family val="2"/>
          </rPr>
          <t>CHIP e ENTI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68" authorId="0" shapeId="0" xr:uid="{00000000-0006-0000-0A00-00002D000000}">
      <text>
        <r>
          <rPr>
            <sz val="9"/>
            <color indexed="81"/>
            <rFont val="Tahoma"/>
            <family val="2"/>
          </rPr>
          <t>CHIP e ENTI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70" authorId="0" shapeId="0" xr:uid="{00000000-0006-0000-0A00-00002E000000}">
      <text>
        <r>
          <rPr>
            <sz val="9"/>
            <color indexed="81"/>
            <rFont val="Tahoma"/>
            <family val="2"/>
          </rPr>
          <t>CDC1
CHIP - Tem de ser 1</t>
        </r>
      </text>
    </comment>
    <comment ref="G171" authorId="0" shapeId="0" xr:uid="{00000000-0006-0000-0A00-00002F000000}">
      <text>
        <r>
          <rPr>
            <sz val="9"/>
            <color indexed="81"/>
            <rFont val="Tahoma"/>
            <family val="2"/>
          </rPr>
          <t>CDC1
CHIP</t>
        </r>
      </text>
    </comment>
    <comment ref="D182" authorId="1" shapeId="0" xr:uid="{00000000-0006-0000-0A00-000030000000}">
      <text>
        <r>
          <rPr>
            <b/>
            <sz val="8"/>
            <color indexed="81"/>
            <rFont val="Tahoma"/>
            <family val="2"/>
          </rPr>
          <t>A utilizar em casos que não tem detalhe especifico por ramo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82" authorId="0" shapeId="0" xr:uid="{00000000-0006-0000-0A00-000031000000}">
      <text>
        <r>
          <rPr>
            <sz val="9"/>
            <color indexed="81"/>
            <rFont val="Tahoma"/>
            <family val="2"/>
          </rPr>
          <t xml:space="preserve">GR
</t>
        </r>
      </text>
    </comment>
    <comment ref="G185" authorId="0" shapeId="0" xr:uid="{00000000-0006-0000-0A00-000032000000}">
      <text>
        <r>
          <rPr>
            <sz val="9"/>
            <color indexed="81"/>
            <rFont val="Tahoma"/>
            <family val="2"/>
          </rPr>
          <t>VR</t>
        </r>
      </text>
    </comment>
    <comment ref="G186" authorId="0" shapeId="0" xr:uid="{00000000-0006-0000-0A00-000033000000}">
      <text>
        <r>
          <rPr>
            <sz val="9"/>
            <color indexed="81"/>
            <rFont val="Tahoma"/>
            <family val="2"/>
          </rPr>
          <t>VR</t>
        </r>
      </text>
    </comment>
    <comment ref="G187" authorId="0" shapeId="0" xr:uid="{00000000-0006-0000-0A00-000034000000}">
      <text>
        <r>
          <rPr>
            <sz val="9"/>
            <color indexed="81"/>
            <rFont val="Tahoma"/>
            <family val="2"/>
          </rPr>
          <t>VR</t>
        </r>
      </text>
    </comment>
    <comment ref="G188" authorId="0" shapeId="0" xr:uid="{00000000-0006-0000-0A00-000035000000}">
      <text>
        <r>
          <rPr>
            <sz val="9"/>
            <color indexed="81"/>
            <rFont val="Tahoma"/>
            <family val="2"/>
          </rPr>
          <t>VR</t>
        </r>
      </text>
    </comment>
    <comment ref="G189" authorId="0" shapeId="0" xr:uid="{00000000-0006-0000-0A00-000036000000}">
      <text>
        <r>
          <rPr>
            <sz val="9"/>
            <color indexed="81"/>
            <rFont val="Tahoma"/>
            <family val="2"/>
          </rPr>
          <t>VR</t>
        </r>
      </text>
    </comment>
    <comment ref="G190" authorId="0" shapeId="0" xr:uid="{00000000-0006-0000-0A00-000037000000}">
      <text>
        <r>
          <rPr>
            <sz val="9"/>
            <color indexed="81"/>
            <rFont val="Tahoma"/>
            <family val="2"/>
          </rPr>
          <t>VR</t>
        </r>
      </text>
    </comment>
    <comment ref="G201" authorId="0" shapeId="0" xr:uid="{00000000-0006-0000-0A00-000038000000}">
      <text>
        <r>
          <rPr>
            <sz val="9"/>
            <color indexed="81"/>
            <rFont val="Tahoma"/>
            <family val="2"/>
          </rPr>
          <t xml:space="preserve">VH
</t>
        </r>
      </text>
    </comment>
    <comment ref="G202" authorId="0" shapeId="0" xr:uid="{00000000-0006-0000-0A00-000039000000}">
      <text>
        <r>
          <rPr>
            <sz val="9"/>
            <color indexed="81"/>
            <rFont val="Tahoma"/>
            <family val="2"/>
          </rPr>
          <t xml:space="preserve">VH
</t>
        </r>
      </text>
    </comment>
    <comment ref="G203" authorId="0" shapeId="0" xr:uid="{00000000-0006-0000-0A00-00003A000000}">
      <text>
        <r>
          <rPr>
            <sz val="9"/>
            <color indexed="81"/>
            <rFont val="Tahoma"/>
            <family val="2"/>
          </rPr>
          <t xml:space="preserve">VH
</t>
        </r>
      </text>
    </comment>
    <comment ref="G204" authorId="0" shapeId="0" xr:uid="{00000000-0006-0000-0A00-00003B000000}">
      <text>
        <r>
          <rPr>
            <sz val="9"/>
            <color indexed="81"/>
            <rFont val="Tahoma"/>
            <family val="2"/>
          </rPr>
          <t xml:space="preserve">VH
</t>
        </r>
      </text>
    </comment>
    <comment ref="D207" authorId="1" shapeId="0" xr:uid="{00000000-0006-0000-0A00-00003C000000}">
      <text>
        <r>
          <rPr>
            <b/>
            <sz val="9"/>
            <color indexed="81"/>
            <rFont val="Tahoma"/>
            <family val="2"/>
          </rPr>
          <t>Especifico para Garagista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7" authorId="0" shapeId="0" xr:uid="{00000000-0006-0000-0A00-00003D000000}">
      <text>
        <r>
          <rPr>
            <sz val="9"/>
            <color indexed="81"/>
            <rFont val="Tahoma"/>
            <family val="2"/>
          </rPr>
          <t xml:space="preserve">VG
</t>
        </r>
      </text>
    </comment>
    <comment ref="D208" authorId="1" shapeId="0" xr:uid="{00000000-0006-0000-0A00-00003E000000}">
      <text>
        <r>
          <rPr>
            <b/>
            <sz val="9"/>
            <color indexed="81"/>
            <rFont val="Tahoma"/>
            <family val="2"/>
          </rPr>
          <t>Especifico para Garagista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8" authorId="0" shapeId="0" xr:uid="{00000000-0006-0000-0A00-00003F000000}">
      <text>
        <r>
          <rPr>
            <sz val="9"/>
            <color indexed="81"/>
            <rFont val="Tahoma"/>
            <family val="2"/>
          </rPr>
          <t xml:space="preserve">VG
</t>
        </r>
      </text>
    </comment>
    <comment ref="G211" authorId="0" shapeId="0" xr:uid="{00000000-0006-0000-0A00-000040000000}">
      <text>
        <r>
          <rPr>
            <sz val="9"/>
            <color indexed="81"/>
            <rFont val="Tahoma"/>
            <family val="2"/>
          </rPr>
          <t xml:space="preserve">VO
</t>
        </r>
      </text>
    </comment>
    <comment ref="G214" authorId="0" shapeId="0" xr:uid="{00000000-0006-0000-0A00-000041000000}">
      <text>
        <r>
          <rPr>
            <sz val="9"/>
            <color indexed="81"/>
            <rFont val="Tahoma"/>
            <family val="2"/>
          </rPr>
          <t xml:space="preserve">MR
</t>
        </r>
      </text>
    </comment>
    <comment ref="G215" authorId="0" shapeId="0" xr:uid="{00000000-0006-0000-0A00-000042000000}">
      <text>
        <r>
          <rPr>
            <sz val="9"/>
            <color indexed="81"/>
            <rFont val="Tahoma"/>
            <family val="2"/>
          </rPr>
          <t xml:space="preserve">MR
</t>
        </r>
      </text>
    </comment>
    <comment ref="G216" authorId="0" shapeId="0" xr:uid="{00000000-0006-0000-0A00-000043000000}">
      <text>
        <r>
          <rPr>
            <sz val="9"/>
            <color indexed="81"/>
            <rFont val="Tahoma"/>
            <family val="2"/>
          </rPr>
          <t xml:space="preserve">MR
</t>
        </r>
      </text>
    </comment>
    <comment ref="G217" authorId="0" shapeId="0" xr:uid="{00000000-0006-0000-0A00-000044000000}">
      <text>
        <r>
          <rPr>
            <sz val="9"/>
            <color indexed="81"/>
            <rFont val="Tahoma"/>
            <family val="2"/>
          </rPr>
          <t xml:space="preserve">MR
</t>
        </r>
      </text>
    </comment>
    <comment ref="G218" authorId="0" shapeId="0" xr:uid="{00000000-0006-0000-0A00-000045000000}">
      <text>
        <r>
          <rPr>
            <sz val="9"/>
            <color indexed="81"/>
            <rFont val="Tahoma"/>
            <family val="2"/>
          </rPr>
          <t xml:space="preserve">MR
</t>
        </r>
      </text>
    </comment>
    <comment ref="G219" authorId="0" shapeId="0" xr:uid="{00000000-0006-0000-0A00-000046000000}">
      <text>
        <r>
          <rPr>
            <sz val="9"/>
            <color indexed="81"/>
            <rFont val="Tahoma"/>
            <family val="2"/>
          </rPr>
          <t xml:space="preserve">MR
</t>
        </r>
      </text>
    </comment>
    <comment ref="G222" authorId="0" shapeId="0" xr:uid="{00000000-0006-0000-0A00-000047000000}">
      <text>
        <r>
          <rPr>
            <sz val="9"/>
            <color indexed="81"/>
            <rFont val="Tahoma"/>
            <family val="2"/>
          </rPr>
          <t xml:space="preserve">AT
</t>
        </r>
      </text>
    </comment>
  </commentList>
</comments>
</file>

<file path=xl/sharedStrings.xml><?xml version="1.0" encoding="utf-8"?>
<sst xmlns="http://schemas.openxmlformats.org/spreadsheetml/2006/main" count="16395" uniqueCount="9376">
  <si>
    <t>Tarefa</t>
  </si>
  <si>
    <t>Descrição</t>
  </si>
  <si>
    <t>Programas</t>
  </si>
  <si>
    <t>Copybooks</t>
  </si>
  <si>
    <t>Situação</t>
  </si>
  <si>
    <t>CHAPAO NOVO</t>
  </si>
  <si>
    <t>Overlays a replicar (após informação do que fica e como fica)</t>
  </si>
  <si>
    <t>HGO010DN</t>
  </si>
  <si>
    <t>Cartas de Cancelamento (PRIC)
   - CHIP: Pré-Aviso p/ Entidade Interessada
   - ENTI: Carta Canc. p/ Entidade Interessada
   - CTAD: Carta Canc. p/ Agente Cobrador</t>
  </si>
  <si>
    <t>PGOA405</t>
  </si>
  <si>
    <t>BGOW9001</t>
  </si>
  <si>
    <t>X080</t>
  </si>
  <si>
    <t>PF5C80</t>
  </si>
  <si>
    <r>
      <t xml:space="preserve">CHIP - Continuado regime geral - OM5BK0
</t>
    </r>
    <r>
      <rPr>
        <sz val="8"/>
        <color rgb="FFFF0000"/>
        <rFont val="Arial Narrow"/>
        <family val="2"/>
      </rPr>
      <t>CHIP - Continuado regime especial - OM5BK1</t>
    </r>
    <r>
      <rPr>
        <sz val="8"/>
        <color theme="1"/>
        <rFont val="Arial Narrow"/>
        <family val="2"/>
      </rPr>
      <t xml:space="preserve">
CHIP - Nao continuado regime geral - OM5BK2</t>
    </r>
  </si>
  <si>
    <t>ENTI - Entidade Interessada - OM4AJ3</t>
  </si>
  <si>
    <r>
      <t xml:space="preserve">CTAD - FS   - Pendente - OM5AL OM5AL7 OFX095 (X080BNCTP)
CTAD - MC - Pendente - OM5AL OM5AL7 OFX099 (X080BNCTP2)
</t>
    </r>
    <r>
      <rPr>
        <sz val="8"/>
        <color rgb="FFFF0000"/>
        <rFont val="Arial Narrow"/>
        <family val="2"/>
      </rPr>
      <t>CTAD - FS - REsp_TRecCE - OM5AL4 (X080BNCT4)</t>
    </r>
    <r>
      <rPr>
        <sz val="8"/>
        <color theme="1"/>
        <rFont val="Arial Narrow"/>
        <family val="2"/>
      </rPr>
      <t xml:space="preserve">
</t>
    </r>
    <r>
      <rPr>
        <sz val="8"/>
        <color rgb="FFFF0000"/>
        <rFont val="Arial Narrow"/>
        <family val="2"/>
      </rPr>
      <t>CTAD - FS   - REsp_TRecCP - OM5AL3 OI5AL5 (X080BNCT3)</t>
    </r>
    <r>
      <rPr>
        <sz val="8"/>
        <color theme="1"/>
        <rFont val="Arial Narrow"/>
        <family val="2"/>
      </rPr>
      <t xml:space="preserve">
CTAD - FS   - REsp_ou_RGeral - OM5AL OFX095 (X080BNCTL)
CTAD - MC - REsp_ou_RGeral - OM5AL OFX099 (X080BNCTLM)
CTAD - FS   - Agente_REsp_TRec-ne-CE_ou_RGeral - OM5AL1 (X080BNCT1)
</t>
    </r>
    <r>
      <rPr>
        <sz val="8"/>
        <color rgb="FFFF0000"/>
        <rFont val="Arial Narrow"/>
        <family val="2"/>
      </rPr>
      <t>CTAD - FS   - Agente_REsp_TRecCE - OM5AL0 (X080BNCT0)</t>
    </r>
  </si>
  <si>
    <t>HGO010DO</t>
  </si>
  <si>
    <t>Cartas de Cancelamento (PRIC)
   - CDC1: Carta Canc. p/ Cliente</t>
  </si>
  <si>
    <t>PGOC029</t>
  </si>
  <si>
    <t>PGOC029A</t>
  </si>
  <si>
    <t>X002</t>
  </si>
  <si>
    <t>BGOW0014</t>
  </si>
  <si>
    <t>PFX002</t>
  </si>
  <si>
    <t>AGUARDA TESTE</t>
  </si>
  <si>
    <r>
      <rPr>
        <strike/>
        <sz val="9"/>
        <color theme="1"/>
        <rFont val="Arial Narrow"/>
        <family val="2"/>
      </rPr>
      <t xml:space="preserve">1006
</t>
    </r>
    <r>
      <rPr>
        <sz val="9"/>
        <color theme="1"/>
        <rFont val="Arial Narrow"/>
        <family val="2"/>
      </rPr>
      <t>1040</t>
    </r>
  </si>
  <si>
    <r>
      <t xml:space="preserve">CDC1 - FM - Premio sem agente - OFX085 OFX113 OFX095 
CDC1 - IB   - Premio sem agente - OFX085 OFX114 OFX095
CDC1 - </t>
    </r>
    <r>
      <rPr>
        <sz val="8"/>
        <color rgb="FFFF0000"/>
        <rFont val="Arial Narrow"/>
        <family val="2"/>
      </rPr>
      <t>MC - Premio sem agente - OFX085 OFX112 OFX099</t>
    </r>
    <r>
      <rPr>
        <sz val="8"/>
        <color theme="1"/>
        <rFont val="Arial Narrow"/>
        <family val="2"/>
      </rPr>
      <t xml:space="preserve">
CDC1 - FM - Premio com agente - OFX097 OFX115 OFX095
CDC1 - IB   - Premio com agente - OFX097 OFX116 OFX095
CDC1 - MC - Premio com agente - OFX097 OFX156 OFX099
</t>
    </r>
  </si>
  <si>
    <r>
      <t xml:space="preserve">CDC1 - FM - Estorno sem agente - OFX090 OFX092 OFX117 OFX095  
CDC1 - IB   - Estorno sem agente - OFX090 OFX092 OFX118 OFX095
CDC1 - MC - Estorno sem agente - OFX090 OFX099
CDC1 - FM - Estorno com agente - OFX098 OFX119 OFX095
CDC1 - IB   - Estorno com agente - OFX098 OFX120 OFX095
CDC1 - </t>
    </r>
    <r>
      <rPr>
        <sz val="8"/>
        <color rgb="FFFF0000"/>
        <rFont val="Arial Narrow"/>
        <family val="2"/>
      </rPr>
      <t>MC - Estorno com agente - OFX098 OFX157 OFX099</t>
    </r>
    <r>
      <rPr>
        <sz val="8"/>
        <color theme="1"/>
        <rFont val="Arial Narrow"/>
        <family val="2"/>
      </rPr>
      <t xml:space="preserve">
</t>
    </r>
  </si>
  <si>
    <t xml:space="preserve">CDC1 - FS  - Valor a zeros sem divida - OFX091 OFX095
CDC1 - MC - Valor a zeros sem divida - OFX091 OFX099
CDC1 - FS  - Perda Total - OFX093 OFX094
</t>
  </si>
  <si>
    <t>PGOC011A</t>
  </si>
  <si>
    <t>BGOW0013</t>
  </si>
  <si>
    <t>HGO010DT</t>
  </si>
  <si>
    <t>Cartas de Cancelamento (C33)
   - CDC1: Carta Canc. p/ Cliente</t>
  </si>
  <si>
    <t>PGOC009</t>
  </si>
  <si>
    <t>PGOC009A</t>
  </si>
  <si>
    <t>BGOW9003</t>
  </si>
  <si>
    <t>HGO010DV</t>
  </si>
  <si>
    <r>
      <t xml:space="preserve">Certificado Tarifação e Carta Companhia Leasing
</t>
    </r>
    <r>
      <rPr>
        <strike/>
        <sz val="11"/>
        <color theme="1"/>
        <rFont val="Calibri"/>
        <family val="2"/>
        <scheme val="minor"/>
      </rPr>
      <t xml:space="preserve">   - NCDC: Certificado de Tarifação</t>
    </r>
    <r>
      <rPr>
        <sz val="11"/>
        <color theme="1"/>
        <rFont val="Calibri"/>
        <family val="2"/>
        <scheme val="minor"/>
      </rPr>
      <t xml:space="preserve">
   - ENT1: Carta Resolução Contracto
   - ENT2: Carta Canc. Averbamento</t>
    </r>
  </si>
  <si>
    <t>PGOC032</t>
  </si>
  <si>
    <t>BGOW9009</t>
  </si>
  <si>
    <t>X007</t>
  </si>
  <si>
    <t>PFX007</t>
  </si>
  <si>
    <t xml:space="preserve">ENT1 - OFX122
ENT2 - OFX123
 * AMBAS REGISTADAS
</t>
  </si>
  <si>
    <t>HGO011DH</t>
  </si>
  <si>
    <t>Carta Credor Hipotecário – CHIP (C3.3)
   - CHIP: Carta Credor Hipotecário</t>
  </si>
  <si>
    <t>PGOC050</t>
  </si>
  <si>
    <t>BGOW9016</t>
  </si>
  <si>
    <r>
      <t xml:space="preserve">CHIP - Continuado regime geral - OFX261
</t>
    </r>
    <r>
      <rPr>
        <sz val="8"/>
        <color rgb="FFFF0000"/>
        <rFont val="Arial Narrow"/>
        <family val="2"/>
      </rPr>
      <t>CHIP - Continuado regime especial - OFX262</t>
    </r>
    <r>
      <rPr>
        <sz val="8"/>
        <color theme="1"/>
        <rFont val="Arial Narrow"/>
        <family val="2"/>
      </rPr>
      <t xml:space="preserve">
CHIP - Nao continuado regime geral - OFX263
* REGISTADAS</t>
    </r>
  </si>
  <si>
    <t>HGO011DJ</t>
  </si>
  <si>
    <t>Carta de Advogado - CTAD (C3.3)
   - CTAD: Carta de Advogado</t>
  </si>
  <si>
    <t>PGOC051</t>
  </si>
  <si>
    <t>BGOW9017</t>
  </si>
  <si>
    <t>X041</t>
  </si>
  <si>
    <t>PFX041</t>
  </si>
  <si>
    <r>
      <t xml:space="preserve">CTAD - Regime Geral - OFX270 OFX095 (X041BNCTDL)
CTAD - Recibo Pendente e RGeral - OFX270 OFX269 OFX095 (X041BNCTDP)
</t>
    </r>
    <r>
      <rPr>
        <sz val="8"/>
        <color rgb="FFFF0000"/>
        <rFont val="Arial Narrow"/>
        <family val="2"/>
      </rPr>
      <t>CTAD - Valor negativo e REspecial - OFX271 (X041BNCTD2)</t>
    </r>
    <r>
      <rPr>
        <sz val="8"/>
        <color theme="1"/>
        <rFont val="Arial Narrow"/>
        <family val="2"/>
      </rPr>
      <t xml:space="preserve">
CTAD - Respecial (só online) - OFX272 (X041BNCTD3)
</t>
    </r>
    <r>
      <rPr>
        <sz val="8"/>
        <color rgb="FFFF0000"/>
        <rFont val="Arial Narrow"/>
        <family val="2"/>
      </rPr>
      <t>CTAD - Agente com Estorno - OFX273 (X041BNCTD4)</t>
    </r>
    <r>
      <rPr>
        <sz val="8"/>
        <color theme="1"/>
        <rFont val="Arial Narrow"/>
        <family val="2"/>
      </rPr>
      <t xml:space="preserve">
CTAD - Agente com Prémio - OFX274 (X041BNCTD5)</t>
    </r>
  </si>
  <si>
    <t>HGO011DV</t>
  </si>
  <si>
    <r>
      <t xml:space="preserve">Cartas Pré-Contencioso (C3.3)
   - Cartas Advogada </t>
    </r>
    <r>
      <rPr>
        <b/>
        <sz val="11"/>
        <color rgb="FFFF99FF"/>
        <rFont val="Calibri"/>
        <family val="2"/>
        <scheme val="minor"/>
      </rPr>
      <t>(PC01)</t>
    </r>
  </si>
  <si>
    <t>PGOC102</t>
  </si>
  <si>
    <t>BGOW9051</t>
  </si>
  <si>
    <t>X046</t>
  </si>
  <si>
    <t>PFX046</t>
  </si>
  <si>
    <r>
      <rPr>
        <strike/>
        <sz val="9"/>
        <color theme="1"/>
        <rFont val="Arial Narrow"/>
        <family val="2"/>
      </rPr>
      <t>1023</t>
    </r>
    <r>
      <rPr>
        <sz val="9"/>
        <color theme="1"/>
        <rFont val="Arial Narrow"/>
        <family val="2"/>
      </rPr>
      <t xml:space="preserve">
1090</t>
    </r>
  </si>
  <si>
    <t>PC01 - FM - Advogada Ana Claro - OFX281
PC01 - IB   - Advogada Sofia M. Botelho - OFX282</t>
  </si>
  <si>
    <t>HGO012DD</t>
  </si>
  <si>
    <t>Cartas + Certificados (UNIX/FGS)</t>
  </si>
  <si>
    <t>PGOC023A</t>
  </si>
  <si>
    <t>BGOW0015</t>
  </si>
  <si>
    <t>HGO012DE</t>
  </si>
  <si>
    <t>Cartas + Extratos + Cond. Part. (AS400/GIS)</t>
  </si>
  <si>
    <t>PGOC038A</t>
  </si>
  <si>
    <t>BGOW0019</t>
  </si>
  <si>
    <t>HGO013DB</t>
  </si>
  <si>
    <t>Cartas de Cancelamento (CLA)</t>
  </si>
  <si>
    <t>PGOC043A</t>
  </si>
  <si>
    <t>BGOW9014</t>
  </si>
  <si>
    <t>HGO955OA</t>
  </si>
  <si>
    <t>Cartas anulação Vida Risco - Credores (DCO)</t>
  </si>
  <si>
    <t>PGOC421A</t>
  </si>
  <si>
    <t>BGOW0027</t>
  </si>
  <si>
    <t>HGO917OA</t>
  </si>
  <si>
    <t>Cartas anulação Vida Risco - Tomadores (DCO)</t>
  </si>
  <si>
    <t>PGOA405 / PGOC029A</t>
  </si>
  <si>
    <t>Input</t>
  </si>
  <si>
    <t>BGOW9001 (NZ5PDU01)</t>
  </si>
  <si>
    <t>BGOW9003 (NZ44DU01)</t>
  </si>
  <si>
    <t>BGOW9009 (NZ44CU01)</t>
  </si>
  <si>
    <t>BGOW9016 (NY5BAU01)</t>
  </si>
  <si>
    <t>BGOW9017 (NZ5B8U01)</t>
  </si>
  <si>
    <t>BGOW9051 (NY5DU01)</t>
  </si>
  <si>
    <t>BGOW9014 (BUSK410A)</t>
  </si>
  <si>
    <t>05  NZ5PDU01-SORT-KEY.</t>
  </si>
  <si>
    <t>03  NZ44DU01-PRINT-RECORD.</t>
  </si>
  <si>
    <t>05  :PREFIX:-DADOS-REGISTO.</t>
  </si>
  <si>
    <t>03 NZ44CU01-PRINT-RECORD.</t>
  </si>
  <si>
    <t>02 NY5BAU01-PRINT-RECORD.</t>
  </si>
  <si>
    <t>03  NZ5B8U01-PRINT-RECORD.</t>
  </si>
  <si>
    <t>02 NY5D1U01-PRINT-RECORD.</t>
  </si>
  <si>
    <t>01  BUSK410A-REC-CARTA.</t>
  </si>
  <si>
    <t>02  BGOW0027-PRINT-RECORD.</t>
  </si>
  <si>
    <t xml:space="preserve">    07  NZ5PDU01-C-COMP-SGRA          PIC X(03).</t>
  </si>
  <si>
    <t xml:space="preserve">    05  NZ44DU01-SORT-KEY.</t>
  </si>
  <si>
    <t>X</t>
  </si>
  <si>
    <t xml:space="preserve">  07  :PREFIX:-COD-COMPANHIA        PIC X(003).</t>
  </si>
  <si>
    <t xml:space="preserve">   05 NZ44CU01-SORT-KEY.</t>
  </si>
  <si>
    <t xml:space="preserve">   03 NY5BAU01-SORT-KEY.</t>
  </si>
  <si>
    <t xml:space="preserve">    05  NZ5B8U01-SORT-KEY.</t>
  </si>
  <si>
    <t xml:space="preserve">   03 NY5DU01-SORT-KEY.</t>
  </si>
  <si>
    <t xml:space="preserve">    02  BUSK410A-COD-COMPANHIA          PIC X(003).</t>
  </si>
  <si>
    <t xml:space="preserve">  03 BGOW0027-REPORT-LINE1.</t>
  </si>
  <si>
    <t xml:space="preserve">    07  NZ5PDU01-C-MARC-SGRA          PIC X(03).</t>
  </si>
  <si>
    <t xml:space="preserve">        07  NZ44DU01-COMPANY               PIC X(03).</t>
  </si>
  <si>
    <t xml:space="preserve">      88  :PREFIX:-C-VIADIRECTA         VALUE '111'.</t>
  </si>
  <si>
    <t xml:space="preserve">      07 NZ44CU01-COMPANY-KEY           PIC  X(03).</t>
  </si>
  <si>
    <t xml:space="preserve">     05 NY5BAU01-SORT-CRED-POST-CODE    PIC X(09).</t>
  </si>
  <si>
    <t xml:space="preserve">        07  NZ5B8U01-COMPANY-CODE           PIC X(03).</t>
  </si>
  <si>
    <t xml:space="preserve">      05 NY5D1U01-POST-CODE           PIC X(09).</t>
  </si>
  <si>
    <t xml:space="preserve">    02  BUSK410A-COD-MARCA              PIC X(003).</t>
  </si>
  <si>
    <t xml:space="preserve">    05  BGOW0027-TIPO-CARTA             PIC X(01).</t>
  </si>
  <si>
    <t xml:space="preserve">    07  NZ5PDU01-NOTICE               PIC X(10).</t>
  </si>
  <si>
    <t xml:space="preserve">        07  NZ44DU01-C-MARC-SGRA           PIC X(03).</t>
  </si>
  <si>
    <t xml:space="preserve">      88  :PREFIX:-C-FIDELIDADEMUNDIAL  VALUE '128'.</t>
  </si>
  <si>
    <t xml:space="preserve">      07 NZ44CU01-POST-CODE             PIC  X(09).</t>
  </si>
  <si>
    <t xml:space="preserve">     05 NY5BAU01-SORT-CRED-NUMBER       PIC X(10).</t>
  </si>
  <si>
    <t xml:space="preserve">        07  NZ5B8U01-AGENT                  PIC X(10).</t>
  </si>
  <si>
    <t xml:space="preserve">      05 NY5D1U01-NOTICE              PIC X(10).</t>
  </si>
  <si>
    <t xml:space="preserve">    02  BUSK410A-COD-ORIGEM             PIC X(003).</t>
  </si>
  <si>
    <t xml:space="preserve">        88  BGOW0027-TIPO-CARTA-1       VALUE '1'.</t>
  </si>
  <si>
    <t xml:space="preserve">    07  NZ5PDU01-DOCUMENT-CODE        PIC X(04).</t>
  </si>
  <si>
    <t xml:space="preserve">        07  NZ44DU01-PH-POST-CODE          PIC X(09).</t>
  </si>
  <si>
    <t xml:space="preserve">      88  :PREFIX:-C-IMPERIOBONANCA     VALUE '138'.</t>
  </si>
  <si>
    <t xml:space="preserve">      07 NZ44CU01-A-POST-CODE           PIC  X(09).</t>
  </si>
  <si>
    <t xml:space="preserve">     05 NY5BAU01-SORT-POLICY-NUMBER     PIC X(16).</t>
  </si>
  <si>
    <t xml:space="preserve">        07  NZ5B8U01-AGENT-POST-CODE        PIC X(09).</t>
  </si>
  <si>
    <t xml:space="preserve">      05 NY5D1U01-RECORD-TYPE         PIC X(01).</t>
  </si>
  <si>
    <t xml:space="preserve">    02  BUSK410A-COD-POSTALM            PIC X(007).</t>
  </si>
  <si>
    <t xml:space="preserve">        88  BGOW0027-TIPO-CARTA-2       VALUE '2'.</t>
  </si>
  <si>
    <t xml:space="preserve">    07  NZ5PDU01-RECORD-TYPE            PIC X(01).</t>
  </si>
  <si>
    <t xml:space="preserve">        07  NZ44DU01-CLIENT-REFERENCE      PIC X(10).</t>
  </si>
  <si>
    <t xml:space="preserve">      88  :PREFIX:-C-MULTICARE          VALUE '148'.</t>
  </si>
  <si>
    <t xml:space="preserve">      07 NZ44CU01-L-POST-CODE           PIC  X(09).</t>
  </si>
  <si>
    <t xml:space="preserve">     05 NY5BAU01-SORT-TRAN-NUMBER       PIC X(10).</t>
  </si>
  <si>
    <t xml:space="preserve">        07  NZ5B8U01-CLIENT-POST-CODE       PIC X(09).</t>
  </si>
  <si>
    <t xml:space="preserve">         88 NY5D1U01-DOC-PC01             VALUE '1'.</t>
  </si>
  <si>
    <t xml:space="preserve">    02  BUSK410A-NR-MEDIADOR            PIC X(010).</t>
  </si>
  <si>
    <t xml:space="preserve">        88  BGOW0027-TIPO-CARTA-3       VALUE '3'.</t>
  </si>
  <si>
    <t xml:space="preserve">        88  NZ5PDU01-NOTICE-DATA        VALUE 'A'.</t>
  </si>
  <si>
    <t xml:space="preserve">        07  NZ44DU01-PRODUCT-CODE          PIC X(05).</t>
  </si>
  <si>
    <t xml:space="preserve">  07  :PREFIX:-COD-MARCA            PIC X(003).</t>
  </si>
  <si>
    <t xml:space="preserve">      07 NZ44CU01-CANC-LAP-REASON       PIC  X(2).</t>
  </si>
  <si>
    <t xml:space="preserve">     05 NY5BAU01-SORT-RECORD-TYPE       PIC X(01).</t>
  </si>
  <si>
    <t xml:space="preserve">        07  NZ5B8U01-CLIENT-REFERENCE       PIC X(10).</t>
  </si>
  <si>
    <t xml:space="preserve">         88 NY5D1U01-DOC-PC02             VALUE '2'.</t>
  </si>
  <si>
    <t xml:space="preserve">      88  :PREFIX:-C-CXPOUPANCA         VALUE '158'.</t>
  </si>
  <si>
    <t xml:space="preserve">    02  BUSK410A-COD-POSTALC.</t>
  </si>
  <si>
    <t xml:space="preserve">        88  BGOW0027-TIPO-CARTA-4       VALUE '4'.</t>
  </si>
  <si>
    <t xml:space="preserve">        88  NZ5PDU01-CLIENT-DATA        VALUE 'B'.</t>
  </si>
  <si>
    <t xml:space="preserve">        07  NZ44DU01-POLICY-NUMBER         PIC X(16).</t>
  </si>
  <si>
    <t xml:space="preserve">      88  :PREFIX:-M-OKTELESEGURO       VALUE '001'.</t>
  </si>
  <si>
    <t xml:space="preserve">      07 NZ44CU01-POLICY-NUMBER         PIC  X(16).</t>
  </si>
  <si>
    <t xml:space="preserve">        88 NY5BAU01-REC-TYPE-1     VALUE '1'.</t>
  </si>
  <si>
    <t xml:space="preserve">        07  NZ5B8U01-PRODUCT-CODE           PIC X(05).</t>
  </si>
  <si>
    <t xml:space="preserve">      05 NY5D1U01-C-COMP-SGRA         PIC X(03).</t>
  </si>
  <si>
    <t xml:space="preserve">        03 BUSK410A-COD-POSTALC-C       PIC X(004).</t>
  </si>
  <si>
    <t xml:space="preserve">    05  BGOW0027-TIPO-REGISTO           PIC X(01).</t>
  </si>
  <si>
    <t xml:space="preserve">        88  NZ5PDU01-AGENT-DATA         VALUE 'C'.</t>
  </si>
  <si>
    <t xml:space="preserve">        07  NZ44DU01-RECORD-TYPE           PIC X(01).</t>
  </si>
  <si>
    <t xml:space="preserve">      88  :PREFIX:-M-FIDELIDADEMUNDIAL  VALUE '002'.</t>
  </si>
  <si>
    <t xml:space="preserve">      07 NZ44CU01-UNIT-AT-RISK-NUM      PIC  X(08).</t>
  </si>
  <si>
    <t xml:space="preserve">        88 NY5BAU01-REC-TYPE-2     VALUE '2'.</t>
  </si>
  <si>
    <t xml:space="preserve">        07  NZ5B8U01-POLICY-NUMBER          PIC X(16).</t>
  </si>
  <si>
    <t xml:space="preserve">      05 NY5D1U01-C-MARC-SGRA         PIC X(03).</t>
  </si>
  <si>
    <t xml:space="preserve">        03 BUSK410A-COD-POSTALC-I       PIC X(003).</t>
  </si>
  <si>
    <t xml:space="preserve">        88  BGOW0027-REG-A              VALUE 'A'.</t>
  </si>
  <si>
    <t xml:space="preserve">        88  NZ5PDU01-PAYMENT-DATA       VALUE 'D'.</t>
  </si>
  <si>
    <t xml:space="preserve">            88  NZ44DU01-POLICY-BASIC-DATA VALUE '1'.</t>
  </si>
  <si>
    <t xml:space="preserve">      88  :PREFIX:-M-FMLEVE             VALUE 'L02'.</t>
  </si>
  <si>
    <t xml:space="preserve">      07 NZ44CU01-TIPO-DE-CARTA         PIC  X(04).</t>
  </si>
  <si>
    <t xml:space="preserve">        88 NY5BAU01-REC-TYPE-3     VALUE '3'.</t>
  </si>
  <si>
    <t xml:space="preserve">        07  NZ5B8U01-LETTER-NUMBER          PIC X(10).</t>
  </si>
  <si>
    <t xml:space="preserve">   03 NY5D1U01-CLIENT-NUMBER          PIC X(10).</t>
  </si>
  <si>
    <t xml:space="preserve">    02  BUSK410A-NR-CLIENTE             PIC X(010).</t>
  </si>
  <si>
    <t xml:space="preserve">        88  BGOW0027-REG-B              VALUE 'B'.</t>
  </si>
  <si>
    <t xml:space="preserve">        88  NZ5PDU01-OBJECTO-DATA       VALUE 'E'.</t>
  </si>
  <si>
    <t xml:space="preserve">            88  NZ44DU01-UAR-DATA          VALUE '2'.</t>
  </si>
  <si>
    <t xml:space="preserve">      88  :PREFIX:-M-IMPERIOBONANCA     VALUE '003'.</t>
  </si>
  <si>
    <t xml:space="preserve">         88 NZ44CU01-CARTA-NCDC         VALUE 'NCDC'.</t>
  </si>
  <si>
    <t xml:space="preserve">     05 NY5BAU01-COMPANY                PIC X(03).</t>
  </si>
  <si>
    <t xml:space="preserve">        07  NZ5B8U01-RECORD-TYPE            PIC X(01).</t>
  </si>
  <si>
    <t xml:space="preserve">   03 NY5D1U01-ADDRESSEE-NAME         PIC X(40).</t>
  </si>
  <si>
    <t xml:space="preserve">    02  BUSK410A-NR-APOLICE             PIC X(016).</t>
  </si>
  <si>
    <t xml:space="preserve">    05  BGOW0027-COMPANY                PIC X(04).</t>
  </si>
  <si>
    <t xml:space="preserve">        88  NZ5PDU01-LISTA-DATA         VALUE 'F'.</t>
  </si>
  <si>
    <t xml:space="preserve">            88  NZ44DU01-T-UAR-DATA        VALUE '3'.</t>
  </si>
  <si>
    <t xml:space="preserve">      88  :PREFIX:-M-IBLEVE             VALUE 'L03'.</t>
  </si>
  <si>
    <t xml:space="preserve">         88 NZ44CU01-CARTA-ENT1         VALUE 'ENT1'.</t>
  </si>
  <si>
    <t xml:space="preserve">     05 NY5BAU01-C-MARC-SGRA            PIC X(03).</t>
  </si>
  <si>
    <t xml:space="preserve">            88 NZ5B8U01-NOTICE-BASIC-DATA   VALUE '1'.</t>
  </si>
  <si>
    <t xml:space="preserve">   03 NY5D1U01-ADDRESSEE-ADDRESS      PIC X(40).</t>
  </si>
  <si>
    <t xml:space="preserve">    02  BUSK410A-NR-RECIBO              PIC X(010).</t>
  </si>
  <si>
    <t xml:space="preserve">    05  BGOW0027-MARCA                  PIC X(03).</t>
  </si>
  <si>
    <t xml:space="preserve">        88  NZ5PDU01-CREDOR-DATA        VALUE 'G'.</t>
  </si>
  <si>
    <t xml:space="preserve">            88  NZ44DU01-AGENT-DATA        VALUE '4'.</t>
  </si>
  <si>
    <t xml:space="preserve">      88  :PREFIX:-M-ICI                VALUE '004'.</t>
  </si>
  <si>
    <t xml:space="preserve">         88 NZ44CU01-CARTA-ENT2         VALUE 'ENT2'.</t>
  </si>
  <si>
    <t xml:space="preserve">   03 NY5BAU01-LINE-1.</t>
  </si>
  <si>
    <t xml:space="preserve">            88 NZ5B8U01-AGENT-BASIC-DATA    VALUE '2'.</t>
  </si>
  <si>
    <t xml:space="preserve">   03 NY5D1U01-ADDRESSEE-ADDRESS-2    PIC X(40).</t>
  </si>
  <si>
    <t xml:space="preserve">    02  BUSK410A-COD-RAMO               PIC X(002).</t>
  </si>
  <si>
    <t xml:space="preserve">    05  BGOW0027-COD-POSTAL             PIC X(08).</t>
  </si>
  <si>
    <t xml:space="preserve">        88  NZ5PDU01-EXTRACTO-DATA      VALUE 'X'.</t>
  </si>
  <si>
    <t xml:space="preserve">    05  NZ44DU01-PRINT-DATA                PIC X(452).</t>
  </si>
  <si>
    <t xml:space="preserve">      88  :PREFIX:-M-CONTINENTE         VALUE '005'.</t>
  </si>
  <si>
    <t xml:space="preserve">      07 NZ44CU01-RECORD-TYPE           PIC  X.</t>
  </si>
  <si>
    <t xml:space="preserve">     05 NY5BAU01-ISSUE-DATE             PIC X(10).</t>
  </si>
  <si>
    <t xml:space="preserve">            88 NZ5B8U01-NOTICE-LIST-DATA    VALUE '3'.</t>
  </si>
  <si>
    <t xml:space="preserve">   03 NY5D1U01-ADDRESSEE-CITY         PIC X(40).</t>
  </si>
  <si>
    <t xml:space="preserve">    02  BUSK410A-COD-CARTA              PIC X(004).</t>
  </si>
  <si>
    <t xml:space="preserve">    05  BGOW0027-ENTIDADE               PIC X(10).</t>
  </si>
  <si>
    <t xml:space="preserve">        88  NZ5PDU01-END-OF-DOCUMENT    VALUE 'Z'.</t>
  </si>
  <si>
    <t xml:space="preserve">    05  REDEFINES NZ44DU01-PRINT-DATA.</t>
  </si>
  <si>
    <t xml:space="preserve">      88  :PREFIX:-M-MULTICARE          VALUE '006'.</t>
  </si>
  <si>
    <t xml:space="preserve">         88 NZ44CU01-RECORD-TYPE-1      VALUE '1'.</t>
  </si>
  <si>
    <t xml:space="preserve">     05 NY5BAU01-ADDRESSEE-NUMBER       PIC X(10).</t>
  </si>
  <si>
    <t xml:space="preserve">    05  NZ5B8U01-PRINT-DATA                 PIC X(426).</t>
  </si>
  <si>
    <t xml:space="preserve">   03 NY5D1U01-POST-CODE-DESCR        PIC X(40).</t>
  </si>
  <si>
    <t xml:space="preserve">        88  BUSK410A-COD-C001         VALUE 'C001'.</t>
  </si>
  <si>
    <t xml:space="preserve">    05  BGOW0027-APOLICE-GRUPO          PIC X(08).</t>
  </si>
  <si>
    <t xml:space="preserve">    07  NZ5PDU01-I-IMPRESSAO          PIC X(01).</t>
  </si>
  <si>
    <t xml:space="preserve">        07  NZ44DU01-PRODUCT-CODE-DESC     PIC X(30).</t>
  </si>
  <si>
    <t xml:space="preserve">  07  :PREFIX:-COD-ORIGEM           PIC X(003).</t>
  </si>
  <si>
    <t xml:space="preserve">         88 NZ44CU01-RECORD-TYPE-2      VALUE '2'.</t>
  </si>
  <si>
    <t xml:space="preserve">     05 NY5BAU01-ADDRESSEE-NAME         PIC X(40).</t>
  </si>
  <si>
    <t xml:space="preserve">    05  REDEFINES NZ5B8U01-PRINT-DATA.</t>
  </si>
  <si>
    <t xml:space="preserve">   03 NY5D1U01-POLICY-NUMBER          PIC X(16).</t>
  </si>
  <si>
    <t xml:space="preserve">        88  BUSK410A-COD-C002         VALUE 'C002'.</t>
  </si>
  <si>
    <t xml:space="preserve">    05  BGOW0027-CERTIF-INDIV           PIC X(08).</t>
  </si>
  <si>
    <t xml:space="preserve">        88 NZ5PDU01-1-VIA                 VALUE ' ' '1'.</t>
  </si>
  <si>
    <t xml:space="preserve">        07  NZ44DU01-FROM-DATE             PIC X(10).</t>
  </si>
  <si>
    <t xml:space="preserve">      88  :PREFIX:-O-COGEN22            VALUE 'C22'.</t>
  </si>
  <si>
    <t xml:space="preserve">         88 NZ44CU01-RECORD-TYPE-3      VALUE '3'.</t>
  </si>
  <si>
    <t xml:space="preserve">     05 NY5BAU01-ADDRESSEE-ADDRESS-1    PIC X(40).</t>
  </si>
  <si>
    <t xml:space="preserve">        07  NZ5B8U01-SINGLE-REPRINT         PIC X(01).</t>
  </si>
  <si>
    <t xml:space="preserve">   03 NY5D1U01-PRODUCT-CODE           PIC X(05).</t>
  </si>
  <si>
    <t xml:space="preserve">      88  :PREFIX:-M-CPLEVE             VALUE 'L09'.</t>
  </si>
  <si>
    <t xml:space="preserve">      88  :PREFIX:-M-CXPOUPANCA         VALUE '009'.</t>
  </si>
  <si>
    <t xml:space="preserve">        88  BUSK410A-COD-C003         VALUE 'C003'.</t>
  </si>
  <si>
    <t xml:space="preserve">    05  BGOW0027-NUM-SEQ                PIC 9(03).</t>
  </si>
  <si>
    <t xml:space="preserve">        88 NZ5PDU01-RE-IMPRESSAO          VALUE '2'.</t>
  </si>
  <si>
    <t xml:space="preserve">        07  NZ44DU01-TO-DATE               PIC X(10).</t>
  </si>
  <si>
    <t xml:space="preserve">      88  :PREFIX:-O-COGEN33            VALUE 'C33'.</t>
  </si>
  <si>
    <t xml:space="preserve">         88 NZ44CU01-RECORD-TYPE-4      VALUE '5'.</t>
  </si>
  <si>
    <t xml:space="preserve">     05 NY5BAU01-ADDRESSEE-ADDRESS-2    PIC X(40).</t>
  </si>
  <si>
    <t xml:space="preserve">        07  NZ5B8U01-ISSUE-DATE             PIC X(10).</t>
  </si>
  <si>
    <t xml:space="preserve">   03 NY5D1U01-PRODUCT-CODE-DESC      PIC X(30).</t>
  </si>
  <si>
    <t xml:space="preserve">        88  BUSK410A-COD-C004         VALUE 'C004'.</t>
  </si>
  <si>
    <t xml:space="preserve">    05  BGOW0027-ADDRESSEE              PIC X(40).</t>
  </si>
  <si>
    <t>05  NZ5PDU01-PRINT-DATA               PIC X(477).</t>
  </si>
  <si>
    <t xml:space="preserve">        07  NZ44DU01-ADDRESSEE             PIC X(40).</t>
  </si>
  <si>
    <t xml:space="preserve">      88  :PREFIX:-O-COGEN41            VALUE 'C41'.</t>
  </si>
  <si>
    <t xml:space="preserve">         88 NZ44CU01-RECORD-TYPE-5      VALUE '4'.</t>
  </si>
  <si>
    <t xml:space="preserve">     05 NY5BAU01-ADDRESSEE-CITY         PIC X(40).</t>
  </si>
  <si>
    <t xml:space="preserve">        07  NZ5B8U01-CLIENT-ADDRESSEE       PIC X(40).</t>
  </si>
  <si>
    <t xml:space="preserve">   03 NY5D1U01-CANC-REV-EFF-DATE      PIC X(10).</t>
  </si>
  <si>
    <t xml:space="preserve">    02  BUSK410A-DADOS-ENDERECAMENTO.</t>
  </si>
  <si>
    <t xml:space="preserve">    05  BGOW0027-ADDRESS1               PIC X(40).</t>
  </si>
  <si>
    <t>05  REDEFINES NZ5PDU01-PRINT-DATA.</t>
  </si>
  <si>
    <t xml:space="preserve">        07  NZ44DU01-ADDRESS1              PIC X(40).</t>
  </si>
  <si>
    <t xml:space="preserve">      88  :PREFIX:-O-PRIC41             VALUE 'P41'.</t>
  </si>
  <si>
    <t xml:space="preserve">   05 NZ44CU01-RECORD-1.</t>
  </si>
  <si>
    <t xml:space="preserve">     05 NY5BAU01-POST-CODE              PIC X(09).</t>
  </si>
  <si>
    <t xml:space="preserve">        07  NZ5B8U01-CLIENT-ADDRESS         PIC X(40).</t>
  </si>
  <si>
    <t xml:space="preserve">   03 NY5D1U01-CANC-LAPSE-REASON      PIC X(02).</t>
  </si>
  <si>
    <t xml:space="preserve">        03  BUSK410A-NOME               PIC X(040).</t>
  </si>
  <si>
    <t xml:space="preserve">    05  BGOW0027-ADDRESS2               PIC X(40).</t>
  </si>
  <si>
    <t xml:space="preserve">  07  NZ5PDU01-PRINT-NOTICE-DATA.</t>
  </si>
  <si>
    <t xml:space="preserve">        07  NZ44DU01-ADDRESS2              PIC X(40).</t>
  </si>
  <si>
    <t xml:space="preserve">      88  :PREFIX:-O-CLASSICO           VALUE 'CLA'.</t>
  </si>
  <si>
    <t xml:space="preserve">      07 NZ44CU01-COMPANY               PIC  X(03).</t>
  </si>
  <si>
    <t xml:space="preserve">     05 NY5BAU01-POST-CODE-DESCR        PIC X(40).</t>
  </si>
  <si>
    <t xml:space="preserve">        07  NZ5B8U01-CLIENT-ADDRESS-2       PIC X(40).</t>
  </si>
  <si>
    <t xml:space="preserve">      88 NY5D1U01-FALTA-PAGAMENTO         VALUE '01'.</t>
  </si>
  <si>
    <t xml:space="preserve">        03  BUSK410A-MORADA1            PIC X(040).</t>
  </si>
  <si>
    <t xml:space="preserve">    05  BGOW0027-ADDRESS3               PIC X(40).</t>
  </si>
  <si>
    <t xml:space="preserve">    09  NZ5PDU01-C-APL-ORIG           PIC X(03).</t>
  </si>
  <si>
    <t xml:space="preserve">        07  NZ44DU01-TOWN-SUBURB           PIC X(40).</t>
  </si>
  <si>
    <t xml:space="preserve">      88  :PREFIX:-O-GIS                VALUE 'GIS'.</t>
  </si>
  <si>
    <t xml:space="preserve">      07 NZ44CU01-PRODUCT-CODE          PIC  X(05).</t>
  </si>
  <si>
    <t xml:space="preserve">     05 NY5BAU01-PRODUCT-CODE           PIC X(05).</t>
  </si>
  <si>
    <t xml:space="preserve">        07  NZ5B8U01-CLIENT-CITY            PIC X(40).</t>
  </si>
  <si>
    <t xml:space="preserve">   03 NY5D1U01-DOC-NUMBER             PIC X(10).</t>
  </si>
  <si>
    <t xml:space="preserve">        03  BUSK410A-MORADA2            PIC X(040).</t>
  </si>
  <si>
    <t xml:space="preserve">    05  BGOW0027-ADDRESS4               PIC X(40).</t>
  </si>
  <si>
    <t xml:space="preserve">    09  NZ5PDU01-C-CTA-ENT-AGT-CBRX   PIC X(10).</t>
  </si>
  <si>
    <t xml:space="preserve">        07  NZ44DU01-POST-CODE-DESC        PIC X(41).</t>
  </si>
  <si>
    <t xml:space="preserve">      88  :PREFIX:-O-TAG                VALUE 'TAG'.</t>
  </si>
  <si>
    <t xml:space="preserve">      07 NZ44CU01-POLICY-EFFECTIVE-DATE PIC  X(08).</t>
  </si>
  <si>
    <t xml:space="preserve">     05 NY5BAU01-PRODUCT-CODE-DESC      PIC X(30).</t>
  </si>
  <si>
    <t xml:space="preserve">        07  NZ5B8U01-POST-CODE-DESCR        PIC X(40).</t>
  </si>
  <si>
    <t xml:space="preserve">   03 NY5D1U01-DATA-EMISSAO           PIC X(10).</t>
  </si>
  <si>
    <t xml:space="preserve">        03  BUSK410A-MORADA3            PIC X(040).</t>
  </si>
  <si>
    <t xml:space="preserve">    05  BGOW0027-TNUM-PORTA             PIC X(01).</t>
  </si>
  <si>
    <t xml:space="preserve">    09  NZ5PDU01-C-TOMADOR            PIC X(10).</t>
  </si>
  <si>
    <t xml:space="preserve">        07  NZ44DU01-CANC-LAP-REASON       PIC X(02).</t>
  </si>
  <si>
    <t xml:space="preserve">      88  :PREFIX:-O-COLHEITAS          VALUE 'CLH'.</t>
  </si>
  <si>
    <t xml:space="preserve">      07 NZ44CU01-POLICY-EXPIRY-DATE    PIC  X(08).</t>
  </si>
  <si>
    <t xml:space="preserve">     05 NY5BAU01-POLICY-NUMBER          PIC X(16).</t>
  </si>
  <si>
    <t xml:space="preserve">        07  NZ5B8U01-VEHICLE-REG-NUMBER     PIC X(15).</t>
  </si>
  <si>
    <t xml:space="preserve">   03 NY5D1U01-DUE-DATE               PIC X(10).</t>
  </si>
  <si>
    <t xml:space="preserve">        03  BUSK410A-MORADA4            PIC X(004).</t>
  </si>
  <si>
    <t xml:space="preserve">    05  BGOW0027-NUM-PORTA              PIC X(04).</t>
  </si>
  <si>
    <t xml:space="preserve">    09  NZ5PDU01-IDENTIFIER           PIC X(16).</t>
  </si>
  <si>
    <t xml:space="preserve">        07  NZ44DU01-DATE-INI-ANUIDADE     PIC X(10).</t>
  </si>
  <si>
    <t xml:space="preserve">  07  :PREFIX:-COD-POSTALM          PIC X(009).</t>
  </si>
  <si>
    <t xml:space="preserve">      07 NZ44CU01-CLIENT-REFERENCE      PIC  X(10).</t>
  </si>
  <si>
    <t xml:space="preserve">     05 NY5BAU01-CANCELLATION-DATE      PIC X(10).</t>
  </si>
  <si>
    <t xml:space="preserve">        07  NZ5B8U01-CANCELL-DATE           PIC X(10).</t>
  </si>
  <si>
    <t xml:space="preserve">   03 NY5D1U01-TOTAL-AMOUNT           PIC S9(11)V9(2).</t>
  </si>
  <si>
    <t xml:space="preserve">        03  BUSK410A-TNUM-PORTA         PIC X(001).</t>
  </si>
  <si>
    <t xml:space="preserve">    05  BGOW0027-DATA-ENVIO             PIC X(10).</t>
  </si>
  <si>
    <t xml:space="preserve">    09  NZ5PDU01-C-MOED-ISO           PIC X(03).</t>
  </si>
  <si>
    <t xml:space="preserve">        07  NZ44DU01-DATE-FIM-ANUIDADE     PIC X(10).</t>
  </si>
  <si>
    <t xml:space="preserve">  07  :PREFIX:-NR-MEDIADOR          PIC X(010).</t>
  </si>
  <si>
    <t xml:space="preserve">      07 NZ44CU01-CLIENT-NAME.</t>
  </si>
  <si>
    <t xml:space="preserve">     05 NY5BAU01-SINGLE-REPRINT         PIC X(01).</t>
  </si>
  <si>
    <t xml:space="preserve">        07  NZ5B8U01-CANCELL-DUE-DATE       PIC X(10).</t>
  </si>
  <si>
    <t xml:space="preserve">   03 NY5D1U01-INTEREST-AMOUNT        PIC S9(13)V9(2).</t>
  </si>
  <si>
    <t xml:space="preserve">        03  BUSK410A-NUM-PORTA          PIC X(004).</t>
  </si>
  <si>
    <t xml:space="preserve">    05  BGOW0027-BENEFICIARIO           PIC X(40).</t>
  </si>
  <si>
    <t xml:space="preserve">    09  NZ5PDU01-C-RAMO-DIRZ-FNCO     PIC X(06).</t>
  </si>
  <si>
    <t xml:space="preserve">        07  FILLER                         PIC X(10).</t>
  </si>
  <si>
    <t xml:space="preserve">  07  :PREFIX:-COD-POSTALC          PIC X(009).</t>
  </si>
  <si>
    <t xml:space="preserve">         09 NZ44CU01-CLIENT-NAME1       PIC  X(45).</t>
  </si>
  <si>
    <t xml:space="preserve">     05 NY5BAU01-CTT-CODIGO-BARRAS      PIC X(08).</t>
  </si>
  <si>
    <t xml:space="preserve">        07  NZ5B8U01-PREMIUM-AMOUNT         PIC S9(11)V99.</t>
  </si>
  <si>
    <t xml:space="preserve">   03 NY5D1U01-PEN-AMOUNT             PIC S9(13)V9(2).</t>
  </si>
  <si>
    <t xml:space="preserve">      88  :PREFIX:-O-VIDA-GRUPO         VALUE 'FGS'.</t>
  </si>
  <si>
    <t xml:space="preserve">        03  BUSK410A-REGISTO-CTT        PIC X(017).</t>
  </si>
  <si>
    <t xml:space="preserve">    05  BGOW0027-RAMO                   PIC X(30).</t>
  </si>
  <si>
    <t xml:space="preserve">    09  NZ5PDU01-RAMO-DESCR           PIC X(30).</t>
  </si>
  <si>
    <t xml:space="preserve">        07  NZ44DU01-CANC-REQUEST          PIC X(01).</t>
  </si>
  <si>
    <t xml:space="preserve">  07  :PREFIX:-NR-CLIENTE           PIC X(010).</t>
  </si>
  <si>
    <t xml:space="preserve">         09 NZ44CU01-CLIENT-NAME2       PIC  X(45).</t>
  </si>
  <si>
    <t xml:space="preserve">     05 NY5BAU01-IND-REGIME             PIC X(01).</t>
  </si>
  <si>
    <t xml:space="preserve">        07  NZ5B8U01-PENALTY-AMOUNT         PIC S9(11)V99.</t>
  </si>
  <si>
    <t xml:space="preserve">   03 NY5D1U01-ADDRESSEE-NUM-TYPE     PIC X(01).</t>
  </si>
  <si>
    <t xml:space="preserve">      88  :PREFIX:-O-VIDA-IND           VALUE 'RVI'.</t>
  </si>
  <si>
    <t xml:space="preserve">        03  BUSK410A-NUMERO-CTT         PIC X(013).</t>
  </si>
  <si>
    <t xml:space="preserve">    05  BGOW0027-PESSOA-SEGURA1         PIC X(40).</t>
  </si>
  <si>
    <t xml:space="preserve">    09  NZ5PDU01-PRODUCT-CODE         PIC X(06).</t>
  </si>
  <si>
    <t xml:space="preserve">            88  NZ44DU01-CANC-REQ-COMPANY  VALUE 'C'.</t>
  </si>
  <si>
    <t xml:space="preserve">  07  :PREFIX:-NR-APOLICE           PIC X(016).</t>
  </si>
  <si>
    <t xml:space="preserve">      07 NZ44CU01-CLIENT-FIRST-NAME     PIC  X(25).</t>
  </si>
  <si>
    <t xml:space="preserve">     05 NY5BAU01-NOVO-NEG               PIC X(01).</t>
  </si>
  <si>
    <t xml:space="preserve">        07  NZ5B8U01-INTEREST-AMOUNT        PIC S9(11)V99.</t>
  </si>
  <si>
    <t xml:space="preserve">   03 NY5D1U01-ADDRESSEE-NUM          PIC X(04).</t>
  </si>
  <si>
    <t xml:space="preserve">      88  :PREFIX:-O-PAXUS              VALUE 'PXS'.</t>
  </si>
  <si>
    <t xml:space="preserve">    02  BUSK410A-DESCR-RAMO             PIC X(030).</t>
  </si>
  <si>
    <t xml:space="preserve">    05  BGOW0027-PESSOA-SEGURA2         PIC X(40).</t>
  </si>
  <si>
    <t xml:space="preserve">    09  NZ5PDU01-PRODUCT-DESCR        PIC X(30).</t>
  </si>
  <si>
    <t xml:space="preserve">            88  NZ44DU01-CANC-REQ-CLIENT   VALUE 'U'.</t>
  </si>
  <si>
    <t xml:space="preserve">  07  :PREFIX:-NR-DOCUMENTO         PIC X(010).</t>
  </si>
  <si>
    <t xml:space="preserve">      07 NZ44CU01-CLIENT-MIDDLE-NAME    PIC  X(50).</t>
  </si>
  <si>
    <t xml:space="preserve">     05 NY5BAU01-DUE-DATE               PIC X(10).</t>
  </si>
  <si>
    <t xml:space="preserve">        07  NZ5B8U01-TOTAL-AMOUNT           PIC S9(11)V99.</t>
  </si>
  <si>
    <t xml:space="preserve">   03 FILLER                          PIC X(122).</t>
  </si>
  <si>
    <t xml:space="preserve">    02  BUSK410A-DT-CESSACAO-APOL       PIC X(010).</t>
  </si>
  <si>
    <t xml:space="preserve">    05  BGOW0027-NIF-PESSOA-SEGURA1     PIC X(09).</t>
  </si>
  <si>
    <t xml:space="preserve">    09  NZ5PDU01-C-TIPO-RCIB          PIC X(02).</t>
  </si>
  <si>
    <t xml:space="preserve">        07  NZ44DU01-CANC-REV-EFF-DATE     PIC X(08).</t>
  </si>
  <si>
    <t xml:space="preserve">  07  :PREFIX:-COD-PRODUTO          PIC X(006).</t>
  </si>
  <si>
    <t xml:space="preserve">      07 NZ44CU01-CLIENT-LAST-NAME      PIC  X(15).</t>
  </si>
  <si>
    <t xml:space="preserve">     05 NY5BAU01-ADDRESSEE-NUM-TYPE     PIC X(01).</t>
  </si>
  <si>
    <t xml:space="preserve">        07  NZ5B8U01-SYSTEM-CODE            PIC X(02).</t>
  </si>
  <si>
    <t xml:space="preserve">   03 NY5D1U01-TIPO-IMPRESSAO         PIC X(01).</t>
  </si>
  <si>
    <t xml:space="preserve">    02  BUSK410A-DT-VENCIMEN-APOL       PIC X(010).</t>
  </si>
  <si>
    <t xml:space="preserve">    05  BGOW0027-NIB-CONTRATO           PIC X(21).</t>
  </si>
  <si>
    <t xml:space="preserve">    09  NZ5PDU01-C-MEIO-PAG           PIC X(01).</t>
  </si>
  <si>
    <t xml:space="preserve">        07  NZ44DU01-PREMIO-ANUAL          PIC S9(11)V99.</t>
  </si>
  <si>
    <t>05  :PREFIX:-DADOS-CABECALHO.</t>
  </si>
  <si>
    <t xml:space="preserve">      07 NZ44CU01-LOCATION-FIELDS.</t>
  </si>
  <si>
    <t xml:space="preserve">     05 NY5BAU01-ADDRESSEE-NUM          PIC X(04).</t>
  </si>
  <si>
    <t xml:space="preserve">        07  NZ5B8U01-EFFECTIVE-DATE         PIC X(10).</t>
  </si>
  <si>
    <t xml:space="preserve">    02  BUSK410A-DATA-CARTA             PIC X(010).</t>
  </si>
  <si>
    <t xml:space="preserve">    05  BGOW0027-VLR-DIVIDA             PIC 9(9),99+.</t>
  </si>
  <si>
    <t xml:space="preserve">    09 NZ5PDU01-TIPO-RECIBO        PIC X(01).</t>
  </si>
  <si>
    <t xml:space="preserve">        07  NZ44DU01-PREMIO-PAGO           PIC S9(11)V99.</t>
  </si>
  <si>
    <t xml:space="preserve">  07  :PREFIX:-TITULO-DOC1          PIC X(040).</t>
  </si>
  <si>
    <t xml:space="preserve">         09 NZ44CU01-ADDRESS-LINE-1     PIC  X(40).</t>
  </si>
  <si>
    <t xml:space="preserve">     05 NY5BAU01-FISCAL-NUMBER          PIC X(09).</t>
  </si>
  <si>
    <t xml:space="preserve">        07  NZ5B8U01-PRODUCT-CODE-DESC      PIC X(30).</t>
  </si>
  <si>
    <t xml:space="preserve">    02  BUSK410A-CL-NOME                PIC X(040).</t>
  </si>
  <si>
    <t xml:space="preserve">    05  BGOW0027-DT-ANUL                PIC X(10).</t>
  </si>
  <si>
    <t xml:space="preserve">        88 NZ5PDU01-TIPO-RECIBO-N   VALUE 'N'.</t>
  </si>
  <si>
    <t xml:space="preserve">        07  NZ44DU01-PREMIO-CANCEL         PIC S9(11)V99.</t>
  </si>
  <si>
    <t xml:space="preserve">  07  :PREFIX:-TITULO-DOC2          PIC X(040).</t>
  </si>
  <si>
    <t xml:space="preserve">         09 NZ44CU01-ADDRESS-LINE-2     PIC  X(40).</t>
  </si>
  <si>
    <t xml:space="preserve">     05 NY5BAU01-NIB                    PIC X(21).</t>
  </si>
  <si>
    <t xml:space="preserve">        07  NZ5B8U01-EXPIRY-DATE            PIC X(10).</t>
  </si>
  <si>
    <t xml:space="preserve">    02  BUSK410A-CL-NIF                 PIC X(009).</t>
  </si>
  <si>
    <t xml:space="preserve">    05  BGOW0027-DT-EFEITO-ANUL         PIC X(10).</t>
  </si>
  <si>
    <t xml:space="preserve">        88 NZ5PDU01-TIPO-RECIBO-A   VALUE 'A'.</t>
  </si>
  <si>
    <t xml:space="preserve">        07  NZ44DU01-PERC-PENALIZACAO      PIC S9(3)V9(4).</t>
  </si>
  <si>
    <t xml:space="preserve">  07  :PREFIX:-DADOS-ENDERECAMENTO.</t>
  </si>
  <si>
    <t xml:space="preserve">         09 NZ44CU01-ADDRESS-LINE-3     PIC  X(40).</t>
  </si>
  <si>
    <t xml:space="preserve">     05 NY5BAU01-CD-IBAN                PIC X(34).</t>
  </si>
  <si>
    <t xml:space="preserve">        07  NZ5B8U01-IND-REGIME             PIC X(01).</t>
  </si>
  <si>
    <t xml:space="preserve">  07  :PREFIX:-DATA-HORA            PIC X(014).</t>
  </si>
  <si>
    <t xml:space="preserve">    02  BUSK410A-CL-NIB                 PIC X(021).</t>
  </si>
  <si>
    <t xml:space="preserve">    05  BGOW0027-NR-RECIBOS             PIC 9(02).</t>
  </si>
  <si>
    <t xml:space="preserve">        88 NZ5PDU01-TIPO-RECIBO-C   VALUE 'C'.</t>
  </si>
  <si>
    <t xml:space="preserve">        07  NZ44DU01-PENALIZACAO           PIC S9(11)V99.</t>
  </si>
  <si>
    <t xml:space="preserve">      09  :PREFIX:-NOME             PIC X(040).</t>
  </si>
  <si>
    <t xml:space="preserve">         09 NZ44CU01-ADDRESS-LINE-4     PIC  X(40).</t>
  </si>
  <si>
    <t xml:space="preserve">     05 NY5BAU01-CD-SWIFT               PIC X(11).</t>
  </si>
  <si>
    <t xml:space="preserve">        07  NZ5B8U01-TIPO-CARTA-1           PIC X(01).</t>
  </si>
  <si>
    <t xml:space="preserve">  07  :PREFIX:-NUM-DOC              PIC 9(007).</t>
  </si>
  <si>
    <t xml:space="preserve">    02  BUSK410A-CL-EMPRESTIMO          PIC X(012).</t>
  </si>
  <si>
    <t xml:space="preserve">    05  BGOW0027-DT-INIC-RECIBO         PIC X(10).</t>
  </si>
  <si>
    <t xml:space="preserve">        88 NZ5PDU01-TIPO-RECIBO-M   VALUE 'M'.</t>
  </si>
  <si>
    <t xml:space="preserve">        07  NZ44DU01-PREMIO-EM-DIVIDA      PIC S9(11)V99.</t>
  </si>
  <si>
    <t xml:space="preserve">      09  :PREFIX:-MORADA1          PIC X(040).</t>
  </si>
  <si>
    <t xml:space="preserve">         09 NZ44CU01-POST-CODE-DESC     PIC  X(40).</t>
  </si>
  <si>
    <t xml:space="preserve">     05 FILLER                          PIC X(56).</t>
  </si>
  <si>
    <t xml:space="preserve">            88 NZ5B8U01-TIPO-CARTA-1-ESPACO VALUE ' '.</t>
  </si>
  <si>
    <t xml:space="preserve">  07  :PREFIX:-NUM-REGISTO          PIC 9(007).</t>
  </si>
  <si>
    <t xml:space="preserve">    02  BUSK410A-REFERENCIA             PIC X(030).</t>
  </si>
  <si>
    <t xml:space="preserve">    05  BGOW0027-DT-TERMO-RECIBO        PIC X(10).</t>
  </si>
  <si>
    <t xml:space="preserve">        88 NZ5PDU01-TIPO-RECIBO-F   VALUE 'F'.</t>
  </si>
  <si>
    <t xml:space="preserve">        07  NZ44DU01-VALORES-PAGOS-N-REC   PIC S9(11)V99.</t>
  </si>
  <si>
    <t xml:space="preserve">      09  :PREFIX:-MORADA2          PIC X(040).</t>
  </si>
  <si>
    <t xml:space="preserve">      07 NZ44CU01-ORIG-DATE-PRINTED     PIC  X(10).</t>
  </si>
  <si>
    <t xml:space="preserve">     05 NY5BAU01-TIPO-IMPRESSAO-1       PIC X(01).</t>
  </si>
  <si>
    <t xml:space="preserve">            88 NZ5B8U01-TIPO-CARTA-1-A      VALUE 'A'.</t>
  </si>
  <si>
    <t xml:space="preserve">  07  :PREFIX:-COD-ASSINATURA       PIC X(004).</t>
  </si>
  <si>
    <t xml:space="preserve">    02  BUSK410A-PREMIO                 PIC S9(013)V99.</t>
  </si>
  <si>
    <t xml:space="preserve">    05  BGOW0027-VALOR-RECIBO           PIC 9(9),99+.</t>
  </si>
  <si>
    <t xml:space="preserve">        88 NZ5PDU01-TIPO-RECIBO-L   VALUE 'L'.</t>
  </si>
  <si>
    <t xml:space="preserve">        07  NZ44DU01-VALOR-RESULTANTE      PIC S9(11)V99.</t>
  </si>
  <si>
    <t xml:space="preserve">      09  :PREFIX:-MORADA3          PIC X(040).</t>
  </si>
  <si>
    <t xml:space="preserve">      07 NZ44CU01-NUM-TYPE              PIC  X(01).</t>
  </si>
  <si>
    <t xml:space="preserve">   03 NY5BAU01-LINE-2.</t>
  </si>
  <si>
    <t xml:space="preserve">        07  NZ5B8U01-TIPO-CARTA-2           PIC X(01).</t>
  </si>
  <si>
    <t xml:space="preserve">      88  :PREFIX:-FERNANDES        VALUE 'NF00'.</t>
  </si>
  <si>
    <t xml:space="preserve">    02  BUSK410A-TOT-REC                PIC S9(013)V99.</t>
  </si>
  <si>
    <t xml:space="preserve">    05  BGOW0027-NUM-RECIBO             PIC X(08).</t>
  </si>
  <si>
    <t xml:space="preserve">    09 NZ5PDU01-DATA-INI-APOL      PIC X(10).</t>
  </si>
  <si>
    <t xml:space="preserve">        07  NZ44DU01-LIMIT-AMT             PIC S9(13).</t>
  </si>
  <si>
    <t xml:space="preserve">      09  :PREFIX:-MORADA4          PIC X(040).</t>
  </si>
  <si>
    <t xml:space="preserve">      07 NZ44CU01-NUM                   PIC  X(04).</t>
  </si>
  <si>
    <t xml:space="preserve">     05 NY5BAU01-INVOICE-DATA OCCURS 9.</t>
  </si>
  <si>
    <t xml:space="preserve">            88 NZ5B8U01-TIPO-CARTA-2-ESPACO VALUE ' '.</t>
  </si>
  <si>
    <t xml:space="preserve">      88  :PREFIX:-HELENA           VALUE 'HM00'.</t>
  </si>
  <si>
    <t xml:space="preserve">    02  BUSK410A-TOT-JUR                PIC S9(013)V99.</t>
  </si>
  <si>
    <t xml:space="preserve">    09 NZ5PDU01-DATA-FIM-APOL      PIC X(10).</t>
  </si>
  <si>
    <t xml:space="preserve">        07  NZ44DU01-REFERENCIA            PIC X(10).</t>
  </si>
  <si>
    <t xml:space="preserve">      09  :PREFIX:-TNUM-PORTA       PIC X(001).</t>
  </si>
  <si>
    <t xml:space="preserve">      07 FILLER                         PIC  X(09).</t>
  </si>
  <si>
    <t xml:space="preserve">       07 NY5BAU01-INVOICE-NUMBER       PIC X(10).</t>
  </si>
  <si>
    <t xml:space="preserve">            88 NZ5B8U01-TIPO-CARTA-2-A      VALUE 'A'.</t>
  </si>
  <si>
    <t xml:space="preserve">      88  :PREFIX:-HELENA1          VALUE 'HM01'.</t>
  </si>
  <si>
    <t xml:space="preserve">      88  :PREFIX:-FERNANDES            VALUE 'NF00'.</t>
  </si>
  <si>
    <t xml:space="preserve">    02  BUSK410A-TOT-REC-JUR            PIC S9(013)V99.</t>
  </si>
  <si>
    <t xml:space="preserve">    09 NZ5PDU01-DATA-CANCEL        PIC X(10).</t>
  </si>
  <si>
    <t xml:space="preserve">        07  NZ44DU01-IND-UAR               PIC X(01).</t>
  </si>
  <si>
    <t xml:space="preserve">      09  :PREFIX:-NUM-PORTA        PIC X(004).</t>
  </si>
  <si>
    <t xml:space="preserve">      07 NZ44CU01-TIPO-IMP1             PIC  X(01).</t>
  </si>
  <si>
    <t xml:space="preserve">       07 NY5BAU01-INVOICE-START-DATE   PIC X(10).</t>
  </si>
  <si>
    <t xml:space="preserve">            88 NZ5B8U01-TIPO-CARTA-2-B      VALUE 'B'.</t>
  </si>
  <si>
    <t xml:space="preserve">      88  :PREFIX:-HELENA2          VALUE 'HM02'.</t>
  </si>
  <si>
    <t xml:space="preserve">      88  :PREFIX:-HELENA               VALUE 'HM00'.</t>
  </si>
  <si>
    <t xml:space="preserve">    02  BUSK410A-LIVRE                  PIC X(100).</t>
  </si>
  <si>
    <t xml:space="preserve">    09 NZ5PDU01-DATA-INI-REC       PIC X(10).</t>
  </si>
  <si>
    <t xml:space="preserve">            88  NZ44DU01-UAR-UNIQUE        VALUE 'U'.</t>
  </si>
  <si>
    <t xml:space="preserve">  07  :PREFIX:-DT-CARTA-EMISSAO     PIC X(032).</t>
  </si>
  <si>
    <t xml:space="preserve">   05 NZ44CU01-RECORD-2 REDEFINES                            </t>
  </si>
  <si>
    <t xml:space="preserve">       07 NY5BAU01-INVOICE-END-DATE     PIC X(10).</t>
  </si>
  <si>
    <t xml:space="preserve">            88 NZ5B8U01-TIPO-CARTA-2-C      VALUE 'C'.</t>
  </si>
  <si>
    <t xml:space="preserve">      88  :PREFIX:-RITA             VALUE 'RS01'.</t>
  </si>
  <si>
    <t xml:space="preserve">      88  :PREFIX:-HELENA1              VALUE 'HM01'.</t>
  </si>
  <si>
    <t xml:space="preserve">    02  BUSK410A-DADOS-C                PIC X(1000).</t>
  </si>
  <si>
    <t xml:space="preserve">    09 NZ5PDU01-DATA-FIM-REC       PIC X(10).</t>
  </si>
  <si>
    <t xml:space="preserve">            88  NZ44DU01-MULTIPLE-UAR      VALUE 'M'.</t>
  </si>
  <si>
    <t xml:space="preserve">  07  :PREFIX:-ASSUNTO              PIC X(090)</t>
  </si>
  <si>
    <t xml:space="preserve">      NZ44CU01-RECORD-1.</t>
  </si>
  <si>
    <t xml:space="preserve">       07 NY5BAU01-INVOICE-AMOUNT       PIC S9(13)V9(2).</t>
  </si>
  <si>
    <t xml:space="preserve">            88 NZ5B8U01-TIPO-CARTA-2-D      VALUE 'D'.</t>
  </si>
  <si>
    <t xml:space="preserve">      88  :PREFIX:-CADMIN           VALUE 'CA6R'.</t>
  </si>
  <si>
    <t xml:space="preserve">      88  :PREFIX:-HELENA2              VALUE 'HM02'.</t>
  </si>
  <si>
    <t xml:space="preserve">    02  BUSK410A-DADOS-C001 REDEFINES BUSK410A-DADOS-C.</t>
  </si>
  <si>
    <t xml:space="preserve">    09 NZ5PDU01-TIPO-CARTA-RECIBO  PIC X(01).</t>
  </si>
  <si>
    <t xml:space="preserve">        07  NZ44DU01-ORIG-DATE-PRINTED     PIC X(10).</t>
  </si>
  <si>
    <t xml:space="preserve">                                OCCURS 3 TIMES.</t>
  </si>
  <si>
    <t xml:space="preserve">      07 NZ44CU01-AGENT.</t>
  </si>
  <si>
    <t xml:space="preserve">     05 FILLER                          PIC X(42).</t>
  </si>
  <si>
    <t xml:space="preserve">        07  NZ5B8U01-TIPO-RECIBO            PIC X(01).</t>
  </si>
  <si>
    <t xml:space="preserve">      88  :PREFIX:-CADMIN1          VALUE 'CA61'.</t>
  </si>
  <si>
    <t xml:space="preserve">      88  :PREFIX:-RITA                 VALUE 'RS01'.</t>
  </si>
  <si>
    <t xml:space="preserve">        03  BUSK410A-R1-T OCCURS 14.</t>
  </si>
  <si>
    <t xml:space="preserve">        88 NZ5PDU01-TIPO-CARTA-RECIBO-A VALUE 'A'.</t>
  </si>
  <si>
    <t xml:space="preserve">        07  NZ44DU01-CLAIM-DATE-OCCURRED   PIC X(08).</t>
  </si>
  <si>
    <t>05  :PREFIX:-CORPO-CARTA            PIC X(3300).</t>
  </si>
  <si>
    <t xml:space="preserve">         09 NZ44CU01-A-ACCOUNT-NUMBER   PIC  X(10).</t>
  </si>
  <si>
    <t xml:space="preserve">     05 NY5BAU01-TIPO-IMPRESSAO-2       PIC X(01).</t>
  </si>
  <si>
    <t xml:space="preserve">            88 NZ5B8U01-TIPO-RECIBO-N       VALUE 'N'.</t>
  </si>
  <si>
    <t xml:space="preserve">      88  :PREFIX:-ARTUR            VALUE 'AM00'.</t>
  </si>
  <si>
    <t xml:space="preserve">      88  :PREFIX:-CADMIN               VALUE 'CA6R'.</t>
  </si>
  <si>
    <t xml:space="preserve">            04  BUSK410A-R1-RECIBO      PIC 9(010).</t>
  </si>
  <si>
    <t xml:space="preserve">        88 NZ5PDU01-TIPO-CARTA-RECIBO-C VALUE 'C'.</t>
  </si>
  <si>
    <t xml:space="preserve">        07  NZ44DU01-IND-REGIME            PIC X(01).</t>
  </si>
  <si>
    <t>05  :PREFIX:-CARTA-CANCEL REDEFINES :PREFIX:-CORPO-CARTA.</t>
  </si>
  <si>
    <t xml:space="preserve">         09 NZ44CU01-A-ADDRESSEE        PIC  X(40).</t>
  </si>
  <si>
    <t xml:space="preserve">   03 NY5BAU01-LINE-3.</t>
  </si>
  <si>
    <t xml:space="preserve">            88 NZ5B8U01-TIPO-RECIBO-A       VALUE 'A'.</t>
  </si>
  <si>
    <t xml:space="preserve">      88  :PREFIX:-ARTUR1           VALUE 'AM01'.</t>
  </si>
  <si>
    <t xml:space="preserve">      88  :PREFIX:-CADMIN1              VALUE 'CA61'.</t>
  </si>
  <si>
    <t xml:space="preserve">            04  BUSK410A-R1-DT-INI-REC  PIC X(010).</t>
  </si>
  <si>
    <t xml:space="preserve">        88 NZ5PDU01-TIPO-CARTA-RECIBO-B VALUE 'B'.</t>
  </si>
  <si>
    <t xml:space="preserve">        07  NZ44DU01-DUE-DATE              PIC X(10).</t>
  </si>
  <si>
    <t xml:space="preserve">  07  :PREFIX:-TIPO-REG             PIC X(004).</t>
  </si>
  <si>
    <t xml:space="preserve">         09 NZ44CU01-A-ADDRESS-LINE-1   PIC  X(40).</t>
  </si>
  <si>
    <t xml:space="preserve">     05 NY5BAU01-CREDITOR-NUMBER        PIC X(10).</t>
  </si>
  <si>
    <t xml:space="preserve">            88 NZ5B8U01-TIPO-RECIBO-C       VALUE 'C'.</t>
  </si>
  <si>
    <t xml:space="preserve">      88  :PREFIX:-EUGENIA          VALUE 'EC00'.</t>
  </si>
  <si>
    <t xml:space="preserve">      88  :PREFIX:-ARTUR                VALUE 'AM00'.</t>
  </si>
  <si>
    <t xml:space="preserve">            04  BUSK410A-R1-DT-FIM-REC  PIC X(010).</t>
  </si>
  <si>
    <t xml:space="preserve">    09  NZ5PDU01-CANCELLATION-DATE      PIC X(10).</t>
  </si>
  <si>
    <t xml:space="preserve">        07  NZ44DU01-NUM-TYPE              PIC X(01).</t>
  </si>
  <si>
    <t xml:space="preserve">      88  :PREFIX:-CDC1                 VALUE 'CDC1'.</t>
  </si>
  <si>
    <t xml:space="preserve">         09 NZ44CU01-A-ADDRESS-LINE-2   PIC  X(40).</t>
  </si>
  <si>
    <t xml:space="preserve">     05 NY5BAU01-CREDITOR-NAME          PIC X(40).</t>
  </si>
  <si>
    <t xml:space="preserve">            88 NZ5B8U01-TIPO-RECIBO-M       VALUE 'M'.</t>
  </si>
  <si>
    <t xml:space="preserve">      88  :PREFIX:-BRISSOS          VALUE 'BC00'.</t>
  </si>
  <si>
    <t xml:space="preserve">      88  :PREFIX:-ARTUR1               VALUE 'AM01'.</t>
  </si>
  <si>
    <t xml:space="preserve">            04  BUSK410A-R1-VALOR       PIC S9(013)V99.</t>
  </si>
  <si>
    <t xml:space="preserve">    09  NZ5PDU01-MOTIVO-CANC            PIC X(02).</t>
  </si>
  <si>
    <t xml:space="preserve">        07  NZ44DU01-NUM                   PIC X(04).</t>
  </si>
  <si>
    <t xml:space="preserve">      88  :PREFIX:-CHIP                 VALUE 'CHIP'.</t>
  </si>
  <si>
    <t xml:space="preserve">         09 NZ44CU01-A-ADDRESS-LINE-3   PIC  X(40).</t>
  </si>
  <si>
    <t xml:space="preserve">     05 NY5BAU01-CREDITOR-ADDRESS-1     PIC X(40).</t>
  </si>
  <si>
    <t xml:space="preserve">            88 NZ5B8U01-TIPO-RECIBO-F       VALUE 'F'.</t>
  </si>
  <si>
    <t xml:space="preserve">      88  :PREFIX:-BRIART           VALUE 'BCAM'.</t>
  </si>
  <si>
    <t xml:space="preserve">      88  :PREFIX:-EUGENIA              VALUE 'EC00'.</t>
  </si>
  <si>
    <t xml:space="preserve">    02  BUSK410A-DADOS-C002 REDEFINES BUSK410A-DADOS-C.</t>
  </si>
  <si>
    <t xml:space="preserve">    09  NZ5PDU01-MOTIVO-CANC-DESCR      PIC X(30).</t>
  </si>
  <si>
    <t xml:space="preserve">        07 NZ44DU01-IMPRIME-CARTA          PIC X(01).</t>
  </si>
  <si>
    <t xml:space="preserve">      88  :PREFIX:-ENTI                 VALUE 'ENTI'.</t>
  </si>
  <si>
    <t xml:space="preserve">         09 NZ44CU01-A-ADDRESS-LINE-4   PIC  X(40).</t>
  </si>
  <si>
    <t xml:space="preserve">     05 NY5BAU01-CREDITOR-ADDRESS-2     PIC X(40).</t>
  </si>
  <si>
    <t xml:space="preserve">            88 NZ5B8U01-TIPO-RECIBO-L       VALUE 'L'.</t>
  </si>
  <si>
    <t xml:space="preserve">      88  :PREFIX:-CORDEIRO         VALUE 'PC00'.</t>
  </si>
  <si>
    <t xml:space="preserve">      88  :PREFIX:-BRISSOS              VALUE 'BC00'.</t>
  </si>
  <si>
    <t xml:space="preserve">        03  BUSK410A-R2-T OCCURS 9.</t>
  </si>
  <si>
    <t xml:space="preserve">    09  NZ5PDU01-RAMO-SO              PIC X(06).</t>
  </si>
  <si>
    <t xml:space="preserve">            88  NZ44DU01-IMPRIME           VALUE 'S'.</t>
  </si>
  <si>
    <t xml:space="preserve">      88  :PREFIX:-CTAD                 VALUE 'CTAD'.</t>
  </si>
  <si>
    <t xml:space="preserve">         09 NZ44CU01-A-POST-CODE-DESC   PIC  X(40).</t>
  </si>
  <si>
    <t xml:space="preserve">     05 NY5BAU01-CREDITOR-CITY          PIC X(40).</t>
  </si>
  <si>
    <t xml:space="preserve">        07  NZ5B8U01-TIPO-COBRANCA          PIC X(01).</t>
  </si>
  <si>
    <t xml:space="preserve">      88  :PREFIX:-CORDEIRO1        VALUE 'PC01'.</t>
  </si>
  <si>
    <t xml:space="preserve">      88  :PREFIX:-BRIART               VALUE 'BCAM'.</t>
  </si>
  <si>
    <t xml:space="preserve">            04  BUSK410A-R2-RECIBO      PIC X(010).</t>
  </si>
  <si>
    <t xml:space="preserve">    09  NZ5PDU01-RAMO-SO-DESCR        PIC X(30).</t>
  </si>
  <si>
    <t xml:space="preserve">            88  NZ44DU01-NAO-IMPRIME       VALUE 'N'.</t>
  </si>
  <si>
    <t xml:space="preserve">      88  :PREFIX:-CCAG                 VALUE 'CCAG'.</t>
  </si>
  <si>
    <t xml:space="preserve">         09 NZ44CU01-A-NUM-TYPE         PIC  X(01).</t>
  </si>
  <si>
    <t xml:space="preserve">     05 NY5BAU01-CRED-POST-CODE         PIC X(09).</t>
  </si>
  <si>
    <t xml:space="preserve">            88 NZ5B8U01-TIPO-COBRANCA-A     VALUE 'A'.</t>
  </si>
  <si>
    <t xml:space="preserve">      88  :PREFIX:-BRICORD          VALUE 'BCPC'.</t>
  </si>
  <si>
    <t xml:space="preserve">      88  :PREFIX:-CORDEIRO             VALUE 'PC00'.</t>
  </si>
  <si>
    <t xml:space="preserve">            04  BUSK410A-R2-DT-VENC-REC PIC X(010).</t>
  </si>
  <si>
    <t xml:space="preserve">    09  NZ5PDU01-DATA-LIM-PAG         PIC X(10).</t>
  </si>
  <si>
    <t xml:space="preserve">        07                                 PIC X(03).</t>
  </si>
  <si>
    <t xml:space="preserve">      88  :PREFIX:-CAVR                 VALUE 'CAVR'.</t>
  </si>
  <si>
    <t xml:space="preserve">         09 NZ44CU01-A-NUM              PIC  X(04).</t>
  </si>
  <si>
    <t xml:space="preserve">     05 NY5BAU01-CRED-POST-CODE-DESCR   PIC X(40).</t>
  </si>
  <si>
    <t xml:space="preserve">            88 NZ5B8U01-TIPO-COBRANCA-C     VALUE 'C'.</t>
  </si>
  <si>
    <t xml:space="preserve">      88  :PREFIX:-FFSANTOS         VALUE 'FS00'.</t>
  </si>
  <si>
    <t xml:space="preserve">      88  :PREFIX:-CORDEIRO1            VALUE 'PC01'.</t>
  </si>
  <si>
    <t xml:space="preserve">            04  BUSK410A-R2-MEDIADOR    PIC X(010).</t>
  </si>
  <si>
    <t xml:space="preserve">    09  NZ5PDU01-DATA-DEV-REC         PIC X(10).</t>
  </si>
  <si>
    <t xml:space="preserve">      88  :PREFIX:-PTLI                 VALUE 'PTLI'.</t>
  </si>
  <si>
    <t xml:space="preserve">         09 FILLER                      PIC  X(183).</t>
  </si>
  <si>
    <t xml:space="preserve">     05 NY5BAU01-VEHICLE-MAKE           PIC X(30).</t>
  </si>
  <si>
    <t xml:space="preserve">            88 NZ5B8U01-TIPO-COBRANCA-E     VALUE 'E'.</t>
  </si>
  <si>
    <t xml:space="preserve">      88  :PREFIX:-FFSANTOS1        VALUE 'FS01'.</t>
  </si>
  <si>
    <t xml:space="preserve">      88  :PREFIX:-BRICORD              VALUE 'BCPC'.</t>
  </si>
  <si>
    <t xml:space="preserve">            04  BUSK410A-R2-TOT-REC     PIC S9(013)V99.</t>
  </si>
  <si>
    <t xml:space="preserve">    09  NZ5PDU01-DATA-1-IMPRESSAO     PIC X(10).</t>
  </si>
  <si>
    <t xml:space="preserve">        07  NZ44DU01-VEH-REG-NUMBER        PIC X(15).</t>
  </si>
  <si>
    <t xml:space="preserve">      88  :PREFIX:-PREX                 VALUE 'PREX'.</t>
  </si>
  <si>
    <t xml:space="preserve">      07 NZ44CU01-TIPO-IMP2             PIC  X(01).</t>
  </si>
  <si>
    <t xml:space="preserve">     05 NY5BAU01-VEHICLE-MODEL          PIC X(10).</t>
  </si>
  <si>
    <t xml:space="preserve">        07  NZ5B8U01-TIPO-CARTA-RECIBO      PIC X(01).</t>
  </si>
  <si>
    <t xml:space="preserve">      88  :PREFIX:-BRISANTOS        VALUE 'BCFS'.</t>
  </si>
  <si>
    <t xml:space="preserve">      88  :PREFIX:-FFSANTOS             VALUE 'FS00'.</t>
  </si>
  <si>
    <t xml:space="preserve">    02  BUSK410A-DADOS-C003 REDEFINES BUSK410A-DADOS-C.</t>
  </si>
  <si>
    <t xml:space="preserve">    09  NZ5PDU01-CANC-PREMIO-TOTAL    PIC S9(11)V9(2).</t>
  </si>
  <si>
    <t xml:space="preserve">        07  NZ44DU01-VEHICLE-TYPE          PIC X(30).</t>
  </si>
  <si>
    <t xml:space="preserve">      88  :PREFIX:-PTEX                 VALUE 'PTEX'.</t>
  </si>
  <si>
    <t xml:space="preserve">   05 NZ44CU01-RECORD-3 REDEFINES                            </t>
  </si>
  <si>
    <t xml:space="preserve">     05 NY5BAU01-VEHICLE-VERSION        PIC X(25).</t>
  </si>
  <si>
    <t xml:space="preserve">            88 NZ5B8U01-TIPO-CARTA-RECIBO-A VALUE 'A'.</t>
  </si>
  <si>
    <t xml:space="preserve">  07  :PREFIX:-TIPO-DOCUMENTO       PIC X(004).</t>
  </si>
  <si>
    <t xml:space="preserve">      88  :PREFIX:-FFSANTOS1            VALUE 'FS01'.</t>
  </si>
  <si>
    <t xml:space="preserve">        03  BUSK410A-R3-T OCCURS 13.</t>
  </si>
  <si>
    <t xml:space="preserve">    09  NZ5PDU01-CANC-PREMIO-PAGO     PIC S9(11)V9(2).</t>
  </si>
  <si>
    <t xml:space="preserve">        07  NZ44DU01-VEH-MAKE              PIC X(30).</t>
  </si>
  <si>
    <t xml:space="preserve">      88  :PREFIX:-PHAT                 VALUE 'PHAT'.</t>
  </si>
  <si>
    <t xml:space="preserve">     05 NY5BAU01-VEHICLE-REG-NUMBER     PIC X(15).</t>
  </si>
  <si>
    <t xml:space="preserve">            88 NZ5B8U01-TIPO-CARTA-RECIBO-C VALUE 'C'.</t>
  </si>
  <si>
    <t xml:space="preserve">      88  :PREFIX:-OUT1             VALUE 'OUT1'.</t>
  </si>
  <si>
    <t xml:space="preserve">      88  :PREFIX:-BRISANTOS            VALUE 'BCFS'.</t>
  </si>
  <si>
    <t xml:space="preserve">            04  BUSK410A-R3-REC.</t>
  </si>
  <si>
    <t xml:space="preserve">    09  NZ5PDU01-CANC-PER-N-DEC       PIC S9(11)V9(2).</t>
  </si>
  <si>
    <t xml:space="preserve">        07  NZ44DU01-VEH-MODEL             PIC X(10).</t>
  </si>
  <si>
    <t xml:space="preserve">      88  :PREFIX:-ORSM                 VALUE 'ORSM'.</t>
  </si>
  <si>
    <t xml:space="preserve">      07 NZ44CU01-VEHICLE-TYPE          PIC  X(03).</t>
  </si>
  <si>
    <t xml:space="preserve">     05 NY5BAU01-CRED-NUM-TYPE          PIC X(01).</t>
  </si>
  <si>
    <t xml:space="preserve">            88 NZ5B8U01-TIPO-CARTA-RECIBO-B VALUE 'B'.</t>
  </si>
  <si>
    <t xml:space="preserve">      88  :PREFIX:-OUT2             VALUE 'OUT2'.</t>
  </si>
  <si>
    <t xml:space="preserve">                05  BUSK410A-R3-RECIBO  PIC 9(006).</t>
  </si>
  <si>
    <t xml:space="preserve">    09  NZ5PDU01-C-ESPE-RCIB          PIC X(03).</t>
  </si>
  <si>
    <t xml:space="preserve">        07  NZ44DU01-VEH-EXTRA             PIC X(25).</t>
  </si>
  <si>
    <t xml:space="preserve">      88  :PREFIX:-CTAJ                 VALUE 'CTAJ'.</t>
  </si>
  <si>
    <t xml:space="preserve">      07 NZ44CU01-VEH-YEAR              PIC S9(04) COMP-3.</t>
  </si>
  <si>
    <t xml:space="preserve">     05 NY5BAU01-CRED-NUM               PIC X(04).</t>
  </si>
  <si>
    <t xml:space="preserve">        07  NZ5B8U01-CLIENT-NUM-TYPE        PIC X(01).</t>
  </si>
  <si>
    <t xml:space="preserve">      88  :PREFIX:-OUT3             VALUE 'OUT3'.</t>
  </si>
  <si>
    <t xml:space="preserve">      88  :PREFIX:-OUT1                 VALUE 'OUT1'.</t>
  </si>
  <si>
    <t xml:space="preserve">                05  BUSK410A-R3-BARRA   PIC X(001).</t>
  </si>
  <si>
    <t xml:space="preserve">        88 NZ5PDU01-ESPE-ACERTO       VALUE 'AC '.</t>
  </si>
  <si>
    <t xml:space="preserve">        07                                 PIC X(342).</t>
  </si>
  <si>
    <t xml:space="preserve">      88  :PREFIX:-CTRG                 VALUE 'CTRG'.</t>
  </si>
  <si>
    <t xml:space="preserve">      07 NZ44CU01-VEH-MAKE-DESC         PIC  X(38).</t>
  </si>
  <si>
    <t xml:space="preserve">     05 NY5BAU01-UAR-DETAIL             PIC X(65).</t>
  </si>
  <si>
    <t xml:space="preserve">        07  NZ5B8U01-CLIENT-NUM             PIC X(04).</t>
  </si>
  <si>
    <t xml:space="preserve">      88  :PREFIX:-OUT4             VALUE 'OUT4'.</t>
  </si>
  <si>
    <t xml:space="preserve">      88  :PREFIX:-OUT2                 VALUE 'OUT2'.</t>
  </si>
  <si>
    <t xml:space="preserve">                05  BUSK410A-R3-CD      PIC 9(001).</t>
  </si>
  <si>
    <t xml:space="preserve">        88 NZ5PDU01-ESPE-CANCEL       VALUE 'CN ' 'CX '.</t>
  </si>
  <si>
    <t xml:space="preserve">      88  :PREFIX:-ESTI                 VALUE 'ESTI'.</t>
  </si>
  <si>
    <t xml:space="preserve">      07 NZ44CU01-VEH-MODEL             PIC  X(10).</t>
  </si>
  <si>
    <t xml:space="preserve">     05 FILLER                          PIC X(78).</t>
  </si>
  <si>
    <t xml:space="preserve">        07  NZ5B8U01-C-TIPO-CTAD            PIC X(01).</t>
  </si>
  <si>
    <t xml:space="preserve">      88  :PREFIX:-OUT5             VALUE 'OUT5'.</t>
  </si>
  <si>
    <t xml:space="preserve">      88  :PREFIX:-OUT3                 VALUE 'OUT3'.</t>
  </si>
  <si>
    <t xml:space="preserve">                05  FILLER              PIC X(002).</t>
  </si>
  <si>
    <t xml:space="preserve">        88 NZ5PDU01-ESPE-ALTERACAO    VALUE 'EN '.</t>
  </si>
  <si>
    <t xml:space="preserve">        07  NZ44DU01-T-ADDRESSEE           PIC X(40).</t>
  </si>
  <si>
    <t xml:space="preserve">  07  :PREFIX:-MOTIVO-CANCEL        PIC X(002).</t>
  </si>
  <si>
    <t xml:space="preserve">      07 NZ44CU01-VEH-EXTRA             PIC  X(25).</t>
  </si>
  <si>
    <t xml:space="preserve">     05 NY5BAU01-TIPO-IMPRESSAO-3       PIC X(01).</t>
  </si>
  <si>
    <t xml:space="preserve">        07  NZ5B8U01-CANC-RCIB-PEND         PIC S9(11)V99.</t>
  </si>
  <si>
    <t xml:space="preserve">      88  :PREFIX:-REC1             VALUE 'REC1'.</t>
  </si>
  <si>
    <t xml:space="preserve">      88  :PREFIX:-OUT4                 VALUE 'OUT4'.</t>
  </si>
  <si>
    <t xml:space="preserve">            04  BUSK410A-R3-DT-DEVI-REC PIC X(010).</t>
  </si>
  <si>
    <t xml:space="preserve">        88 NZ5PDU01-ESPE-NOVO         VALUE 'NB '.</t>
  </si>
  <si>
    <t xml:space="preserve">        07  NZ44DU01-T-LICENSE-NUMBER-25   PIC X(25).</t>
  </si>
  <si>
    <t xml:space="preserve">      88  :PREFIX:-AGRAVA-RISCOR        VALUE 'AR'.</t>
  </si>
  <si>
    <t xml:space="preserve">      07 NZ44CU01-VEH-REG-NUMBER        PIC  X(15).</t>
  </si>
  <si>
    <t xml:space="preserve">        07  NZ5B8U01-C-MARC-SGRA            PIC X(03).</t>
  </si>
  <si>
    <t xml:space="preserve">      88  :PREFIX:-REC2             VALUE 'REC2'.</t>
  </si>
  <si>
    <t xml:space="preserve">      88  :PREFIX:-OUT5                 VALUE 'OUT5'.</t>
  </si>
  <si>
    <t xml:space="preserve">            04  BUSK410A-R3-TOT-REC     PIC S9(013)V99.</t>
  </si>
  <si>
    <t xml:space="preserve">        88 NZ5PDU01-ESPE-PRESTACAO    VALUE 'NP '.</t>
  </si>
  <si>
    <t xml:space="preserve">        07  NZ44DU01-T-LICENSE-DATE        PIC X(10).</t>
  </si>
  <si>
    <t xml:space="preserve">      88  :PREFIX:-FIM-CONTR-LOC        VALUE 'CL'.</t>
  </si>
  <si>
    <t xml:space="preserve">      07 NZ44CU01-CANC-LAP-REASON-DESC  PIC  X(30).</t>
  </si>
  <si>
    <t xml:space="preserve">        07  FILLER                          PIC X(48).</t>
  </si>
  <si>
    <t xml:space="preserve">      88  :PREFIX:-REC3             VALUE 'REC3'.</t>
  </si>
  <si>
    <t xml:space="preserve">      88  :PREFIX:-REC1                 VALUE 'REC1'.</t>
  </si>
  <si>
    <t xml:space="preserve">            04  BUSK410A-R3-JUROS-VENC  PIC S9(013)V99.</t>
  </si>
  <si>
    <t xml:space="preserve">        88 NZ5PDU01-ESPE-REC-ACERTO   VALUE 'RC '.</t>
  </si>
  <si>
    <t xml:space="preserve">        07                                 PIC X(377).</t>
  </si>
  <si>
    <t xml:space="preserve">      88  :PREFIX:-DESISTENCIA0         VALUE 'D1'.</t>
  </si>
  <si>
    <t xml:space="preserve">      07 NZ44CU01-CANC-REQUEST          PIC  X(01).</t>
  </si>
  <si>
    <t xml:space="preserve">      88  :PREFIX:-CRT1             VALUE 'CRT1'.</t>
  </si>
  <si>
    <t xml:space="preserve">      88  :PREFIX:-REC2                 VALUE 'REC2'.</t>
  </si>
  <si>
    <t xml:space="preserve">            04  BUSK410A-R3-TOTAL       PIC S9(013)V99.</t>
  </si>
  <si>
    <t xml:space="preserve">        88 NZ5PDU01-ESPE-RENOVACAO    VALUE 'RN '.</t>
  </si>
  <si>
    <t xml:space="preserve">      88  :PREFIX:-DESISTENCIA50        VALUE 'D2'.</t>
  </si>
  <si>
    <t xml:space="preserve">        88 NZ44CU01-CANC-REQ-COMPANY    VALUE 'C'.</t>
  </si>
  <si>
    <t xml:space="preserve">        07  NZ5B8U01-AGENT-NAME             PIC X(40).</t>
  </si>
  <si>
    <t xml:space="preserve">      88  :PREFIX:-CRT2             VALUE 'CRT2'.</t>
  </si>
  <si>
    <t xml:space="preserve">      88  :PREFIX:-REC3                 VALUE 'REC3'.</t>
  </si>
  <si>
    <t xml:space="preserve">        88 NZ5PDU01-ESPE-FF-NOVO      VALUE '001'.</t>
  </si>
  <si>
    <t xml:space="preserve">        07  NZ44DU01-AGENT-NUMBER          PIC X(10).</t>
  </si>
  <si>
    <t xml:space="preserve">      88  :PREFIX:-DESISTENCIA100       VALUE 'D3'.</t>
  </si>
  <si>
    <t xml:space="preserve">        88 NZ44CU01-CANC-REQ-CLIENT     VALUE 'U'.</t>
  </si>
  <si>
    <t xml:space="preserve">        07  NZ5B8U01-AGENT-ADDRESS          PIC X(40).</t>
  </si>
  <si>
    <t xml:space="preserve">      88  :PREFIX:-CRT3             VALUE 'CRT3'.</t>
  </si>
  <si>
    <t xml:space="preserve">  07  :PREFIX:-TIPO-IMPRESSAO       PIC X(003).</t>
  </si>
  <si>
    <t xml:space="preserve">        88 NZ5PDU01-ESPE-FF-UNICO     VALUE '002'.</t>
  </si>
  <si>
    <t xml:space="preserve">        07  NZ44DU01-AGENT-ADDRESSEE       PIC X(40).</t>
  </si>
  <si>
    <t xml:space="preserve">      88  :PREFIX:-MIG-DESISTENCIA      VALUE 'D4'.</t>
  </si>
  <si>
    <t xml:space="preserve">      07 NZ44CU01-CANC-REV-EFF-DATE     PIC  X(08).</t>
  </si>
  <si>
    <t xml:space="preserve">        07  NZ5B8U01-AGENT-ADDRESS-2        PIC X(40).</t>
  </si>
  <si>
    <t xml:space="preserve">      88  :PREFIX:-CRT4             VALUE 'CRT4'.</t>
  </si>
  <si>
    <t xml:space="preserve">      88  :PREFIX:-CEN-AGR-EX           VALUE 'CAE'.</t>
  </si>
  <si>
    <t xml:space="preserve">        88 NZ5PDU01-ESPE-FF-RENOVACAO VALUE '003'.</t>
  </si>
  <si>
    <t xml:space="preserve">        07  NZ44DU01-AGENT-ADDRESS1        PIC X(40).</t>
  </si>
  <si>
    <t xml:space="preserve">      88  :PREFIX:-ERRO                 VALUE 'ER'.</t>
  </si>
  <si>
    <t xml:space="preserve">      07 NZ44CU01-NCD-PERCENT       PIC S9(03)V9(02) COMP-3.</t>
  </si>
  <si>
    <t xml:space="preserve">        07  NZ5B8U01-AGENT-CITY             PIC X(40).</t>
  </si>
  <si>
    <t xml:space="preserve">      88  :PREFIX:-CEN-AGR-NEX          VALUE 'CAN'.</t>
  </si>
  <si>
    <t xml:space="preserve">        88 NZ5PDU01-ESPE-FF-ACTA      VALUE '004'.</t>
  </si>
  <si>
    <t xml:space="preserve">        07  NZ44DU01-AGENT-ADDRESS2        PIC X(40).</t>
  </si>
  <si>
    <t xml:space="preserve">      88  :PREFIX:-EXTINCAO             VALUE 'FA'.</t>
  </si>
  <si>
    <t xml:space="preserve">      07 NZ44CU01-TRAN-AMOUNT        PIC S9(11)V9(02) COMP-3.</t>
  </si>
  <si>
    <t xml:space="preserve">        07  NZ5B8U01-AGENT-POST-DESCR       PIC X(40).</t>
  </si>
  <si>
    <t xml:space="preserve">      88  :PREFIX:-CEN-AGR-EX       VALUE 'CAE'.</t>
  </si>
  <si>
    <t xml:space="preserve">      88  :PREFIX:-CEN-NAGR-EX          VALUE 'CNE'.</t>
  </si>
  <si>
    <t xml:space="preserve">        88 NZ5PDU01-ESPE-FF-REN-VAR   VALUE '006'.</t>
  </si>
  <si>
    <t xml:space="preserve">        07  NZ44DU01-AGENT-TOWN-SUBURB     PIC X(40).</t>
  </si>
  <si>
    <t xml:space="preserve">      88  :PREFIX:-FALSAS-DECLAFD       VALUE 'FD'.</t>
  </si>
  <si>
    <t xml:space="preserve">      07 NZ44CU01-LEASING.</t>
  </si>
  <si>
    <t xml:space="preserve">        07  NZ5B8U01-AGENT-NUM-TYPE         PIC X(01).</t>
  </si>
  <si>
    <t xml:space="preserve">      88  :PREFIX:-CEN-AGR-NEX      VALUE 'CAN'.</t>
  </si>
  <si>
    <t xml:space="preserve">      88  :PREFIX:-CEN-NAGR-NEX         VALUE 'CNN'.</t>
  </si>
  <si>
    <t xml:space="preserve">        88 NZ5PDU01-ESPE-FF-ESTORNO   VALUE '009'.</t>
  </si>
  <si>
    <t xml:space="preserve">        07  NZ44DU01-AGENT-POST-CODE       PIC X(09).</t>
  </si>
  <si>
    <t xml:space="preserve">      88  :PREFIX:-FALTA-PAG-CADUC      VALUE 'FG'.</t>
  </si>
  <si>
    <t xml:space="preserve">         09 NZ44CU01-L-ADDRESSEE        PIC  X(40).</t>
  </si>
  <si>
    <t xml:space="preserve">        07  NZ5B8U01-AGENT-NUM              PIC X(04).</t>
  </si>
  <si>
    <t xml:space="preserve">      88  :PREFIX:-CEN-NAGR-EX      VALUE 'CNE'.</t>
  </si>
  <si>
    <t xml:space="preserve">      88  :PREFIX:-DES-AGR-NEX          VALUE 'DAN'.</t>
  </si>
  <si>
    <t xml:space="preserve">    09  NZ5PDU01-C-TIPO-CTAD          PIC X(01).</t>
  </si>
  <si>
    <t xml:space="preserve">        07  NZ44DU01-AGENT-POST-CODE-DESC  PIC X(41).</t>
  </si>
  <si>
    <t xml:space="preserve">      88  :PREFIX:-FALTA-PAG-MANUAL     VALUE 'FM'.</t>
  </si>
  <si>
    <t xml:space="preserve">         09 NZ44CU01-L-ADDRESS-LINE-1   PIC  X(40).</t>
  </si>
  <si>
    <t xml:space="preserve">        07  FILLER                          PIC X(221).</t>
  </si>
  <si>
    <t xml:space="preserve">      88  :PREFIX:-CEN-NAGR-NEX     VALUE 'CNN'.</t>
  </si>
  <si>
    <t xml:space="preserve">      88  :PREFIX:-DES-NAGR-NEX         VALUE 'DNN'.</t>
  </si>
  <si>
    <t xml:space="preserve">        88 NZ5PDU01-CTAD-NO-RCIB-PEND VALUE ' '.</t>
  </si>
  <si>
    <t xml:space="preserve">        07  NZ44DU01-SELLING-ACCOUNT       PIC X(10).</t>
  </si>
  <si>
    <t xml:space="preserve">      88  :PREFIX:-FALTA-PAG-MANUAL0    VALUE 'FP'.</t>
  </si>
  <si>
    <t xml:space="preserve">         09 NZ44CU01-L-ADDRESS-LINE-2   PIC  X(40).</t>
  </si>
  <si>
    <t xml:space="preserve">      88  :PREFIX:-DES-AGR-NEX      VALUE 'DAN'.</t>
  </si>
  <si>
    <t xml:space="preserve">  07  :PREFIX:-COD-IMPRESSORA       PIC X(008).</t>
  </si>
  <si>
    <t xml:space="preserve">        88 NZ5PDU01-CTAD-RCIB-PEND    VALUE 'P'.</t>
  </si>
  <si>
    <t xml:space="preserve">        07  NZ44DU01-COLLECTING-COMM       PIC S9(11)V99.</t>
  </si>
  <si>
    <t xml:space="preserve">      88  :PREFIX:-FALTA-PAG-SUBST      VALUE 'FS'.</t>
  </si>
  <si>
    <t xml:space="preserve">         09 NZ44CU01-L-ADDRESS-LINE-3   PIC  X(40).</t>
  </si>
  <si>
    <t xml:space="preserve">        07  NZ5B8U01-NOTICES OCCURS 10 TIMES.</t>
  </si>
  <si>
    <t xml:space="preserve">      88  :PREFIX:-DES-NAGR-NEX     VALUE 'DNN'.</t>
  </si>
  <si>
    <t xml:space="preserve">  07  :PREFIX:-COD-DOC-ORIGEM       PIC X(010).</t>
  </si>
  <si>
    <t xml:space="preserve">    09  NZ5PDU01-CANC-RCIB-PEND       PIC S9(11)V9(2).</t>
  </si>
  <si>
    <t xml:space="preserve">        07  NZ44DU01-SELLING-COMM          PIC S9(11)V99.</t>
  </si>
  <si>
    <t xml:space="preserve">      88  :PREFIX:-FALSAS-DECLAF1       VALUE 'F1'.</t>
  </si>
  <si>
    <t xml:space="preserve">         09 NZ44CU01-L-ADDRESS-LINE-4   PIC  X(40).</t>
  </si>
  <si>
    <t xml:space="preserve">            09  NZ5B8U01-NOTICE-NUMBER      PIC X(10).</t>
  </si>
  <si>
    <t xml:space="preserve">    09  NZ5PDU01-M-PREMIO-ANUAL-AP    PIC S9(11)V9(2).</t>
  </si>
  <si>
    <t xml:space="preserve">        07  NZ44DU01-SPECIAL-COMM          PIC S9(11)V99.</t>
  </si>
  <si>
    <t xml:space="preserve">      88  :PREFIX:-FALSAS-DECLAF3       VALUE 'F3'.</t>
  </si>
  <si>
    <t xml:space="preserve">         09 NZ44CU01-L-POST-CODE-DESC   PIC  X(40).</t>
  </si>
  <si>
    <t xml:space="preserve">            09  NZ5B8U01-START-DATE         PIC X(10).</t>
  </si>
  <si>
    <t xml:space="preserve">      88  :PREFIX:-TIPO-HEADERMM        VALUE 'HDMM'.</t>
  </si>
  <si>
    <t xml:space="preserve">    09  NZ5PDU01-NUMERO-REGISTO-CTT   PIC X(17).</t>
  </si>
  <si>
    <t xml:space="preserve">        07  NZ44DU01-NUM-TYPE-AGE          PIC X(01).</t>
  </si>
  <si>
    <t xml:space="preserve">      88  :PREFIX:-MIGRACAO-MAQUIN      VALUE 'MM'.</t>
  </si>
  <si>
    <t xml:space="preserve">         09 NZ44CU01-CTT-CODIGO-BARRAS  PIC  X(08).</t>
  </si>
  <si>
    <t xml:space="preserve">            09  NZ5B8U01-END-DATE           PIC X(10).</t>
  </si>
  <si>
    <t xml:space="preserve">      88  :PREFIX:-TIPO-HEADER01        VALUE 'HD01'.</t>
  </si>
  <si>
    <t xml:space="preserve">    09  NZ5PDU01-NUMERO-CTT           PIC X(13).</t>
  </si>
  <si>
    <t xml:space="preserve">        07  NZ44DU01-NUM-AGE               PIC X(04).</t>
  </si>
  <si>
    <t xml:space="preserve">      88  :PREFIX:-PENALIZACAO-100      VALUE 'OM'.</t>
  </si>
  <si>
    <t xml:space="preserve">         09 NZ44CU01-L-NUM-TYPE         PIC  X(01).</t>
  </si>
  <si>
    <t xml:space="preserve">            09  NZ5B8U01-AMOUNT             PIC S9(10)V99.</t>
  </si>
  <si>
    <t xml:space="preserve">      88  :PREFIX:-TIPO-HEADERM     VALUE 'HDMM'.</t>
  </si>
  <si>
    <t xml:space="preserve">      88  :PREFIX:-TIPO-HEADER02        VALUE 'HD02'.</t>
  </si>
  <si>
    <t xml:space="preserve">    09  NZ5PDU01-C-CONT-ENT-MDAX      PIC X(10).</t>
  </si>
  <si>
    <t xml:space="preserve">        07                                 PIC X(175).</t>
  </si>
  <si>
    <t xml:space="preserve">      88  :PREFIX:-PEN-COB-PERDA-TOTAL  VALUE 'PC'.</t>
  </si>
  <si>
    <t xml:space="preserve">         09 NZ44CU01-L-NUM              PIC  X(04).</t>
  </si>
  <si>
    <t xml:space="preserve">        07  FILLER                          PIC X(06).</t>
  </si>
  <si>
    <t xml:space="preserve">      88  :PREFIX:-TIPO-HEADER01    VALUE 'HD01'.</t>
  </si>
  <si>
    <t xml:space="preserve">      88  :PREFIX:-TIPO-HEADER03        VALUE 'HD03'.</t>
  </si>
  <si>
    <t xml:space="preserve">    09  NZ5PDU01-N-CTA-AGT-OTR-COMS   PIC X(10).</t>
  </si>
  <si>
    <t xml:space="preserve">    05  NZ44DU01-TIPO-IMPRESSAO            PIC X(001).</t>
  </si>
  <si>
    <t xml:space="preserve">      88  :PREFIX:-ANUL-PERDA-DIREC     VALUE 'PD'.</t>
  </si>
  <si>
    <t xml:space="preserve">      07 FILLER                         PIC  X(42).</t>
  </si>
  <si>
    <t xml:space="preserve">    05  NZ5B8U01-TIPO-IMPRESSAO             PIC X(01).</t>
  </si>
  <si>
    <t xml:space="preserve">      88  :PREFIX:-TIPO-HEADER02    VALUE 'HD02'.</t>
  </si>
  <si>
    <t xml:space="preserve">      88  :PREFIX:-TIPO-HEADER04        VALUE 'HD04'.</t>
  </si>
  <si>
    <t xml:space="preserve">    09  NZ5PDU01-REFERENCIA-IBAN      PIC X(34).</t>
  </si>
  <si>
    <t xml:space="preserve">      88  :PREFIX:-APEDIDO-SEGURADO     VALUE 'PS'.</t>
  </si>
  <si>
    <t xml:space="preserve">      07 NZ44CU01-TIPO-IMP3             PIC  X(01).</t>
  </si>
  <si>
    <t xml:space="preserve">      88  :PREFIX:-TIPO-HEADER03    VALUE 'HD03'.</t>
  </si>
  <si>
    <t xml:space="preserve">      88  :PREFIX:-TIPO-HEADER05        VALUE 'HD05'.</t>
  </si>
  <si>
    <t xml:space="preserve">    09  NZ5PDU01-SWIFT                PIC X(11).</t>
  </si>
  <si>
    <t xml:space="preserve">      88  :PREFIX:-FRAUDE0              VALUE 'R1'.</t>
  </si>
  <si>
    <t xml:space="preserve">   05 NZ44CU01-RECORD-4 REDEFINES                            </t>
  </si>
  <si>
    <t xml:space="preserve">      88  :PREFIX:-TIPO-HEADER04    VALUE 'HD04'.</t>
  </si>
  <si>
    <t xml:space="preserve">      88  :PREFIX:-TIPO-HEADER06        VALUE 'HD06'.</t>
  </si>
  <si>
    <t xml:space="preserve">    09  NZ5PDU01-ID-CREDOR-SEPA       PIC X(35).</t>
  </si>
  <si>
    <t xml:space="preserve">      88  :PREFIX:-FRAUDE50             VALUE 'R2'.</t>
  </si>
  <si>
    <t xml:space="preserve">      88  :PREFIX:-TIPO-HEADER05    VALUE 'HD05'.</t>
  </si>
  <si>
    <t xml:space="preserve">      88  :PREFIX:-FRASE-REEMIS         VALUE 'DT00'.</t>
  </si>
  <si>
    <t xml:space="preserve">    09  FILLER                        PIC X(001).</t>
  </si>
  <si>
    <t xml:space="preserve">      88  :PREFIX:-FRAUDE100            VALUE 'R3'.</t>
  </si>
  <si>
    <t xml:space="preserve">      07 NZ44CU01-LOSS-DETAILS OCCURS 6 TIMES.</t>
  </si>
  <si>
    <t xml:space="preserve">      88  :PREFIX:-TIPO-HEADER06    VALUE 'HD06'.</t>
  </si>
  <si>
    <t xml:space="preserve">      88  :PREFIX:-TIPO-DETALHE         VALUE 'DT01'.</t>
  </si>
  <si>
    <t xml:space="preserve">      88  :PREFIX:-SUBSTITUICAO         VALUE 'SB'.</t>
  </si>
  <si>
    <t xml:space="preserve">        09 NZ44CU01-OCCURRENCE-NUMBER  PIC  X(10).</t>
  </si>
  <si>
    <t xml:space="preserve">      88  :PREFIX:-TIPO-DETALHE     VALUE 'DT01'.</t>
  </si>
  <si>
    <t xml:space="preserve">      88  :PREFIX:-FIM-DOCUMENTO        VALUE 'ENDD'.</t>
  </si>
  <si>
    <t xml:space="preserve">  07  NZ5PDU01-PRINT-CLIENT-DATA.</t>
  </si>
  <si>
    <t xml:space="preserve">      88  :PREFIX:-SELECCAO-CARTEIRA    VALUE 'SI'.</t>
  </si>
  <si>
    <t xml:space="preserve">        09 NZ44CU01-DATE-OCCURRED      PIC  X(08).</t>
  </si>
  <si>
    <t xml:space="preserve">      88  :PREFIX:-FIM-DOCUMENTO    VALUE 'ENDD'.</t>
  </si>
  <si>
    <t xml:space="preserve">      88  :PREFIX:-TRSF-0001            VALUE '0001'.</t>
  </si>
  <si>
    <t xml:space="preserve">    09  NZ5PDU01-CLIENT-NAME          PIC X(40).</t>
  </si>
  <si>
    <t xml:space="preserve">      88  :PREFIX:-SUBSTIT-PRODUTO      VALUE 'SP'.</t>
  </si>
  <si>
    <t xml:space="preserve">        09 NZ44CU01-INDEMNITY-AMOUNT PIC S9(10)V9(02) COMP-3.</t>
  </si>
  <si>
    <t xml:space="preserve">      88  :PREFIX:-TRSF-INI         VALUE '0001'.</t>
  </si>
  <si>
    <t xml:space="preserve">      88  :PREFIX:-TRSF-0002            VALUE '0002'.</t>
  </si>
  <si>
    <t xml:space="preserve">    09  NZ5PDU01-CLIENT-ADDRESS       PIC X(40).</t>
  </si>
  <si>
    <t xml:space="preserve">      88  :PREFIX:-SUBSTIT-TRANSF       VALUE 'ST'.</t>
  </si>
  <si>
    <t xml:space="preserve">        09 NZ44CU01-INSURED-LIABL-PERC PIC S9(03) COMP-3.</t>
  </si>
  <si>
    <t xml:space="preserve">      88  :PREFIX:-TRSF-FIM         VALUE '0002'.</t>
  </si>
  <si>
    <t xml:space="preserve">      88  :PREFIX:-TRSF-0003            VALUE '0003'.</t>
  </si>
  <si>
    <t xml:space="preserve">    09  NZ5PDU01-CLIENT-ADDRESS-2     PIC X(40).</t>
  </si>
  <si>
    <t xml:space="preserve">      88  :PREFIX:-PERDA-TOTAL          VALUE 'TP'.</t>
  </si>
  <si>
    <t xml:space="preserve">        09 NZ44CU01-COMMENTS           PIC  X(25).</t>
  </si>
  <si>
    <t xml:space="preserve">      88  :PREFIX:-TRSF-003         VALUE '0003'.</t>
  </si>
  <si>
    <t xml:space="preserve">  07  :PREFIX:-MARCA-REIMPRESSAO    PIC X(001).</t>
  </si>
  <si>
    <t xml:space="preserve">    09  NZ5PDU01-CLIENT-CITY          PIC X(40).</t>
  </si>
  <si>
    <t xml:space="preserve">      88  :PREFIX:-PAG-SINI-PERDA-TOTAL VALUE 'TX'.</t>
  </si>
  <si>
    <t xml:space="preserve">      07 FILLER                        PIC  X(126).</t>
  </si>
  <si>
    <t xml:space="preserve">      88  :PREFIX:-TRSF-004         VALUE '0004'.</t>
  </si>
  <si>
    <t xml:space="preserve">      88  :PREFIX:-ESPACO               VALUE ' '.</t>
  </si>
  <si>
    <t xml:space="preserve">    09  NZ5PDU01-CLIENT-POST-CODE     PIC X(09).</t>
  </si>
  <si>
    <t xml:space="preserve">      88  :PREFIX:-TRANSFERENCIA0       VALUE 'T1'.</t>
  </si>
  <si>
    <t xml:space="preserve">      07 NZ44CU01-TIPO-IMP4            PIC  X(01).</t>
  </si>
  <si>
    <t xml:space="preserve">      88  :PREFIX:-ONLINE               VALUE '1'.</t>
  </si>
  <si>
    <t xml:space="preserve">    09  NZ5PDU01-CLIENT-POST-DESCR    PIC X(40).</t>
  </si>
  <si>
    <t xml:space="preserve">      88  :PREFIX:-TRANSFERENCIA50      VALUE 'T2'.</t>
  </si>
  <si>
    <t xml:space="preserve">   05 NZ44CU01-RECORD-5 REDEFINES                            </t>
  </si>
  <si>
    <t xml:space="preserve">      88  :PREFIX:-ESPACO           VALUE ' '.</t>
  </si>
  <si>
    <t xml:space="preserve">      88  :PREFIX:-SEG-VIA              VALUE '2'.</t>
  </si>
  <si>
    <t xml:space="preserve">    09  NZ5PDU01-FISCAL-NUMBER        PIC X(09).</t>
  </si>
  <si>
    <t xml:space="preserve">      88  :PREFIX:-TRANSFERENCIA100     VALUE 'T3'.</t>
  </si>
  <si>
    <t xml:space="preserve">      88  :PREFIX:-ONLINE           VALUE '1'.</t>
  </si>
  <si>
    <t xml:space="preserve">      88  :PREFIX:-REGISTADA            VALUE '3'.</t>
  </si>
  <si>
    <t xml:space="preserve">    09  NZ5PDU01-CLIENT-NUM-TYPE      PIC X(01).</t>
  </si>
  <si>
    <t xml:space="preserve">      88  :PREFIX:-MIG-TRANSF           VALUE 'T4'.</t>
  </si>
  <si>
    <t xml:space="preserve">      07 NZ44CU01-T-VEHICLE-TYPE           PIC X(03).</t>
  </si>
  <si>
    <t xml:space="preserve">      88  :PREFIX:-SEG-VIA          VALUE '2'.</t>
  </si>
  <si>
    <t xml:space="preserve">  07  :PREFIX:-COD-CAPA             PIC X(006).</t>
  </si>
  <si>
    <t xml:space="preserve">    09  NZ5PDU01-CLIENT-NUM           PIC X(04).</t>
  </si>
  <si>
    <t xml:space="preserve">      88  :PREFIX:-EXTINCAO-RISCO0      VALUE 'X1'.</t>
  </si>
  <si>
    <t xml:space="preserve">      07 NZ44CU01-T-ADDRESSEE              PIC X(40).</t>
  </si>
  <si>
    <t xml:space="preserve">      88  :PREFIX:-REGISTADA        VALUE '3'.</t>
  </si>
  <si>
    <t xml:space="preserve">  07  :PREFIX:-DOC-ID               PIC X(003).</t>
  </si>
  <si>
    <t xml:space="preserve">    09  NZ5PDU01-IND-FLYER            PIC X(01).</t>
  </si>
  <si>
    <t xml:space="preserve">      88  :PREFIX:-EXTINCAO-RISCO50     VALUE 'X2'.</t>
  </si>
  <si>
    <t xml:space="preserve">      07 NZ44CU01-T-LICENSE-NUMBER-25      PIC X(25).</t>
  </si>
  <si>
    <t xml:space="preserve">      88  :PREFIX:-DOCID-CART           VALUE '   '.</t>
  </si>
  <si>
    <t xml:space="preserve">    09  FILLER                        PIC X(253).</t>
  </si>
  <si>
    <t xml:space="preserve">      88  :PREFIX:-EXTINCAO-RISCO100    VALUE 'X3'.</t>
  </si>
  <si>
    <t xml:space="preserve">      07 NZ44CU01-T-LICENSE-DATE           PIC X(10).</t>
  </si>
  <si>
    <t xml:space="preserve">      88  :PREFIX:-DOCID-CART1          VALUE '001'.</t>
  </si>
  <si>
    <t xml:space="preserve">      88  :PREFIX:-MIG-EXTIN-RISCO      VALUE 'X4'.</t>
  </si>
  <si>
    <t xml:space="preserve">      07 FILLER                            PIC X(360).</t>
  </si>
  <si>
    <t xml:space="preserve">      88  :PREFIX:-DOCID-CART       VALUE '   '.</t>
  </si>
  <si>
    <t xml:space="preserve">      88  :PREFIX:-DOCID-CP             VALUE '002'.</t>
  </si>
  <si>
    <t xml:space="preserve">  07  NZ5PDU01-PRINT-AGENT-DATA.</t>
  </si>
  <si>
    <t xml:space="preserve">      88  :PREFIX:-FALTA-PAGAMENTO      VALUE '01'.</t>
  </si>
  <si>
    <t xml:space="preserve">      07 NZ44CU01-TIPO-IMP5                PIC X(01).</t>
  </si>
  <si>
    <t xml:space="preserve">      88  :PREFIX:-DOCID-CART1      VALUE '001'.</t>
  </si>
  <si>
    <t xml:space="preserve">      88  :PREFIX:-DOCID-CR             VALUE '003'.</t>
  </si>
  <si>
    <t xml:space="preserve">    09  NZ5PDU01-AGENT-NAME           PIC X(40).</t>
  </si>
  <si>
    <t xml:space="preserve">      88  :PREFIX:-CANCEL-NOTA-COB      VALUE '02'.</t>
  </si>
  <si>
    <t xml:space="preserve">      88  :PREFIX:-DOCID-CP         VALUE '002'.</t>
  </si>
  <si>
    <t xml:space="preserve">      88  :PREFIX:-DOCID-CERT           VALUE '004'.</t>
  </si>
  <si>
    <t xml:space="preserve">    09  NZ5PDU01-AGENT-ADDRESS        PIC X(40).</t>
  </si>
  <si>
    <t xml:space="preserve">      88  :PREFIX:-FALTA-PAGAM-INI      VALUE '03'.</t>
  </si>
  <si>
    <t xml:space="preserve">      88  :PREFIX:-DOCID-CR         VALUE '003'.</t>
  </si>
  <si>
    <t xml:space="preserve">      88  :PREFIX:-DOCID-EXTR           VALUE '005'.</t>
  </si>
  <si>
    <t xml:space="preserve">    09  NZ5PDU01-AGENT-ADDRESS-2      PIC X(40).</t>
  </si>
  <si>
    <t xml:space="preserve">      88  :PREFIX:-FALTA-APGAM-INM      VALUE '04'.</t>
  </si>
  <si>
    <t xml:space="preserve">      88  :PREFIX:-DOCID-CERT       VALUE '004'.</t>
  </si>
  <si>
    <t xml:space="preserve">      88  :PREFIX:-DOCID-TRF-CART       VALUE '006'.</t>
  </si>
  <si>
    <t xml:space="preserve">    09  NZ5PDU01-AGENT-CITY           PIC X(40).</t>
  </si>
  <si>
    <t xml:space="preserve">      88  :PREFIX:-FALTA-PAGAM-CAD      VALUE '05'.</t>
  </si>
  <si>
    <t xml:space="preserve">      88  :PREFIX:-DOCID-EXTR       VALUE '005'.</t>
  </si>
  <si>
    <t xml:space="preserve">      88  :PREFIX:-DOCID-REC-SINIS      VALUE '007'.</t>
  </si>
  <si>
    <t xml:space="preserve">    09  NZ5PDU01-AGENT-POST-CODE      PIC X(09).</t>
  </si>
  <si>
    <t xml:space="preserve">      88  :PREFIX:-FALTA-PAGAM-ALT      VALUE '07'.</t>
  </si>
  <si>
    <t xml:space="preserve">      88  :PREFIX:-DOCID-TRF-CART   VALUE '006'.</t>
  </si>
  <si>
    <t xml:space="preserve">      88  :PREFIX:-DOCID-LISTA          VALUE '008'.</t>
  </si>
  <si>
    <t xml:space="preserve">    09  NZ5PDU01-AGENT-POST-DESCR     PIC X(40).</t>
  </si>
  <si>
    <t xml:space="preserve">  07  :PREFIX:-DESCR-MOTIVO-CANCEL  PIC X(030).</t>
  </si>
  <si>
    <t xml:space="preserve">      88  :PREFIX:-DOCID-REC-SINIS  VALUE '007'.</t>
  </si>
  <si>
    <t xml:space="preserve">      88  :PREFIX:-DOCID-LISTAH         VALUE '009'.</t>
  </si>
  <si>
    <t xml:space="preserve">    09  NZ5PDU01-M-COMS-CBRC          PIC S9(11)V9(2).</t>
  </si>
  <si>
    <t xml:space="preserve">  07  :PREFIX:-FAZ-DOC-CANCEL       PIC X(001).</t>
  </si>
  <si>
    <t xml:space="preserve">      88  :PREFIX:-DOCID-LISTA      VALUE '008'.</t>
  </si>
  <si>
    <t xml:space="preserve">  07  :PREFIX:-USER-ID              PIC X(008).</t>
  </si>
  <si>
    <t xml:space="preserve">    09  NZ5PDU01-M-OUTR-COMS          PIC S9(11)V9(2).</t>
  </si>
  <si>
    <t xml:space="preserve">      88   :PREFIX:-DOC-CANCEL          VALUE 'S'.</t>
  </si>
  <si>
    <t xml:space="preserve">      88  :PREFIX:-DOCID-LISTAH     VALUE '009'.</t>
  </si>
  <si>
    <t xml:space="preserve">  07  :PREFIX:-ADERENTE             PIC X(008).</t>
  </si>
  <si>
    <t xml:space="preserve">    09  NZ5PDU01-M-COMS-AGRZ          PIC S9(11)V9(2).</t>
  </si>
  <si>
    <t xml:space="preserve">  07  :PREFIX:-FAZ-CARTA-ACOMP      PIC X(001).</t>
  </si>
  <si>
    <t xml:space="preserve">      88  :PREFIX:-DOCID-TRFAPOL    VALUE '010'.</t>
  </si>
  <si>
    <t xml:space="preserve">  07  :PREFIX:-APOLICE-NCR          PIC X(008).</t>
  </si>
  <si>
    <t xml:space="preserve">    09  NZ5PDU01-AGENT-NUM-TYPE       PIC X(01).</t>
  </si>
  <si>
    <t xml:space="preserve">      88   :PREFIX:-CARTA               VALUE 'S'.</t>
  </si>
  <si>
    <t xml:space="preserve">  07  :PREFIX:-TIPO-LAYOUT          PIC X(002).</t>
  </si>
  <si>
    <t xml:space="preserve">    09  NZ5PDU01-AGENT-NUM            PIC X(04).</t>
  </si>
  <si>
    <t xml:space="preserve">  07  :PREFIX:-DESCR-PRODUTO        PIC X(030).</t>
  </si>
  <si>
    <t xml:space="preserve">  07  :PREFIX:-FILLER               PIC X(132).</t>
  </si>
  <si>
    <t xml:space="preserve">    09  FILLER                        PIC X(224).</t>
  </si>
  <si>
    <t xml:space="preserve">  07  :PREFIX:-DADOS-AGENTE.</t>
  </si>
  <si>
    <t>05  :PREFIX:-DADOS-VARIAVEL         PIC X(3798).</t>
  </si>
  <si>
    <t xml:space="preserve">      09  :PREFIX:-AG-NOME          PIC X(040).</t>
  </si>
  <si>
    <t xml:space="preserve">  07  :PREFIX:-FILLER               PIC X(134).</t>
  </si>
  <si>
    <t>05  :PREFIX:-HDMM REDEFINES :PREFIX:-DADOS-VARIAVEL.</t>
  </si>
  <si>
    <t xml:space="preserve">  07  NZ5PDU01-PRINT-PAYMENT-DATA.</t>
  </si>
  <si>
    <t xml:space="preserve">      09  :PREFIX:-AG-MORADA1       PIC X(040).</t>
  </si>
  <si>
    <t>05  :PREFIX:-DADOS-VARIAVEL         PIC X(3950).</t>
  </si>
  <si>
    <t xml:space="preserve">  07  :PREFIX:-DADOS-CABECALHO.</t>
  </si>
  <si>
    <t xml:space="preserve">    09  NZ5PDU01-BANK-ID.</t>
  </si>
  <si>
    <t xml:space="preserve">      09  :PREFIX:-AG-MORADA2       PIC X(040).</t>
  </si>
  <si>
    <t>05  REDEFINES :PREFIX:-DADOS-VARIAVEL.</t>
  </si>
  <si>
    <t xml:space="preserve">    09  :PREFIX:-TITULO-DOC1        PIC X(040).</t>
  </si>
  <si>
    <t xml:space="preserve">       11  NZ5PDU01-CLIENT-BANK-NAME    PIC X(40).</t>
  </si>
  <si>
    <t xml:space="preserve">      09  :PREFIX:-AG-MORADA3       PIC X(040).</t>
  </si>
  <si>
    <t xml:space="preserve">    09  :PREFIX:-TITULO-DOC2        PIC X(040).</t>
  </si>
  <si>
    <t xml:space="preserve">       11  NZ5PDU01-CLIENT-ACCT-NUMBER  PIC X(13).</t>
  </si>
  <si>
    <t xml:space="preserve">      09  :PREFIX:-AG-MORADA4       PIC X(040).</t>
  </si>
  <si>
    <t xml:space="preserve">    09  :PREFIX:-DADOS-ENDERECAMENTO.</t>
  </si>
  <si>
    <t xml:space="preserve">    09  NZ5PDU01-N-NIB                  PIC X(21).</t>
  </si>
  <si>
    <t xml:space="preserve">      09  :PREFIX:-AG-TNUM-PORTA    PIC X(001).</t>
  </si>
  <si>
    <t xml:space="preserve">      11  :PREFIX:-NOME             PIC X(040).</t>
  </si>
  <si>
    <t xml:space="preserve">    09  NZ5PDU01-C-CREDOR-ADC.</t>
  </si>
  <si>
    <t xml:space="preserve">      09  :PREFIX:-AG-NUM-PORTA     PIC X(004).</t>
  </si>
  <si>
    <t xml:space="preserve">      11  :PREFIX:-MORADA1          PIC X(040).</t>
  </si>
  <si>
    <t xml:space="preserve">       11  NZ5PDU01-ID-CREDOR           PIC X(06).</t>
  </si>
  <si>
    <t xml:space="preserve">  07  :PREFIX:-COD-MOEDA            PIC X(003).</t>
  </si>
  <si>
    <t xml:space="preserve">      11  :PREFIX:-MORADA2          PIC X(040).</t>
  </si>
  <si>
    <t xml:space="preserve">       11  NZ5PDU01-C-REF-EXRT-BNCI     PIC X(11).</t>
  </si>
  <si>
    <t xml:space="preserve">  07  :PREFIX:-CL-NIF               PIC X(009).</t>
  </si>
  <si>
    <t xml:space="preserve">      11  :PREFIX:-MORADA3          PIC X(040).</t>
  </si>
  <si>
    <t xml:space="preserve">    09  NZ5PDU01-ATM-REFERENCE-NO       PIC X(09).</t>
  </si>
  <si>
    <t xml:space="preserve">  07  :PREFIX:-DT-INICIO            PIC X(010).</t>
  </si>
  <si>
    <t xml:space="preserve">      11  :PREFIX:-MORADA4          PIC X(040).</t>
  </si>
  <si>
    <t xml:space="preserve">    09  NZ5PDU01-ATM-ENTIDADE           PIC X(05).</t>
  </si>
  <si>
    <t xml:space="preserve">  07  :PREFIX:-DT-FIM               PIC X(010).</t>
  </si>
  <si>
    <t xml:space="preserve">      11  :PREFIX:-TNUM-PORTA       PIC X(001).</t>
  </si>
  <si>
    <t xml:space="preserve">    09  NZ5PDU01-M-CAP-RCIB             PIC S9(11)V9(2).</t>
  </si>
  <si>
    <t xml:space="preserve">  07  :PREFIX:-DT-SINISTRO          PIC X(010).</t>
  </si>
  <si>
    <t xml:space="preserve">      11  :PREFIX:-NUM-PORTA        PIC X(004).</t>
  </si>
  <si>
    <t xml:space="preserve">    09  NZ5PDU01-CAPITAL-RC             PIC S9(11)V9(2).</t>
  </si>
  <si>
    <t xml:space="preserve">  07  :PREFIX:-DT-CESSACAO          PIC X(010).</t>
  </si>
  <si>
    <t xml:space="preserve">  07  FILLER                        PIC X(3513).</t>
  </si>
  <si>
    <t xml:space="preserve">    09  NZ5PDU01-M-BONIFICACAO          PIC S9(11)V9(2).</t>
  </si>
  <si>
    <t xml:space="preserve">  07  :PREFIX:-PREMIO-ANUAL         PIC S9(11)V99.</t>
  </si>
  <si>
    <t>05                REDEFINES :PREFIX:-DADOS-VARIAVEL.</t>
  </si>
  <si>
    <t xml:space="preserve">    09  NZ5PDU01-PREMIO-COMERCIAL       PIC S9(11)V9(2).</t>
  </si>
  <si>
    <t xml:space="preserve">  07  :PREFIX:-PREMIO-PAGO          PIC S9(11)V99.</t>
  </si>
  <si>
    <t xml:space="preserve">    09  :PREFIX:-DT-CARTA-EMISSAO   PIC X(032).</t>
  </si>
  <si>
    <t xml:space="preserve">  07  :PREFIX:-DADOS-CARTAS.</t>
  </si>
  <si>
    <t xml:space="preserve">    09  NZ5PDU01-M-RECIBO               PIC S9(11)V9(2).</t>
  </si>
  <si>
    <t xml:space="preserve">  07  :PREFIX:-PREMIO-CANCEL        PIC S9(11)V99.</t>
  </si>
  <si>
    <t xml:space="preserve">    09  :PREFIX:-ASSUNTO1           PIC X(090).</t>
  </si>
  <si>
    <t xml:space="preserve">    09  NZ5PDU01-Z-INIC-PAG-RCIB        PIC X(10).</t>
  </si>
  <si>
    <t xml:space="preserve">  07  :PREFIX:-PERC-PENALIZACAO     PIC S9(03)V9(4).</t>
  </si>
  <si>
    <t xml:space="preserve">    09  :PREFIX:-ASSUNTO2           PIC X(090).</t>
  </si>
  <si>
    <t xml:space="preserve">    09  NZ5PDU01-Z-LIM-PAG-RCIB         PIC X(10).</t>
  </si>
  <si>
    <t xml:space="preserve">  07  :PREFIX:-PENALIZACAO          PIC S9(11)V99.</t>
  </si>
  <si>
    <t xml:space="preserve">    09  :PREFIX:-ASSUNTO3           PIC X(090).</t>
  </si>
  <si>
    <t xml:space="preserve">    09  NZ5PDU01-Z-EMIS-RCIB            PIC X(10).</t>
  </si>
  <si>
    <t xml:space="preserve">  07  :PREFIX:-PREMIO-EM-DIVIDA     PIC S9(11)V99.</t>
  </si>
  <si>
    <t xml:space="preserve">    09  :PREFIX:-REGISTO-CTT        PIC X(017).</t>
  </si>
  <si>
    <t xml:space="preserve">    09  NZ5PDU01-INSTALMENT-NUMBER      PIC X(03).</t>
  </si>
  <si>
    <t xml:space="preserve">  07  :PREFIX:-VALORES-PAGOS-N-REC  PIC S9(11)V99.</t>
  </si>
  <si>
    <t xml:space="preserve">  07  FILLER                        PIC X(3496).</t>
  </si>
  <si>
    <t xml:space="preserve">    09  NZ5PDU01-C-FREQ-PAG             PIC X(02).</t>
  </si>
  <si>
    <t xml:space="preserve">  07  :PREFIX:-VALOR-RESULTANTE     PIC S9(11)V99.</t>
  </si>
  <si>
    <t xml:space="preserve">  07  :PREFIX:-DADOS-CABECALHO-A.</t>
  </si>
  <si>
    <t>05  :PREFIX:-HD01 REDEFINES :PREFIX:-DADOS-VARIAVEL.</t>
  </si>
  <si>
    <t xml:space="preserve">    09  NZ5PDU01-I-REGM-D122            PIC X(01).</t>
  </si>
  <si>
    <t xml:space="preserve">  07  :PREFIX:-LIMIT-AMT            PIC S9(013).</t>
  </si>
  <si>
    <t xml:space="preserve">    09  :PREFIX:-DESCR-PROD1          PIC X(040).</t>
  </si>
  <si>
    <t xml:space="preserve">    09  :PREFIX:-NIF                PIC X(009).</t>
  </si>
  <si>
    <t xml:space="preserve">    09  NZ5PDU01-POLICY-EFF-DATE        PIC X(10).</t>
  </si>
  <si>
    <t xml:space="preserve">  07  :PREFIX:-REFERENCIA           PIC X(010).</t>
  </si>
  <si>
    <t xml:space="preserve">    09  :PREFIX:-DESCR-PROD2          PIC X(040).</t>
  </si>
  <si>
    <t xml:space="preserve">    09  :PREFIX:-NCERTIFICADO       PIC X(010).</t>
  </si>
  <si>
    <t xml:space="preserve">    09  NZ5PDU01-BRANCH-CODE            PIC X(03).</t>
  </si>
  <si>
    <t xml:space="preserve">  07  :PREFIX:-IND-UAR              PIC X(001).</t>
  </si>
  <si>
    <t xml:space="preserve">    09  :PREFIX:-DADOS-ENDERECAMENTO-A.</t>
  </si>
  <si>
    <t xml:space="preserve">    09  :PREFIX:-NEMPREGADO         PIC X(010).</t>
  </si>
  <si>
    <t xml:space="preserve">    09  NZ5PDU01-C-REF-CTT              PIC X(36).</t>
  </si>
  <si>
    <t xml:space="preserve">      88  :PREFIX:-UAR-UNICA            VALUE 'U'.</t>
  </si>
  <si>
    <t xml:space="preserve">      11  :PREFIX:-NOME-A           PIC X(040).</t>
  </si>
  <si>
    <t xml:space="preserve">    09  :PREFIX:-NATUREZA           PIC X(020).</t>
  </si>
  <si>
    <t xml:space="preserve">    09  NZ5PDU01-CODIGO-BARRAS-TAG      PIC X(20).</t>
  </si>
  <si>
    <t xml:space="preserve">      88  :PREFIX:-UAR-MULTIPLA         VALUE 'M'.</t>
  </si>
  <si>
    <t xml:space="preserve">      11  :PREFIX:-MORADA1-A        PIC X(040).</t>
  </si>
  <si>
    <t xml:space="preserve">    09  :PREFIX:-DT-EMISSAO         PIC X(010).</t>
  </si>
  <si>
    <t xml:space="preserve">    09  NZ5PDU01-PENALTY                PIC S9(09)V9(2).</t>
  </si>
  <si>
    <t xml:space="preserve">  07  :PREFIX:-VEIC-NUMERO          PIC X(015).</t>
  </si>
  <si>
    <t xml:space="preserve">      11  :PREFIX:-MORADA2-A        PIC X(040).</t>
  </si>
  <si>
    <t xml:space="preserve">    09  :PREFIX:-DT-ANIVERSARIA     PIC X(016).</t>
  </si>
  <si>
    <t xml:space="preserve">    09  NZ5PDU01-M-ENCARGO              PIC S9(09)V9(2).</t>
  </si>
  <si>
    <t xml:space="preserve">  07  :PREFIX:-VEIC-TIPO            PIC X(030).</t>
  </si>
  <si>
    <t xml:space="preserve">      11  :PREFIX:-MORADA3-A        PIC X(040).</t>
  </si>
  <si>
    <t xml:space="preserve">    09  :PREFIX:-RAMO-DSC           PIC X(035).</t>
  </si>
  <si>
    <t xml:space="preserve">    09  NZ5PDU01-M-CUST-FRAT            PIC S9(09)V9(2).</t>
  </si>
  <si>
    <t xml:space="preserve">  07  :PREFIX:-VEIC-MARCA           PIC X(030).</t>
  </si>
  <si>
    <t xml:space="preserve">      11  :PREFIX:-MORADA4-A        PIC X(040).</t>
  </si>
  <si>
    <t xml:space="preserve">    09  :PREFIX:-MODALIDADE         PIC X(030).</t>
  </si>
  <si>
    <t xml:space="preserve">    09  NZ5PDU01-M-PAG-FNDP             PIC S9(09)V9(2).</t>
  </si>
  <si>
    <t xml:space="preserve">  07  :PREFIX:-VEIC-MODELO          PIC X(010).</t>
  </si>
  <si>
    <t xml:space="preserve">      11  :PREFIX:-TNUM-PORTA-A     PIC X(001).</t>
  </si>
  <si>
    <t xml:space="preserve">    09  :PREFIX:-PROCESSO           PIC X(008).</t>
  </si>
  <si>
    <t xml:space="preserve">    09  NZ5PDU01-M-FGA                  PIC S9(09)V9(2).</t>
  </si>
  <si>
    <t xml:space="preserve">  07  :PREFIX:-VEIC-EXTRA           PIC X(025).</t>
  </si>
  <si>
    <t xml:space="preserve">      11  :PREFIX:-NUM-PORTA-A      PIC X(004).</t>
  </si>
  <si>
    <t xml:space="preserve">    09  :PREFIX:-NR-RECIBO          PIC X(010).</t>
  </si>
  <si>
    <t xml:space="preserve">    09  NZ5PDU01-M-SNB                  PIC S9(09)V9(2).</t>
  </si>
  <si>
    <t xml:space="preserve">  07  :PREFIX:-VEIC-LICENCA         PIC X(025).</t>
  </si>
  <si>
    <t xml:space="preserve">    09  :PREFIX:-DT-SINISTRO        PIC X(008).</t>
  </si>
  <si>
    <t xml:space="preserve">    09  NZ5PDU01-M-INEM                 PIC S9(09)V9(2)</t>
  </si>
  <si>
    <t xml:space="preserve">  07  :PREFIX:-OBJECTO-SEGURO       PIC X(072).</t>
  </si>
  <si>
    <t xml:space="preserve">    09  FILLER                      PIC X(3632).</t>
  </si>
  <si>
    <t xml:space="preserve">    09  NZ5PDU01-M-CUST-CVER            PIC S9(09)V9(2).</t>
  </si>
  <si>
    <t xml:space="preserve">  07  :PREFIX:-DT-EMISSAO           PIC X(010).</t>
  </si>
  <si>
    <t>05  :PREFIX:-DT01 REDEFINES :PREFIX:-DADOS-VARIAVEL.</t>
  </si>
  <si>
    <t xml:space="preserve">    09  NZ5PDU01-M-SELOS                PIC S9(09)V9(2).</t>
  </si>
  <si>
    <t xml:space="preserve">  07  :PREFIX:-DT-INICIO-RECIBO     PIC X(010).</t>
  </si>
  <si>
    <t xml:space="preserve">  07  :PREFIX:-TIPO-LINHA           PIC X(004).</t>
  </si>
  <si>
    <t xml:space="preserve">    09  NZ5PDU01-M-ACTA                 PIC S9(09)V9(2).</t>
  </si>
  <si>
    <t xml:space="preserve">  07  :PREFIX:-DT-FIM-RECIBO        PIC X(010).</t>
  </si>
  <si>
    <t xml:space="preserve">      88  :PREFIX:-TL-SAUDACAO          VALUE '0001'.</t>
  </si>
  <si>
    <t xml:space="preserve">    09  NZ5PDU01-M-CUST-IS              PIC S9(09)V9(2).</t>
  </si>
  <si>
    <t xml:space="preserve">  07  :PREFIX:-CAPITAL              PIC X(032).</t>
  </si>
  <si>
    <t xml:space="preserve">      88  :PREFIX:-TL-ESPACOS           VALUE '0002'.</t>
  </si>
  <si>
    <t xml:space="preserve">    09  NZ5PDU01-M-FNDO-CLMD            PIC S9(09)V9(2).</t>
  </si>
  <si>
    <t xml:space="preserve">  07  :PREFIX:-NIB                  PIC X(021).</t>
  </si>
  <si>
    <t xml:space="preserve">      88  :PREFIX:-TL-CORRENTE          VALUE '0003'.</t>
  </si>
  <si>
    <t xml:space="preserve">    09  NZ5PDU01-M-FND-GAR-ATMV-OTR     PIC S9(09)V9(2).</t>
  </si>
  <si>
    <t xml:space="preserve">  07  :PREFIX:-TIPO-DE-CARTA        PIC X(002).</t>
  </si>
  <si>
    <t xml:space="preserve">      88  :PREFIX:-TL-FINAL-CORRENTE    VALUE 'F003'.</t>
  </si>
  <si>
    <t xml:space="preserve">    09  NZ5PDU01-M-FGA-RSPE-CIVL        PIC S9(09)V9(2).</t>
  </si>
  <si>
    <t xml:space="preserve">  07  :PREFIX:-NUM-CERTIFICACAO     PIC X(009).</t>
  </si>
  <si>
    <t xml:space="preserve">      88  :PREFIX:-TL-RISCO             VALUE '0004'.</t>
  </si>
  <si>
    <t xml:space="preserve">    09  NZ5PDU01-M-BONUS                PIC S9(09)V9(2).</t>
  </si>
  <si>
    <t xml:space="preserve">  07  :PREFIX:-NUM-EMPRESTIMO       PIC X(022).</t>
  </si>
  <si>
    <t xml:space="preserve">      88  :PREFIX:-TL-TESOURA           VALUE '0005'.</t>
  </si>
  <si>
    <t xml:space="preserve">    09  NZ5PDU01-M-PREM-SMPL            PIC S9(11)V9(2).</t>
  </si>
  <si>
    <t xml:space="preserve">  07  :PREFIX:-NUM-CONTA            PIC X(015).</t>
  </si>
  <si>
    <t xml:space="preserve">      88  :PREFIX:-TL-TRACEJADO         VALUE '0006'.</t>
  </si>
  <si>
    <t xml:space="preserve">    09  NZ5PDU01-IND-ADC-SP             PIC X(01).</t>
  </si>
  <si>
    <t xml:space="preserve">  07  :PREFIX:-PRAZO-EMPRESTIMO     PIC 9(03).</t>
  </si>
  <si>
    <t xml:space="preserve">      88  :PREFIX:-TL-TESOURA-COM-TR    VALUE '0007'.</t>
  </si>
  <si>
    <t xml:space="preserve">    09  NZ5PDU01-SIMULACAO-ADC-SP       PIC S9(11)V9(2).</t>
  </si>
  <si>
    <t xml:space="preserve">  07  :PREFIX:-TIPO-PRAZO           PIC X(01).</t>
  </si>
  <si>
    <t xml:space="preserve">      88  :PREFIX:-TL-CUMPRIMENTOS      VALUE '0008'.</t>
  </si>
  <si>
    <t xml:space="preserve">    09  FILLER                          PIC X(010).</t>
  </si>
  <si>
    <t xml:space="preserve">  07  :PREFIX:-PRM-MENSAL           PIC 9(11)V9(02).</t>
  </si>
  <si>
    <t xml:space="preserve">      88  :PREFIX:-TL-LINHA-FIXA        VALUE '0009'.</t>
  </si>
  <si>
    <t xml:space="preserve">  07  :PREFIX:-PRM-TOTAL            PIC 9(11)V9(02).</t>
  </si>
  <si>
    <t xml:space="preserve">      88  :PREFIX:-TL-VERSO             VALUE '0010'.</t>
  </si>
  <si>
    <t xml:space="preserve">  07  NZ5PDU01-PRINT-OBJECTO-DATA.</t>
  </si>
  <si>
    <t xml:space="preserve">  07  :PREFIX:-DT-INIC-ANUIDADE     PIC X(10).</t>
  </si>
  <si>
    <t xml:space="preserve">      88  :PREFIX:-TL-TITULO            VALUE '0011'.</t>
  </si>
  <si>
    <t xml:space="preserve">    09  NZ5PDU01-VEHICLE-MAKE           PIC X(30).</t>
  </si>
  <si>
    <t xml:space="preserve">  07  :PREFIX:-TRANSACTION-TYPE     PIC X(02).</t>
  </si>
  <si>
    <t xml:space="preserve">      88  :PREFIX:-TL-BLOCO-CG          VALUE '0012'.</t>
  </si>
  <si>
    <t xml:space="preserve">    09  NZ5PDU01-VEHICLE-MODEL          PIC X(10).</t>
  </si>
  <si>
    <t xml:space="preserve">  07  :PREFIX:-CANAL-DISTRIB        PIC X(03).</t>
  </si>
  <si>
    <t xml:space="preserve">      88  :PREFIX:-TL-TES-TRAC-COMP     VALUE '0013'.</t>
  </si>
  <si>
    <t xml:space="preserve">    09  NZ5PDU01-VEHICLE-VERSION        PIC X(25).</t>
  </si>
  <si>
    <t xml:space="preserve">  07  :PREFIX:-SEGURADO             PIC X(40).</t>
  </si>
  <si>
    <t xml:space="preserve">      88  :PREFIX:-TL-TES-TRAC-MEDICIL  VALUE '0014'.</t>
  </si>
  <si>
    <t xml:space="preserve">    09  NZ5PDU01-VEHICLE-REG-NUMBER     PIC X(15).</t>
  </si>
  <si>
    <t xml:space="preserve">  07  :PREFIX:-DT-EFEITO-AJUSTE     PIC X(10).</t>
  </si>
  <si>
    <t xml:space="preserve">      88  :PREFIX:-TL-RECSIN-CAIXA      VALUE '0015'.</t>
  </si>
  <si>
    <t xml:space="preserve">    09  NZ5PDU01-X-LVRE-1               PIC X(65).</t>
  </si>
  <si>
    <t xml:space="preserve">  07  :PREFIX:-DT-FIM-AJUSTE        PIC X(10).</t>
  </si>
  <si>
    <t xml:space="preserve">      88  :PREFIX:-TL-RECSIN-CBARRAS    VALUE '0016'.</t>
  </si>
  <si>
    <t xml:space="preserve">    09  NZ5PDU01-X-LVRE-2               PIC X(65).</t>
  </si>
  <si>
    <t xml:space="preserve">  07  :PREFIX:-TIPO-SEGURO-RC       PIC X(50).</t>
  </si>
  <si>
    <t xml:space="preserve">      88  :PREFIX:-TL-FIXA-BIN          VALUE '0017'.</t>
  </si>
  <si>
    <t xml:space="preserve">    09  NZ5PDU01-NOME-PESSOA-SEGURA1    PIC X(50).</t>
  </si>
  <si>
    <t xml:space="preserve">  07  :PREFIX:-TIPO-AJUSTE          PIC X(30).</t>
  </si>
  <si>
    <t xml:space="preserve">      88  :PREFIX:-TL-FRASE-REEMIS      VALUE '0018'.</t>
  </si>
  <si>
    <t xml:space="preserve">    09  NZ5PDU01-NOME-PESSOA-SEGURA2    PIC X(50).</t>
  </si>
  <si>
    <t xml:space="preserve">  07  :PREFIX:-68-N-APOLICE-GIS     PIC X(16).</t>
  </si>
  <si>
    <t xml:space="preserve">  07  :PREFIX:-TIPO-PARAGRAFO       PIC X(004).</t>
  </si>
  <si>
    <t xml:space="preserve">    09  NZ5PDU01-APOL-COMPLEMENTAR      PIC X(24).</t>
  </si>
  <si>
    <t xml:space="preserve">  07  :PREFIX:-68-DT-RESGATE        PIC X(10).</t>
  </si>
  <si>
    <t xml:space="preserve">      88  :PREFIX:-TL-NORM              VALUE '0001'.</t>
  </si>
  <si>
    <t xml:space="preserve">    09  NZ5PDU01-TIPO-DOC               PIC X(08).</t>
  </si>
  <si>
    <t xml:space="preserve">  07  :PREFIX:-68-M-VALOR-RESGATE   PIC X(16).</t>
  </si>
  <si>
    <t xml:space="preserve">      88  :PREFIX:-TL-INDENT-NORM       VALUE '0002'.</t>
  </si>
  <si>
    <t xml:space="preserve">    09  NZ5PDU01-I-REF-TAR-AVSO         PIC X(01).</t>
  </si>
  <si>
    <t xml:space="preserve">  07  :PREFIX:-68-N-APOLICE         PIC X(16).</t>
  </si>
  <si>
    <t xml:space="preserve">      88  :PREFIX:-TL-BOLD              VALUE '0003'.</t>
  </si>
  <si>
    <t xml:space="preserve">    09  NZ5PDU01-C-TEXT-VRSO-AVSO       PIC X(02).</t>
  </si>
  <si>
    <t xml:space="preserve">  07  :PREFIX:-68-M-RECIBO-PR       PIC X(16).</t>
  </si>
  <si>
    <t xml:space="preserve">      88  :PREFIX:-TL-INDENT-BOLD       VALUE '0004'.</t>
  </si>
  <si>
    <t xml:space="preserve">    09  NZ5PDU01-M-CAP-IMOV             PIC S9(11)V9(2).</t>
  </si>
  <si>
    <t xml:space="preserve">  07  :PREFIX:-TIPO-IMPRESSAO       PIC X(01).</t>
  </si>
  <si>
    <t xml:space="preserve">      88  :PREFIX:-TL-NORM-PEQ          VALUE '0005'.</t>
  </si>
  <si>
    <t xml:space="preserve">    09  NZ5PDU01-C-TIPO-ACTZ-CAP        PIC X(02).</t>
  </si>
  <si>
    <t xml:space="preserve">  07  :PREFIX:-ANO                  PIC X(04).</t>
  </si>
  <si>
    <t xml:space="preserve">      88  :PREFIX:-TL-BOLD-PEQ          VALUE '0006'.</t>
  </si>
  <si>
    <t xml:space="preserve">    09  NZ5PDU01-X-FREN-AVSO            PIC X(60).</t>
  </si>
  <si>
    <t xml:space="preserve">  07  :PREFIX:-TAXA                 PIC 9(3)V9(2).</t>
  </si>
  <si>
    <t xml:space="preserve">      88  :PREFIX:-TL-FIXA-PEQ          VALUE '0007'.</t>
  </si>
  <si>
    <t xml:space="preserve">    09  FILLER                          PIC X(57).</t>
  </si>
  <si>
    <t xml:space="preserve">      88  :PREFIX:-TL-FRASE-REIMPR      VALUE '0018'.</t>
  </si>
  <si>
    <t xml:space="preserve">  07  :PREFIX:-LINHA-GIS            PIC X(294).</t>
  </si>
  <si>
    <t xml:space="preserve">  07  NZ5PDU01-PRINT-LISTA-DATA.</t>
  </si>
  <si>
    <t>05  :PREFIX:-0002 REDEFINES :PREFIX:-DADOS-VARIAVEL.</t>
  </si>
  <si>
    <t xml:space="preserve">    09 NZ5PDU01-INVOICE-DATA-T.</t>
  </si>
  <si>
    <t xml:space="preserve">  07  :PREFIX:-TRANSF-CARTEIRA-0002.</t>
  </si>
  <si>
    <t xml:space="preserve">     10 NZ5PDU01-INVOICE-DATA OCCURS 9.</t>
  </si>
  <si>
    <t xml:space="preserve">      09 :PREFIX:-MEDIADOR-NOVO       PIC X(040).</t>
  </si>
  <si>
    <t xml:space="preserve">       11 NZ5PDU01-INVOICE-NUMBER       PIC X(10).</t>
  </si>
  <si>
    <t xml:space="preserve">      09 :PREFIX:-MEDIADOR-MORADA1    PIC X(040).</t>
  </si>
  <si>
    <t xml:space="preserve">       11 NZ5PDU01-INVOICE-START-DATE   PIC X(10).</t>
  </si>
  <si>
    <t xml:space="preserve">      09 :PREFIX:-MEDIADOR-MORADA2    PIC X(040).</t>
  </si>
  <si>
    <t xml:space="preserve">       11 NZ5PDU01-INVOICE-END-DATE     PIC X(10).</t>
  </si>
  <si>
    <t xml:space="preserve">      09 :PREFIX:-MEDIADOR-MORADA3    PIC X(040).</t>
  </si>
  <si>
    <t xml:space="preserve">       11 NZ5PDU01-INVOICE-AMOUNT       PIC S9(13)V9(2).</t>
  </si>
  <si>
    <t xml:space="preserve">  07  :PREFIX:-LINHA-GIS            PIC X(1000).</t>
  </si>
  <si>
    <t xml:space="preserve">      09 :PREFIX:-MEDIADOR-MORADA4    PIC X(040).</t>
  </si>
  <si>
    <t xml:space="preserve">    09  FILLER                          PIC X(72).</t>
  </si>
  <si>
    <t xml:space="preserve">      09 :PREFIX:-MEDIADOR-TNUM-PORTA PIC X(001).</t>
  </si>
  <si>
    <t xml:space="preserve">  07  :PREFIX:-TRANSF-CARTEIRA-DADOS.</t>
  </si>
  <si>
    <t xml:space="preserve">      09 :PREFIX:-MEDIADOR-NUM-PORTA  PIC X(004).</t>
  </si>
  <si>
    <t xml:space="preserve">  07  NZ5PDU01-PRINT-CREDOR-DATA.</t>
  </si>
  <si>
    <t xml:space="preserve">    09  :PREFIX:-NR-TRANSFERENCIA   PIC X(010).</t>
  </si>
  <si>
    <t xml:space="preserve">      09 :PREFIX:-MEDIADOR-TELEFONE   PIC X(009).</t>
  </si>
  <si>
    <t xml:space="preserve">    09  NZ5PDU01-CREDOR-NAME            PIC X(40).</t>
  </si>
  <si>
    <t xml:space="preserve">    09  :PREFIX:-TIPO-TRANSFERENCIA PIC X(002).</t>
  </si>
  <si>
    <t xml:space="preserve">      09 :PREFIX:-MEDIADOR-TELEMOVEL  PIC X(009).</t>
  </si>
  <si>
    <t xml:space="preserve">    09  NZ5PDU01-CREDOR-ADDRESS         PIC X(40).</t>
  </si>
  <si>
    <t xml:space="preserve">    09  :PREFIX:-DESCR-PRODUTO      PIC X(030).</t>
  </si>
  <si>
    <t xml:space="preserve">      09 :PREFIX:-MEDIADOR-EMAIL      PIC X(045).</t>
  </si>
  <si>
    <t xml:space="preserve">    09  NZ5PDU01-CREDOR-ADDRESS-2       PIC X(40).</t>
  </si>
  <si>
    <t xml:space="preserve">  07  :PREFIX:-DADOS-MEDIADOR-NOVO.</t>
  </si>
  <si>
    <t xml:space="preserve">      09 :PREFIX:-PRODUTO             PIC X(030).</t>
  </si>
  <si>
    <t xml:space="preserve">    09  NZ5PDU01-CREDOR-CITY            PIC X(40).</t>
  </si>
  <si>
    <t xml:space="preserve">    09  :PREFIX:-MEDIADOR-NOVO      PIC X(040).</t>
  </si>
  <si>
    <t xml:space="preserve">  07  FILLER                        PIC X(3500).</t>
  </si>
  <si>
    <t xml:space="preserve">    09  NZ5PDU01-CREDOR-POST-CODE       PIC X(09).</t>
  </si>
  <si>
    <t xml:space="preserve">    09  :PREFIX:-MEDIADOR-MORADA1   PIC X(040).</t>
  </si>
  <si>
    <t>05  :PREFIX:-0003 REDEFINES :PREFIX:-DADOS-VARIAVEL.</t>
  </si>
  <si>
    <t xml:space="preserve">    09  NZ5PDU01-CREDOR-POST-DESCR      PIC X(40).</t>
  </si>
  <si>
    <t xml:space="preserve">    09  :PREFIX:-MEDIADOR-MORADA2   PIC X(040).</t>
  </si>
  <si>
    <t xml:space="preserve">  07  :PREFIX:-TRANSF-CARTEIRA-0003.</t>
  </si>
  <si>
    <t xml:space="preserve">    09  NZ5PDU01-CREDOR-NUM-TYPE        PIC X(01).</t>
  </si>
  <si>
    <t xml:space="preserve">    09  :PREFIX:-MEDIADOR-MORADA3   PIC X(040).</t>
  </si>
  <si>
    <t xml:space="preserve">      09 :PREFIX:-NR-TRANSFERENCIA     PIC X(010).</t>
  </si>
  <si>
    <t xml:space="preserve">    09  NZ5PDU01-CREDOR-NUM             PIC X(04).</t>
  </si>
  <si>
    <t xml:space="preserve">    09  :PREFIX:-MEDIADOR-MORADA4   PIC X(040).</t>
  </si>
  <si>
    <t xml:space="preserve">      09 :PREFIX:-TIPO-TRANSFERENCIA   PIC X(002).</t>
  </si>
  <si>
    <t xml:space="preserve">    09  FILLER                          PIC X(263).</t>
  </si>
  <si>
    <t xml:space="preserve">    09  :PREFIX:-MEDIADOR-TNUM-PORTA PIC X(001).</t>
  </si>
  <si>
    <t xml:space="preserve">      09 :PREFIX:-MEDIADOR-ANTIGO      PIC X(040).</t>
  </si>
  <si>
    <t xml:space="preserve">    09  :PREFIX:-MEDIADOR-NUM-PORTA PIC X(004).</t>
  </si>
  <si>
    <t xml:space="preserve">      09 :PREFIX:-COMP-MEDIADOR-ANTIGA PIC X(003).</t>
  </si>
  <si>
    <t xml:space="preserve">  07  NZ5PDU01-PRINT-EXTRACTO-DATA.</t>
  </si>
  <si>
    <t xml:space="preserve">    09  :PREFIX:-MEDIADOR-TELEFONE  PIC X(009).</t>
  </si>
  <si>
    <t xml:space="preserve">  07  FILLER                        PIC X(3743).</t>
  </si>
  <si>
    <t xml:space="preserve">    09  NZ5PDU01-EXT-RECORD-TYPE        PIC X(01).</t>
  </si>
  <si>
    <t xml:space="preserve">    09  :PREFIX:-MEDIADOR-TELEMOVEL PIC X(009).</t>
  </si>
  <si>
    <t xml:space="preserve">      88  NZ5PDU01-EXT-REC-TYPE-1     VALUE '1'.</t>
  </si>
  <si>
    <t xml:space="preserve">    09  :PREFIX:-MEDIADOR-EMAIL     PIC X(045).</t>
  </si>
  <si>
    <t xml:space="preserve">      88  NZ5PDU01-EXT-REC-TYPE-2     VALUE '2'.</t>
  </si>
  <si>
    <t xml:space="preserve">  07  :PREFIX:-DADOS-MEDIADOR-ANTIGO.</t>
  </si>
  <si>
    <t xml:space="preserve">      88  NZ5PDU01-EXT-REC-TYPE-3     VALUE '3'.</t>
  </si>
  <si>
    <t xml:space="preserve">    09  :PREFIX:-MEDIADOR-ANTIGO      PIC X(040).</t>
  </si>
  <si>
    <t xml:space="preserve">      88  NZ5PDU01-EXT-REC-TYPE-4     VALUE '4'.</t>
  </si>
  <si>
    <t xml:space="preserve">    09  :PREFIX:-COMP-MEDIADOR-ANTIGA PIC X(003).</t>
  </si>
  <si>
    <t xml:space="preserve">      88  NZ5PDU01-EXT-REC-TYPE-5     VALUE '5'.</t>
  </si>
  <si>
    <t xml:space="preserve">    09  NZ5PDU01-EXTRACTO-OTHER-DATA    PIC X(200).</t>
  </si>
  <si>
    <t xml:space="preserve">  07  :PREFIX:-TRANSF-APOLICE.</t>
  </si>
  <si>
    <t xml:space="preserve">    09  NZ5PDU01-EXTRACTO-RECTYPE-1</t>
  </si>
  <si>
    <t xml:space="preserve">    09  :PREFIX:-CL1-NOME           PIC X(040).</t>
  </si>
  <si>
    <t xml:space="preserve">                  REDEFINES NZ5PDU01-EXTRACTO-OTHER-DATA.</t>
  </si>
  <si>
    <t xml:space="preserve">    09  :PREFIX:-CL1-MORADA1        PIC X(040).</t>
  </si>
  <si>
    <t xml:space="preserve">      11  NZ5PDU01-POLICY-NUMBER        PIC X(16).</t>
  </si>
  <si>
    <t xml:space="preserve">    09  :PREFIX:-CL1-MORADA2        PIC X(040).</t>
  </si>
  <si>
    <t xml:space="preserve">      11  NZ5PDU01-NOTICE-NUMBER        PIC X(10).</t>
  </si>
  <si>
    <t xml:space="preserve">    09  :PREFIX:-CL1-MORADA3        PIC X(040).</t>
  </si>
  <si>
    <t xml:space="preserve">      11  NZ5PDU01-TIPO-LAYOUT          PIC X(01).</t>
  </si>
  <si>
    <t xml:space="preserve">    09  :PREFIX:-CL1-MORADA4        PIC X(040).</t>
  </si>
  <si>
    <t xml:space="preserve">      11  NZ5PDU01-FRACCIONAMENTO       PIC X(02).</t>
  </si>
  <si>
    <t xml:space="preserve">    09  :PREFIX:-CL1-TNUM-PORTA     PIC X(001).</t>
  </si>
  <si>
    <t xml:space="preserve">      11  NZ5PDU01-PROD-CODE            PIC X(05).</t>
  </si>
  <si>
    <t xml:space="preserve">    09  :PREFIX:-CL1-NUM-PORTA      PIC X(004).</t>
  </si>
  <si>
    <t xml:space="preserve">      11  NZ5PDU01-PROD-CODE-DESC       PIC X(40).</t>
  </si>
  <si>
    <t xml:space="preserve">    09  :PREFIX:-CL1-DT-CARTA       PIC X(032).</t>
  </si>
  <si>
    <t xml:space="preserve">      11  FILLER                        PIC X(126).</t>
  </si>
  <si>
    <t xml:space="preserve">    09  :PREFIX:-CL1-NIF            PIC X(009).</t>
  </si>
  <si>
    <t xml:space="preserve">    09  NZ5PDU01-EXTRACTO-RECTYPE-C</t>
  </si>
  <si>
    <t xml:space="preserve">    09  :PREFIX:-CL1-BI             PIC X(010).</t>
  </si>
  <si>
    <t xml:space="preserve">    09  :PREFIX:-CL1-TELEF          PIC X(016).</t>
  </si>
  <si>
    <t xml:space="preserve">      11  NZ5PDU01-DATA-EMISSAO         PIC X(10).</t>
  </si>
  <si>
    <t xml:space="preserve">    09  :PREFIX:-CL1-EMAIL          PIC X(050).</t>
  </si>
  <si>
    <t xml:space="preserve">      11  NZ5PDU01-INSTALMENT-NO        PIC X(03).</t>
  </si>
  <si>
    <t xml:space="preserve">    09  :PREFIX:-CL1-SEXO           PIC X(001).</t>
  </si>
  <si>
    <t xml:space="preserve">      11  NZ5PDU01-DATA-INI-RECIBO      PIC X(10).</t>
  </si>
  <si>
    <t xml:space="preserve">    09  :PREFIX:-CL1-DT-NASC        PIC X(010).</t>
  </si>
  <si>
    <t xml:space="preserve">      11  NZ5PDU01-DATA-FIM-RECIBO      PIC X(10).</t>
  </si>
  <si>
    <t xml:space="preserve">    09  :PREFIX:-CL2-NOME           PIC X(040).</t>
  </si>
  <si>
    <t xml:space="preserve">      11  NZ5PDU01-DATA-DEVIDO          PIC X(10).</t>
  </si>
  <si>
    <t xml:space="preserve">    09  :PREFIX:-CL2-MORADA1        PIC X(040).</t>
  </si>
  <si>
    <t xml:space="preserve">      11  NZ5PDU01-VALOR-MOV            PIC S9(11)V9(2).</t>
  </si>
  <si>
    <t xml:space="preserve">    09  :PREFIX:-CL2-MORADA2        PIC X(040).</t>
  </si>
  <si>
    <t xml:space="preserve">      11  NZ5PDU01-DATA-PAGAMENTO       PIC X(10).</t>
  </si>
  <si>
    <t xml:space="preserve">    09  :PREFIX:-CL2-MORADA3        PIC X(040).</t>
  </si>
  <si>
    <t xml:space="preserve">      11  FILLER                        PIC X(134).</t>
  </si>
  <si>
    <t xml:space="preserve">    09  :PREFIX:-CL2-MORADA4        PIC X(040).</t>
  </si>
  <si>
    <t xml:space="preserve">    09  NZ5PDU01-EXTRACTO-RECTYPE-5</t>
  </si>
  <si>
    <t xml:space="preserve">    09  :PREFIX:-CL2-TNUM-PORTA     PIC X(001).</t>
  </si>
  <si>
    <t xml:space="preserve">    09  :PREFIX:-CL2-NUM-PORTA      PIC X(004).</t>
  </si>
  <si>
    <t xml:space="preserve">      11  NZ5PDU01-SUM-REC-PAG          PIC S9(11)V9(2).</t>
  </si>
  <si>
    <t xml:space="preserve">    09  :PREFIX:-CL2-NIF            PIC X(009).</t>
  </si>
  <si>
    <t xml:space="preserve">      11  NZ5PDU01-SUM-REC-EMIT         PIC S9(11)V9(2).</t>
  </si>
  <si>
    <t xml:space="preserve">    09  :PREFIX:-CL2-BI             PIC X(010).</t>
  </si>
  <si>
    <t xml:space="preserve">      11  NZ5PDU01-SUM-REC-FUT          PIC S9(11)V9(2).</t>
  </si>
  <si>
    <t xml:space="preserve">    09  :PREFIX:-CL2-TELEF          PIC X(016).</t>
  </si>
  <si>
    <t xml:space="preserve">      11  NZ5PDU01-VALOR-TOTAL          PIC S9(13)V9(2).</t>
  </si>
  <si>
    <t xml:space="preserve">    09  :PREFIX:-CL2-EMAIL          PIC X(050).</t>
  </si>
  <si>
    <t xml:space="preserve">      11  FILLER                        PIC X(146).</t>
  </si>
  <si>
    <t xml:space="preserve">    09  :PREFIX:-CL2-SEXO           PIC X(001).</t>
  </si>
  <si>
    <t xml:space="preserve">    09  FILLER                          PIC X(276).</t>
  </si>
  <si>
    <t xml:space="preserve">    09  :PREFIX:-CL2-DT-NASC        PIC X(010).</t>
  </si>
  <si>
    <t xml:space="preserve">    09  :PREFIX:-DT-ANUL            PIC X(010).</t>
  </si>
  <si>
    <t xml:space="preserve">  07  NZ5PDU01-PRINT-ULTIMA-DATA.</t>
  </si>
  <si>
    <t xml:space="preserve">    09  :PREFIX:-DT-EFEITO-ANUL     PIC X(010).</t>
  </si>
  <si>
    <t xml:space="preserve">    09  FILLER                          PIC X(477).</t>
  </si>
  <si>
    <t xml:space="preserve">    09  :PREFIX:-IDADE-TERM         PIC X(002).</t>
  </si>
  <si>
    <t>05  NZ5PDU01-TIPO-IMPRESSAO             PIC X(001).</t>
  </si>
  <si>
    <t xml:space="preserve">    09  :PREFIX:-DESC-COB-M         PIC X(060).</t>
  </si>
  <si>
    <t xml:space="preserve">    09  :PREFIX:-DESC-COB-IAD       PIC X(060).</t>
  </si>
  <si>
    <t xml:space="preserve">    09  :PREFIX:-DESC-COB-ITP       PIC X(060).</t>
  </si>
  <si>
    <t xml:space="preserve">    09  :PREFIX:-IDADE-TERM-M       PIC X(002).</t>
  </si>
  <si>
    <t xml:space="preserve">    09  :PREFIX:-IDADE-TERM-IAD     PIC X(002).</t>
  </si>
  <si>
    <t xml:space="preserve">    09  :PREFIX:-IDADE-TERM-ITP     PIC X(002).</t>
  </si>
  <si>
    <t xml:space="preserve">    09  :PREFIX:-NR-PROC            PIC X(022).</t>
  </si>
  <si>
    <t xml:space="preserve">    09  :PREFIX:-NIB                PIC X(021).</t>
  </si>
  <si>
    <t xml:space="preserve">    09  :PREFIX:-IBAN               PIC X(034).</t>
  </si>
  <si>
    <t xml:space="preserve">    09  :PREFIX:-BIC                PIC X(011).</t>
  </si>
  <si>
    <t xml:space="preserve">    09  :PREFIX:-ID-CREDOR          PIC X(015).</t>
  </si>
  <si>
    <t xml:space="preserve">    09  :PREFIX:-COD-IPC            PIC X(003).</t>
  </si>
  <si>
    <t xml:space="preserve">    09  :PREFIX:-MEDIACAO           PIC X(001).</t>
  </si>
  <si>
    <t xml:space="preserve">    09  :PREFIX:-VL-CAPITAL         PIC ZZZZZZZZZZ,99.</t>
  </si>
  <si>
    <t xml:space="preserve">    09  :PREFIX:-VL-PREMIO          PIC ZZZZZZZZZZ,99.</t>
  </si>
  <si>
    <t xml:space="preserve">       IDENTIFICATION DIVISION.</t>
  </si>
  <si>
    <t xml:space="preserve">      *----------------------------------------------------------------</t>
  </si>
  <si>
    <t xml:space="preserve">       IDENTIFICATION DIVISION.                                         </t>
  </si>
  <si>
    <t xml:space="preserve">       ID DIVISION.</t>
  </si>
  <si>
    <t xml:space="preserve">       PROGRAM-ID. PGOA405.</t>
  </si>
  <si>
    <t xml:space="preserve">       PROGRAM-ID. PGOC029A.</t>
  </si>
  <si>
    <t xml:space="preserve">       PROGRAM-ID. PGOC009A.</t>
  </si>
  <si>
    <t xml:space="preserve">       PROGRAM-ID.    PGOC032.</t>
  </si>
  <si>
    <t xml:space="preserve">       PROGRAM-ID.    PGOC050.</t>
  </si>
  <si>
    <t xml:space="preserve">       PROGRAM-ID.    PGOC051.                                          </t>
  </si>
  <si>
    <t xml:space="preserve">       PROGRAM-ID.    PGOC102.</t>
  </si>
  <si>
    <t xml:space="preserve">       PROGRAM-ID. PGOC043A.</t>
  </si>
  <si>
    <t xml:space="preserve">       PROGRAM-ID.</t>
  </si>
  <si>
    <t xml:space="preserve">      * ---------------------------------------------------------------</t>
  </si>
  <si>
    <t xml:space="preserve">       PROGRAM-ID. PGOC011A.</t>
  </si>
  <si>
    <t xml:space="preserve">      *</t>
  </si>
  <si>
    <t xml:space="preserve">      *                                                                 </t>
  </si>
  <si>
    <t xml:space="preserve">       PROGRAM-ID. PGOC023A.</t>
  </si>
  <si>
    <t xml:space="preserve">       PROGRAM-ID. PGOC038A.</t>
  </si>
  <si>
    <t xml:space="preserve">           PGOC421A.</t>
  </si>
  <si>
    <t xml:space="preserve">      *----------------------------------------------------------------*</t>
  </si>
  <si>
    <t xml:space="preserve">      *    PROGRAMA QUE CONVERTE CARTAS DE ANULAÇÃO PRIC</t>
  </si>
  <si>
    <t xml:space="preserve">      ***************************************************************</t>
  </si>
  <si>
    <t xml:space="preserve">      ***************************************************************   </t>
  </si>
  <si>
    <t xml:space="preserve">      *    OUTPUTS:</t>
  </si>
  <si>
    <t xml:space="preserve">      * ESTE PROGRAMA GERA LAYOUT DE DOCUMENTOS PRIC CTAD CHIP E ENTI: *</t>
  </si>
  <si>
    <t xml:space="preserve">      *    COPY BGOW9001 - IDENTICO AO COPY DO COGEN-22/PRIC NZ5PDU01</t>
  </si>
  <si>
    <t xml:space="preserve">      *                     -------------------                     *</t>
  </si>
  <si>
    <t xml:space="preserve">      *                     -------------------                     *   </t>
  </si>
  <si>
    <t xml:space="preserve">      *    OUTPUTS: GIS</t>
  </si>
  <si>
    <t xml:space="preserve">      *    EMISSÃO DE CARTAS DO CLASSICO:</t>
  </si>
  <si>
    <t xml:space="preserve">      *  CARTAS                                                        *</t>
  </si>
  <si>
    <t xml:space="preserve">      * CHIP REGIME ESPECIAL E CONTINUADO =&gt; X080BNCHE1               *</t>
  </si>
  <si>
    <t xml:space="preserve">      *    FORMATAÇÃO DO REGISTO ÚNICO PARA EMISSÃO DE CARTAS CDC1</t>
  </si>
  <si>
    <t xml:space="preserve">      *    EMISSÃO DE CARTAS:</t>
  </si>
  <si>
    <t xml:space="preserve">      *                     |     REMARKS     |                     *</t>
  </si>
  <si>
    <t xml:space="preserve">      *                     |     REMARKS     |                     *   </t>
  </si>
  <si>
    <t xml:space="preserve">      *    EMISSÃO DE CARTAS.</t>
  </si>
  <si>
    <t xml:space="preserve">      *    CARTAS,COND.PARTICULARES,CERTIFICADOS,EXTRACTOS.</t>
  </si>
  <si>
    <t xml:space="preserve">      *    # C001 MEDIADOR =&gt; LAYOUTS: BNC001, BNCP01, BNCL01 e BNCX01.</t>
  </si>
  <si>
    <t xml:space="preserve">      *  DE APÓLICES DE VIDA RISCO IB COM RECIBOS EM DÍVIDA.           *</t>
  </si>
  <si>
    <t xml:space="preserve">      * CHIP REGIME GERAL    E CONTINUADO =&gt; X080BNCHG0               *</t>
  </si>
  <si>
    <t xml:space="preserve">      * DATA       GIP   USER ACTIV     DESCR</t>
  </si>
  <si>
    <t xml:space="preserve">      *    DA VD, IB e FM.</t>
  </si>
  <si>
    <t xml:space="preserve">      *    # CDC1 VD, IB e FM =&gt; VÃO SEMPRE PARA O CLIENTE!</t>
  </si>
  <si>
    <t xml:space="preserve">      *    # C002 30 DIAS  =&gt; LAYOUTS: BNC002, BNCP02, BNCL02 e BNCX02.</t>
  </si>
  <si>
    <t xml:space="preserve">      *                                                                *</t>
  </si>
  <si>
    <t xml:space="preserve">      * CHIP NAO CONTINUADO               =&gt; X080BNCHG2               *</t>
  </si>
  <si>
    <t xml:space="preserve">      * 2010-08-30 GO??? AP   200900055 UNIFORMIZAR CARTAS ANULAÇÃO CDC1</t>
  </si>
  <si>
    <t xml:space="preserve">      *    ESTE PROGRAMA RECEBE MOVIMENTOS PROVENIENTES DO COGEN-33 E</t>
  </si>
  <si>
    <t xml:space="preserve">      *    # CDC1 VD          =&gt; Layouts X002BNCT01 ao X002BNCT07</t>
  </si>
  <si>
    <t xml:space="preserve">      *                                                             *</t>
  </si>
  <si>
    <t xml:space="preserve">      *                                                             *   </t>
  </si>
  <si>
    <t xml:space="preserve">      *    # C003 ADVOGADO =&gt; LAYOUTS: BNC003, BNCP03, BNCL03 e BNCX03.</t>
  </si>
  <si>
    <t xml:space="preserve">      *           2011/12/12   MARIA JOAO EUSEBIO                      *</t>
  </si>
  <si>
    <t>#11   * ENTI =&gt; X080BNENTI / X080BNENT1                                *</t>
  </si>
  <si>
    <t xml:space="preserve">      *    CONVERTE PARA O DESENHO DE REGISTO ÚNICO DAS CARTAS</t>
  </si>
  <si>
    <t xml:space="preserve">      *    # CDC1 C33         =&gt; Layouts X002BNCT09 ao X002BNCT20</t>
  </si>
  <si>
    <t xml:space="preserve">      * OUTPUTS:                                                    *</t>
  </si>
  <si>
    <t xml:space="preserve">      * OUTPUTS:                                                    *   </t>
  </si>
  <si>
    <t xml:space="preserve">      * DATA          GIP   ACTIV     DESCR</t>
  </si>
  <si>
    <t xml:space="preserve">      * DATA          GIP    ACTIV     DESCR</t>
  </si>
  <si>
    <t xml:space="preserve">      *    # C004 CREDOR H =&gt; LAYOUTS: BNC004.</t>
  </si>
  <si>
    <t xml:space="preserve">      * CTAD TCTAD =  'P' =&gt; X080BNCTP(FM/IB):X080BNCTP2(MC)          *</t>
  </si>
  <si>
    <t>PJG#1 * PJG#1 200800197 2011-08-01 INCLUSAO DO MODULO PARA REMOVER  *</t>
  </si>
  <si>
    <t xml:space="preserve">      *    # CDC1 PRIC        =&gt; Layouts X002BNCT09 ao X002BNCT23</t>
  </si>
  <si>
    <t xml:space="preserve">      * EMISSÃO DOS DOCUMENTOS 'CERTIFICADO DE TARIFACAO (NCDC)' OU *</t>
  </si>
  <si>
    <t xml:space="preserve">      * CARTA DE CANCELAMENTO &lt;CHIP&gt;                                *</t>
  </si>
  <si>
    <t xml:space="preserve">      * CARTA DE CANCELAMENTO &lt;CTAD&gt; (LAWYER LETTER)                *   </t>
  </si>
  <si>
    <t xml:space="preserve">      * CARTA PRÉ-CONTENSIOSO                                       *</t>
  </si>
  <si>
    <t xml:space="preserve">      * --------------------------------------------------------------</t>
  </si>
  <si>
    <t xml:space="preserve">      * GO2610    2013.08.21   MJE  Recompilação DYNAM (PYOXAU01/      *</t>
  </si>
  <si>
    <t xml:space="preserve">      * CTAD TCTAD &lt;&gt; 'P' + R.ESP + TREC = 'CE' =&gt; X080BNCT4           *</t>
  </si>
  <si>
    <t>PJG#1 *                            FORMATOS COMPACTADOS DO FICHEIRO *</t>
  </si>
  <si>
    <t xml:space="preserve">      *    # CCAG E CAVR C41  =&gt; Layouts X002BNCT09 ao X002BNCT20</t>
  </si>
  <si>
    <t xml:space="preserve">      * 'CARTA PARA ENTIDADE INTERESSADA (ENTI)'.                   *</t>
  </si>
  <si>
    <t xml:space="preserve">      * 20100520 FLCM GO???  200800186 CENTRALIZAR A IMPRESSÃO E</t>
  </si>
  <si>
    <t xml:space="preserve">      * 20110104 FLCM GO1156 200800186 CENTRALIZAR A IMPRESSÃO E</t>
  </si>
  <si>
    <t xml:space="preserve">      * DATA          GIP   ACTIV E DESCR</t>
  </si>
  <si>
    <t xml:space="preserve">      *                             /PYOXAU02//PYOXAU03)               *</t>
  </si>
  <si>
    <t xml:space="preserve">      * CTAD TCTAD &lt;&gt; 'P' + R.ESP + TREC = 'CP' =&gt; X080BNCT3           *</t>
  </si>
  <si>
    <t>PJG#1 *                            DE DADOS.                        *</t>
  </si>
  <si>
    <t xml:space="preserve">      ...</t>
  </si>
  <si>
    <t xml:space="preserve">      * EMISSÃO DA CARTA PARA O CREDOR HIPOTECÁRIO                  *</t>
  </si>
  <si>
    <t xml:space="preserve">      * EMISSÃO DA CARTA DE ADVOGADO PARA CLIENTE E MEDIADOR.       *   </t>
  </si>
  <si>
    <t xml:space="preserve">      * ESTE PROGRAMA, A PARTIR DOS DADOS DE QZINPUT VAI GRAVAR EM  *</t>
  </si>
  <si>
    <t xml:space="preserve">      *                               EXPEDIÇÃO OUTPUTS VIDA</t>
  </si>
  <si>
    <t xml:space="preserve">      *                                EXPEDIÇÃO OUTPUTS VIDA - FASE 2</t>
  </si>
  <si>
    <t xml:space="preserve">      * CTAD TCTAD &lt;&gt; 'P' + R.GERAL =&gt; X080BNCTL(FM/IB)                *</t>
  </si>
  <si>
    <t xml:space="preserve">      * -------- ---- ----- --------- --------------------------------</t>
  </si>
  <si>
    <t xml:space="preserve">      * QZOUTPUT REGISTOS "LAYOUT" P/ AS CARTAS DE PRÉ-CONTENCIOSO  *</t>
  </si>
  <si>
    <t xml:space="preserve">      * 20110630 AP   GO1464 200800186 inclusão de carta28 (=carta26)</t>
  </si>
  <si>
    <t xml:space="preserve">      * 2011-02-10 AP   GO1208 200800186 - centralizar cartas classico</t>
  </si>
  <si>
    <t>#03   * 2014.09.04  JADS  ELIMINAR CHAMADA À ROTINA PGOU001A NO CASO   *</t>
  </si>
  <si>
    <t xml:space="preserve">      * CTAD TCTAD &lt;&gt; 'P' + R.ESP + TREC &lt;&gt; 'CE' OU 'CP' =&gt; X080BNCTL  *</t>
  </si>
  <si>
    <t xml:space="preserve">      * 2011-11-24 GO1647 AP  201100140 INCLUSÃO TRATAMENTO DO NIB</t>
  </si>
  <si>
    <t xml:space="preserve">      * 2010-02-25 AP   GO711 200900091 NRJCS</t>
  </si>
  <si>
    <t xml:space="preserve">      * 20110186 FLCM GO1464 200800186 inclusão de carta30 (=carta27)</t>
  </si>
  <si>
    <t xml:space="preserve">      * 20110    FLCM GO1500 200800186 CENTRALIZAR A IMPRESSÃO E</t>
  </si>
  <si>
    <t xml:space="preserve">      * 2011-03-07 JADS GO1222 200800186 - Inclusão DT-CARTA-EXTENSO</t>
  </si>
  <si>
    <t xml:space="preserve">      *                   DE CÓDIGOS POSTAIS (CLI. E MED.) DOS 210 B.  *</t>
  </si>
  <si>
    <t xml:space="preserve">      * CTAD TCTAD &lt;&gt; 'P' + R.GERAL =&gt; X080BNCTLM (MC)                 *</t>
  </si>
  <si>
    <t>PJG#2 *                                                             *</t>
  </si>
  <si>
    <t xml:space="preserve">      * 2010-03-04 AP   GO720 200900091 NRJCS</t>
  </si>
  <si>
    <t xml:space="preserve">      *                     | MAINTENANCE LOG |                     *</t>
  </si>
  <si>
    <t xml:space="preserve">      *                                inclusão de carta31 (=carta27)</t>
  </si>
  <si>
    <t xml:space="preserve">      *                                EXPEDIÇÃO OUTPUTS VIDA - FASE 3</t>
  </si>
  <si>
    <t xml:space="preserve">      * 2011-03-10 JADS GO1222 200800186 - Na C001 (Agente) COD-POSTALM</t>
  </si>
  <si>
    <t xml:space="preserve">      * CTAD TCTAD &lt;&gt; 'P' + R.ESP + TREC &lt;&gt; 'CE' OU 'CP' =&gt; X080BNCTLM *</t>
  </si>
  <si>
    <t>PJG#2 * PJG   201200094 2014-08-05 VALIDA INDICADOR TIPO IMPRESSAO, *</t>
  </si>
  <si>
    <t xml:space="preserve">      * 2010-03-25 AP   GO756 200900091 NRJCS novo codigo de impressão</t>
  </si>
  <si>
    <t xml:space="preserve">      * 2010-02-25 AP   GO711 200900091 NRJCS para VD</t>
  </si>
  <si>
    <t xml:space="preserve">      *                     | MAINTENANCE LOG |                     *   </t>
  </si>
  <si>
    <t xml:space="preserve">      * FLCM#           2013-01-18 COLOCAR O MOVIMENTO CDOBAR-VIDA  *</t>
  </si>
  <si>
    <t xml:space="preserve">      * 2011-11-29 AP   GO1    201000140 - Na C001 (Agente) COD-POSTALM</t>
  </si>
  <si>
    <t xml:space="preserve">      * 2014.10.15  MJE   CONVERSÃO DO NIB EM IBAN E BIC               *</t>
  </si>
  <si>
    <t xml:space="preserve">      * CTAD P/AGENTE: R.ESP + TREC = 'CE' =&gt; X080BNCT0                *</t>
  </si>
  <si>
    <t>PJG#2 *                            IMMEDIATE(I) OU OVERNIGHT(O).    *</t>
  </si>
  <si>
    <t xml:space="preserve">      *                               imprime ou não carta acompanhamen</t>
  </si>
  <si>
    <t xml:space="preserve">      * 2010-03-04 AP   GO720 200900091 NRJCS para VD</t>
  </si>
  <si>
    <t xml:space="preserve">      * CH-164443                  A SAIR COM O CODBAR-EXPEDIR E OS *</t>
  </si>
  <si>
    <t>APUHL * 20110907 AP  GO1500 200800186 CENTRALIZAR A IMPRESSÃO E</t>
  </si>
  <si>
    <t xml:space="preserve">      * CTAD P/AGENTE: R.ESP + TREC &lt;&gt;'CE' =&gt; X080BNCT1                *</t>
  </si>
  <si>
    <t xml:space="preserve">      * 2010-09-01 AP   GO    200900055 Uniformizar CDC1 C33 e PRIC</t>
  </si>
  <si>
    <t xml:space="preserve">      * 2010-03-17 AP   GO733 200900091 Novo motivo 'TX'</t>
  </si>
  <si>
    <t xml:space="preserve">      * PROG.    PCR       DATE    COMMENTS                         *</t>
  </si>
  <si>
    <t xml:space="preserve">      *                            PEDIDOS DE ELEMENTOS CLINICOS    *</t>
  </si>
  <si>
    <t>PJG#1 *                                                             *</t>
  </si>
  <si>
    <t>MJE#1 * 2014.11.27  MJE   ALTERAR PARA COLOCAR CONTADOR DE RECIBOS     *</t>
  </si>
  <si>
    <t xml:space="preserve">      * CTAD P/AGENTE: R.GERAL =&gt; X080BNCT1                            *</t>
  </si>
  <si>
    <t xml:space="preserve">      * 2010-09-15 AP   GO    200900055 Uniformizar CDC1 C33 e PRIC</t>
  </si>
  <si>
    <t xml:space="preserve">      * 2010-03-25 AP   GO756 200900091 Novo campo para impressão de doc</t>
  </si>
  <si>
    <t xml:space="preserve">      * ----- --------- ---------- -------------------------------- *</t>
  </si>
  <si>
    <t xml:space="preserve">      * PROG.    PCR       DATE    COMMENTS                         *   </t>
  </si>
  <si>
    <t xml:space="preserve">      *                            SAEM TODOS OS DIAS*</t>
  </si>
  <si>
    <t>FLCM1 *FLCM 11.ABR.2013 INCLUIR NOVA COMPANHIA CAIXA POUPANÇA</t>
  </si>
  <si>
    <t>PJG#1 * PJG   201200094 2014-08-28 LAYOUT UNICO PARA TRATAMENTO DAS *</t>
  </si>
  <si>
    <t>MJE#1 *                   NAS CARTAS FALTA DE PAGANEBTO 1 E 2          *</t>
  </si>
  <si>
    <t xml:space="preserve">      * 2010-10-13 MJE  GO993 200900055 DATAS DE ANUIDADE E DATAS DO</t>
  </si>
  <si>
    <t xml:space="preserve">      * 2010-09-01 AP   GO9   200900055 Uniformizar CDC1 C33 e PRIC</t>
  </si>
  <si>
    <t xml:space="preserve">      * PJG             2010-11-17 CRIACAO DO PROGRAMA.             *</t>
  </si>
  <si>
    <t xml:space="preserve">      * ----- --------- ---------- -------------------------------- *   </t>
  </si>
  <si>
    <t xml:space="preserve">      *                            (CODBAR-ELEM-CLI)                *</t>
  </si>
  <si>
    <t>PJG#1 *                            CARTAS REGISTADAS E GUIA DOS CTT *</t>
  </si>
  <si>
    <t xml:space="preserve">      * GO3       2009/03/23   AP   ACTIVIDADE 200800164 - AUTOMATISMO</t>
  </si>
  <si>
    <t xml:space="preserve">       ENVIRONMENT DIVISION.</t>
  </si>
  <si>
    <t xml:space="preserve">      *                                 PERÍODO DO RECIBO</t>
  </si>
  <si>
    <t xml:space="preserve">      * 2010-09-01 MJE  GO993 200900055 Incluir CCAG e CAVR para C41</t>
  </si>
  <si>
    <t xml:space="preserve">      * PJG             2014-12-11 CRIACAO DO PROGRAMA              *</t>
  </si>
  <si>
    <t xml:space="preserve">      * PJG             2015-01-21 CRIACAO DO PROGRAMA              *   </t>
  </si>
  <si>
    <t xml:space="preserve">      * GO2610    2013.08.21   MJE  Recompilação DYNAM (PYOXAU01/</t>
  </si>
  <si>
    <t>MJE#2 * 2014.12.02  MJE   CARTAS P/TOMADOR 1 E 2 VÃO P/ O MOV.REGISTADO*</t>
  </si>
  <si>
    <t xml:space="preserve">       CONFIGURATION SECTION.</t>
  </si>
  <si>
    <t xml:space="preserve">      * PJG             2015-04-01 CRIACAO DO PROGRAMA.             *</t>
  </si>
  <si>
    <t xml:space="preserve">      *                             /PYOXAU02//PYOXAU03)</t>
  </si>
  <si>
    <t>PJG#1 ***************************************************************</t>
  </si>
  <si>
    <t>MJE#2 *                   CARTAS P/BENEFICIÁRIO VÃO P/  O MOV.OCASIONAL*</t>
  </si>
  <si>
    <t>PJG#1 * PJG#1 ETS0066  2009-04-14 INCLUIR O MODULO DE ENDERECAMENTO</t>
  </si>
  <si>
    <t xml:space="preserve">       SPECIAL-NAMES.</t>
  </si>
  <si>
    <t>PJG#1 * PJG   CHG434798 2011-03-02 INCLUSAO DO MODULO PARA REMOVER  *</t>
  </si>
  <si>
    <t xml:space="preserve">      * 2012/04/09 AP  GO1949 Alterações a frase do NIB</t>
  </si>
  <si>
    <t>#01   * 2015.05.28  JADS  Cartas de Cortesia Mediadores. Uniformização *</t>
  </si>
  <si>
    <t>PJG#1 *</t>
  </si>
  <si>
    <t xml:space="preserve">           DECIMAL-POINT IS COMMA.</t>
  </si>
  <si>
    <t xml:space="preserve">      * 2012/06/28 MJE GO     ACTIVIDADE 201100228  CRT LIMITE IDADE C22</t>
  </si>
  <si>
    <t xml:space="preserve">      *                   do layout X001BNCM01 (passa a ser FM,IB,ICI) *</t>
  </si>
  <si>
    <t>#06   * 2014.09.04  JADS  ELIMINAR CHAMADA À ROTINA PGOU001A NO CASO   *</t>
  </si>
  <si>
    <t xml:space="preserve">      * GO679     2010/02/10   AP   INCLUSÃO DO COPY BGOA0001</t>
  </si>
  <si>
    <t xml:space="preserve">       INPUT-OUTPUT SECTION.</t>
  </si>
  <si>
    <t xml:space="preserve">      * 2012-07-13 PJG        ACTIVIDADE 201100228  CARTA EXTRACTO (C22)</t>
  </si>
  <si>
    <t>#06   * 2015.05.28  JADS  Cartas de Cortesia Mediadores. Uniformização *</t>
  </si>
  <si>
    <t xml:space="preserve">       FILE-CONTROL.</t>
  </si>
  <si>
    <t xml:space="preserve">      * 2012-08-31 MJE        ACTIVIDADE 201100228  REFORMULACAO DA</t>
  </si>
  <si>
    <t>PJG#2 * PJG#2 ETS0066  2010-02-08 INCLUIR MHS</t>
  </si>
  <si>
    <t xml:space="preserve">           SELECT QZINPUT                ASSIGN UT-QZINPUT</t>
  </si>
  <si>
    <t xml:space="preserve">      *                       CARTA EXTRATO</t>
  </si>
  <si>
    <t>#07   * 2015.05.28  JADS  Cartas de Cortesia Mediadores. Uniformização *</t>
  </si>
  <si>
    <t xml:space="preserve">                                         FILE STATUS IS ST-QZINPUT.</t>
  </si>
  <si>
    <t xml:space="preserve">      * 2013-01-10 MJE        ACTIVIDADE 201100228 - CARTA E1,E2,E3,A1</t>
  </si>
  <si>
    <t xml:space="preserve">       ENVIRONMENT DIVISION.                                            </t>
  </si>
  <si>
    <t>PJG#3 * PJG#3 ETS0066  2010-11-11 INCLUIR NOVA CARTA 'CTAD' PARA OS</t>
  </si>
  <si>
    <t xml:space="preserve">           SELECT QZTEMP                 ASSIGN UT-QZTEMP</t>
  </si>
  <si>
    <t xml:space="preserve">      *                       C22</t>
  </si>
  <si>
    <t xml:space="preserve">       CONFIGURATION SECTION.                                           </t>
  </si>
  <si>
    <t>PJG#3 *                           CASOS DE TRANSFERENCIA DE RECIBOS</t>
  </si>
  <si>
    <t xml:space="preserve">                                         FILE STATUS IS ST-QZTEMP.</t>
  </si>
  <si>
    <t xml:space="preserve">       SPECIAL-NAMES.                                                   </t>
  </si>
  <si>
    <t xml:space="preserve">           SELECT QZINPUT ASSIGN QZINPUT</t>
  </si>
  <si>
    <t>PJG#3 *                           PARA PRE-CONTENCIOSO (RECIBOS DE</t>
  </si>
  <si>
    <t xml:space="preserve">           DECIMAL-POINT IS COMMA.                                      </t>
  </si>
  <si>
    <t xml:space="preserve">                  STATUS FSQZINPUT.</t>
  </si>
  <si>
    <t>PJG#3 *                           ACERTO)</t>
  </si>
  <si>
    <t xml:space="preserve">       DATA DIVISION.</t>
  </si>
  <si>
    <t xml:space="preserve">           SELECT QZINPUT  ASSIGN TO QZINPUT</t>
  </si>
  <si>
    <t xml:space="preserve">                                                                        </t>
  </si>
  <si>
    <t xml:space="preserve">           SELECT QZOUTPUT ASSIGN QZOUTPUT</t>
  </si>
  <si>
    <t xml:space="preserve">       FILE SECTION.</t>
  </si>
  <si>
    <t>PJG#1 * 2013-09-04 PJG        201200121 PLATAFORMA CGD - SEGURO PROTECAO</t>
  </si>
  <si>
    <t xml:space="preserve">               FILE STATUS IS W400-ST-QZINPUT.</t>
  </si>
  <si>
    <t xml:space="preserve">                  STATUS FSQZOUTPUT.</t>
  </si>
  <si>
    <t>PJG#4 * PJG#4 200800197 2011-08-01 INCLUSAO DO MODULO PARA REMOVER</t>
  </si>
  <si>
    <t xml:space="preserve">       FD  QZINPUT</t>
  </si>
  <si>
    <t>PJG#1 *                                 CREDITO (INCLUSAO DA CARTA E4)</t>
  </si>
  <si>
    <t xml:space="preserve">       INPUT-OUTPUT SECTION.                                            </t>
  </si>
  <si>
    <t>PJG#4 *                            FORMATOS COMPACTADOS DO FICHEIRO</t>
  </si>
  <si>
    <t xml:space="preserve">           RECORDING F</t>
  </si>
  <si>
    <t xml:space="preserve">           SELECT QZOUTPUT ASSIGN TO QZOUTPUT</t>
  </si>
  <si>
    <t xml:space="preserve">       FILE-CONTROL.                                                    </t>
  </si>
  <si>
    <t>PJG#4 *                            DE DADOS.</t>
  </si>
  <si>
    <t xml:space="preserve">           LABEL RECORDS STANDARD.</t>
  </si>
  <si>
    <t xml:space="preserve">               FILE STATUS IS W400-ST-QZOUTPUT.</t>
  </si>
  <si>
    <t xml:space="preserve">           SELECT QZINPUT  ASSIGN TO QZINPUT                            </t>
  </si>
  <si>
    <t xml:space="preserve">           SELECT QZCOPY ASSIGN QZCOPY</t>
  </si>
  <si>
    <t xml:space="preserve">       01  REG-QZINPUT                   PIC X(500).</t>
  </si>
  <si>
    <t>MJE#2 * 2014-04-21 MJE        201200066 CARTA COMPROVATIVO DE RESGATE</t>
  </si>
  <si>
    <t xml:space="preserve">               FILE STATUS IS W400-ST-QZINPUT.                          </t>
  </si>
  <si>
    <t xml:space="preserve">                  STATUS FSQZCOPY.</t>
  </si>
  <si>
    <t xml:space="preserve">      * GO1639    2011/11/16   AP  Inclusão do cod-postal na parte fixa</t>
  </si>
  <si>
    <t xml:space="preserve">           SELECT QZINPUT</t>
  </si>
  <si>
    <t>MJE#2 *                                 CTRG</t>
  </si>
  <si>
    <t xml:space="preserve">           BLOCK CONTAINS 0 RECORDS</t>
  </si>
  <si>
    <t xml:space="preserve">      *                            Uniformização de Layouts por X080</t>
  </si>
  <si>
    <t xml:space="preserve">       FD  QZTEMP</t>
  </si>
  <si>
    <t xml:space="preserve">              ASSIGN QZINPUT</t>
  </si>
  <si>
    <t>MJE#2 *</t>
  </si>
  <si>
    <t xml:space="preserve">           SELECT QZOUTPUT ASSIGN TO QZOUTPUT                           </t>
  </si>
  <si>
    <t xml:space="preserve">       01  RQZINPUT             PIC X(1606).</t>
  </si>
  <si>
    <t xml:space="preserve">           RECORDING MODE F</t>
  </si>
  <si>
    <t xml:space="preserve">      *                            201100140 Outputs para Comp. 148</t>
  </si>
  <si>
    <t xml:space="preserve">              FILE STATUS FSQZINPUT.</t>
  </si>
  <si>
    <t>PJG#2 * PJG   201200094 2014-08-05 VALIDA INDICADOR TIPO IMPRESSAO,</t>
  </si>
  <si>
    <t xml:space="preserve">               FILE STATUS IS W400-ST-QZOUTPUT.                         </t>
  </si>
  <si>
    <t xml:space="preserve">       FD  QZOUTPUT</t>
  </si>
  <si>
    <t xml:space="preserve">           LABEL RECORD STANDARD.</t>
  </si>
  <si>
    <t xml:space="preserve">           RECORDING V</t>
  </si>
  <si>
    <t xml:space="preserve">           SELECT QZTEMP</t>
  </si>
  <si>
    <t>PJG#2 *                            IMMEDIATE(I) OU OVERNIGHT(O).</t>
  </si>
  <si>
    <t xml:space="preserve">       01  RQZINPUT       PIC X(517).</t>
  </si>
  <si>
    <t xml:space="preserve">      * GO1728    2012/01/25   AP  Alteração aos X080BNCTL e X080BNCTP</t>
  </si>
  <si>
    <t xml:space="preserve">           RECORD CONTAINS 1 TO 4096</t>
  </si>
  <si>
    <t xml:space="preserve">              ASSIGN QZTEMP</t>
  </si>
  <si>
    <t xml:space="preserve">      *............................................ - FICH. INPUT -</t>
  </si>
  <si>
    <t xml:space="preserve">           RECORDING MODE V</t>
  </si>
  <si>
    <t xml:space="preserve">      *                            p/ novas linhas de apoio (= FM/IB)</t>
  </si>
  <si>
    <t xml:space="preserve">              FILE STATUS FSQZTEMP.</t>
  </si>
  <si>
    <t xml:space="preserve">      *  &gt;&gt; REGISTOS DO FICH QZINPUT &lt;&lt;</t>
  </si>
  <si>
    <t xml:space="preserve">       DATA DIVISION.                                                   </t>
  </si>
  <si>
    <t xml:space="preserve">           RECORD VARYING 1 TO 4096 DEPENDING ON QZOLEN</t>
  </si>
  <si>
    <t xml:space="preserve">       01  QZTEMP-RECORD.</t>
  </si>
  <si>
    <t xml:space="preserve">      ******************************************************************</t>
  </si>
  <si>
    <t xml:space="preserve">       FILE SECTION.                                                    </t>
  </si>
  <si>
    <t xml:space="preserve">       FD  QZCOPY</t>
  </si>
  <si>
    <t>#09   * GO2839  2014.04.02  JADS  Pequenos acertos de cosmética no doc *</t>
  </si>
  <si>
    <t xml:space="preserve">           05     PIC X OCCURS 1 TO 4096</t>
  </si>
  <si>
    <t xml:space="preserve">       01  RQZOUTPUT.</t>
  </si>
  <si>
    <t xml:space="preserve">                        DEPENDING ON QZLEN.</t>
  </si>
  <si>
    <t xml:space="preserve">           LABEL RECORDS ARE STANDARD.</t>
  </si>
  <si>
    <t xml:space="preserve">      *............................................ - FICH. INPUT -     </t>
  </si>
  <si>
    <t xml:space="preserve">           05  QZOUTPUT-RECORD.</t>
  </si>
  <si>
    <t>PJG#5 * PJG   201200094 2014-08-05 VALIDA INDICADOR TIPO IMPRESSAO, *</t>
  </si>
  <si>
    <t xml:space="preserve">      *  &gt;&gt; REGISTOS DO FICH QZINPUT &lt;&lt;                                 </t>
  </si>
  <si>
    <t xml:space="preserve">           RECORD CONTAINS 1 TO 512</t>
  </si>
  <si>
    <t xml:space="preserve">               10  PIC X OCCURS 1 TO 4096</t>
  </si>
  <si>
    <t>PJG#5 *                            IMMEDIATE(I) OU OVERNIGHT(O).    *</t>
  </si>
  <si>
    <t xml:space="preserve">       WORKING-STORAGE SECTION.</t>
  </si>
  <si>
    <t xml:space="preserve">       01  QZINPUT-RECORD                PIC X(500).</t>
  </si>
  <si>
    <t xml:space="preserve">       FD  QZINPUT                                                      </t>
  </si>
  <si>
    <t xml:space="preserve">                   DEPENDING ON QZOLEN.</t>
  </si>
  <si>
    <t xml:space="preserve">           05  FILLER          PIC X OCCURS 1 TO 4096</t>
  </si>
  <si>
    <t>PJG#1 *---------------------------------------------------------------*</t>
  </si>
  <si>
    <t xml:space="preserve">       01  QZINPUT-RECORD    PIC X(500).</t>
  </si>
  <si>
    <t xml:space="preserve">       01  QZINPUT-RECORD.</t>
  </si>
  <si>
    <t xml:space="preserve">           RECORDING MODE F                                             </t>
  </si>
  <si>
    <t xml:space="preserve">       01  RQZCOPY.</t>
  </si>
  <si>
    <t xml:space="preserve">                               DEPENDING ON LINHALEN.</t>
  </si>
  <si>
    <t>#11   * GO3115  2014.09.01  JADS  CHG287599 Apresentar o NIF na área   *</t>
  </si>
  <si>
    <t>PJG#1 *    W100-SYSTEM-SWITCHES                                       *</t>
  </si>
  <si>
    <t xml:space="preserve">         03  QZINPUT-SORT-KEY            PIC X(052).</t>
  </si>
  <si>
    <t xml:space="preserve">           LABEL RECORDS ARE STANDARD.                                  </t>
  </si>
  <si>
    <t xml:space="preserve">           05    PIC X OCCURS 1 TO 512</t>
  </si>
  <si>
    <t xml:space="preserve">      *                           do Assunto da Carta ENTI do PRIC.    *</t>
  </si>
  <si>
    <t xml:space="preserve">      *............................................ - FICH. OUTPUT -</t>
  </si>
  <si>
    <t xml:space="preserve">         03  QZINPUT-DADOS               PIC X(448).</t>
  </si>
  <si>
    <t xml:space="preserve">                 DEPENDING ON CNTLLEN.</t>
  </si>
  <si>
    <t>PJG#1  01  W100-SYSTEM-SWITCHES.</t>
  </si>
  <si>
    <t xml:space="preserve">           SELECT QZTEMP ASSIGN QZTEMP</t>
  </si>
  <si>
    <t xml:space="preserve">      *  &gt;&gt; REGISTOS DO FICH QZOUTPUT &lt;&lt;</t>
  </si>
  <si>
    <t xml:space="preserve">       01  QZINPUT-RECORD                PIC X(500).                    </t>
  </si>
  <si>
    <t xml:space="preserve">       01  CAMPO-DUMP         PIC S9(4)   COMP   VALUE +255.</t>
  </si>
  <si>
    <t>#13   * GO3136  2014.10.02  JADS  SEPA - NIB -&gt; IBAN / BIC SWIFT.      *</t>
  </si>
  <si>
    <t>PJG#1</t>
  </si>
  <si>
    <t xml:space="preserve">                  STATUS FSQZTEMP.</t>
  </si>
  <si>
    <t>PJG#1**01  QZTLEN             PIC 9(8)    COMP   VALUE ZERO.</t>
  </si>
  <si>
    <t xml:space="preserve">       01.</t>
  </si>
  <si>
    <t xml:space="preserve">      *                           Utilização da rotina PYOXAU09.       *</t>
  </si>
  <si>
    <t>PJG#1    03  W100-LAYOUT                 PIC X(01)  VALUE SPACES.</t>
  </si>
  <si>
    <t xml:space="preserve">       01  QZOLEN             PIC 9(8)    COMP   VALUE ZERO.</t>
  </si>
  <si>
    <t xml:space="preserve">           05  CAMPO-DUMP       PIC S9(4)  COMP  VALUE +255.</t>
  </si>
  <si>
    <t>PJG#1        88 W100-TRATA-LAYOUT                   VALUE 'Y'.</t>
  </si>
  <si>
    <t xml:space="preserve">      *............................................ - FICH. OUTPUT -    </t>
  </si>
  <si>
    <t xml:space="preserve">           RECORD VARYING 1 TO 4096 DEPENDING ON QZTLEN</t>
  </si>
  <si>
    <t xml:space="preserve">       01  FSQZINPUT          PIC XX             VALUE '00'.</t>
  </si>
  <si>
    <t xml:space="preserve">           05  FSQZINPUT        PIC XX     VALUE '00'.</t>
  </si>
  <si>
    <t>PJG#1        88 W100-NO-LAYOUT                      VALUE 'N'.</t>
  </si>
  <si>
    <t xml:space="preserve">           RECORD VARYING 210 TO 4096</t>
  </si>
  <si>
    <t xml:space="preserve">      *  &gt;&gt; REGISTOS DO FICH QZOUTPUT &lt;&lt;                                </t>
  </si>
  <si>
    <t xml:space="preserve">           88  FSQZI-OK                          VALUE '00' '04'.</t>
  </si>
  <si>
    <t xml:space="preserve">           05  FSQZOUTPUT       PIC XX     VALUE '00'.</t>
  </si>
  <si>
    <t xml:space="preserve">       FD  QZOUTPUT                                                     </t>
  </si>
  <si>
    <t xml:space="preserve">       01  RQZINPUT             PIC X(4096).</t>
  </si>
  <si>
    <t xml:space="preserve">           88  FSQZI-EOF                         VALUE '10'.</t>
  </si>
  <si>
    <t xml:space="preserve">           05  AUX-LEN          PIC S9(04) COMP  VALUE +0.</t>
  </si>
  <si>
    <t>PJG#1    03  W100-FICHEIRO               PIC X(01)  VALUE SPACES.</t>
  </si>
  <si>
    <t xml:space="preserve">           RECORDING MODE V                                             </t>
  </si>
  <si>
    <t xml:space="preserve">       01  QZOUTPUT-RECORD.</t>
  </si>
  <si>
    <t xml:space="preserve">       01  FSQZOUTPUT         PIC XX             VALUE '00'.</t>
  </si>
  <si>
    <t xml:space="preserve">           05  LINHALEN         PIC S9(4)  COMP   VALUE +0.</t>
  </si>
  <si>
    <t>PJG#1        88 W100-TRATA-FICH                     VALUE 'Y'.</t>
  </si>
  <si>
    <t xml:space="preserve">      *===============================================================*</t>
  </si>
  <si>
    <t xml:space="preserve">           BLOCK CONTAINS 0 RECORDS                                     </t>
  </si>
  <si>
    <t xml:space="preserve">         03                              PIC X(210).</t>
  </si>
  <si>
    <t xml:space="preserve">           88  FSQZO-OK                          VALUE '00'.</t>
  </si>
  <si>
    <t>PJG#1        88 W100-NO-FICH                        VALUE 'N'.</t>
  </si>
  <si>
    <t xml:space="preserve">       01  FSQZINPUT                   PIC X(02)  VALUE ZEROS.</t>
  </si>
  <si>
    <t xml:space="preserve">           RECORD VARYING 210 TO 4096                                   </t>
  </si>
  <si>
    <t xml:space="preserve">         03  FILLER                      PIC X OCCURS 0 TO 3886</t>
  </si>
  <si>
    <t xml:space="preserve">       01  WCODBAR-COD-POSTALC.</t>
  </si>
  <si>
    <t xml:space="preserve">           88 FSQZI-OK                            VALUE '00'.</t>
  </si>
  <si>
    <t xml:space="preserve">                                             DEPENDING ON W400-COMP-REG.</t>
  </si>
  <si>
    <t xml:space="preserve">           05 WCODBAR-COD-POSTALC1 PIC X(4).</t>
  </si>
  <si>
    <t xml:space="preserve">           88 FSQZI-EOF                           VALUE '10'.</t>
  </si>
  <si>
    <t xml:space="preserve">                                             DEPENDING ON W400-QZOLEN.</t>
  </si>
  <si>
    <t xml:space="preserve">      *AREA-INPUT.</t>
  </si>
  <si>
    <t xml:space="preserve">           05 WCODBAR-COD-POSTALC2 PIC X(3).</t>
  </si>
  <si>
    <t xml:space="preserve">       01  ST-QZINPUT                    PIC 99 VALUE ZEROS.</t>
  </si>
  <si>
    <t xml:space="preserve">       01  FSQZTEMP                    PIC X(02)  VALUE ZEROS.</t>
  </si>
  <si>
    <t xml:space="preserve">       01  RQZTEMP              PIC X(4096).</t>
  </si>
  <si>
    <t xml:space="preserve">       01  QZOUTPUT-RECORD.                                             </t>
  </si>
  <si>
    <t xml:space="preserve">      *-----------------------------------------------------------------</t>
  </si>
  <si>
    <t xml:space="preserve">           88  ST-QZINPUT-OK              VALUE 00.</t>
  </si>
  <si>
    <t xml:space="preserve">           88 FSQZT-OK                            VALUE '00'.</t>
  </si>
  <si>
    <t xml:space="preserve">         03                              PIC X(210).                    </t>
  </si>
  <si>
    <t xml:space="preserve">           COPY BGOW9014.</t>
  </si>
  <si>
    <t xml:space="preserve">       01   CONT-ESCRITA-CARTA-1  PIC 9(9) VALUE ZEROS.</t>
  </si>
  <si>
    <t xml:space="preserve">           88  ST-QZINPUT-EOF             VALUE 10.</t>
  </si>
  <si>
    <t xml:space="preserve">         03  FILLER                      PIC X OCCURS 0 TO 3886         </t>
  </si>
  <si>
    <t xml:space="preserve">       01   CONT-ESCRITA-CARTA-2  PIC 9(9) VALUE ZEROS.</t>
  </si>
  <si>
    <t xml:space="preserve">           SELECT QZINPUT ASSIGN UT-QZINPUT</t>
  </si>
  <si>
    <t xml:space="preserve">       01  ST-QZTEMP                     PIC 99 VALUE ZEROS.</t>
  </si>
  <si>
    <t xml:space="preserve">                                             DEPENDING ON W400-QZOLEN.  </t>
  </si>
  <si>
    <t xml:space="preserve">      *AREA-OUTPUT.</t>
  </si>
  <si>
    <t xml:space="preserve">       01   CONT-ESCRITA-CARTA-3  PIC 9(9) VALUE ZEROS.</t>
  </si>
  <si>
    <t xml:space="preserve">                  FILE STATUS IS FSQZINPUT.</t>
  </si>
  <si>
    <t xml:space="preserve">           88  ST-QZTEMP-OK               VALUE 00.</t>
  </si>
  <si>
    <t xml:space="preserve">      *  W100-PROGRAM-SWITCHES - USED TO CONTROL PROGRAM LOGIC      *</t>
  </si>
  <si>
    <t xml:space="preserve">       01   CONT-ESCRITA-CARTA-4  PIC 9(9) VALUE ZEROS.</t>
  </si>
  <si>
    <t xml:space="preserve">           COPY BGOW0014 REPLACING ==:X:== BY ==O==.</t>
  </si>
  <si>
    <t xml:space="preserve">           SELECT QZOUTPUT ASSIGN UT-QZOUTPUT</t>
  </si>
  <si>
    <t>PJG#1  01  W400-LOCAL-VARIABLES.</t>
  </si>
  <si>
    <t xml:space="preserve">       01  W100-SYSTEM-SWITCHES.</t>
  </si>
  <si>
    <t xml:space="preserve">           COPY BGOW0001.</t>
  </si>
  <si>
    <t xml:space="preserve">       01   CONT-LER-CARTA-1  PIC 9(9) VALUE ZEROS.</t>
  </si>
  <si>
    <t xml:space="preserve">                  FILE STATUS IS FSQZOUTPUT.</t>
  </si>
  <si>
    <t xml:space="preserve">       WORKING-STORAGE SECTION.                                         </t>
  </si>
  <si>
    <t xml:space="preserve">       01   CONT-LER-CARTA-2  PIC 9(9) VALUE ZEROS.</t>
  </si>
  <si>
    <t>PJG#1    03  W400-TRATA-COMP-MARCA       PIC X(06)  VALUE SPACES.</t>
  </si>
  <si>
    <t xml:space="preserve">         03  W100-ERROR                  PIC X(01)  VALUE SPACES.</t>
  </si>
  <si>
    <t xml:space="preserve">       01  QZTLEN             PIC 9(8)    COMP   VALUE ZERO.</t>
  </si>
  <si>
    <t xml:space="preserve">       01  BGOW0008-AREA.</t>
  </si>
  <si>
    <t xml:space="preserve">       01   CONT-LER-CARTA-3  PIC 9(9) VALUE ZEROS.</t>
  </si>
  <si>
    <t xml:space="preserve">      *  W100-PROGRAM-SWITCHES - USED TO CONTROL PROGRAM LOGIC      *   </t>
  </si>
  <si>
    <t xml:space="preserve">             88 W100-ERROR-OCCURRED                 VALUE 'Y'.</t>
  </si>
  <si>
    <t xml:space="preserve">           COPY BGOW0008.</t>
  </si>
  <si>
    <t xml:space="preserve">       01   CONT-LER-CARTA-4  PIC 9(9) VALUE ZEROS.</t>
  </si>
  <si>
    <t>PJG#1 *** AREA DO MODULO PYOXAU05 ***</t>
  </si>
  <si>
    <t xml:space="preserve">             88 W100-NO-ERROR                       VALUE 'N'.</t>
  </si>
  <si>
    <t xml:space="preserve">       01  W100-SYSTEM-SWITCHES.                                        </t>
  </si>
  <si>
    <t xml:space="preserve">           88  FSQZT-OK                          VALUE '00' '04'.</t>
  </si>
  <si>
    <t xml:space="preserve">       01  WAUX-REG-LIDOS-INPUT     PIC 9(10) VALUE ZEROS.</t>
  </si>
  <si>
    <t>MJE#1  01   CONT-RECIBOS      PIC 9(3) VALUE ZEROS.</t>
  </si>
  <si>
    <t>PJG#1  01  W400-PYOXAU05-AREA.</t>
  </si>
  <si>
    <t xml:space="preserve">      *  W400 MISCELLANEOUS WORK AREAS                              *</t>
  </si>
  <si>
    <t xml:space="preserve">           88  FSQZT-EOF                         VALUE '10'.</t>
  </si>
  <si>
    <t xml:space="preserve">       01  WAUX-REG-GRAVADOS-OUT    PIC 9(10) VALUE ZEROS.</t>
  </si>
  <si>
    <t>PJG#1    03  W400-OPERACAO               PIC X(01).</t>
  </si>
  <si>
    <t xml:space="preserve">         03  W100-LAYOUT                 PIC X(01)  VALUE SPACES.</t>
  </si>
  <si>
    <t xml:space="preserve">         03  W100-ERROR                  PIC X(01)  VALUE SPACES.       </t>
  </si>
  <si>
    <t xml:space="preserve">       01  FSQZCOPY           PIC XX             VALUE '00'.</t>
  </si>
  <si>
    <t xml:space="preserve">       01  WAUX-REG-F-P-SELECT      PIC 9(10) VALUE ZEROS.</t>
  </si>
  <si>
    <t xml:space="preserve">       01  W400-REF-TIPO-CARTA             PIC X(01).</t>
  </si>
  <si>
    <t xml:space="preserve">       01  REG-QZINPUT    PIC X(500).</t>
  </si>
  <si>
    <t>PJG#1    03  W400-RETCODE                PIC X(02).</t>
  </si>
  <si>
    <t xml:space="preserve">             88 W100-TRATA-LAYOUT                   VALUE 'Y'.</t>
  </si>
  <si>
    <t xml:space="preserve">             88 W100-ERROR-OCCURRED                 VALUE 'Y'.          </t>
  </si>
  <si>
    <t xml:space="preserve">       01  W400-FILE-STATUS.</t>
  </si>
  <si>
    <t xml:space="preserve">           88  FSQZC-OK                          VALUE '00' '04'.</t>
  </si>
  <si>
    <t xml:space="preserve">       01  WAUX-ENV-30DIAS          PIC 9(10) VALUE ZEROS.</t>
  </si>
  <si>
    <t xml:space="preserve">          88  W400-REF-TIPO-CARTA-1       VALUE '1'.</t>
  </si>
  <si>
    <t>PJG#1    03  W400-COPYNAME               PIC X(08).</t>
  </si>
  <si>
    <t xml:space="preserve">      *---------------------------------------------------------------*</t>
  </si>
  <si>
    <t xml:space="preserve">             88 W100-NO-LAYOUT                      VALUE 'N'.</t>
  </si>
  <si>
    <t xml:space="preserve">             88 W100-NO-ERROR                       VALUE 'N'.          </t>
  </si>
  <si>
    <t xml:space="preserve">           88  FSQZC-EOF                         VALUE '10'.</t>
  </si>
  <si>
    <t xml:space="preserve">       01  WAUX-ENV-MEDIADOR        PIC 9(10) VALUE ZEROS.</t>
  </si>
  <si>
    <t xml:space="preserve">          88  W400-REF-TIPO-CARTA-2       VALUE '2'.</t>
  </si>
  <si>
    <t>PJG#1    03  W400-CANAL                  PIC X(01).</t>
  </si>
  <si>
    <t xml:space="preserve">       01  W400-AREA-INPUT.</t>
  </si>
  <si>
    <t xml:space="preserve">       01  FSQZTEMP           PIC XX             VALUE '00'.</t>
  </si>
  <si>
    <t xml:space="preserve">         03  W400-ST-QZINPUT             PIC X(02)  VALUE ZEROS.</t>
  </si>
  <si>
    <t xml:space="preserve">       01  WAUX-ENV-CREDOR          PIC 9(10) VALUE ZEROS.</t>
  </si>
  <si>
    <t xml:space="preserve">          88  W400-REF-TIPO-CARTA-3       VALUE '3'.</t>
  </si>
  <si>
    <t>PJG#1    03  W400-COMPANHIA              PIC X(02).</t>
  </si>
  <si>
    <t xml:space="preserve">      * copia do copy do cogen NZ44DU01.</t>
  </si>
  <si>
    <t xml:space="preserve">         03  W100-FICHEIRO               PIC X(01)  VALUE SPACES.</t>
  </si>
  <si>
    <t xml:space="preserve">         03  W100-LAYOUT                 PIC X(01)  VALUE SPACES.       </t>
  </si>
  <si>
    <t xml:space="preserve">             88 W400-ST-QZINPUT-OK                  VALUE '00'.</t>
  </si>
  <si>
    <t xml:space="preserve">       01  WAUX-ENV-ADVOGADO        PIC 9(10) VALUE ZEROS.</t>
  </si>
  <si>
    <t xml:space="preserve">          88  W400-REF-TIPO-CARTA-4       VALUE '4'.</t>
  </si>
  <si>
    <t>PJG#1    03  W400-COD-DOC                PIC X(04).</t>
  </si>
  <si>
    <t xml:space="preserve">           COPY BGOW9003.</t>
  </si>
  <si>
    <t xml:space="preserve">             88 W100-TRATA-FICH                     VALUE 'Y'.</t>
  </si>
  <si>
    <t xml:space="preserve">             88 W100-TRATA-LAYOUT                   VALUE 'Y'.          </t>
  </si>
  <si>
    <t xml:space="preserve">             88 W400-ST-QZINPUT-FIM                 VALUE '10'.</t>
  </si>
  <si>
    <t xml:space="preserve">       01  WAUX-INDA                PIC 9(02) VALUE ZEROS.</t>
  </si>
  <si>
    <t>PJG#1    03  W400-REGISTO                PIC X(500).</t>
  </si>
  <si>
    <t xml:space="preserve">      *** ROTINA PARA JUNTAR O MONTANTE AO DESCRITIVO ***</t>
  </si>
  <si>
    <t xml:space="preserve">             88 W100-NO-FICH                        VALUE 'N'.</t>
  </si>
  <si>
    <t xml:space="preserve">             88 W100-NO-LAYOUT                      VALUE 'N'.          </t>
  </si>
  <si>
    <t>PJG#1**01  RR-CODBAR-VALORES.</t>
  </si>
  <si>
    <t xml:space="preserve">       01  W400-DT-ENV-1.</t>
  </si>
  <si>
    <t xml:space="preserve">           COPY NYYABNM.</t>
  </si>
  <si>
    <t xml:space="preserve">         03  W400-ST-QZOUTPUT            PIC X(02)  VALUE ZEROS.</t>
  </si>
  <si>
    <t>PJG#1**    03  CC-CODBAR-NSEQ-DOC   PIC 9(07) VALUE ZEROS.</t>
  </si>
  <si>
    <t xml:space="preserve">           05 W400-DD-ENV-1     PIC X(2) VALUE SPACES.</t>
  </si>
  <si>
    <t xml:space="preserve">         03  W100-FICHEIRO               PIC X(01)  VALUE SPACES.       </t>
  </si>
  <si>
    <t xml:space="preserve">             88 W400-ST-QZOUTPUT-OK                 VALUE '00'.</t>
  </si>
  <si>
    <t xml:space="preserve">           COPY BGOW0015  REPLACING  ==:PREFIX:== BY ==RU==.</t>
  </si>
  <si>
    <t>PJG#1**    03  CC-CODBAR-NLIN-DOC   PIC 9(07) VALUE ZEROS.</t>
  </si>
  <si>
    <t xml:space="preserve">           05 FILLER            PIC X    VALUE SPACES.</t>
  </si>
  <si>
    <t xml:space="preserve">           02 REG-PARTE-FIXA      PIC X(210).</t>
  </si>
  <si>
    <t xml:space="preserve">       01  W500-VARIAVEIS.</t>
  </si>
  <si>
    <t xml:space="preserve">             88 W100-TRATA-FICH                     VALUE 'Y'.          </t>
  </si>
  <si>
    <t xml:space="preserve">             88 W400-ST-QZOUTPUT-FIM                VALUE '10'.</t>
  </si>
  <si>
    <t xml:space="preserve">           COPY BGOW0019  REPLACING  ==:PREFIX:== BY ==RU==.</t>
  </si>
  <si>
    <t xml:space="preserve">       01  WAUX-LEN                 PIC S9(04) COMP VALUE +0.</t>
  </si>
  <si>
    <t xml:space="preserve">           05 W400-MM-ENV-1     PIC X(2) VALUE SPACES.</t>
  </si>
  <si>
    <t xml:space="preserve">           02 REG-PARTE-VARIAVEL  PIC X(3886).</t>
  </si>
  <si>
    <t xml:space="preserve">           05  CAMPO-DUMP           PIC S9(4)  COMP  VALUE +255.</t>
  </si>
  <si>
    <t xml:space="preserve">       01  W400-AREA-OUTPUT.</t>
  </si>
  <si>
    <t xml:space="preserve">             88 W100-NO-FICH                        VALUE 'N'.          </t>
  </si>
  <si>
    <t xml:space="preserve">           05  QZLEN                PIC S9(04) COMP  VALUE +4096.</t>
  </si>
  <si>
    <t xml:space="preserve">           COPY BGOW0013  REPLACING  ==:PREFIX:== BY ==RU==.</t>
  </si>
  <si>
    <t xml:space="preserve">         03  W100-LISTA                  PIC X(01)  VALUE SPACES.</t>
  </si>
  <si>
    <t xml:space="preserve">       01  W500-DATA3.</t>
  </si>
  <si>
    <t xml:space="preserve">           05 W400-AA-ENV-1     PIC X(4) VALUE SPACES.</t>
  </si>
  <si>
    <t xml:space="preserve">           03  REG-LIDOS            PIC 9(10)        VALUE ZEROS.</t>
  </si>
  <si>
    <t xml:space="preserve">             88 W100-LISTA-ESQ                      VALUE 'E'.</t>
  </si>
  <si>
    <t xml:space="preserve">       01  W400-WORK-AREAS.</t>
  </si>
  <si>
    <t xml:space="preserve">           03  W500-DD3                    PIC X(07).</t>
  </si>
  <si>
    <t xml:space="preserve">           03  REG-ESCRITOS         PIC 9(10)        VALUE ZEROS.</t>
  </si>
  <si>
    <t xml:space="preserve">             88 W100-LISTA-DIR                      VALUE 'D'.</t>
  </si>
  <si>
    <t xml:space="preserve">      *  W400 MISCELLANEOUS WORK AREAS                              *   </t>
  </si>
  <si>
    <t xml:space="preserve">           COPY BGOW0020 REPLACING ==:X:== BY ==O==.</t>
  </si>
  <si>
    <t xml:space="preserve">           03  W500-DIA3                   PIC X(02).</t>
  </si>
  <si>
    <t xml:space="preserve">       01  W400-DT-ENV-2.</t>
  </si>
  <si>
    <t xml:space="preserve">           03  W500-GUARDA-APOLICE  PIC X(16)        VALUE SPACES.</t>
  </si>
  <si>
    <t xml:space="preserve">         03  QZLEN                       PIC S9(04) COMP VALUE +4096.</t>
  </si>
  <si>
    <t xml:space="preserve">         03  W400-COMP-REG               PIC S9(04) COMP  VALUE +0.</t>
  </si>
  <si>
    <t xml:space="preserve">           03  W500-MES3                   PIC X(09).</t>
  </si>
  <si>
    <t xml:space="preserve">           05 W400-AA-ENV-2     PIC X(4) VALUE SPACES.</t>
  </si>
  <si>
    <t xml:space="preserve">           03  W500-GRAVA-REGISTO   PIC X(01)        VALUE 'N'.</t>
  </si>
  <si>
    <t xml:space="preserve">         03  W100-EXECUTOU               PIC X(01)  VALUE SPACES.</t>
  </si>
  <si>
    <t xml:space="preserve">       01  W400-FILE-STATUS.                                            </t>
  </si>
  <si>
    <t xml:space="preserve">         03  AUX-LEN                     PIC S9(04) COMP  VALUE +10.</t>
  </si>
  <si>
    <t xml:space="preserve">           03  W500-ANO3                   PIC X(04).</t>
  </si>
  <si>
    <t xml:space="preserve">           05 W400-MM-ENV-2     PIC X(2) VALUE SPACES.</t>
  </si>
  <si>
    <t xml:space="preserve">       01 AUX-LEN                 PIC S9(04)  COMP   VALUE +10.</t>
  </si>
  <si>
    <t xml:space="preserve">             88 W100-JA-EXECUTOU                    VALUE 'Y'.</t>
  </si>
  <si>
    <t xml:space="preserve">       01  W500-DATA-COMPLETA              PIC X(32).</t>
  </si>
  <si>
    <t xml:space="preserve">           05 W400-DD-ENV-2     PIC X(2) VALUE SPACES.</t>
  </si>
  <si>
    <t xml:space="preserve">       01 WAUX-CAMPO-DUMP         PIC S9(4)   COMP   VALUE +255.</t>
  </si>
  <si>
    <t xml:space="preserve">       01  W500-DATA1                PIC X(10).</t>
  </si>
  <si>
    <t xml:space="preserve">         03  W400-ST-QZINPUT             PIC X(02)  VALUE ZEROS.        </t>
  </si>
  <si>
    <t>PJG#1**----------------------------------------------------------------</t>
  </si>
  <si>
    <t xml:space="preserve">       01  W500-MM3                        PIC X(02).</t>
  </si>
  <si>
    <t xml:space="preserve">       01 QZOLEN                  PIC 9(08)   COMP   VALUE ZERO.</t>
  </si>
  <si>
    <t xml:space="preserve">       01  FILLER REDEFINES W500-DATA1.</t>
  </si>
  <si>
    <t xml:space="preserve">             88 W400-ST-QZINPUT-OK                  VALUE '00'.         </t>
  </si>
  <si>
    <t xml:space="preserve">       01  W400-LOCAL-VARIABLES.</t>
  </si>
  <si>
    <t>PJG#1**01  WORK-OUTPUT                  PIC X(4096) VALUE SPACES.</t>
  </si>
  <si>
    <t xml:space="preserve">       01  W400-PROCESS-DATE      PIC X(24)      VALUE SPACES.</t>
  </si>
  <si>
    <t xml:space="preserve">       01 FSQZINPUT               PIC X(02)          VALUE '00'.</t>
  </si>
  <si>
    <t xml:space="preserve">          03  W500-DT1-ANO           PIC X(04).</t>
  </si>
  <si>
    <t xml:space="preserve">       01  W400-MORADA-AREA.</t>
  </si>
  <si>
    <t xml:space="preserve">             88 W400-ST-QZINPUT-FIM                 VALUE '10'.         </t>
  </si>
  <si>
    <t>PJG#1**01  REDEFINES WORK-OUTPUT.</t>
  </si>
  <si>
    <t xml:space="preserve">       01  WORK-OUTPUT                  PIC X(4096) VALUE SPACES.</t>
  </si>
  <si>
    <t xml:space="preserve">       01 WAUX-TIMESTAMP          PIC X(14)          VALUE SPACES.</t>
  </si>
  <si>
    <t xml:space="preserve">       01  W400-REF-TIPO-REGISTO  PIC X(01)      VALUE SPACES.</t>
  </si>
  <si>
    <t xml:space="preserve">          88  FSQZI-OK                               VALUE '00'.</t>
  </si>
  <si>
    <t xml:space="preserve">          03  FILLER                 PIC X.</t>
  </si>
  <si>
    <t xml:space="preserve">         03  W400-PROCESS-DATE           PIC X(31)  VALUE SPACES.</t>
  </si>
  <si>
    <t>PJG#1**    05  SIZE-LAYOUT.</t>
  </si>
  <si>
    <t xml:space="preserve">       01  REDEFINES WORK-OUTPUT.</t>
  </si>
  <si>
    <t xml:space="preserve">       01  W400-CONT-AREA-RECIBO  PIC 9(01)      VALUE 1.</t>
  </si>
  <si>
    <t xml:space="preserve">          88  FSQZI-EOF                              VALUE '10'.</t>
  </si>
  <si>
    <t xml:space="preserve">          03  W500-DT1-MES           PIC X(02).</t>
  </si>
  <si>
    <t xml:space="preserve">       01  REG-LIDOS                PIC 9(10) VALUE ZEROS.</t>
  </si>
  <si>
    <t xml:space="preserve">       01  W400-AUXILIARES.</t>
  </si>
  <si>
    <t xml:space="preserve">         03  W400-ST-QZOUTPUT            PIC X(02)  VALUE ZEROS.        </t>
  </si>
  <si>
    <t>PJG#1**        10  NOME-LAYOUT          PIC X(10).</t>
  </si>
  <si>
    <t xml:space="preserve">           05  SIZE-LAYOUT.</t>
  </si>
  <si>
    <t xml:space="preserve">       01 WAUX-DATA-TIMESTAMP.</t>
  </si>
  <si>
    <t xml:space="preserve">       01  W400-REF-RECIBO        PIC X(8)       VALUE SPACES.</t>
  </si>
  <si>
    <t xml:space="preserve">       01 FSQZOUTPUT              PIC X(02)          VALUE '00'.</t>
  </si>
  <si>
    <t xml:space="preserve">       01  W400-GUARDA-DESCR-VEHICLE     PIC X(65).</t>
  </si>
  <si>
    <t xml:space="preserve">       01  REG-ESCRITOS             PIC 9(10) VALUE ZEROS.</t>
  </si>
  <si>
    <t xml:space="preserve">             88 W400-ST-QZOUTPUT-OK                 VALUE '00'.         </t>
  </si>
  <si>
    <t>PJG#1**        10  COD-BARRA            PIC X(200).</t>
  </si>
  <si>
    <t xml:space="preserve">               10  NOME-LAYOUT          PIC X(10).</t>
  </si>
  <si>
    <t xml:space="preserve">          02 WAUX-TSDIA           PIC 9(02).</t>
  </si>
  <si>
    <t xml:space="preserve">       01  W400-REF-DT-INIC-REC   PIC X(10)      VALUE SPACES.</t>
  </si>
  <si>
    <t xml:space="preserve">          88  FSQZO-OK                               VALUE '00'.</t>
  </si>
  <si>
    <t xml:space="preserve">          03  W500-DT1-DIA           PIC X(02).</t>
  </si>
  <si>
    <t xml:space="preserve">       01  REG-ESCRITOS-REG         PIC 9(10) VALUE ZEROS.</t>
  </si>
  <si>
    <t xml:space="preserve">         03  W400-QZOLEN                 PIC S9(04) COMP  VALUE +0.</t>
  </si>
  <si>
    <t xml:space="preserve">       01  W400-MOUNTH-TABLE.</t>
  </si>
  <si>
    <t xml:space="preserve">               10  COD-BARRA            PIC X(200).</t>
  </si>
  <si>
    <t xml:space="preserve">          02                      PIC X(01)  VALUE '/'.</t>
  </si>
  <si>
    <t xml:space="preserve">       01  W400-REF-DT-TERM-REC   PIC X(10)      VALUE SPACES.</t>
  </si>
  <si>
    <t xml:space="preserve">       01  WS-PERDA-TOTAL           PIC X(01) VALUE SPACES.</t>
  </si>
  <si>
    <t xml:space="preserve">         03  W400-AUXLEN                 PIC S9(04) COMP  VALUE +0.</t>
  </si>
  <si>
    <t xml:space="preserve">         03  FILLER                   PIC X(12)  VALUE '01 janeiro  '.</t>
  </si>
  <si>
    <t xml:space="preserve">          02 WAUX-TSMES           PIC 9(02).</t>
  </si>
  <si>
    <t xml:space="preserve">       01  W400-REF-VLR-REC       PIC S9(9)V99   VALUE ZEROS.</t>
  </si>
  <si>
    <t xml:space="preserve">      *  VARIAVEIS PARA TRATAMENTO DO PARM: FAZ FICHEIRO E/OU LAYOUT</t>
  </si>
  <si>
    <t xml:space="preserve">       01  W500-DATA2                PIC X(10).</t>
  </si>
  <si>
    <t xml:space="preserve">       01  AUX-LEN                  PIC S9(04)  COMP VALUE +0.</t>
  </si>
  <si>
    <t xml:space="preserve">       01  W400-AUXILIARES.                                             </t>
  </si>
  <si>
    <t xml:space="preserve">         03  FILLER                   PIC X(12)  VALUE '02 fevereiro'.</t>
  </si>
  <si>
    <t xml:space="preserve">       01  REF-CODBAR-NSEQ-DOC    PIC 9(7)       VALUE ZEROS.</t>
  </si>
  <si>
    <t xml:space="preserve">       01  FILLER REDEFINES W500-DATA2.</t>
  </si>
  <si>
    <t xml:space="preserve">       01  RR-CODBAR-VALORES.</t>
  </si>
  <si>
    <t xml:space="preserve">         03  FILLER                   PIC X(12)  VALUE '03 março    '.</t>
  </si>
  <si>
    <t>PJG#1**01  WS-PERDA-TOTAL           PIC X(01) VALUE SPACES.</t>
  </si>
  <si>
    <t xml:space="preserve">          02 WAUX-TSANO           PIC 9(04).</t>
  </si>
  <si>
    <t>PJG#4  01 W100-SYSTEM-SWITCHES.</t>
  </si>
  <si>
    <t xml:space="preserve">          03  W500-DT2-DIA           PIC X(02).</t>
  </si>
  <si>
    <t xml:space="preserve">           03  CC-CODBAR-NSEQ-DOC   PIC 9(07) VALUE ZEROS.</t>
  </si>
  <si>
    <t xml:space="preserve">         03  W400-QZOLEN                 PIC S9(04) COMP  VALUE +0.     </t>
  </si>
  <si>
    <t xml:space="preserve">         03  FILLER                   PIC X(12)  VALUE '04 abril    '.</t>
  </si>
  <si>
    <t xml:space="preserve">       01  AUX-LEN                  PIC S9(04) COMP VALUE +0.</t>
  </si>
  <si>
    <t xml:space="preserve">          02                      PIC X(01)  VALUE SPACE.</t>
  </si>
  <si>
    <t xml:space="preserve">       01  W400-VALOR-DIVIDA.</t>
  </si>
  <si>
    <t>PJG#4     02 W100-LAYOUT                 PIC X(01)  VALUE SPACES.</t>
  </si>
  <si>
    <t xml:space="preserve">          03  W500-DT2-TRACO1        PIC X.</t>
  </si>
  <si>
    <t xml:space="preserve">           03  CC-CODBAR-NLIN-DOC   PIC 9(07) VALUE ZEROS.</t>
  </si>
  <si>
    <t xml:space="preserve">         03  W400-AUXLEN                 PIC S9(04) COMP  VALUE +0.     </t>
  </si>
  <si>
    <t xml:space="preserve">         03  FILLER                   PIC X(12)  VALUE '05 maio     '.</t>
  </si>
  <si>
    <t xml:space="preserve">          02 WAUX-TSHH            PIC 9(02).</t>
  </si>
  <si>
    <t xml:space="preserve">           05 FILLER                PIC X(17) VALUE 'Valor em dívida: '.</t>
  </si>
  <si>
    <t>PJG#4        88 W100-TRATA-LAYOUT                   VALUE 'Y'.</t>
  </si>
  <si>
    <t xml:space="preserve">          03  W500-DT2-MES           PIC X(02).</t>
  </si>
  <si>
    <t xml:space="preserve">         03  W400-DATA-CALC              PIC 9(08).</t>
  </si>
  <si>
    <t xml:space="preserve">         03  FILLER                   PIC X(12)  VALUE '06 junho    '.</t>
  </si>
  <si>
    <t xml:space="preserve">          02                      PIC X(01)  VALUE ':'.</t>
  </si>
  <si>
    <t xml:space="preserve">           05 W400-VALOR-DIV        PIC ----.---.--9,99.</t>
  </si>
  <si>
    <t>PJG#4        88 W100-NO-LAYOUT                      VALUE 'N'.</t>
  </si>
  <si>
    <t xml:space="preserve">          03  W500-DT2-TRACO2        PIC X.</t>
  </si>
  <si>
    <t xml:space="preserve">         03  W400-RESULT-DATA            PIC 9(08).</t>
  </si>
  <si>
    <t xml:space="preserve">         03  W400-TRATA-COMP-MARCA       PIC X(06)  VALUE SPACES.       </t>
  </si>
  <si>
    <t xml:space="preserve">         03  FILLER                   PIC X(12)  VALUE '07 julho    '.</t>
  </si>
  <si>
    <t xml:space="preserve">          02 WAUX-TSMM            PIC 9(02).</t>
  </si>
  <si>
    <t xml:space="preserve">           05 FILLER                PIC X        VALUE SPACES.</t>
  </si>
  <si>
    <t>PJG#4     02 W100-FICHEIRO               PIC X(01)  VALUE SPACES.</t>
  </si>
  <si>
    <t xml:space="preserve">          03  W500-DT2-ANO           PIC X(04).</t>
  </si>
  <si>
    <t xml:space="preserve">           03  WCODBAR-COD-POSTALC1       PIC X(04).</t>
  </si>
  <si>
    <t xml:space="preserve">         03  W400-TOT-AMOUNT-EUR         PIC S9(11)V9(02).              </t>
  </si>
  <si>
    <t xml:space="preserve">         03  FILLER                   PIC X(12)  VALUE '08 agosto   '.</t>
  </si>
  <si>
    <t xml:space="preserve">           05 W400-VALOR-DIV-EURO PIC X.</t>
  </si>
  <si>
    <t>PJG#4        88 W100-TRATA-FICH                     VALUE 'Y'.</t>
  </si>
  <si>
    <t xml:space="preserve">           03  WCODBAR-COD-POSTALC2       PIC X(03).</t>
  </si>
  <si>
    <t xml:space="preserve">         03  W400-NCD-PERCENT            PIC S9(03)V9(02).</t>
  </si>
  <si>
    <t xml:space="preserve">         03  FILLER                   PIC X(12)  VALUE '09 setembro '.</t>
  </si>
  <si>
    <t xml:space="preserve">           03  CC-CODBAR-NPAG-DOC   PIC 9(07) VALUE ZEROS.</t>
  </si>
  <si>
    <t xml:space="preserve">          02 WAUX-TSSS            PIC 9(02).</t>
  </si>
  <si>
    <t>PJG#4        88 W100-NO-FICH                        VALUE 'N'.</t>
  </si>
  <si>
    <t xml:space="preserve">         03  W400-TRAN-AMOUNT            PIC S9(11)V9(02).</t>
  </si>
  <si>
    <t xml:space="preserve">         03  W400-IND                    PIC 9(02)  VALUE 0.            </t>
  </si>
  <si>
    <t xml:space="preserve">         03  FILLER                   PIC X(12)  VALUE '10 outubro  '.</t>
  </si>
  <si>
    <t xml:space="preserve">           03  CC-CODBAR-NPAG1-DOC  PIC 9(07) VALUE ZEROS.</t>
  </si>
  <si>
    <t xml:space="preserve">       ...</t>
  </si>
  <si>
    <t xml:space="preserve">         03  FILLER                   PIC X(12)  VALUE '11 novembro '.</t>
  </si>
  <si>
    <t xml:space="preserve">       01  TABELA-MESES.</t>
  </si>
  <si>
    <t xml:space="preserve">         03  FILLER                   PIC X(12)  VALUE '01 Janeiro  '.</t>
  </si>
  <si>
    <t xml:space="preserve">         03  W400-OCCUR-DATE             PIC 99/99/9999.</t>
  </si>
  <si>
    <t xml:space="preserve">         03  FILLER                   PIC X(12)  VALUE '12 dezembro '.</t>
  </si>
  <si>
    <t>PJG#1**01  WS-FORMATA-DATA.</t>
  </si>
  <si>
    <t xml:space="preserve">       01  WS-FORMATA-DATA.</t>
  </si>
  <si>
    <t xml:space="preserve">           03  FILLER            PIC X(12) VALUE '01 Janeiro  '.</t>
  </si>
  <si>
    <t xml:space="preserve">         03  FILLER                   PIC X(12)  VALUE '02 Fevereiro'.</t>
  </si>
  <si>
    <t xml:space="preserve">      *  OUTRAS VARIAVEIS</t>
  </si>
  <si>
    <t xml:space="preserve">       01 W400-PROCESS-MOUNTH        PIC X(09).</t>
  </si>
  <si>
    <t xml:space="preserve">       01  W400-LOCAL-VARIABLES.                                        </t>
  </si>
  <si>
    <t xml:space="preserve">       01  FILLER  REDEFINES  W400-MOUNTH-TABLE.</t>
  </si>
  <si>
    <t>PJG#1**    03  WS-FORMATA-DIA              PIC X(02).</t>
  </si>
  <si>
    <t xml:space="preserve">           03  WS-FORMATA-DIA              PIC X(02).</t>
  </si>
  <si>
    <t xml:space="preserve">           03  FILLER            PIC X(12) VALUE '02 Fevereiro'.</t>
  </si>
  <si>
    <t xml:space="preserve">         03  FILLER                   PIC X(12)  VALUE '03 Março    '.</t>
  </si>
  <si>
    <t xml:space="preserve">       01 W400-PROCESS-MOUNTH1       PIC X(09).</t>
  </si>
  <si>
    <t xml:space="preserve">         03  W400-VEH-REG-NR             PIC X(25).</t>
  </si>
  <si>
    <t xml:space="preserve">         03  W400-TRATA-COMP-MARCA       PIC X(06)  VALUE SPACES.</t>
  </si>
  <si>
    <t xml:space="preserve">         03  W400-ENTRANCE OCCURS 12 TIMES</t>
  </si>
  <si>
    <t>PJG#1**    03  WS-BARRA1                   PIC X(01).</t>
  </si>
  <si>
    <t xml:space="preserve">           03  WS-BARRA1                   PIC X(01).</t>
  </si>
  <si>
    <t xml:space="preserve">           03  FILLER            PIC X(12) VALUE '03 Março    '.</t>
  </si>
  <si>
    <t xml:space="preserve">         03  FILLER                   PIC X(12)  VALUE '04 Abril    '.</t>
  </si>
  <si>
    <t xml:space="preserve">         03  W400-CODBAR                 PIC X(200).                    </t>
  </si>
  <si>
    <t xml:space="preserve">                           ASCENDING KEY IS W400-NUM-MOUNTH</t>
  </si>
  <si>
    <t>PJG#1**    03  WS-FORMATA-MES              PIC X(02).</t>
  </si>
  <si>
    <t xml:space="preserve">           03  WS-FORMATA-MES              PIC X(02).</t>
  </si>
  <si>
    <t xml:space="preserve">           03  FILLER            PIC X(12) VALUE '04 Abril    '.</t>
  </si>
  <si>
    <t xml:space="preserve">         03  FILLER                   PIC X(12)  VALUE '05 Maio     '.</t>
  </si>
  <si>
    <t>PJG#2    02 WAUX-MHS                    PIC X(01)  VALUE SPACES.</t>
  </si>
  <si>
    <t xml:space="preserve">       01 REF-NOME-O-LAYOUT          PIC X(10).</t>
  </si>
  <si>
    <t xml:space="preserve">         03  W400-TOT-AMOUNT-EUR         PIC X(14).</t>
  </si>
  <si>
    <t xml:space="preserve">         03  W400-IND                    PIC 9(02)  VALUE 0.</t>
  </si>
  <si>
    <t xml:space="preserve">                           INDEXED BY INDICE.</t>
  </si>
  <si>
    <t>PJG#1**    03  WS-BARRA2                   PIC X(01).</t>
  </si>
  <si>
    <t xml:space="preserve">           03  WS-BARRA2                   PIC X(01).</t>
  </si>
  <si>
    <t xml:space="preserve">           03  FILLER            PIC X(12) VALUE '05 Maio     '.</t>
  </si>
  <si>
    <t xml:space="preserve">         03  FILLER                   PIC X(12)  VALUE '06 Junho    '.</t>
  </si>
  <si>
    <t>PJG#3    02 WAUX-C-TIPO-CTAD            PIC X(01)  VALUE SPACES.</t>
  </si>
  <si>
    <t xml:space="preserve">       01  W500-TABELA-MESES.</t>
  </si>
  <si>
    <t>PJG#1**    03  W500-GUARDA-APOLICE  PIC X(16)        VALUE SPACES.</t>
  </si>
  <si>
    <t xml:space="preserve">         03  W400-TOT-DIV-EUR            PIC ZZZ.ZZZ.ZZ9,99.</t>
  </si>
  <si>
    <t xml:space="preserve">         03  W400-T                      PIC 9(03)  VALUE 0.</t>
  </si>
  <si>
    <t xml:space="preserve">         03  W400-DATA-CALC              PIC 9(08).                     </t>
  </si>
  <si>
    <t xml:space="preserve">           05  W400-NUM-MOUNTH        PIC 9(02).</t>
  </si>
  <si>
    <t>PJG#1**    03  WS-FORMATA-ANO              PIC X(04).</t>
  </si>
  <si>
    <t xml:space="preserve">           03  WS-FORMATA-ANO              PIC X(04).</t>
  </si>
  <si>
    <t xml:space="preserve">           03  FILLER            PIC X(12) VALUE '06 Junho    '.</t>
  </si>
  <si>
    <t xml:space="preserve">         03  FILLER                   PIC X(12)  VALUE '07 Julho    '.</t>
  </si>
  <si>
    <t xml:space="preserve">         02 WAUX-TEM-AGENTE             PIC X(01)  VALUE SPACE.</t>
  </si>
  <si>
    <t xml:space="preserve">       01 W400-DT-INICIO.</t>
  </si>
  <si>
    <t xml:space="preserve">         03  W400-FLD                    PIC 9(02)  VALUE 0.</t>
  </si>
  <si>
    <t xml:space="preserve">         03  W400-RESULT-DATA            PIC 9(08).                     </t>
  </si>
  <si>
    <t xml:space="preserve">           05  FILLER                 PIC X(01).</t>
  </si>
  <si>
    <t xml:space="preserve">       01  WAUX-TIMESTAMP          PIC X(14)          VALUE SPACES.</t>
  </si>
  <si>
    <t xml:space="preserve">           03  FILLER            PIC X(12) VALUE '07 Julho    '.</t>
  </si>
  <si>
    <t xml:space="preserve">         03  FILLER                   PIC X(12)  VALUE '08 Agosto   '.</t>
  </si>
  <si>
    <t xml:space="preserve">         02 WAUX-TEM-LISTA              PIC X(01)  VALUE SPACE.</t>
  </si>
  <si>
    <t xml:space="preserve">           03  W400-INICIO-DIA             PIC X(04).</t>
  </si>
  <si>
    <t xml:space="preserve">         03  W400-IND                    PIC S9(02) COMP  VALUE ZEROS.</t>
  </si>
  <si>
    <t xml:space="preserve">         03  W400-UAR-DETAIL             PIC X(65)  VALUE SPACES.</t>
  </si>
  <si>
    <t xml:space="preserve">           05  W400-DESCRIPTION       PIC X(09).</t>
  </si>
  <si>
    <t xml:space="preserve">       01  WAUX-DATA-TIMESTAMP.</t>
  </si>
  <si>
    <t xml:space="preserve">           03  FILLER            PIC X(12) VALUE '08 Agosto   '.</t>
  </si>
  <si>
    <t xml:space="preserve">         03  FILLER                   PIC X(12)  VALUE '09 Setembro '.</t>
  </si>
  <si>
    <t xml:space="preserve">         02 WAUX-FAZ-CARTA-AGENTE       PIC X(01)  VALUE SPACE.</t>
  </si>
  <si>
    <t xml:space="preserve">       01  PARAMETROS-AUXILIARES.</t>
  </si>
  <si>
    <t xml:space="preserve">           03  FILLER                      PIC X VALUE '-'.</t>
  </si>
  <si>
    <t xml:space="preserve">         03  W400-MOUNTH                 PIC 9(02).                     </t>
  </si>
  <si>
    <t xml:space="preserve">           02 WAUX-TSDIA           PIC 9(02).</t>
  </si>
  <si>
    <t xml:space="preserve">           03  FILLER            PIC X(12) VALUE '09 Setembro '.</t>
  </si>
  <si>
    <t xml:space="preserve">         03  FILLER                   PIC X(12)  VALUE '10 Outubro  '.</t>
  </si>
  <si>
    <t xml:space="preserve">         02 WAUX-GUARDA-CPOSTALM        PIC X(07)  VALUE SPACES.</t>
  </si>
  <si>
    <t xml:space="preserve">           03  W500-VEHICLE-MAKE     PIC X(60) VALUE SPACES.</t>
  </si>
  <si>
    <t xml:space="preserve">           03  W400-INICIO-MES             PIC X(02).</t>
  </si>
  <si>
    <t xml:space="preserve">         03  W400-MOUNTH-DESC            PIC X(09).                     </t>
  </si>
  <si>
    <t xml:space="preserve">       01 W400-PREM-AMOUNT               PIC S9(11)V99 VALUE ZEROS.     0009</t>
  </si>
  <si>
    <t xml:space="preserve">           02                      PIC X(01)  VALUE '/'.</t>
  </si>
  <si>
    <t xml:space="preserve">           03  FILLER            PIC X(12) VALUE '10 Outubro  '.</t>
  </si>
  <si>
    <t xml:space="preserve">         03  FILLER                   PIC X(12)  VALUE '11 Novembro '.</t>
  </si>
  <si>
    <t xml:space="preserve">         02 WAUX-GUARDA-REGIME          PIC X(01)  VALUE SPACE.</t>
  </si>
  <si>
    <t xml:space="preserve">           03  W500-VEHICLE-MODEL    PIC X(10) VALUE SPACES.</t>
  </si>
  <si>
    <t xml:space="preserve">       01 W400-INTEREST-AMOUNT           PIC S9(13)V99 VALUE ZEROS.     00000210</t>
  </si>
  <si>
    <t xml:space="preserve">           02 WAUX-TSMES           PIC 9(02).</t>
  </si>
  <si>
    <t xml:space="preserve">           03  FILLER            PIC X(12) VALUE '11 Novembro '.</t>
  </si>
  <si>
    <t xml:space="preserve">         03  FILLER                   PIC X(12)  VALUE '12 Dezembro '.</t>
  </si>
  <si>
    <t xml:space="preserve">         02 WAUX-GUARDA-TIPOREC         PIC X(02)  VALUE SPACES.</t>
  </si>
  <si>
    <t xml:space="preserve">           03  W500-VEHICLE-EXTRA    PIC X(25) VALUE SPACES.</t>
  </si>
  <si>
    <t xml:space="preserve">           03  W400-INICIO-ANO             PIC X(04).</t>
  </si>
  <si>
    <t xml:space="preserve">      *** TABELA COM DESCRITIVOS DOS MESES ***</t>
  </si>
  <si>
    <t xml:space="preserve">         03  W400-START-DATE             PIC X(11).                     </t>
  </si>
  <si>
    <t xml:space="preserve">       01 W400-TOTAL-NOTICE              PIC S9(13)V99 VALUE ZEROS.     00000211</t>
  </si>
  <si>
    <t xml:space="preserve">           03  FILLER            PIC X(12) VALUE '12 Dezembro '.</t>
  </si>
  <si>
    <t xml:space="preserve">         02 S                           PIC 9(02)  VALUE ZEROS.</t>
  </si>
  <si>
    <t xml:space="preserve">           03  W500-DESCRIPTION      PIC X(65) VALUE SPACES.</t>
  </si>
  <si>
    <t xml:space="preserve">         03  W400-END-DATE               PIC X(11).                     </t>
  </si>
  <si>
    <t xml:space="preserve">       01 W400-PEN-AMOUNT                PIC S9(13)V99 VALUE ZEROS.     00000211</t>
  </si>
  <si>
    <t xml:space="preserve">           02 WAUX-TSANO           PIC 9(04).</t>
  </si>
  <si>
    <t xml:space="preserve">       01  FILLER REDEFINES TABELA-MESES.</t>
  </si>
  <si>
    <t xml:space="preserve">         02 T                           PIC 9(02)  VALUE ZEROS.</t>
  </si>
  <si>
    <t xml:space="preserve">       01 W400-DT-FIM.</t>
  </si>
  <si>
    <t xml:space="preserve">         03  FILLER                      PIC X(12) VALUE '01 janeiro  '.</t>
  </si>
  <si>
    <t xml:space="preserve">         03  W400-EFFECTIVE-DATE         PIC X(11).                     </t>
  </si>
  <si>
    <t xml:space="preserve">           02                      PIC X(01)  VALUE SPACE.</t>
  </si>
  <si>
    <t xml:space="preserve">           03  TAB-ENTRADA   OCCURS 12 TIMES</t>
  </si>
  <si>
    <t xml:space="preserve">         02 LL                          PIC S9(4)  COMP VALUE +0.</t>
  </si>
  <si>
    <t xml:space="preserve">       01  W500-RESULT-DATA          PIC 9(08) VALUE ZEROS.</t>
  </si>
  <si>
    <t xml:space="preserve">           03  W400-FIM-DIA                PIC X(02).</t>
  </si>
  <si>
    <t xml:space="preserve">         03  FILLER                      PIC X(12) VALUE '02 fevereiro'.</t>
  </si>
  <si>
    <t xml:space="preserve">         03  W400-CANCEL-DATE            PIC X(11).                     </t>
  </si>
  <si>
    <t xml:space="preserve">       01  W400-TIMESTAMP.</t>
  </si>
  <si>
    <t xml:space="preserve">           02 WAUX-TSHH            PIC 9(02).</t>
  </si>
  <si>
    <t xml:space="preserve">                             ASCENDING KEY IS TAB-MES</t>
  </si>
  <si>
    <t xml:space="preserve">         02 GL                          PIC S9(4)  COMP VALUE +0.</t>
  </si>
  <si>
    <t xml:space="preserve">       01  W500-CALCULA-DIA          PIC 9(08) VALUE ZEROS.</t>
  </si>
  <si>
    <t xml:space="preserve">         03  FILLER                      PIC X(12) VALUE '03 março    '.</t>
  </si>
  <si>
    <t xml:space="preserve">         03  W400-MOUNTH                 PIC 9(02).</t>
  </si>
  <si>
    <t xml:space="preserve">         03  W400-AUX-CANCEL-DATE        PIC X(11).                     </t>
  </si>
  <si>
    <t xml:space="preserve">           05  W400-TSDIA             PIC 9(02).</t>
  </si>
  <si>
    <t xml:space="preserve">           02                      PIC X(01)  VALUE ':'.</t>
  </si>
  <si>
    <t xml:space="preserve">                             INDEXED BY INDICE.</t>
  </si>
  <si>
    <t xml:space="preserve">         02 XX                          PIC 9(03)  VALUE 0.</t>
  </si>
  <si>
    <t xml:space="preserve">           03  W400-FIM-MES                PIC X(02).</t>
  </si>
  <si>
    <t xml:space="preserve">         03  FILLER                      PIC X(12) VALUE '04 abril    '.</t>
  </si>
  <si>
    <t xml:space="preserve">         03  W400-MOUNTH-DESC            PIC X(09).</t>
  </si>
  <si>
    <t xml:space="preserve">         03  W400-EXPIRY-DATE            PIC X(11).                     </t>
  </si>
  <si>
    <t xml:space="preserve">           05                         PIC X(01)  VALUE '/'.</t>
  </si>
  <si>
    <t xml:space="preserve">           02 WAUX-TSMM            PIC 9(02).</t>
  </si>
  <si>
    <t xml:space="preserve">               05 TAB-MES                      PIC 99.</t>
  </si>
  <si>
    <t>PJG#1**01  W500-DIA                  PIC 99 VALUE ZEROS.</t>
  </si>
  <si>
    <t xml:space="preserve">         03  FILLER                      PIC X(12) VALUE '05 maio     '.</t>
  </si>
  <si>
    <t xml:space="preserve">           05  W400-TSMES             PIC 9(02).</t>
  </si>
  <si>
    <t xml:space="preserve">               05 FILLER                       PIC X.</t>
  </si>
  <si>
    <t>PJG#3  01  WAUX-DATA-CALC               PIC 9(08).</t>
  </si>
  <si>
    <t xml:space="preserve">       01  FILLER REDEFINES W500-TABELA-MESES.</t>
  </si>
  <si>
    <t xml:space="preserve">           03  W400-FIM-ANO                PIC X(04).</t>
  </si>
  <si>
    <t xml:space="preserve">         03  FILLER                      PIC X(12) VALUE '06 junho    '.</t>
  </si>
  <si>
    <t xml:space="preserve">         03  W400-START-DATE             PIC X(11).</t>
  </si>
  <si>
    <t xml:space="preserve">         03  W400-TOT-DIV-EUR            PIC ZZZ.ZZZ.ZZ9,99.            </t>
  </si>
  <si>
    <t xml:space="preserve">           02 WAUX-TSSS            PIC 9(02).</t>
  </si>
  <si>
    <t xml:space="preserve">               05 TAB-DESCRITIVO               PIC X(09).</t>
  </si>
  <si>
    <t>PJG#3  01  WAUX-RESULT-DATA             PIC 9(08).</t>
  </si>
  <si>
    <t xml:space="preserve">           03  W500-ENTRADA  OCCURS 12 TIMES</t>
  </si>
  <si>
    <t xml:space="preserve">         03  FILLER                      PIC X(12) VALUE '07 julho    '.</t>
  </si>
  <si>
    <t xml:space="preserve">         03  W400-END-DATE               PIC X(11).</t>
  </si>
  <si>
    <t xml:space="preserve">         03  W400-PENALTY-PERIOD         PIC X(25).                     </t>
  </si>
  <si>
    <t xml:space="preserve">           05  W400-TSANO             PIC 9(04).</t>
  </si>
  <si>
    <t>PJG#1**</t>
  </si>
  <si>
    <t>#13    01  WAUX-IBAN                    PIC X(34)  VALUE SPACES.</t>
  </si>
  <si>
    <t xml:space="preserve">                             ASCENDING KEY IS W500-MES</t>
  </si>
  <si>
    <t xml:space="preserve">         03  FILLER                      PIC X(12) VALUE '08 agosto   '.</t>
  </si>
  <si>
    <t xml:space="preserve">           05                         PIC X(01)  VALUE SPACE.</t>
  </si>
  <si>
    <t>PJG#1**01 W400-PROCESS-DATE.</t>
  </si>
  <si>
    <t xml:space="preserve">       01 W400-PROCESS-DATE.</t>
  </si>
  <si>
    <t>PJG#1**01  WAUX-DADOS-GUIA-CTT.</t>
  </si>
  <si>
    <t xml:space="preserve">       01  W400-TEXT-BENEFIC.</t>
  </si>
  <si>
    <t>#13    01  WAUX-SWIFT                   PIC X(11)  VALUE SPACES.</t>
  </si>
  <si>
    <t xml:space="preserve">         03  FILLER                      PIC X(12) VALUE '09 setembro '.</t>
  </si>
  <si>
    <t xml:space="preserve">           05  W400-TSHH              PIC 9(02).</t>
  </si>
  <si>
    <t>PJG#1**    03  W400-DATE-YEAR              PIC X(04).</t>
  </si>
  <si>
    <t xml:space="preserve">           03  W400-DATE-YEAR              PIC X(04).</t>
  </si>
  <si>
    <t>PJG#1**    03 WAUX-X012-O-MARCA                PIC X(002).</t>
  </si>
  <si>
    <t xml:space="preserve">           05 FILLER PIC X(98)  VALUE 'Dado ao seu interesse no contrato</t>
  </si>
  <si>
    <t>#13    01  W800-IBAN                    PIC X(34)  VALUE SPACES.</t>
  </si>
  <si>
    <t xml:space="preserve">               05 W500-MES                     PIC 99.</t>
  </si>
  <si>
    <t xml:space="preserve">         03  FILLER                      PIC X(12) VALUE '10 outubro  '.</t>
  </si>
  <si>
    <t xml:space="preserve">       01  W400-PRINT-INVOICE.</t>
  </si>
  <si>
    <t xml:space="preserve">      *** TABELA COM DESCRITIVOS DOS MESES ***                          </t>
  </si>
  <si>
    <t xml:space="preserve">           05                         PIC X(01)  VALUE ':'.</t>
  </si>
  <si>
    <t>PJG#1**    03  W400-DATE-MONTH             PIC X(02).</t>
  </si>
  <si>
    <t xml:space="preserve">           03  W400-DATE-MONTH             PIC X(02).</t>
  </si>
  <si>
    <t>PJG#1**    03 WAUX-X012-O-NOME                 PIC X(040).</t>
  </si>
  <si>
    <t xml:space="preserve">      -                               ' informaremos igualmente o Benefi</t>
  </si>
  <si>
    <t>#13    01  W800-SWIFT                   PIC X(11)  VALUE SPACES.</t>
  </si>
  <si>
    <t xml:space="preserve">         03  FILLER                      PIC X(12) VALUE '11 novembro '.</t>
  </si>
  <si>
    <t xml:space="preserve">         03  W400-INVOICE  OCCURS 192 TIMES.</t>
  </si>
  <si>
    <t xml:space="preserve">       01  W400-MOUNTH-TABLE.                                           </t>
  </si>
  <si>
    <t xml:space="preserve">           05  W400-TSMM              PIC 9(02).</t>
  </si>
  <si>
    <t>PJG#1**    03  W400-DATE-DAY               PIC X(02).</t>
  </si>
  <si>
    <t xml:space="preserve">           03  W400-DATE-DAY               PIC X(02).</t>
  </si>
  <si>
    <t>PJG#1**    03 WAUX-X012-O-MORADA1              PIC X(040).</t>
  </si>
  <si>
    <t xml:space="preserve">      -                              'ciário Aceitante acima indicado.'.</t>
  </si>
  <si>
    <t xml:space="preserve">               05 W500-DESCRITIVO              PIC X(09).</t>
  </si>
  <si>
    <t xml:space="preserve">         03  FILLER                      PIC X(12) VALUE '12 dezembro '.</t>
  </si>
  <si>
    <t xml:space="preserve">           05  W400-INVOICE-NR           PIC X(10).</t>
  </si>
  <si>
    <t>PJG#1**    03 WAUX-X012-O-MORADA2              PIC X(040).</t>
  </si>
  <si>
    <t xml:space="preserve">       01 WAUX-NSEQ-DOC                 PIC S9(07)  COMP-3 VALUE ZERO.</t>
  </si>
  <si>
    <t xml:space="preserve">       01  PYOXAU03-COMM.</t>
  </si>
  <si>
    <t xml:space="preserve">           05  W400-DATA-INI-FIM         PIC X(25).</t>
  </si>
  <si>
    <t xml:space="preserve">           05  W400-TSSS              PIC 9(02).</t>
  </si>
  <si>
    <t>PJG#1**    03 WAUX-X012-O-MORADA3              PIC X(040).</t>
  </si>
  <si>
    <t xml:space="preserve">       01 WAUX-REG-LIDOS-ENTI           PIC 9(10)  VALUE ZEROS.</t>
  </si>
  <si>
    <t xml:space="preserve">       01 W400-AREA-INPUT.</t>
  </si>
  <si>
    <t xml:space="preserve">           05  FSPYOXAU03         PIC XX         VALUE SPACES.</t>
  </si>
  <si>
    <t xml:space="preserve">           05  W400-INVOICE-VLR          PIC S9(13)V9(02)  VALUE ZEROS.</t>
  </si>
  <si>
    <t>PJG#1**    03 WAUX-X012-O-MORADA4              PIC X(040).</t>
  </si>
  <si>
    <t xml:space="preserve">       01 WAUX-REG-GRAVS-ENTI           PIC 9(10)  VALUE ZEROS.</t>
  </si>
  <si>
    <t xml:space="preserve">          COPY BGOW9001.</t>
  </si>
  <si>
    <t xml:space="preserve">           05  FONTE              PIC X(6).</t>
  </si>
  <si>
    <t xml:space="preserve">                           ASCENDING KEY IS W400-NR-MOUNTH</t>
  </si>
  <si>
    <t>PJG#1**    03 WAUX-X012-O-CPOSTAL              PIC X(008).</t>
  </si>
  <si>
    <t xml:space="preserve">       01 WAUX-REG-LIDOS-CHIP           PIC 9(10)  VALUE ZEROS.</t>
  </si>
  <si>
    <t xml:space="preserve">           05  LINOUT-LEN         PIC 9(5)       VALUE  0.</t>
  </si>
  <si>
    <t xml:space="preserve">                           INDEXED BY INDEX0.</t>
  </si>
  <si>
    <t>PJG#1**    03 WAUX-X012-O-REGISTO-CTT          PIC X(017).</t>
  </si>
  <si>
    <t xml:space="preserve">       01 WAUX-REG-GRAVS-CHIP           PIC 9(10)  VALUE ZEROS.</t>
  </si>
  <si>
    <t xml:space="preserve">       01 W400-AREA-OUTPUT.</t>
  </si>
  <si>
    <t xml:space="preserve">           05  LINOUT             PIC X(500).</t>
  </si>
  <si>
    <t xml:space="preserve">           05  W400-NR-MOUNTH            PIC 9(02).</t>
  </si>
  <si>
    <t xml:space="preserve">      *  W500-VARIAVEIS                                             *</t>
  </si>
  <si>
    <t>PJG#1**    03 WAUX-X012-O-NUMERO-CTT           PIC X(013).</t>
  </si>
  <si>
    <t xml:space="preserve">       01 WAUX-REG-LIDOS-CTAD           PIC 9(10)  VALUE ZEROS.</t>
  </si>
  <si>
    <t xml:space="preserve">          COPY BGOW0013   REPLACING  ==:PREFIX:== BY ==RU==.</t>
  </si>
  <si>
    <t xml:space="preserve">           05  LININ-LEN          PIC 9(5)       VALUE  0.</t>
  </si>
  <si>
    <t xml:space="preserve">           05  FILLER                    PIC X(01).</t>
  </si>
  <si>
    <t>PJG#1**    03 WAUX-X012-O-APOLICE              PIC X(016).</t>
  </si>
  <si>
    <t xml:space="preserve">       01 WAUX-REG-GRAVS-CTAD           PIC 9(10)  VALUE ZEROS.</t>
  </si>
  <si>
    <t xml:space="preserve">           05  LININ              PIC X(2560).</t>
  </si>
  <si>
    <t xml:space="preserve">           05  W400-DESCRIPTION          PIC X(09).</t>
  </si>
  <si>
    <t xml:space="preserve">           05  LININ              PIC X(1280).</t>
  </si>
  <si>
    <t>PJG#1**    03 WAUX-X012-O-MEDIADOR             PIC X(010).</t>
  </si>
  <si>
    <t xml:space="preserve">       01 WAUX-LOCAL-VARIABLES.</t>
  </si>
  <si>
    <t xml:space="preserve">         03  W500-MODULO                 PIC X(10)  VALUE SPACES.</t>
  </si>
  <si>
    <t xml:space="preserve">          02 WAUX-NOTICE-TYPE           PIC X(01).</t>
  </si>
  <si>
    <t xml:space="preserve">         03  W500-COMP-CODE              PIC S9(4) COMP  VALUE +255.</t>
  </si>
  <si>
    <t>PJG#1**01 FLAG-LX002BNGIS3           PIC 9 VALUE ZEROS.</t>
  </si>
  <si>
    <t xml:space="preserve">       01  PYOXAU09-COMM.</t>
  </si>
  <si>
    <t xml:space="preserve">             88 WAUX-NEW                VALUE 'N'.</t>
  </si>
  <si>
    <t>PJG#1 *** COPYBOOK DO PARM ***</t>
  </si>
  <si>
    <t xml:space="preserve">           03  FILLER            PIC X(12) VALUE '01 janeiro  '.</t>
  </si>
  <si>
    <t xml:space="preserve">      *** TABELA COM DESCRITIVOS DOS PRODUTOS MAQUINAS ***</t>
  </si>
  <si>
    <t>PJG#1**01 FLAG-F071BGCPOB            PIC 9 VALUE ZEROS.</t>
  </si>
  <si>
    <t xml:space="preserve">       PROCEDURE DIVISION.</t>
  </si>
  <si>
    <t xml:space="preserve">           COPY BGOW0031.</t>
  </si>
  <si>
    <t xml:space="preserve">             88 WAUX-CON                VALUE 'C'.</t>
  </si>
  <si>
    <t>PJG#1      COPY BGOW0017.</t>
  </si>
  <si>
    <t xml:space="preserve">           03  FILLER            PIC X(12) VALUE '02 fevereiro'.</t>
  </si>
  <si>
    <t xml:space="preserve">       01  W400-TAB-PRODUTO.</t>
  </si>
  <si>
    <t xml:space="preserve">         03  W500-REG-LIDOS              PIC 9(10)  VALUE ZEROS.</t>
  </si>
  <si>
    <t>PJG#1**01 FLAG-F071BNTXT             PIC 9 VALUE ZEROS.</t>
  </si>
  <si>
    <t xml:space="preserve">          02 WAUX-POLICY                PIC X(10).</t>
  </si>
  <si>
    <t xml:space="preserve">           03  FILLER            PIC X(12) VALUE '03 março    '.</t>
  </si>
  <si>
    <t xml:space="preserve">         03  FILLER                      PIC X(50) VALUE</t>
  </si>
  <si>
    <t xml:space="preserve">       01  FILLER  REDEFINES  W400-MOUNTH-TABLE.                        </t>
  </si>
  <si>
    <t xml:space="preserve">         03  W500-REG-ESCRI              PIC 9(10)  VALUE ZEROS.</t>
  </si>
  <si>
    <t>PJG#1**01 FLAG-F071BNEXT1            PIC 9 VALUE ZEROS.</t>
  </si>
  <si>
    <t xml:space="preserve">          02 WAUX-PRODUCT-DESC          PIC X(30).</t>
  </si>
  <si>
    <t xml:space="preserve">           03  FILLER            PIC X(12) VALUE '04 abril    '.</t>
  </si>
  <si>
    <t xml:space="preserve">                   'AVMAQ Avaria de Máquinas'.</t>
  </si>
  <si>
    <t xml:space="preserve">         03  W400-ENTRANCE OCCURS 12 TIMES                              </t>
  </si>
  <si>
    <t>PJG#1**01 FLAG-F071GHCOSG            PIC 9 VALUE ZEROS.</t>
  </si>
  <si>
    <t xml:space="preserve">           PERFORM P1000-INICIO    THRU P1000-INICIO-EX.</t>
  </si>
  <si>
    <t xml:space="preserve">       01  W-AUX-TIMESTAMP.</t>
  </si>
  <si>
    <t xml:space="preserve">          02 WAUX-PROCESS-DAY           PIC 9(02).</t>
  </si>
  <si>
    <t xml:space="preserve">           03  FILLER            PIC X(12) VALUE '05 maio     '.</t>
  </si>
  <si>
    <t xml:space="preserve">                           ASCENDING KEY IS W400-NR-MOUNTH              </t>
  </si>
  <si>
    <t>PJG#1**01 FLAG-F071BNCOB-1           PIC 9 VALUE ZEROS.</t>
  </si>
  <si>
    <t xml:space="preserve">           PERFORM P2000-LEITURA   THRU P2000-LEITURA-EX</t>
  </si>
  <si>
    <t xml:space="preserve">           05  W-AUX-TSDIA            PIC 9(02).</t>
  </si>
  <si>
    <t xml:space="preserve">          02 WAUX-PROCESS-MOUNTH        PIC X(09).</t>
  </si>
  <si>
    <t>PJG#1  LINKAGE SECTION.</t>
  </si>
  <si>
    <t xml:space="preserve">           03  FILLER            PIC X(12) VALUE '06 junho    '.</t>
  </si>
  <si>
    <t xml:space="preserve">                   'BELEA Bens em Regime de Leasing'.</t>
  </si>
  <si>
    <t xml:space="preserve">                           INDEXED BY INDICE.                           </t>
  </si>
  <si>
    <t xml:space="preserve">      *  W600-LITERALS                                              *</t>
  </si>
  <si>
    <t>PJG#1**01 FLAG-F071BNCOB-2           PIC 9 VALUE ZEROS.</t>
  </si>
  <si>
    <t xml:space="preserve">           05  LININ-GIS.</t>
  </si>
  <si>
    <t xml:space="preserve">           PERFORM P3000-PROCESSO  THRU P3000-PROCESSO-EX</t>
  </si>
  <si>
    <t xml:space="preserve">          02 WAUX-PROCESS-YEAR          PIC 9(04).</t>
  </si>
  <si>
    <t>PJG#1  01  LS-AREA.</t>
  </si>
  <si>
    <t xml:space="preserve">           03  FILLER            PIC X(12) VALUE '07 julho    '.</t>
  </si>
  <si>
    <t xml:space="preserve">           05  W400-NR-MOUNTH            PIC 9(02).                     </t>
  </si>
  <si>
    <t>PJG#1**----------------------------------------------------------------*</t>
  </si>
  <si>
    <t xml:space="preserve">               07  LININ          PIC X(294)     OCCURS 5 TIMES.</t>
  </si>
  <si>
    <t xml:space="preserve">             UNTIL FSQZI-EOF.</t>
  </si>
  <si>
    <t xml:space="preserve">           05  W-AUX-TSMES            PIC 9(02).</t>
  </si>
  <si>
    <t xml:space="preserve">          02 WAUX-DESCR-MES             PIC X(09).</t>
  </si>
  <si>
    <t>PJG#1    03  LS-COMPR-INFO               PIC 9(03) COMP.</t>
  </si>
  <si>
    <t xml:space="preserve">       01  W500-DATA4.</t>
  </si>
  <si>
    <t xml:space="preserve">           03  FILLER            PIC X(12) VALUE '08 agosto   '.</t>
  </si>
  <si>
    <t xml:space="preserve">                   'DETER Deterioração de Bens Refrigerados'.</t>
  </si>
  <si>
    <t xml:space="preserve">           05  FILLER                    PIC X(01).                     </t>
  </si>
  <si>
    <t xml:space="preserve">       01  W600-LITERALS.</t>
  </si>
  <si>
    <t xml:space="preserve">       01  WQZCOPY                      PIC X(512)  VALUE SPACES.</t>
  </si>
  <si>
    <t xml:space="preserve">           PERFORM P9000-FIM       THRU P9000-FIM-EX.</t>
  </si>
  <si>
    <t xml:space="preserve">          02 W400-AUX-START-END-DATE.</t>
  </si>
  <si>
    <t>PJG#1    03  LS-INFORMACAO               PIC X(100).</t>
  </si>
  <si>
    <t xml:space="preserve">           03  W500-DIA4                   PIC X(02).</t>
  </si>
  <si>
    <t xml:space="preserve">           03  FILLER            PIC X(12) VALUE '09 setembro '.</t>
  </si>
  <si>
    <t xml:space="preserve">           05  W400-DESCRIPTION          PIC X(09).                     </t>
  </si>
  <si>
    <t xml:space="preserve">         03  W600-LT-THIS-PROG           PIC X(08)  VALUE 'PGOC102'.</t>
  </si>
  <si>
    <t xml:space="preserve">       01  REDEFINES WQZCOPY.</t>
  </si>
  <si>
    <t xml:space="preserve">       01 FLAG-LX009BNGIS3           PIC 9 VALUE ZEROS.</t>
  </si>
  <si>
    <t xml:space="preserve">           05  W-AUX-TSANO            PIC 9(04).</t>
  </si>
  <si>
    <t xml:space="preserve">             10 W400-AUX-START-DATE     PIC X(11).</t>
  </si>
  <si>
    <t xml:space="preserve">           03  W500-MES4                   PIC X(02).</t>
  </si>
  <si>
    <t xml:space="preserve">           03  FILLER            PIC X(12) VALUE '10 outubro  '.</t>
  </si>
  <si>
    <t xml:space="preserve">                   'EQUEL Equipamento Electrónico'.</t>
  </si>
  <si>
    <t xml:space="preserve">           05  WQZCOPY-TPAG-DOC         PIC 9(7).</t>
  </si>
  <si>
    <t xml:space="preserve">       01 FLAG-F071BGCPOB            PIC 9 VALUE ZEROS.</t>
  </si>
  <si>
    <t xml:space="preserve">           DISPLAY '----------------------------------------------'</t>
  </si>
  <si>
    <t xml:space="preserve">             10 W400-AUX-END-DATE       PIC X(11).</t>
  </si>
  <si>
    <t xml:space="preserve">           03  W500-ANO4                   PIC X(04).</t>
  </si>
  <si>
    <t xml:space="preserve">           03  FILLER            PIC X(12) VALUE '11 novembro '.</t>
  </si>
  <si>
    <t xml:space="preserve">      *  W800-OUTPUT-AREA - DEFINICAO DOS REGISTOS DOS FICHEIROS    *</t>
  </si>
  <si>
    <t xml:space="preserve">       01 WPAGTOT                       PIC 9(7)          VALUE ZERO.</t>
  </si>
  <si>
    <t xml:space="preserve">       01 FLAG-F071BNTXT             PIC 9 VALUE ZEROS.</t>
  </si>
  <si>
    <t xml:space="preserve">           DISPLAY 'PGOC043A - Contadores de registos'</t>
  </si>
  <si>
    <t xml:space="preserve">           05  W-AUX-TSHH             PIC 9(02).</t>
  </si>
  <si>
    <t xml:space="preserve">          02 WAUX-VALOR-AMOUNT          PIC S9(11)V99.</t>
  </si>
  <si>
    <t>PJG#1  PROCEDURE DIVISION USING LS-AREA.</t>
  </si>
  <si>
    <t xml:space="preserve">           03  FILLER            PIC X(12) VALUE '12 dezembro '.</t>
  </si>
  <si>
    <t xml:space="preserve">                   'MAQCA Máquinas Cascos'.</t>
  </si>
  <si>
    <t xml:space="preserve">       01  W400-DATA-TIMESTAMP.                                         </t>
  </si>
  <si>
    <t xml:space="preserve">       01 TIPO-LINHA                    PIC X(4).</t>
  </si>
  <si>
    <t xml:space="preserve">       01 FLAG-F071BNEXT1            PIC 9 VALUE ZEROS.</t>
  </si>
  <si>
    <t xml:space="preserve">           DISPLAY WAUX-REG-LIDOS-INPUT  ' ' 'TOT REG LIDOS INPUT'</t>
  </si>
  <si>
    <t xml:space="preserve">          02 WAUX-TOTAL-AMOUNT          PIC S9(11)V99.</t>
  </si>
  <si>
    <t xml:space="preserve">         03  W400-TSDIA                  PIC 9(02).                     </t>
  </si>
  <si>
    <t xml:space="preserve">       01 W800-OUTPUT-PAGE.                                             00000194</t>
  </si>
  <si>
    <t xml:space="preserve">       01 CNTLLEN                       PIC S9(4)  COMP   VALUE +0.</t>
  </si>
  <si>
    <t xml:space="preserve">       01 FLAG-F071GHCOSG            PIC 9 VALUE ZEROS.</t>
  </si>
  <si>
    <t xml:space="preserve">           DISPLAY WAUX-REG-GRAVADOS-OUT ' ' 'TOT REG GRAVADOS OUTPUT'</t>
  </si>
  <si>
    <t xml:space="preserve">           05  W-AUX-TSMM             PIC 9(02).</t>
  </si>
  <si>
    <t xml:space="preserve">          02 WAUX-PENALTY-AMOUNT        PIC S9(11)V99.</t>
  </si>
  <si>
    <t xml:space="preserve">           03  ENTRADA       OCCURS 12 TIMES</t>
  </si>
  <si>
    <t xml:space="preserve">                   'PEMAQ Perdas de Exploração por Avaria de Máquinas'.</t>
  </si>
  <si>
    <t xml:space="preserve">         03                              PIC X(01)  VALUE '/'.          </t>
  </si>
  <si>
    <t xml:space="preserve">         05 W800-ADDRESSEE-NAME              PIC X(40).                 00000198</t>
  </si>
  <si>
    <t xml:space="preserve">       01 TOTDOCS                       PIC S9(5)  COMP-3 VALUE ZERO.</t>
  </si>
  <si>
    <t xml:space="preserve">       01 FLAG-F071BNCOB-1           PIC 9 VALUE ZEROS.</t>
  </si>
  <si>
    <t xml:space="preserve">           DISPLAY WAUX-REG-F-P-SELECT   ' ' 'TOT REG F-P-SELECT'</t>
  </si>
  <si>
    <t>PJG#4     02 W400-TRATA-COMP-MARCA      PIC X(06)  VALUE SPACES.</t>
  </si>
  <si>
    <t xml:space="preserve">           PERFORM P1000-INICIO   THRU P1000-INICIO-EX.</t>
  </si>
  <si>
    <t xml:space="preserve">                             ASCENDING KEY IS MES</t>
  </si>
  <si>
    <t xml:space="preserve">       01  FILLER  REDEFINES  W400-TAB-PRODUTO.</t>
  </si>
  <si>
    <t xml:space="preserve">         03  W400-TSMES                  PIC 9(02).                     </t>
  </si>
  <si>
    <t xml:space="preserve">         05 W800-ADDRESSEE-ADDRESS           PIC X(40).                 00000199</t>
  </si>
  <si>
    <t xml:space="preserve">       01 CONTROLE-DOC-ORIGEM           PIC X(10).</t>
  </si>
  <si>
    <t xml:space="preserve">       01 FLAG-F071BNCOB-2           PIC 9 VALUE ZEROS.</t>
  </si>
  <si>
    <t xml:space="preserve">           DISPLAY WAUX-ENV-30DIAS       ' ' 'TOT 30DIAS'</t>
  </si>
  <si>
    <t xml:space="preserve">           05  W-AUX-TSSS             PIC 9(02).</t>
  </si>
  <si>
    <t xml:space="preserve">           PERFORM P2100-LEITURA  THRU P2100-LEITURA-EX.</t>
  </si>
  <si>
    <t xml:space="preserve">         03  W400-ELEMTAB OCCURS 6 TIMES</t>
  </si>
  <si>
    <t xml:space="preserve">         05 W800-ADDRESSEE-ADDRESS2          PIC X(40).                 00000200</t>
  </si>
  <si>
    <t xml:space="preserve">       01 CONTROLE-DOC-ORIG-A           PIC X(10).</t>
  </si>
  <si>
    <t xml:space="preserve">           DISPLAY WAUX-ENV-MEDIADOR     ' ' 'TOT MEDIADOR'</t>
  </si>
  <si>
    <t xml:space="preserve">       01 W400-PRINT-INVOICE.</t>
  </si>
  <si>
    <t xml:space="preserve">               05 MES                          PIC 99.</t>
  </si>
  <si>
    <t xml:space="preserve">                          ASCENDING KEY IS W400-COD-PROD</t>
  </si>
  <si>
    <t xml:space="preserve">         03  W400-TSANO                  PIC 9(04).                     </t>
  </si>
  <si>
    <t xml:space="preserve">         05 W800-ADDRESSEE-CITY              PIC X(40).                 00000201</t>
  </si>
  <si>
    <t xml:space="preserve">       01 CONTADOR-VIDA-RISCO        PIC 9(7) VALUE ZEROS.</t>
  </si>
  <si>
    <t xml:space="preserve">           DISPLAY WAUX-ENV-CREDOR       ' ' 'TOT CREDOR'</t>
  </si>
  <si>
    <t xml:space="preserve">          02 W400-INVOICE OCCURS 75 TIMES.</t>
  </si>
  <si>
    <t xml:space="preserve">           PERFORM P2000-PROCESSO THRU P2000-PROCESSO-EX</t>
  </si>
  <si>
    <t xml:space="preserve">                          INDEXED BY INDEX1.</t>
  </si>
  <si>
    <t xml:space="preserve">       01  W400-DATA-TIMESTAMP.</t>
  </si>
  <si>
    <t xml:space="preserve">         03                              PIC X(01)  VALUE SPACE.        </t>
  </si>
  <si>
    <t xml:space="preserve">         05 W800-POST-CODE-DESCR             PIC X(40).                 00000204</t>
  </si>
  <si>
    <t xml:space="preserve">       01 CONTADOR-PAGINA            PIC 9(7) VALUE ZEROS.</t>
  </si>
  <si>
    <t xml:space="preserve">           DISPLAY WAUX-ENV-ADVOGADO     ' ' 'TOT ADVOGADO'</t>
  </si>
  <si>
    <t xml:space="preserve">       01  CONT-LIN-PYOXAU03          PIC 99          VALUE ZEROS.</t>
  </si>
  <si>
    <t xml:space="preserve">             03 W400-INVOICE-NUMBER      PIC X(10).</t>
  </si>
  <si>
    <t xml:space="preserve">              UNTIL ST-QZINPUT-EOF</t>
  </si>
  <si>
    <t xml:space="preserve">               05 DESCRITIVO                   PIC X(09).</t>
  </si>
  <si>
    <t xml:space="preserve">           05  W400-COD-PROD             PIC X(05).</t>
  </si>
  <si>
    <t xml:space="preserve">         03  W400-TSDIA                  PIC 9(02).</t>
  </si>
  <si>
    <t xml:space="preserve">         03  W400-TSHH                   PIC 9(02).                     </t>
  </si>
  <si>
    <t xml:space="preserve">         05 W800-CLIENTE                     PIC X(10).                 00000207</t>
  </si>
  <si>
    <t>PJG#1**01 CONTADOR-MAPA              PIC 9(7) VALUE ZEROS.</t>
  </si>
  <si>
    <t xml:space="preserve">             03 W400-START-END-DATE      PIC X(25).</t>
  </si>
  <si>
    <t xml:space="preserve">         03                              PIC X(01)  VALUE '/'.</t>
  </si>
  <si>
    <t xml:space="preserve">         03                              PIC X(01)  VALUE ':'.          </t>
  </si>
  <si>
    <t xml:space="preserve">         05 W800-PRODUCT-CODE-DESC           PIC X(30).                 00000207</t>
  </si>
  <si>
    <t xml:space="preserve">       01 RESTO-F-B-SELECT          PIC 9(4)  VALUE ZEROS.</t>
  </si>
  <si>
    <t xml:space="preserve">           GOBACK</t>
  </si>
  <si>
    <t xml:space="preserve">       01  BGOW0027-AREA.</t>
  </si>
  <si>
    <t xml:space="preserve">             03 W400-INVOICE-AMOUNT      PIC S9(13)V9(2).</t>
  </si>
  <si>
    <t xml:space="preserve">           PERFORM P3000-FIM      THRU P3000-FIM-EX.</t>
  </si>
  <si>
    <t xml:space="preserve">           05  W400-DESCR-PROD           PIC X(45).</t>
  </si>
  <si>
    <t xml:space="preserve">         03  W400-TSMES                  PIC 9(02).</t>
  </si>
  <si>
    <t xml:space="preserve">         03  W400-TSMM                   PIC 9(02).                     </t>
  </si>
  <si>
    <t xml:space="preserve">         05 W800-POLICY-NUMBER               PIC X(10).                 00000206</t>
  </si>
  <si>
    <t xml:space="preserve">       01 QUOCIENTE-F-B-SELECT      PIC 9(4)  VALUE ZEROS.</t>
  </si>
  <si>
    <t xml:space="preserve">           .</t>
  </si>
  <si>
    <t xml:space="preserve">           COPY BGOW0027.</t>
  </si>
  <si>
    <t xml:space="preserve">           DISPLAY 'PGOC029A: LIDOS:    ' REG-LIDOS</t>
  </si>
  <si>
    <t xml:space="preserve">         05 W800-DATA-ANULACAO               PIC X(10).                 00000206</t>
  </si>
  <si>
    <t xml:space="preserve">       01 RESTO-TPAG                PIC 9(4)  VALUE ZEROS.</t>
  </si>
  <si>
    <t xml:space="preserve">           DISPLAY 'PGOC029A: ESCRITOS: ' REG-ESCRITOS</t>
  </si>
  <si>
    <t xml:space="preserve">         03  W400-TSANO                  PIC 9(04).</t>
  </si>
  <si>
    <t xml:space="preserve">         03  W400-TSSS                   PIC 9(02).                     </t>
  </si>
  <si>
    <t xml:space="preserve">         05 W800-DATA-EMISSAO                PIC X(31).                 00000206</t>
  </si>
  <si>
    <t xml:space="preserve">       01 QUOCIENTE-TPAG            PIC 9(4)  VALUE ZEROS.</t>
  </si>
  <si>
    <t xml:space="preserve">      *  MODULOS</t>
  </si>
  <si>
    <t xml:space="preserve">           GOBACK.</t>
  </si>
  <si>
    <t xml:space="preserve">         03                              PIC X(01)  VALUE SPACE.</t>
  </si>
  <si>
    <t xml:space="preserve">         05 W800-NOTICE                      PIC X(10).                 00000206</t>
  </si>
  <si>
    <t xml:space="preserve">       01 NUM-DE-PAGINAS             PIC X(7).</t>
  </si>
  <si>
    <t xml:space="preserve">       P3000-PROCESSO.</t>
  </si>
  <si>
    <t xml:space="preserve">         03  W400-TSHH                   PIC 9(02).</t>
  </si>
  <si>
    <t xml:space="preserve">         05 W800-DUE-DATE                    PIC X(10).                 00000206</t>
  </si>
  <si>
    <t xml:space="preserve">       01 NUM-TOT-PAGINAS            PIC X(7).</t>
  </si>
  <si>
    <t xml:space="preserve">      *----------COPYBOOK UTILIZADO PELA ROTINA DE ENDERECAMENTO-------*</t>
  </si>
  <si>
    <t xml:space="preserve">       01 BGOW0008-AREA.</t>
  </si>
  <si>
    <t xml:space="preserve">       A10-EXIT.</t>
  </si>
  <si>
    <t xml:space="preserve">         03                              PIC X(01)  VALUE ':'.</t>
  </si>
  <si>
    <t xml:space="preserve">      *** AREA DO MODULO PYOXAU05 ***                                   </t>
  </si>
  <si>
    <t xml:space="preserve">         05 W800-PREM-AMOUNT                 PIC ZZZ.ZZZ.ZZ9,99.        00000209</t>
  </si>
  <si>
    <t xml:space="preserve">       01 INDX                       PIC S9(8)  COMP   VALUE +0.</t>
  </si>
  <si>
    <t xml:space="preserve">           EVALUATE TRUE</t>
  </si>
  <si>
    <t xml:space="preserve">          COPY BGOW0008.</t>
  </si>
  <si>
    <t xml:space="preserve">           EXIT.</t>
  </si>
  <si>
    <t xml:space="preserve">         03  W400-TSMM                   PIC 9(02).</t>
  </si>
  <si>
    <t xml:space="preserve">       01  W400-PYOXAU05-AREA.                                          </t>
  </si>
  <si>
    <t xml:space="preserve">         05 W800-INTEREST-AMOUNT             PIC ZZZ.ZZZ.ZZ9,99.        00000210</t>
  </si>
  <si>
    <t xml:space="preserve">       01 LINHA1-CABECALHO           PIC X(500).</t>
  </si>
  <si>
    <t xml:space="preserve">       01 CONTADOR-MAPA              PIC 9(7) VALUE ZEROS.</t>
  </si>
  <si>
    <t xml:space="preserve">              WHEN BUSK410A-COD-C001</t>
  </si>
  <si>
    <t xml:space="preserve">         03  W400-OPERACAO               PIC X(01).                     </t>
  </si>
  <si>
    <t xml:space="preserve">         05 W800-PEN-AMOUNT                  PIC Z.ZZZ.ZZZ.ZZ9,99.      00000211</t>
  </si>
  <si>
    <t xml:space="preserve">       01 LINHA2-CABECALHO           PIC X(500).</t>
  </si>
  <si>
    <t xml:space="preserve">              WHEN BUSK410A-COD-C002</t>
  </si>
  <si>
    <t>#13    01 PYOXAU09-COMM.</t>
  </si>
  <si>
    <t xml:space="preserve">       P1000-INICIO.</t>
  </si>
  <si>
    <t xml:space="preserve">         03  W400-TSSS                   PIC 9(02).</t>
  </si>
  <si>
    <t xml:space="preserve">         03  W400-RETCODE                PIC X(02).                     </t>
  </si>
  <si>
    <t xml:space="preserve">         05 W800-PEN-AMOUNT-R    REDEFINES                              00000211</t>
  </si>
  <si>
    <t xml:space="preserve">       01 LINHA3-CABECALHO           PIC X(500).</t>
  </si>
  <si>
    <t xml:space="preserve">              WHEN BUSK410A-COD-C003</t>
  </si>
  <si>
    <t>#13       COPY BGOW0031.</t>
  </si>
  <si>
    <t>PJG#1 *** INICIALIZACOES ***</t>
  </si>
  <si>
    <t xml:space="preserve">         03  W400-COPYNAME               PIC X(08).                     </t>
  </si>
  <si>
    <t xml:space="preserve">            W800-PEN-AMOUNT                  PIC X(16).                 00000211</t>
  </si>
  <si>
    <t xml:space="preserve">       01 LINHA4-CABECALHO           PIC X(500).</t>
  </si>
  <si>
    <t xml:space="preserve">              WHEN BUSK410A-COD-C004</t>
  </si>
  <si>
    <t>PJG#1      INITIALIZE W100-SYSTEM-SWITCHES.</t>
  </si>
  <si>
    <t xml:space="preserve">         03  W400-CANAL                  PIC X(01).                     </t>
  </si>
  <si>
    <t xml:space="preserve">         05 W800-TOTAL-NOTICE                PIC ZZZ.ZZZ.ZZ9,99.        00000211</t>
  </si>
  <si>
    <t xml:space="preserve">       01 CARTA-MEDIADOR             PIC X(1).</t>
  </si>
  <si>
    <t xml:space="preserve">                PERFORM P4100-PREENCHE-CODBAR</t>
  </si>
  <si>
    <t>PJG#4  01 WAUX-PYOXAU05-AREA.</t>
  </si>
  <si>
    <t xml:space="preserve">      *** AREA DO MODULO PYOXAU05 ***</t>
  </si>
  <si>
    <t xml:space="preserve">         03  W400-COMPANHIA              PIC X(02).                     </t>
  </si>
  <si>
    <t xml:space="preserve">         05 W800-CBARRAS-MORADA              PIC X(22).                 01220201</t>
  </si>
  <si>
    <t xml:space="preserve">           88 CARTA-MEDIADOR-Y       VALUE 'Y'.</t>
  </si>
  <si>
    <t xml:space="preserve">                   THRU P4100-PREENCHE-CODBAR-EX</t>
  </si>
  <si>
    <t>PJG#4     02 WAUX-OPERACAO               PIC X(01).</t>
  </si>
  <si>
    <t>PJG#1 *** VALIDA AREA DO PARM ***</t>
  </si>
  <si>
    <t xml:space="preserve">       01  W400-PYOXAU05-AREA.</t>
  </si>
  <si>
    <t xml:space="preserve">         03  W400-COD-DOC                PIC X(04).                     </t>
  </si>
  <si>
    <t xml:space="preserve">         05 W800-ID-DOCUMENTO                PIC X(24).                 01220201</t>
  </si>
  <si>
    <t xml:space="preserve">       01 CONTINUA-MAPA              PIC X(1).</t>
  </si>
  <si>
    <t xml:space="preserve">                PERFORM P4200-PREENCHE-GERAL-CARTA</t>
  </si>
  <si>
    <t xml:space="preserve">       INICIAR.</t>
  </si>
  <si>
    <t>PJG#4     02 WAUX-RETCODE                PIC X(02).</t>
  </si>
  <si>
    <t>PJG#1      MOVE LS-COMPR-INFO                 TO BGOW0017-LPARM.</t>
  </si>
  <si>
    <t xml:space="preserve">         03  W400-OPERACAO               PIC X(01).</t>
  </si>
  <si>
    <t xml:space="preserve">         03  W400-REGISTO                PIC X(500).                    </t>
  </si>
  <si>
    <t xml:space="preserve">           88 CONTINUA-MAPA-Y        VALUE 'Y'.</t>
  </si>
  <si>
    <t xml:space="preserve">                   THRU P4200-PREENCHE-GERAL-CARTA-EX</t>
  </si>
  <si>
    <t xml:space="preserve">           DISPLAY 'PGOC421A: INICIO DO PROGRAMA'</t>
  </si>
  <si>
    <t>PJG#4     02 WAUX-COPYNAME               PIC X(08).</t>
  </si>
  <si>
    <t>PJG#1      MOVE LS-INFORMACAO                 TO BGOW0017-PARM.</t>
  </si>
  <si>
    <t xml:space="preserve">         03  W400-RETCODE                PIC X(02).</t>
  </si>
  <si>
    <t xml:space="preserve">       01 INDL                       PIC S9(8)  COMP   VALUE +0.</t>
  </si>
  <si>
    <t xml:space="preserve">                PERFORM P4000-PREENCHE-TIPO-CARTA</t>
  </si>
  <si>
    <t xml:space="preserve">           PERFORM TRATA THRU TRATA-EXIT.</t>
  </si>
  <si>
    <t>PJG#4     02 WAUX-CANAL                  PIC X(01).</t>
  </si>
  <si>
    <t>PJG#1      PERFORM 888-TRATA-EXECPARM       THRU 888-TRATA-EXECPARM-EX.</t>
  </si>
  <si>
    <t xml:space="preserve">         03  W400-COPYNAME               PIC X(08).</t>
  </si>
  <si>
    <t xml:space="preserve">       01  W800-WORK-AREA.</t>
  </si>
  <si>
    <t xml:space="preserve">       01 TIPO-LINHA                 PIC X(4).</t>
  </si>
  <si>
    <t xml:space="preserve">                   THRU P4000-PREENCHE-TIPO-CARTA-EX</t>
  </si>
  <si>
    <t>PJG#4     02 WAUX-COMPANHIA              PIC X(02).</t>
  </si>
  <si>
    <t xml:space="preserve">         03  W400-CANAL                  PIC X(01).</t>
  </si>
  <si>
    <t xml:space="preserve">      *  W500-VARIAVEIS                                             *   </t>
  </si>
  <si>
    <t xml:space="preserve">         03  W800-BGOW0001.</t>
  </si>
  <si>
    <t xml:space="preserve">       01 LINHA-CABECALHO            PIC X(500).</t>
  </si>
  <si>
    <t>PJG#1**         PERFORM P5000-PREENCHE-GUIA-CTT</t>
  </si>
  <si>
    <t xml:space="preserve">       ACABAR.</t>
  </si>
  <si>
    <t>PJG#4     02 WAUX-COD-DOC                PIC X(04).</t>
  </si>
  <si>
    <t xml:space="preserve">           OPEN INPUT  QZINPUT</t>
  </si>
  <si>
    <t xml:space="preserve">         03  W400-COMPANHIA              PIC X(02).</t>
  </si>
  <si>
    <t xml:space="preserve">           05  W800-CAB-LAYOUT           PIC X(10).</t>
  </si>
  <si>
    <t>PJG#1**            THRU P5000-PREENCHE-GUIA-CTT-EX</t>
  </si>
  <si>
    <t xml:space="preserve">           DISPLAY 'PGOC421A:  FIM DO PROGRAMA'</t>
  </si>
  <si>
    <t>PJG#4     02 WAUX-REGISTO                PIC X(500).</t>
  </si>
  <si>
    <t xml:space="preserve">           IF NOT ST-QZINPUT-OK</t>
  </si>
  <si>
    <t xml:space="preserve">         03  W400-COD-DOC                PIC X(04).</t>
  </si>
  <si>
    <t xml:space="preserve">       01  W500-VARIAVEIS.                                              </t>
  </si>
  <si>
    <t xml:space="preserve">             COPY BGOW0001.</t>
  </si>
  <si>
    <t xml:space="preserve">           END-EVALUATE</t>
  </si>
  <si>
    <t xml:space="preserve">              DISPLAY 'PGOC029A: ERRO NO OPEN DO QZINPUT - STATUS: '</t>
  </si>
  <si>
    <t xml:space="preserve">           OPEN INPUT  QZTEMP</t>
  </si>
  <si>
    <t xml:space="preserve">         03  W400-REGISTO                PIC X(500).</t>
  </si>
  <si>
    <t xml:space="preserve">         03  W800-RESTO                  PIC X(3886)  VALUE SPACES.</t>
  </si>
  <si>
    <t xml:space="preserve">                      ST-QZINPUT</t>
  </si>
  <si>
    <t xml:space="preserve">           IF NOT FSQZT-OK</t>
  </si>
  <si>
    <t xml:space="preserve">         03  W500-COMP-CODE              PIC S9(4) COMP  VALUE +255.    </t>
  </si>
  <si>
    <t xml:space="preserve">           PERFORM P2000-LEITURA     THRU P2000-LEITURA-EX</t>
  </si>
  <si>
    <t xml:space="preserve">              GO TO FIM-ANORMAL</t>
  </si>
  <si>
    <t xml:space="preserve">              DISPLAY 'PGOC011A: ERRO OPEN QZTEMP. FS=' FSQZTEMP</t>
  </si>
  <si>
    <t xml:space="preserve">       01 LISTA-VERSO                PIC X(1).</t>
  </si>
  <si>
    <t xml:space="preserve">           END-IF</t>
  </si>
  <si>
    <t xml:space="preserve">       01  W500-TOTAL-REGS.                                             </t>
  </si>
  <si>
    <t xml:space="preserve">           88 LISTA-VERSO-Y          VALUE 'Y'.</t>
  </si>
  <si>
    <t xml:space="preserve">       P3000-PROCESSO-EX.</t>
  </si>
  <si>
    <t xml:space="preserve">       TRATA.</t>
  </si>
  <si>
    <t xml:space="preserve">           OPEN OUTPUT QZTEMP</t>
  </si>
  <si>
    <t xml:space="preserve">         03  W500-REG-LIDOS              PIC 9(15)  VALUE ZEROS.        </t>
  </si>
  <si>
    <t xml:space="preserve">      *** COPYBOOK DE INPUT ***                                         00000305</t>
  </si>
  <si>
    <t xml:space="preserve">           OPEN INPUT QZINPUT</t>
  </si>
  <si>
    <t xml:space="preserve">           IF NOT ST-QZTEMP-OK</t>
  </si>
  <si>
    <t>PJG#1 *PROCEDURE DIVISION.</t>
  </si>
  <si>
    <t xml:space="preserve">           OPEN OUTPUT QZOUTPUT</t>
  </si>
  <si>
    <t xml:space="preserve">         03  W500-REG-ESCRI              PIC 9(15)  VALUE ZEROS.        </t>
  </si>
  <si>
    <t xml:space="preserve">       01  NY5D1U01.                                                    00000306</t>
  </si>
  <si>
    <t xml:space="preserve">       P4000-PREENCHE-TIPO-CARTA.</t>
  </si>
  <si>
    <t xml:space="preserve">           IF FSQZINPUT NOT EQUAL '00'</t>
  </si>
  <si>
    <t xml:space="preserve">              DISPLAY 'PGOC029A: ERRO NO OPEN DO QZTEMP - STATUS: '</t>
  </si>
  <si>
    <t xml:space="preserve">           IF NOT FSQZO-OK</t>
  </si>
  <si>
    <t xml:space="preserve">           COPY BGOW9051.                                               00000307</t>
  </si>
  <si>
    <t xml:space="preserve">              DISPLAY 'PGOC421A: ERRO OPEN DO QZINPUT. FS=' FSQZINPUT</t>
  </si>
  <si>
    <t xml:space="preserve">                      ST-QZTEMP</t>
  </si>
  <si>
    <t xml:space="preserve">              DISPLAY 'PGOC011A: ERRO OPEN QZOUTPUT. FS=' FSQZOUTPUT</t>
  </si>
  <si>
    <t xml:space="preserve">       01 ESCREVE-COSTAS             PIC X(1).</t>
  </si>
  <si>
    <t xml:space="preserve">           MOVE BUSK410A-NR-APOLICE    TO X002BNCL00-O-APOLICE</t>
  </si>
  <si>
    <t xml:space="preserve">              PERFORM FIM-ANORMAL THRU FIM-ANORMAL-EX</t>
  </si>
  <si>
    <t xml:space="preserve">         03  W500-POLICY-NUMBER          PIC X(16)  VALUE SPACES.</t>
  </si>
  <si>
    <t xml:space="preserve">      *  W600-LITERALS                                              *   </t>
  </si>
  <si>
    <t xml:space="preserve">       01  WS-IDENTIFICA-DOC.</t>
  </si>
  <si>
    <t xml:space="preserve">           88 ESCREVE-COSTAS-Y       VALUE 'Y'.</t>
  </si>
  <si>
    <t xml:space="preserve">           MOVE BUSK410A-NR-CLIENTE    TO X002BNCL00-O-CLIENTE</t>
  </si>
  <si>
    <t xml:space="preserve">         03  W500-TRAN-NUMBER            PIC X(10)  VALUE SPACES.</t>
  </si>
  <si>
    <t xml:space="preserve">       A10-MAINLINE SECTION.</t>
  </si>
  <si>
    <t xml:space="preserve">           03  WS-COD-DOC-ORIGEM           PIC X(10).</t>
  </si>
  <si>
    <t xml:space="preserve">       01 CABECALHO                  PIC X(1).</t>
  </si>
  <si>
    <t xml:space="preserve">           MOVE BUSK410A-DESCR-RAMO    TO X002BNCL00-O-DESCR-RAMO</t>
  </si>
  <si>
    <t xml:space="preserve">         03  W500-COUNT                  PIC 9(03)  VALUE 0.</t>
  </si>
  <si>
    <t xml:space="preserve">       01  W600-LITERALS.                                               </t>
  </si>
  <si>
    <t xml:space="preserve">           03  FILLER                      PIC X(01).</t>
  </si>
  <si>
    <t xml:space="preserve">           88 CABECALHO-Y            VALUE 'Y'.</t>
  </si>
  <si>
    <t xml:space="preserve">           MOVE BUSK410A-CL-NOME       TO X002BNCL00-O-TOMADOR</t>
  </si>
  <si>
    <t xml:space="preserve">           IF FSQZOUTPUT NOT EQUAL '00'</t>
  </si>
  <si>
    <t>PJG#1 *** ABRE FICHEIRO DE OUTPUT &lt;QZFICH&gt; ***</t>
  </si>
  <si>
    <t xml:space="preserve">      *  SECTION'S PURPOSE                                          *</t>
  </si>
  <si>
    <t xml:space="preserve">           03  WS-DATA-EXECUCAO            PIC X(10).</t>
  </si>
  <si>
    <t xml:space="preserve">       01 CABECALHO-1                PIC X(1).</t>
  </si>
  <si>
    <t xml:space="preserve">           MOVE BUSK410A-CL-NIF        TO X002BNCL00-O-NIF</t>
  </si>
  <si>
    <t xml:space="preserve">              DISPLAY 'PGOC421A: ERRO OPEN DO QZOUTPUT. FS=' FSQZOUTPUT</t>
  </si>
  <si>
    <t>PJG#1      IF BGOW0017-BATCH</t>
  </si>
  <si>
    <t xml:space="preserve">           INITIALIZE WORK-O-BGOW0014</t>
  </si>
  <si>
    <t xml:space="preserve">       01  W500-TOTAL-REGS.</t>
  </si>
  <si>
    <t xml:space="preserve">         03  W600-LITERAL-THIS-PROG      PIC X(08)  VALUE 'PGOC051 '.   </t>
  </si>
  <si>
    <t xml:space="preserve">      *  THIS SECTION CONTAINS THE MAIN LOGIC OF THE MODULE         *</t>
  </si>
  <si>
    <t xml:space="preserve">           88 CABECALHO-1-Y          VALUE 'Y'.</t>
  </si>
  <si>
    <t xml:space="preserve">           IF BUSK410A-CL-NIB          EQUAL SPACES</t>
  </si>
  <si>
    <t>PJG#1         MOVE SPACES                     TO W400-PYOXAU05-AREA</t>
  </si>
  <si>
    <t xml:space="preserve">           PERFORM P100-LEITURA      THRU P100-LEITURA-EXIT</t>
  </si>
  <si>
    <t xml:space="preserve">         03  W500-GUARDA-PROD-CODE       PIC X(05)  VALUE SPACES.</t>
  </si>
  <si>
    <t>PJG#1**01  TABELA-MESES.</t>
  </si>
  <si>
    <t xml:space="preserve">       01 CABECALHO-2                PIC X(1).</t>
  </si>
  <si>
    <t xml:space="preserve">              MOVE SPACES              TO X002BNCL00-O-NIB</t>
  </si>
  <si>
    <t>PJG#1         MOVE 'A'                        TO W400-OPERACAO</t>
  </si>
  <si>
    <t xml:space="preserve">           PERFORM P200-TRATAMENTO-001  THRU P200-TRATAMENTO-001-EX</t>
  </si>
  <si>
    <t xml:space="preserve">         03  W500-DESCR-MONTH            PIC X(09)  VALUE SPACES.</t>
  </si>
  <si>
    <t xml:space="preserve">         03  W500-REG-LIDOS              PIC 9(15)  VALUE ZEROS.</t>
  </si>
  <si>
    <t xml:space="preserve">       A10-START.</t>
  </si>
  <si>
    <t>PJG#1**    03  FILLER            PIC X(12) VALUE '01 Janeiro  '.</t>
  </si>
  <si>
    <t xml:space="preserve">           88 CABECALHO-2-Y          VALUE 'Y'.</t>
  </si>
  <si>
    <t xml:space="preserve">           ELSE</t>
  </si>
  <si>
    <t>PJG#1         CALL 'PYOXAU05' USING W400-PYOXAU05-AREA</t>
  </si>
  <si>
    <t xml:space="preserve">              UNTIL FSQZT-EOF.</t>
  </si>
  <si>
    <t xml:space="preserve">         03  W500-REG-ESCRI              PIC 9(15)  VALUE ZEROS.</t>
  </si>
  <si>
    <t xml:space="preserve">      *  W800-OUTPUT-AREA.                                          *   </t>
  </si>
  <si>
    <t xml:space="preserve">           DISPLAY '* * * * * * * * * * * * * * * * * * * *'.</t>
  </si>
  <si>
    <t>PJG#1**    03  FILLER            PIC X(12) VALUE '02 Fevereiro'.</t>
  </si>
  <si>
    <t xml:space="preserve">       01 CABECALHO-3                PIC X(1).</t>
  </si>
  <si>
    <t xml:space="preserve">              MOVE SPACES                 TO X002BNCL00-O-NIB</t>
  </si>
  <si>
    <t xml:space="preserve">           READ QZINPUT INTO BGOW0027-AREA</t>
  </si>
  <si>
    <t xml:space="preserve">       01 WAUX-TAB-MESES.</t>
  </si>
  <si>
    <t>PJG#1      END-IF.</t>
  </si>
  <si>
    <t xml:space="preserve">           DISPLAY '* PROG: ' W600-LT-THIS-PROG</t>
  </si>
  <si>
    <t>PJG#1**    03  FILLER            PIC X(12) VALUE '03 Março    '.</t>
  </si>
  <si>
    <t xml:space="preserve">           88 CABECALHO-3-Y          VALUE 'Y'.</t>
  </si>
  <si>
    <t xml:space="preserve">              MOVE 'NIB:'                 TO X002BNCL00-O-NIB(1:4)</t>
  </si>
  <si>
    <t xml:space="preserve">           IF NOT (FSQZINPUT EQUAL '00' OR '10')</t>
  </si>
  <si>
    <t xml:space="preserve">          02            PIC X(12) VALUE '01 Janeiro  '.</t>
  </si>
  <si>
    <t xml:space="preserve">           IF NOT FSQZI-OK</t>
  </si>
  <si>
    <t xml:space="preserve">       01  W800-OUTPUT-AREA.                                            </t>
  </si>
  <si>
    <t xml:space="preserve">                                   '                      *'.</t>
  </si>
  <si>
    <t>PJG#1**    03  FILLER            PIC X(12) VALUE '04 Abril    '.</t>
  </si>
  <si>
    <t xml:space="preserve">       01 CABECALHO-4                PIC X(1).</t>
  </si>
  <si>
    <t xml:space="preserve">              MOVE BUSK410A-CL-NIB(1:4)   TO X002BNCL00-O-NIB(6:4)</t>
  </si>
  <si>
    <t xml:space="preserve">              DISPLAY 'PGOC421A: ERRO READ DO QZINPUT. FS='</t>
  </si>
  <si>
    <t xml:space="preserve">          02            PIC X(12) VALUE '02 Fevereiro'.</t>
  </si>
  <si>
    <t xml:space="preserve">           INITIALIZE W400-AREA-OUTPUT</t>
  </si>
  <si>
    <t xml:space="preserve">              DISPLAY 'PGOC009A: ERRO OPEN QZINPUT. FS=' FSQZINPUT</t>
  </si>
  <si>
    <t xml:space="preserve">      *** SUBROTINA PARA FORMATAR A DESCRICAO DO PRODUTO ***</t>
  </si>
  <si>
    <t xml:space="preserve">         03  W800-BGOW0001.                                             </t>
  </si>
  <si>
    <t>PJG#1**    03  FILLER            PIC X(12) VALUE '05 Maio     '.</t>
  </si>
  <si>
    <t xml:space="preserve">           88 CABECALHO-4-Y          VALUE 'Y'.</t>
  </si>
  <si>
    <t xml:space="preserve">              MOVE BUSK410A-CL-NIB(5:4)   TO X002BNCL00-O-NIB(11:4)</t>
  </si>
  <si>
    <t xml:space="preserve">                      FSQZINPUT</t>
  </si>
  <si>
    <t xml:space="preserve">          02            PIC X(12) VALUE '03 Março    '.</t>
  </si>
  <si>
    <t>PJG#1                 W400-LOCAL-VARIABLES</t>
  </si>
  <si>
    <t xml:space="preserve">           CLOSE QZTEMP</t>
  </si>
  <si>
    <t xml:space="preserve">       01  W500-PARAM-AUX.</t>
  </si>
  <si>
    <t xml:space="preserve">           05  W800-CAB-LAYOUT           PIC X(10).                     </t>
  </si>
  <si>
    <t>PJG#1**    03  FILLER            PIC X(12) VALUE '06 Junho    '.</t>
  </si>
  <si>
    <t xml:space="preserve">       01 PRODUTO-AUX                PIC X(35).</t>
  </si>
  <si>
    <t xml:space="preserve">              MOVE BUSK410A-CL-NIB(9:11)  TO X002BNCL00-O-NIB(16:11)</t>
  </si>
  <si>
    <t xml:space="preserve">          02            PIC X(12) VALUE '04 Abril    '.</t>
  </si>
  <si>
    <t xml:space="preserve">         03  W500-VEHICLE-MAKE           PIC X(60)  VALUE SPACES.</t>
  </si>
  <si>
    <t xml:space="preserve">             COPY BGOW0001.                                             </t>
  </si>
  <si>
    <t xml:space="preserve">           PERFORM B10-INICIAL              THRU B10-EXIT.</t>
  </si>
  <si>
    <t>PJG#1**    03  FILLER            PIC X(12) VALUE '07 Julho    '.</t>
  </si>
  <si>
    <t xml:space="preserve">       01 DT-EMISSAO-AUX             PIC X(10).</t>
  </si>
  <si>
    <t xml:space="preserve">              MOVE BUSK410A-CL-NIB(20:2)  TO X002BNCL00-O-NIB(28:2)</t>
  </si>
  <si>
    <t xml:space="preserve">          02            PIC X(12) VALUE '05 Maio     '.</t>
  </si>
  <si>
    <t xml:space="preserve">       P1000-INICIO-EX.</t>
  </si>
  <si>
    <t xml:space="preserve">              DISPLAY 'PGOC011A: ERRO CLOSE QZTEMP. FS=' FSQZTEMP</t>
  </si>
  <si>
    <t xml:space="preserve">         03  W500-VEHICLE-MODEL          PIC X(10)  VALUE SPACES.</t>
  </si>
  <si>
    <t xml:space="preserve">         03  W800-RESTO                  PIC X(3886)  VALUE SPACES.     </t>
  </si>
  <si>
    <t>PJG#1**    03  FILLER            PIC X(12) VALUE '08 Agosto   '.</t>
  </si>
  <si>
    <t xml:space="preserve">       01 IDENTIFICA-DOC-AUX         PIC X(24).</t>
  </si>
  <si>
    <t xml:space="preserve">          02            PIC X(12) VALUE '06 Junho    '.</t>
  </si>
  <si>
    <t xml:space="preserve">         03  W500-VEHICLE-EXTRA          PIC X(25)  VALUE SPACES.</t>
  </si>
  <si>
    <t xml:space="preserve">           PERFORM B20-PROCESSO             THRU B20-EXIT</t>
  </si>
  <si>
    <t>PJG#1**    03  FILLER            PIC X(12) VALUE '09 Setembro '.</t>
  </si>
  <si>
    <t xml:space="preserve">       01 CPS1-RAMO                  PIC X(2).</t>
  </si>
  <si>
    <t xml:space="preserve">           IF BUSK410A-CL-EMPRESTIMO   EQUAL SPACES</t>
  </si>
  <si>
    <t xml:space="preserve">           PERFORM UNTIL FSQZINPUT EQUAL '10'</t>
  </si>
  <si>
    <t xml:space="preserve">          02            PIC X(12) VALUE '07 Julho    '.</t>
  </si>
  <si>
    <t xml:space="preserve">         03  W500-DESCRIPTION            PIC X(65)  VALUE SPACES.</t>
  </si>
  <si>
    <t xml:space="preserve">       01  W800-OUTPUT-CLIENTE.                                         </t>
  </si>
  <si>
    <t xml:space="preserve">             UNTIL W400-ST-QZINPUT-FIM</t>
  </si>
  <si>
    <t>PJG#1**    03  FILLER            PIC X(12) VALUE '10 Outubro  '.</t>
  </si>
  <si>
    <t xml:space="preserve">       01 CPS1-APOLICE               PIC X(8).</t>
  </si>
  <si>
    <t xml:space="preserve">              MOVE SPACES              TO X002BNCL00-O-EMPRESTIMO</t>
  </si>
  <si>
    <t xml:space="preserve">          02            PIC X(12) VALUE '08 Agosto   '.</t>
  </si>
  <si>
    <t xml:space="preserve">       P2100-LEITURA.</t>
  </si>
  <si>
    <t xml:space="preserve">              DISPLAY 'PGOC009A: ERRO OPEN QZTEMP. FS=' FSQZTEMP</t>
  </si>
  <si>
    <t xml:space="preserve">         03  W800-CLIENT-TYPE            PIC X(01).                     </t>
  </si>
  <si>
    <t xml:space="preserve">                OR W100-ERROR-OCCURRED.</t>
  </si>
  <si>
    <t>PJG#1**    03  FILLER            PIC X(12) VALUE '11 Novembro '.</t>
  </si>
  <si>
    <t xml:space="preserve">       01 CPS1-BARRA                 PIC X(1).</t>
  </si>
  <si>
    <t xml:space="preserve">              EVALUATE TRUE</t>
  </si>
  <si>
    <t xml:space="preserve">          02            PIC X(12) VALUE '09 Setembro '.</t>
  </si>
  <si>
    <t xml:space="preserve">           CLOSE QZOUTPUT</t>
  </si>
  <si>
    <t xml:space="preserve">             88  W800-TYPE1-L                       VALUE 'L'.          </t>
  </si>
  <si>
    <t>PJG#1**    03  FILLER            PIC X(12) VALUE '12 Dezembro '.</t>
  </si>
  <si>
    <t xml:space="preserve">       01 NADERENTE-AUX              PIC 9(08).</t>
  </si>
  <si>
    <t xml:space="preserve">               WHEN BGOW0027-TIPO-CARTA-1</t>
  </si>
  <si>
    <t xml:space="preserve">          02            PIC X(12) VALUE '10 Outubro  '.</t>
  </si>
  <si>
    <t xml:space="preserve">           INITIALIZE W400-AREA-INPUT.</t>
  </si>
  <si>
    <t xml:space="preserve">             88  W800-TYPE1-P                       VALUE 'P'.          </t>
  </si>
  <si>
    <t xml:space="preserve">           PERFORM B30-FINAL                THRU B30-EXIT.</t>
  </si>
  <si>
    <t>PJG#1**01  FILLER REDEFINES TABELA-MESES.</t>
  </si>
  <si>
    <t xml:space="preserve">       01 NADERENTE-AUX1             PIC X(08).</t>
  </si>
  <si>
    <t xml:space="preserve">              MOVE 'Nº do Empréstimo:' TO X002BNCL00-O-EMPRESTIMO(1:17)</t>
  </si>
  <si>
    <t xml:space="preserve">               WHEN BGOW0027-TIPO-CARTA-2</t>
  </si>
  <si>
    <t xml:space="preserve">          02            PIC X(12) VALUE '11 Novembro '.</t>
  </si>
  <si>
    <t xml:space="preserve">           READ QZINPUT INTO W400-AREA-INPUT</t>
  </si>
  <si>
    <t xml:space="preserve">              DISPLAY 'PGOC011A: ERRO CLOSE QZOUTPUT. FS=' FSQZOUTPUT</t>
  </si>
  <si>
    <t xml:space="preserve">         03  W600-LITERAL-THIS-PROG      PIC X(08)  VALUE 'PGOC032 '.</t>
  </si>
  <si>
    <t xml:space="preserve">             88  W800-TYPE2                         VALUE '2'.          </t>
  </si>
  <si>
    <t>PJG#1**    03  ENTRADA       OCCURS 12 TIMES</t>
  </si>
  <si>
    <t xml:space="preserve">              MOVE BUSK410A-CL-EMPRESTIMO</t>
  </si>
  <si>
    <t xml:space="preserve">                PERFORM TRATA-CARTA-1-2 THRU TRATA-CARTA-1-2-EX</t>
  </si>
  <si>
    <t xml:space="preserve">          02            PIC X(12) VALUE '12 Dezembro '.</t>
  </si>
  <si>
    <t xml:space="preserve">             AT END SET ST-QZINPUT-EOF TO TRUE</t>
  </si>
  <si>
    <t xml:space="preserve">             88  W800-TYPE3                         VALUE '3'.          </t>
  </si>
  <si>
    <t xml:space="preserve">           DISPLAY '* NUMERO DE REGISTOS:                 *'.</t>
  </si>
  <si>
    <t>PJG#1**                      ASCENDING KEY IS MES</t>
  </si>
  <si>
    <t xml:space="preserve">                                       TO X002BNCL00-O-EMPRESTIMO(18:12)</t>
  </si>
  <si>
    <t xml:space="preserve">               WHEN BGOW0027-TIPO-CARTA-3</t>
  </si>
  <si>
    <t xml:space="preserve">       01 REDEFINES WAUX-TAB-MESES.</t>
  </si>
  <si>
    <t xml:space="preserve">             GO TO P2100-LEITURA-EX.</t>
  </si>
  <si>
    <t xml:space="preserve">         03  W600-BONUS                  PIC X(11)  VALUE ' COM BÓNUS '.</t>
  </si>
  <si>
    <t xml:space="preserve">         03  W800-CLIENT-ROYALMAIL       PIC X(22).                     </t>
  </si>
  <si>
    <t xml:space="preserve">           DISPLAY '*  - LIDOS....: ' W500-REG-LIDOS '            *'.</t>
  </si>
  <si>
    <t>PJG#1**                      INDEXED BY INDICE.</t>
  </si>
  <si>
    <t xml:space="preserve">               WHEN BGOW0027-TIPO-CARTA-4</t>
  </si>
  <si>
    <t xml:space="preserve">          02  WAUX-TAB-MESS  OCCURS 12 TIMES</t>
  </si>
  <si>
    <t xml:space="preserve">         03  W600-NO-BONUS               PIC X(11)  VALUE ' SEM BÓNUS '.</t>
  </si>
  <si>
    <t xml:space="preserve">         03  W600-LITERAL-THIS-PROG      PIC X(08)  VALUE 'PGOC050 '.</t>
  </si>
  <si>
    <t xml:space="preserve">         03  W800-CLIENT-NOME            PIC X(40).                     </t>
  </si>
  <si>
    <t xml:space="preserve">           DISPLAY '*  - ESCRITOS.: ' W500-REG-ESCRI '            *'.</t>
  </si>
  <si>
    <t>PJG#1**        05 MES                          PIC 99.</t>
  </si>
  <si>
    <t xml:space="preserve">           MOVE BUSK410A-REFERENCIA    TO X002BNCL00-O-REFERENCIA</t>
  </si>
  <si>
    <t xml:space="preserve">                PERFORM TRATA-CARTA-3-4 THRU TRATA-CARTA-3-4-EX</t>
  </si>
  <si>
    <t xml:space="preserve">                             ASCENDING KEY IS WAUX-TAB-MES</t>
  </si>
  <si>
    <t xml:space="preserve">              DISPLAY 'PGOC029A: ERRO READ QZINPUT. FS=' ST-QZINPUT</t>
  </si>
  <si>
    <t xml:space="preserve">           DISPLAY 'PGOC011A: LIDOS:    ' REG-LIDOS</t>
  </si>
  <si>
    <t xml:space="preserve">         03  W600-NOT-ALL                PIC X(46)  VALUE</t>
  </si>
  <si>
    <t xml:space="preserve">         03  W800-CLIENT-MORADA1         PIC X(40).                     </t>
  </si>
  <si>
    <t>PJG#1**        05 FILLER                       PIC X.</t>
  </si>
  <si>
    <t xml:space="preserve">           MOVE BUSK410A-DT-CESSACAO-APOL TO X002BNCL00-O-DT-CESSACAO</t>
  </si>
  <si>
    <t xml:space="preserve">               WHEN OTHER</t>
  </si>
  <si>
    <t xml:space="preserve">           DISPLAY 'PGOC011A: ESCRITOS: ' REG-ESCRITOS</t>
  </si>
  <si>
    <t xml:space="preserve">                   ' SEM BÓNUS NEM AGRAVAMENTO POR SINISTRALIDADE '.</t>
  </si>
  <si>
    <t xml:space="preserve">         03  W800-CLIENT-MORADA2         PIC X(40).                     </t>
  </si>
  <si>
    <t xml:space="preserve">           DISPLAY '* FIM PROCESSAMENTO DO PROG: '</t>
  </si>
  <si>
    <t>PJG#1**        05 DESCRITIVO                   PIC X(09).</t>
  </si>
  <si>
    <t xml:space="preserve">           MOVE BUSK410A-TOT-REC       TO X002BNCL00-O-TOT-REC</t>
  </si>
  <si>
    <t xml:space="preserve">                DISPLAY 'BGOW0027-TIPO-CARTA DESCONHECIDO1'</t>
  </si>
  <si>
    <t xml:space="preserve">               03 WAUX-TAB-MES                 PIC 99.</t>
  </si>
  <si>
    <t xml:space="preserve">           DISPLAY 'PGOC011A: ESCR.REG: ' REG-ESCRITOS-REG</t>
  </si>
  <si>
    <t xml:space="preserve">         03  W600-FORMAT-HEADER-NO       PIC X(23)  VALUE</t>
  </si>
  <si>
    <t xml:space="preserve">      *  W800-OUTPUT-AREA.                                          *</t>
  </si>
  <si>
    <t xml:space="preserve">         03  W800-CLIENT-MORADA3         PIC X(40).                     </t>
  </si>
  <si>
    <t xml:space="preserve">                                      W600-LT-THIS-PROG ' *'.</t>
  </si>
  <si>
    <t xml:space="preserve">           MOVE BUSK410A-NR-MEDIADOR   TO X002BNCL00-O-MEDIADOR</t>
  </si>
  <si>
    <t xml:space="preserve">                         BGOW0027-TIPO-CARTA</t>
  </si>
  <si>
    <t xml:space="preserve">               03 FILLER                       PIC X.</t>
  </si>
  <si>
    <t xml:space="preserve">                   'NÃO EXISTEM OCORRÊNCIAS'.</t>
  </si>
  <si>
    <t xml:space="preserve">         03  W800-CLIENT-MORADA4         PIC X(40).                     </t>
  </si>
  <si>
    <t xml:space="preserve">                PERFORM FIM-ANORMAL THRU FIM-ANORMAL-EX</t>
  </si>
  <si>
    <t xml:space="preserve">               03 WAUX-TAB-DESCR-MES           PIC X(09).</t>
  </si>
  <si>
    <t>PJG#1      EVALUATE NZ5PDU01-C-MARC-SGRA</t>
  </si>
  <si>
    <t xml:space="preserve">         03  W600-INIC-CLI               PIC X(23)  VALUE</t>
  </si>
  <si>
    <t xml:space="preserve">       01  W800-OUTPUT-AREA.</t>
  </si>
  <si>
    <t xml:space="preserve">         03  W800-DATA-DOC               PIC X(32).                     </t>
  </si>
  <si>
    <t>#01   ***  Move a data da carta por extenso, calculada no paragrafo</t>
  </si>
  <si>
    <t xml:space="preserve">              END-EVALUATE</t>
  </si>
  <si>
    <t>PJG#1          WHEN '001'</t>
  </si>
  <si>
    <t xml:space="preserve">       INICIAR-EX.</t>
  </si>
  <si>
    <t xml:space="preserve">                   'INICIATIVA DO SEGURADO '.</t>
  </si>
  <si>
    <t xml:space="preserve">         03  W800-IDENTIFICA-DOC         PIC X(24).                     </t>
  </si>
  <si>
    <t xml:space="preserve">           IF W100-ERROR-OCCURRED</t>
  </si>
  <si>
    <t>#01   ***  anterior (P4200-PREENCHE-GERAL-CARTA) carta C003/C004</t>
  </si>
  <si>
    <t>PJG#1             MOVE '111001'               TO W400-TRATA-COMP-MARCA</t>
  </si>
  <si>
    <t>PJG#1      MOVE 'N' TO W500-GRAVA-REGISTO</t>
  </si>
  <si>
    <t xml:space="preserve">         03  W600-INIC-COMP              PIC X(24)  VALUE</t>
  </si>
  <si>
    <t xml:space="preserve">         03  W800-POLICY-NUMBER          PIC X(09).                     </t>
  </si>
  <si>
    <t xml:space="preserve">              MOVE 01                         TO RETURN-CODE</t>
  </si>
  <si>
    <t xml:space="preserve">      ***                                        carta C001/C002</t>
  </si>
  <si>
    <t xml:space="preserve">              READ QZINPUT INTO BGOW0027-AREA</t>
  </si>
  <si>
    <t>PJG#1          WHEN '002'</t>
  </si>
  <si>
    <t xml:space="preserve">                   'INICIATIVA DO SEGURADOR '.</t>
  </si>
  <si>
    <t xml:space="preserve">         03  W800-LETTER-NUMBER-1        PIC X(10).                     </t>
  </si>
  <si>
    <t xml:space="preserve">           END-IF.</t>
  </si>
  <si>
    <t xml:space="preserve">           PERFORM PRIMEIRA-PASSAGEM THRU PRIMEIRA-PASSAGEM-EXIT</t>
  </si>
  <si>
    <t>#01        MOVE W500-DATA-COMPLETA  TO X002BNCL00-O-DT-CARTA-EXTENSO</t>
  </si>
  <si>
    <t xml:space="preserve">              IF NOT (FSQZINPUT EQUAL '00' OR '10')</t>
  </si>
  <si>
    <t xml:space="preserve">       01 WAUX-AREA-INPUT.</t>
  </si>
  <si>
    <t>PJG#1             MOVE '128002'               TO W400-TRATA-COMP-MARCA</t>
  </si>
  <si>
    <t>PJG#1**    MOVE 'N' TO W500-GRAVA-REGISTO</t>
  </si>
  <si>
    <t xml:space="preserve">       P100-LEITURA.</t>
  </si>
  <si>
    <t xml:space="preserve">         03  W800-PERIODO-1              PIC X(25).                     </t>
  </si>
  <si>
    <t>#01        MOVE SPACES              TO W500-DATA-COMPLETA</t>
  </si>
  <si>
    <t xml:space="preserve">                 DISPLAY 'PGOC421A: ERRO READ DO QZINPUT. FS='</t>
  </si>
  <si>
    <t xml:space="preserve">      *COPY IDENTICO AO COPY DO NZ5PDU01.</t>
  </si>
  <si>
    <t>PJG#1          WHEN '003'</t>
  </si>
  <si>
    <t xml:space="preserve">           READ QZTEMP INTO W400-AREA-INPUT</t>
  </si>
  <si>
    <t xml:space="preserve">         03  W800-PREMIUM-AMOUNT         PIC Z.ZZZ.ZZZ.ZZZ,ZZ-.         </t>
  </si>
  <si>
    <t xml:space="preserve">           OPEN INPUT QZCOPY</t>
  </si>
  <si>
    <t xml:space="preserve">           COPY BGOW9001.</t>
  </si>
  <si>
    <t>PJG#1             MOVE '138003'               TO W400-TRATA-COMP-MARCA</t>
  </si>
  <si>
    <t xml:space="preserve">           PERFORM P200-TRATAMENTO-001      THRU P200-TRATAMENTO-001-EX</t>
  </si>
  <si>
    <t xml:space="preserve">                AT END SET FSQZT-EOF TO TRUE</t>
  </si>
  <si>
    <t xml:space="preserve">       01  W800-CHIP-LETTER.</t>
  </si>
  <si>
    <t xml:space="preserve">         03  W800-INTEREST-AMOUNT        PIC Z.ZZZ.ZZZ.ZZZ,ZZ.          </t>
  </si>
  <si>
    <t xml:space="preserve">           IF NOT FSQZC-OK</t>
  </si>
  <si>
    <t xml:space="preserve">                 PERFORM FIM-ANORMAL THRU FIM-ANORMAL-EX</t>
  </si>
  <si>
    <t>PJG#1          WHEN '004'</t>
  </si>
  <si>
    <t xml:space="preserve">             UNTIL FSQZI-EOF</t>
  </si>
  <si>
    <t xml:space="preserve">                GO TO P100-LEITURA-EXIT.</t>
  </si>
  <si>
    <t xml:space="preserve">         03  W800-CHIP-TITULO1           PIC X(40)  VALUE SPACES.</t>
  </si>
  <si>
    <t xml:space="preserve">         03  W800-PENALTY-AMOUNT         PIC Z.ZZZ.ZZZ.ZZZ,ZZ.          </t>
  </si>
  <si>
    <t xml:space="preserve">              DISPLAY 'PGOC023A: ERRO OPEN DO QZCOPY. FS=' FSQZCOPY</t>
  </si>
  <si>
    <t xml:space="preserve">              END-IF</t>
  </si>
  <si>
    <t>PJG#1             MOVE '138004'               TO W400-TRATA-COMP-MARCA</t>
  </si>
  <si>
    <t xml:space="preserve">         03  W800-CHIP-TITULO2           PIC X(40)  VALUE SPACES.</t>
  </si>
  <si>
    <t xml:space="preserve">         03  W800-CANCEL-DATE            PIC X(11).                     </t>
  </si>
  <si>
    <t xml:space="preserve">      *       carta para agente</t>
  </si>
  <si>
    <t xml:space="preserve">           END-PERFORM</t>
  </si>
  <si>
    <t>PJG#1          WHEN '005'</t>
  </si>
  <si>
    <t xml:space="preserve">         03  W800-CAB-DOCUMENT.</t>
  </si>
  <si>
    <t xml:space="preserve">         03  W800-CHIP-COMP-MARC         PIC X(02).</t>
  </si>
  <si>
    <t xml:space="preserve">         03  W800-TOTAL-AMOUNT-EURO      PIC X(14).                     </t>
  </si>
  <si>
    <t xml:space="preserve">       01 WAUX-AREA-OUTPUT                 PIC X(210).</t>
  </si>
  <si>
    <t>PJG#1             MOVE '111005'               TO W400-TRATA-COMP-MARCA</t>
  </si>
  <si>
    <t xml:space="preserve">              DISPLAY 'PGOC011A: ERRO READ QZTEMP. FS=' FSQZTEMP</t>
  </si>
  <si>
    <t xml:space="preserve">         03  W800-CHIP-ROYAL-MAIL-4S     PIC X(22).</t>
  </si>
  <si>
    <t xml:space="preserve">         03  W800-PRODUCT-CODE-DESC      PIC X(30).                     </t>
  </si>
  <si>
    <t xml:space="preserve">       B10-INICIAL SECTION.</t>
  </si>
  <si>
    <t xml:space="preserve">                MOVE 'X002BNC001'            TO NOME-O-LAYOUT</t>
  </si>
  <si>
    <t xml:space="preserve">           IF W400-REF-TIPO-REGISTO = 'B'</t>
  </si>
  <si>
    <t xml:space="preserve">       01 FILLER REDEFINES WAUX-AREA-OUTPUT.</t>
  </si>
  <si>
    <t>PJG#1          WHEN '006'</t>
  </si>
  <si>
    <t xml:space="preserve">         03  W800-CHIP-NOME              PIC X(40).</t>
  </si>
  <si>
    <t xml:space="preserve">         03  W800-INTEREST-PERIOD        PIC X(25).                     </t>
  </si>
  <si>
    <t xml:space="preserve">                MOVE LENGTH OF LX002BNCL00-O TO QZOLEN</t>
  </si>
  <si>
    <t xml:space="preserve">             EVALUATE TRUE</t>
  </si>
  <si>
    <t xml:space="preserve">          05 NOME-LAYOUT                   PIC X(10).</t>
  </si>
  <si>
    <t>PJG#1             MOVE '148006'               TO W400-TRATA-COMP-MARCA</t>
  </si>
  <si>
    <t xml:space="preserve">              DISPLAY 'PGOC009A: ERRO CLOSE QZTEMP. FS=' FSQZTEMP</t>
  </si>
  <si>
    <t xml:space="preserve">         03  W800-RESTO                  PIC X(720).</t>
  </si>
  <si>
    <t xml:space="preserve">         03  W800-CHIP-MORADA1           PIC X(40).</t>
  </si>
  <si>
    <t xml:space="preserve">         03  W800-PENALTY-PERIOD         PIC X(25).                     </t>
  </si>
  <si>
    <t xml:space="preserve">                PERFORM P8000-GRAVAR-REGISTO</t>
  </si>
  <si>
    <t xml:space="preserve">               WHEN W400-REF-TIPO-CARTA-1</t>
  </si>
  <si>
    <t xml:space="preserve">          COPY BGOW0001.</t>
  </si>
  <si>
    <t>PJG#1      END-EVALUATE.</t>
  </si>
  <si>
    <t xml:space="preserve">           ADD 1 TO REG-LIDOS</t>
  </si>
  <si>
    <t xml:space="preserve">         03  W800-CHIP-MORADA2           PIC X(40).</t>
  </si>
  <si>
    <t xml:space="preserve">         03  W800-PENALTY-PERCENT        PIC X(04).                     </t>
  </si>
  <si>
    <t xml:space="preserve">      *      BLOCO INICIAL DO PROGRAMA                              *</t>
  </si>
  <si>
    <t xml:space="preserve">              DISPLAY 'PGOC023A: ERRO OPEN QZINPUT. FS=' FSQZINPUT</t>
  </si>
  <si>
    <t xml:space="preserve">                   THRU P8000-GRAVAR-REGISTO-EX</t>
  </si>
  <si>
    <t xml:space="preserve">                 ADD 1 TO CONT-ESCRITA-CARTA-1</t>
  </si>
  <si>
    <t xml:space="preserve">       01  W800-DOCS-AREA.</t>
  </si>
  <si>
    <t xml:space="preserve">         03  W800-CHIP-MORADA3           PIC X(40).</t>
  </si>
  <si>
    <t xml:space="preserve">         03  W800-VALOR-RCIB-PEND        PIC **.***.***.**9,99-.        </t>
  </si>
  <si>
    <t xml:space="preserve">                MOVE 'X002BNCP01'            TO NOME-O-LAYOUT</t>
  </si>
  <si>
    <t xml:space="preserve">               WHEN W400-REF-TIPO-CARTA-2</t>
  </si>
  <si>
    <t xml:space="preserve">       01 LX080BNCAB1                      PIC X(252).</t>
  </si>
  <si>
    <t xml:space="preserve">       P100-LEITURA-EXIT.</t>
  </si>
  <si>
    <t xml:space="preserve">      *** CERTIFICADO DE TARIFACAO ***</t>
  </si>
  <si>
    <t xml:space="preserve">         03  W800-CHIP-MORADA4           PIC X(40).</t>
  </si>
  <si>
    <t xml:space="preserve">       B10-START.</t>
  </si>
  <si>
    <t xml:space="preserve">                 ADD 1 TO CONT-ESCRITA-CARTA-2</t>
  </si>
  <si>
    <t xml:space="preserve">       01 FILLER REDEFINES LX080BNCAB1.</t>
  </si>
  <si>
    <t>PJG#1         PERFORM P00-TRATA-PARM        THRU P00-EXIT</t>
  </si>
  <si>
    <t xml:space="preserve">           CLOSE QZINPUT</t>
  </si>
  <si>
    <t xml:space="preserve">         03  W800-OUTPUT-NCD.</t>
  </si>
  <si>
    <t xml:space="preserve">         03  W800-CHIP-DATA              PIC X(32).</t>
  </si>
  <si>
    <t xml:space="preserve">       01  W800-OUTPUT-AGENTE.                                          </t>
  </si>
  <si>
    <t xml:space="preserve">           INITIALIZE W100-SYSTEM-SWITCHES</t>
  </si>
  <si>
    <t xml:space="preserve">             END-EVALUATE</t>
  </si>
  <si>
    <t xml:space="preserve">          02 X080BNCAB1-COMP-MARC          PIC X(002).</t>
  </si>
  <si>
    <t>PJG#1      ELSE</t>
  </si>
  <si>
    <t xml:space="preserve">           05  W800-LETTER-CLIENT-T      PIC X(01)  VALUE 'T'.</t>
  </si>
  <si>
    <t xml:space="preserve">         03  W800-CHIP-IDENTIFICA-DOC    PIC X(24).</t>
  </si>
  <si>
    <t xml:space="preserve">         03  W800-AGENT-TYPE             PIC X(01).                     </t>
  </si>
  <si>
    <t xml:space="preserve">                      W400-LOCAL-VARIABLES</t>
  </si>
  <si>
    <t xml:space="preserve">          02 X080BNCAB1-DADOS-ENDERECO     PIC X(222).</t>
  </si>
  <si>
    <t>PJG#1         SET W100-TRATA-LAYOUT           TO TRUE</t>
  </si>
  <si>
    <t xml:space="preserve">              DISPLAY 'PGOC009A: ERRO CLOSE QZINPUT. FS=' FSQZINPUT</t>
  </si>
  <si>
    <t xml:space="preserve">       P200-TRATAMENTO-001.</t>
  </si>
  <si>
    <t xml:space="preserve">           05  W800-ADDRESSEE            PIC X(45).</t>
  </si>
  <si>
    <t xml:space="preserve">         03  W800-CHIP-REGISTO-CTT       PIC X(17)  VALUE SPACES.</t>
  </si>
  <si>
    <t xml:space="preserve">             88  W800-TYPE4                         VALUE '4'.          </t>
  </si>
  <si>
    <t xml:space="preserve">            IF NOT FSQZO-OK</t>
  </si>
  <si>
    <t xml:space="preserve">                PERFORM VARYING WAUX-INDA FROM 1 BY 1 UNTIL</t>
  </si>
  <si>
    <t xml:space="preserve">          02 X080BNCAB1-LT-IDENTIFICA-DOC  PIC X(024).</t>
  </si>
  <si>
    <t>PJG#1         SET W100-NO-FICH                TO TRUE</t>
  </si>
  <si>
    <t xml:space="preserve">           05  W800-ADDRESS-1            PIC X(40).</t>
  </si>
  <si>
    <t xml:space="preserve">         03  W800-CHIP-NUMERO-CTT        PIC X(13)  VALUE SPACES.</t>
  </si>
  <si>
    <t xml:space="preserve">             88  W800-TYPE5                         VALUE '5'.          </t>
  </si>
  <si>
    <t xml:space="preserve">      *** INICIALIZACOES ***</t>
  </si>
  <si>
    <t xml:space="preserve">               DISPLAY 'PGOC023A: ERRO OPEN QZOUTPUT. FS=' FSQZOUTPUT</t>
  </si>
  <si>
    <t xml:space="preserve">                  (BUSK410A-R1-RECIBO(WAUX-INDA) = SPACES OR ZEROS)</t>
  </si>
  <si>
    <t xml:space="preserve">           IF W400-REF-TIPO-REGISTO = 'B' AND</t>
  </si>
  <si>
    <t xml:space="preserve">          02 X080BNCAB1-COD-BALCAO         PIC X(004).</t>
  </si>
  <si>
    <t xml:space="preserve">           05  W800-ADDRESS-2            PIC X(40).</t>
  </si>
  <si>
    <t xml:space="preserve">         03  W800-CHIP-ADERENTE          PIC X(08)  VALUE SPACES.</t>
  </si>
  <si>
    <t xml:space="preserve">         03  W800-AGENT-ROYALMAIL        PIC X(22).                     </t>
  </si>
  <si>
    <t xml:space="preserve">           MOVE SPACES                        TO CODBAR</t>
  </si>
  <si>
    <t xml:space="preserve">               GO TO FIM-ANORMAL</t>
  </si>
  <si>
    <t xml:space="preserve">                   OR WAUX-INDA GREATER 14</t>
  </si>
  <si>
    <t xml:space="preserve">              W400-CONT-AREA-RECIBO  = 2</t>
  </si>
  <si>
    <t xml:space="preserve">              WHEN RU-CDC1</t>
  </si>
  <si>
    <t xml:space="preserve">           05  W800-ADDRESS-3            PIC X(40).</t>
  </si>
  <si>
    <t xml:space="preserve">         03  W800-CHIP-BALCAO            PIC X(04)  VALUE SPACES.</t>
  </si>
  <si>
    <t xml:space="preserve">         03  W800-AGENT-NOME             PIC X(40).                     </t>
  </si>
  <si>
    <t xml:space="preserve">           MOVE 1                             TO CODBAR-NPAG-DOC</t>
  </si>
  <si>
    <t xml:space="preserve">            END-IF</t>
  </si>
  <si>
    <t xml:space="preserve">                   MOVE BUSK410A-R1-RECIBO (WAUX-INDA)</t>
  </si>
  <si>
    <t xml:space="preserve">              PERFORM TRATA-ULTIMO-RECIBO  THRU TRATA-ULTIMO-RECIBO-EX</t>
  </si>
  <si>
    <t xml:space="preserve">       01 X080BNCAB1-DADOS-CLIENTE-AUX     PIC X(222).</t>
  </si>
  <si>
    <t>PJG#1 *** TRATA COM OPCAO DE FICHEIRO &lt;QZFICH&gt; ***</t>
  </si>
  <si>
    <t>PJG#1 *** FECHA FICHEIRO DE OUTPUT &lt;QZFICH&gt; ***</t>
  </si>
  <si>
    <t xml:space="preserve">              WHEN RU-CCAG</t>
  </si>
  <si>
    <t xml:space="preserve">           05  W800-ADDRESS-4            PIC X(40).</t>
  </si>
  <si>
    <t xml:space="preserve">         03  W800-CHIP-CPOSTAL           PIC X(08).</t>
  </si>
  <si>
    <t xml:space="preserve">         03  W800-AGENT-MORADA1          PIC X(40).                     </t>
  </si>
  <si>
    <t xml:space="preserve">           MOVE ZEROS                         TO CODBAR-NSEQ-DOC</t>
  </si>
  <si>
    <t xml:space="preserve">                     TO X002BNCL00-O-NR-RECIBO</t>
  </si>
  <si>
    <t xml:space="preserve">       01 FILLER REDEFINES X080BNCAB1-DADOS-CLIENTE-AUX.</t>
  </si>
  <si>
    <t>PJG#1      IF W100-TRATA-FICH</t>
  </si>
  <si>
    <t xml:space="preserve">              WHEN RU-CAVR</t>
  </si>
  <si>
    <t xml:space="preserve">           05  W800-POLICY-NUMBER        PIC X(16).</t>
  </si>
  <si>
    <t xml:space="preserve">         03  W800-CHIP-APOLICE           PIC X(16).</t>
  </si>
  <si>
    <t xml:space="preserve">         03  W800-AGENT-MORADA2          PIC X(40).                     </t>
  </si>
  <si>
    <t xml:space="preserve">                   MOVE BUSK410A-R1-VALOR (WAUX-INDA)</t>
  </si>
  <si>
    <t xml:space="preserve">           DISPLAY 'CONT-LER-CARTA-1    '  CONT-LER-CARTA-1</t>
  </si>
  <si>
    <t xml:space="preserve">          02 X080BNCAB1-CL-ROYAL-MAIL-4S   PIC X(022).</t>
  </si>
  <si>
    <t xml:space="preserve">              ...</t>
  </si>
  <si>
    <t xml:space="preserve">           05  W800-EFFECTIVE-DATE       PIC X(11).</t>
  </si>
  <si>
    <t xml:space="preserve">         03  W800-CHIP-TEXTO-LIVRE       PIC X(40)  VALUE SPACES.</t>
  </si>
  <si>
    <t xml:space="preserve">         03  W800-AGENT-MORADA3          PIC X(40).                     </t>
  </si>
  <si>
    <t xml:space="preserve">           MOVE W600-LT-THIS-PROG             TO CODBAR-PROGRAMA.</t>
  </si>
  <si>
    <t xml:space="preserve">                     TO X002BNCL00-O-TOT-REC</t>
  </si>
  <si>
    <t xml:space="preserve">           DISPLAY 'CONT-LER-CARTA-2    '  CONT-LER-CARTA-2</t>
  </si>
  <si>
    <t xml:space="preserve">          02 X080BNCAB1-CL-NOME            PIC X(040).</t>
  </si>
  <si>
    <t>PJG#1         MOVE 'F'                        TO W400-OPERACAO</t>
  </si>
  <si>
    <t xml:space="preserve">           05  W800-EXPIRY-DATE          PIC X(11).</t>
  </si>
  <si>
    <t xml:space="preserve">         03  W800-AGENT-MORADA4          PIC X(40).                     </t>
  </si>
  <si>
    <t xml:space="preserve">           MOVE '1023'                        TO CODBAR-IDENTIF-DOCUM</t>
  </si>
  <si>
    <t xml:space="preserve">           INITIALIZE CONTADOR-VIDA-RISCO</t>
  </si>
  <si>
    <t xml:space="preserve">                   STRING BUSK410A-R1-DT-INI-REC(WAUX-INDA)</t>
  </si>
  <si>
    <t xml:space="preserve">           DISPLAY 'CONT-LER-CARTA-3    '  CONT-LER-CARTA-3</t>
  </si>
  <si>
    <t xml:space="preserve">          02 X080BNCAB1-CL-MORADA1         PIC X(040).</t>
  </si>
  <si>
    <t>PJG#1         EVALUATE TRUE</t>
  </si>
  <si>
    <t xml:space="preserve">                IF RU-C-VIADIRECTA</t>
  </si>
  <si>
    <t xml:space="preserve">           05  W800-CAN-EFF-DATE         PIC X(11).</t>
  </si>
  <si>
    <t xml:space="preserve">       01  W800-PRINT-RECORD.</t>
  </si>
  <si>
    <t xml:space="preserve">         03  W800-AGENT-NUMBER           PIC X(10).                     </t>
  </si>
  <si>
    <t xml:space="preserve">           SET CODBAR-ORIG-COGEN33            TO TRUE</t>
  </si>
  <si>
    <t xml:space="preserve">                      CONTADOR-PAGINA</t>
  </si>
  <si>
    <t xml:space="preserve">                          ' a '</t>
  </si>
  <si>
    <t xml:space="preserve">           DISPLAY 'CONT-LER-CARTA-4    '  CONT-LER-CARTA-4</t>
  </si>
  <si>
    <t xml:space="preserve">          02 X080BNCAB1-CL-MORADA2         PIC X(040).</t>
  </si>
  <si>
    <t>PJG#1             WHEN W400-TRATA-COMP-MARCA EQUAL '111001'</t>
  </si>
  <si>
    <t xml:space="preserve">                   IF RU-DOC-CANCEL OR RU-CARTA</t>
  </si>
  <si>
    <t xml:space="preserve">           05  W800-POST-CODE-DESC       PIC X(30).</t>
  </si>
  <si>
    <t xml:space="preserve">         03  W800-TIPO-OVERLAY           PIC X(01).</t>
  </si>
  <si>
    <t xml:space="preserve">         03  W800-GENERAL-DATA           PIC X(298).                    </t>
  </si>
  <si>
    <t xml:space="preserve">      *** FORMATA COM DATA DE EXECUCAO ***</t>
  </si>
  <si>
    <t xml:space="preserve">                      CONTROLE-DOC-ORIGEM</t>
  </si>
  <si>
    <t xml:space="preserve">              DISPLAY 'PGOC038A: ERRO OPEN DO QZCOPY. FS=' FSQZCOPY</t>
  </si>
  <si>
    <t xml:space="preserve">                          BUSK410A-R1-DT-FIM-REC(WAUX-INDA)</t>
  </si>
  <si>
    <t xml:space="preserve">          02 X080BNCAB1-CL-MORADA3         PIC X(040).</t>
  </si>
  <si>
    <t>PJG#1                MOVE 'VO'                TO W400-COMPANHIA</t>
  </si>
  <si>
    <t xml:space="preserve">                      PERFORM P230-PREENCHE-TIPO-CARTA</t>
  </si>
  <si>
    <t xml:space="preserve">           05  W800-VEH-REG-NUMBER       PIC X(25).</t>
  </si>
  <si>
    <t xml:space="preserve">             88  W800-TIPO1                         VALUE '1'.</t>
  </si>
  <si>
    <t xml:space="preserve">           MOVE FUNCTION CURRENT-DATE         TO CODBAR-TIMESTAMP</t>
  </si>
  <si>
    <t xml:space="preserve">                      CONTROLE-DOC-ORIG-A</t>
  </si>
  <si>
    <t xml:space="preserve">                          DELIMITED BY SIZE</t>
  </si>
  <si>
    <t xml:space="preserve">          02 X080BNCAB1-CL-MORADA4         PIC X(040).</t>
  </si>
  <si>
    <t>PJG#1             WHEN W400-TRATA-COMP-MARCA EQUAL '111005'</t>
  </si>
  <si>
    <t xml:space="preserve">           DISPLAY 'PGOC009A: LIDOS:    ' REG-LIDOS</t>
  </si>
  <si>
    <t xml:space="preserve">                         THRU P230-PREENCHE-TIPO-CARTA-EX</t>
  </si>
  <si>
    <t xml:space="preserve">           05  W800-TEXT-SITUATION       PIC X(50).</t>
  </si>
  <si>
    <t xml:space="preserve">             88  W800-TIPO2                         VALUE '2'.</t>
  </si>
  <si>
    <t xml:space="preserve">       01  W800-OUTPUT-NOTICE.                                          </t>
  </si>
  <si>
    <t>PJG#1**               CONTADOR-MAPA</t>
  </si>
  <si>
    <t xml:space="preserve">                         INTO X002BNCL00-O-DT-PERIODO</t>
  </si>
  <si>
    <t xml:space="preserve">           DISPLAY 'CONT-ESCRITA-CARTA-1 ' CONT-ESCRITA-CARTA-1</t>
  </si>
  <si>
    <t>PJG#1                MOVE 'VC'                TO W400-COMPANHIA</t>
  </si>
  <si>
    <t xml:space="preserve">           DISPLAY 'PGOC009A: ESCRITOS: ' REG-ESCRITOS</t>
  </si>
  <si>
    <t xml:space="preserve">                   END-IF</t>
  </si>
  <si>
    <t xml:space="preserve">           05  W800-CANC-REASON          PIC X(25).</t>
  </si>
  <si>
    <t xml:space="preserve">             88  W800-TIPO3                         VALUE '3'.</t>
  </si>
  <si>
    <t xml:space="preserve">         03  W800-NOTICE-NUMBER          PIC X(10).                     </t>
  </si>
  <si>
    <t xml:space="preserve">      *** ABRE OS FICHEIROS ***</t>
  </si>
  <si>
    <t xml:space="preserve">                      LINHA1-CABECALHO</t>
  </si>
  <si>
    <t xml:space="preserve">                   END-STRING</t>
  </si>
  <si>
    <t xml:space="preserve">           DISPLAY 'CONT-ESCRITA-CARTA-2 ' CONT-ESCRITA-CARTA-2</t>
  </si>
  <si>
    <t xml:space="preserve">       01 X080BNCAB1-DADOS-MEDIAD-AUX     PIC X(222).</t>
  </si>
  <si>
    <t>PJG#1             WHEN W400-TRATA-COMP-MARCA EQUAL '128002'</t>
  </si>
  <si>
    <t xml:space="preserve">                ELSE</t>
  </si>
  <si>
    <t xml:space="preserve">           05  W800-TRAN-AMOUNT-EUR      PIC X(20).</t>
  </si>
  <si>
    <t xml:space="preserve">         03  W800-PRODUCT-CODE-DESC      PIC X(30).</t>
  </si>
  <si>
    <t xml:space="preserve">         03  W800-PERIODO-2              PIC X(25).                     </t>
  </si>
  <si>
    <t xml:space="preserve">                      LINHA2-CABECALHO</t>
  </si>
  <si>
    <t xml:space="preserve">                   MOVE 'X002BNCL01'            TO NOME-O-LAYOUT</t>
  </si>
  <si>
    <t xml:space="preserve">           DISPLAY 'CONT-ESCRITA-CARTA-3 ' CONT-ESCRITA-CARTA-3</t>
  </si>
  <si>
    <t xml:space="preserve">       01 FILLER REDEFINES X080BNCAB1-DADOS-MEDIAD-AUX.</t>
  </si>
  <si>
    <t>PJG#1                MOVE 'FM'                TO W400-COMPANHIA</t>
  </si>
  <si>
    <t xml:space="preserve">                   PERFORM P230-PREENCHE-TIPO-CARTA</t>
  </si>
  <si>
    <t xml:space="preserve">           05  W800-FOOTER-DATE          PIC X(32).</t>
  </si>
  <si>
    <t xml:space="preserve">         03  W800-NR-APOLICE             PIC X(16).</t>
  </si>
  <si>
    <t xml:space="preserve">         03  W800-AMOUNT                 PIC --.---.---.---,--.         </t>
  </si>
  <si>
    <t xml:space="preserve">                OUTPUT QZOUTPUT</t>
  </si>
  <si>
    <t xml:space="preserve">                      LINHA3-CABECALHO</t>
  </si>
  <si>
    <t xml:space="preserve">                   MOVE LENGTH OF LX002BNCL00-O TO QZOLEN</t>
  </si>
  <si>
    <t xml:space="preserve">           DISPLAY 'CONT-ESCRITA-CARTA-4 ' CONT-ESCRITA-CARTA-4</t>
  </si>
  <si>
    <t xml:space="preserve">          02 X080BNCAB1-MD-ROYAL-MAIL-4S   PIC X(022).</t>
  </si>
  <si>
    <t>PJG#1             WHEN W400-TRATA-COMP-MARCA EQUAL '138003'</t>
  </si>
  <si>
    <t xml:space="preserve">                      THRU P230-PREENCHE-TIPO-CARTA-EX</t>
  </si>
  <si>
    <t xml:space="preserve">           05  W800-CBARRAS              PIC X(22).</t>
  </si>
  <si>
    <t xml:space="preserve">         03  W800-DUE-DATE               PIC X(11).</t>
  </si>
  <si>
    <t xml:space="preserve">                      LINHA4-CABECALHO</t>
  </si>
  <si>
    <t xml:space="preserve">              DISPLAY 'PGOC038A: ERRO OPEN QZINPUT. FS=' FSQZINPUT</t>
  </si>
  <si>
    <t xml:space="preserve">                   PERFORM P8000-GRAVAR-REGISTO</t>
  </si>
  <si>
    <t xml:space="preserve">          02 X080BNCAB1-MD-NOME            PIC X(040).</t>
  </si>
  <si>
    <t>PJG#1                MOVE 'IB'                TO W400-COMPANHIA</t>
  </si>
  <si>
    <t xml:space="preserve">                END-IF</t>
  </si>
  <si>
    <t xml:space="preserve">         03  W800-CANCEL-DATE            PIC X(11).</t>
  </si>
  <si>
    <t xml:space="preserve">       01  W800-OUTPUT-CRT-AGT.                                         </t>
  </si>
  <si>
    <t xml:space="preserve">           IF NOT W400-ST-QZINPUT-OK</t>
  </si>
  <si>
    <t xml:space="preserve">                      RESTO-F-B-SELECT</t>
  </si>
  <si>
    <t xml:space="preserve">                      THRU P8000-GRAVAR-REGISTO-EX</t>
  </si>
  <si>
    <t xml:space="preserve">          02 X080BNCAB1-MD-MORADA1         PIC X(040).</t>
  </si>
  <si>
    <t>PJG#1             WHEN W400-TRATA-COMP-MARCA EQUAL '138004'</t>
  </si>
  <si>
    <t xml:space="preserve">         03  W800-OCCURRENCE-NUMBER.</t>
  </si>
  <si>
    <t xml:space="preserve">         03  W800-MORE-NOTICE-TEXT       PIC X(28).</t>
  </si>
  <si>
    <t xml:space="preserve">         03  FILLER                      PIC X(80)  VALUE SPACES.       </t>
  </si>
  <si>
    <t xml:space="preserve">              DISPLAY 'ERRO DE OPEN &lt;FICH QZINPUT&gt;.: ' W400-ST-QZINPUT</t>
  </si>
  <si>
    <t xml:space="preserve">                      QUOCIENTE-F-B-SELECT</t>
  </si>
  <si>
    <t xml:space="preserve">                END-PERFORM</t>
  </si>
  <si>
    <t xml:space="preserve">          02 X080BNCAB1-MD-MORADA2         PIC X(040).</t>
  </si>
  <si>
    <t>PJG#1                MOVE 'IC'                TO W400-COMPANHIA</t>
  </si>
  <si>
    <t xml:space="preserve">           05  W800-OCCUR-NUMBER         PIC ZZ.</t>
  </si>
  <si>
    <t xml:space="preserve">         03  W800-DATA-DOC               PIC X(32).</t>
  </si>
  <si>
    <t xml:space="preserve">         03  W800-COMP-MARC              PIC X(02).                     </t>
  </si>
  <si>
    <t xml:space="preserve">              PERFORM Z10-CALL-ABEND</t>
  </si>
  <si>
    <t xml:space="preserve">                      TOTDOCS</t>
  </si>
  <si>
    <t xml:space="preserve">           CLOSE  QZINPUT QZOUTPUT.</t>
  </si>
  <si>
    <t xml:space="preserve">          02 X080BNCAB1-MD-MORADA3         PIC X(040).</t>
  </si>
  <si>
    <t>PJG#1             WHEN W400-TRATA-COMP-MARCA EQUAL '148006'</t>
  </si>
  <si>
    <t xml:space="preserve">           READ QZINPUT INTO NZ44DU01-PRINT-RECORD</t>
  </si>
  <si>
    <t xml:space="preserve">           05  W800-OCCUR-TEXT           PIC X(23).</t>
  </si>
  <si>
    <t xml:space="preserve">         03  W800-PAGINA                 PIC X(11).</t>
  </si>
  <si>
    <t xml:space="preserve">         03  FILLER                      PIC X(10)  VALUE SPACES.       </t>
  </si>
  <si>
    <t xml:space="preserve">                      REG-LIDOS</t>
  </si>
  <si>
    <t xml:space="preserve">                MOVE 'Total a pagar (€):' TO X002BNCL00-O-TEXTO-LIVRE</t>
  </si>
  <si>
    <t xml:space="preserve">          02 X080BNCAB1-MD-MORADA4         PIC X(040).</t>
  </si>
  <si>
    <t>PJG#1                MOVE 'FC'                TO W400-COMPANHIA</t>
  </si>
  <si>
    <t xml:space="preserve">                AT END SET FSQZI-EOF TO TRUE</t>
  </si>
  <si>
    <t xml:space="preserve">         03  W800-PRINT-2-VIA.</t>
  </si>
  <si>
    <t xml:space="preserve">         03  W800-ROYAL-MAIL-4S          PIC X(22).                     </t>
  </si>
  <si>
    <t xml:space="preserve">                      REG-ESCRITOS</t>
  </si>
  <si>
    <t xml:space="preserve">                MOVE BUSK410A-TOT-REC  TO X002BNCL00-O-TOT-REC</t>
  </si>
  <si>
    <t xml:space="preserve">              DISPLAY 'PGOC421A: ERRO CLOSE DO QZINPUT. FS=' FSQZINPUT</t>
  </si>
  <si>
    <t>PJG#1         END-EVALUATE</t>
  </si>
  <si>
    <t xml:space="preserve">       P200-TRATAMENTO-001-EX.</t>
  </si>
  <si>
    <t xml:space="preserve">         03  W800-OCCURRENCE-TABLE       PIC X(65).</t>
  </si>
  <si>
    <t xml:space="preserve">           05  W800-TRACO                PIC X(22).</t>
  </si>
  <si>
    <t xml:space="preserve">         03  W800-CRT-NOME               PIC X(40).                     </t>
  </si>
  <si>
    <t xml:space="preserve">           IF NOT W400-ST-QZOUTPUT-OK</t>
  </si>
  <si>
    <t xml:space="preserve">               DISPLAY 'PGOC038A: ERRO OPEN QZOUTPUT. FS=' FSQZOUTPUT</t>
  </si>
  <si>
    <t xml:space="preserve">                MOVE 'X002BNCX01'            TO NOME-O-LAYOUT</t>
  </si>
  <si>
    <t xml:space="preserve">       01 LX080BNCHIP                      PIC X(612).</t>
  </si>
  <si>
    <t xml:space="preserve">         03  FILLER  REDEFINES  W800-OCCURRENCE-TABLE.</t>
  </si>
  <si>
    <t xml:space="preserve">           05  W800-DESCRICAO            PIC X(06).</t>
  </si>
  <si>
    <t xml:space="preserve">         03  W800-CRT-MORADA1            PIC X(40).                     </t>
  </si>
  <si>
    <t xml:space="preserve">              DISPLAY 'ERRO DE OPEN &lt;FICH QZOUTPUT&gt;: ' W400-ST-QZOUTPUT</t>
  </si>
  <si>
    <t>PJG#1      MOVE FUNCTION CURRENT-DATE          TO WAUX-TIMESTAMP</t>
  </si>
  <si>
    <t xml:space="preserve">       01 FILLER REDEFINES LX080BNCHIP.</t>
  </si>
  <si>
    <t>PJG#1         MOVE 'T'                        TO W400-OPERACAO</t>
  </si>
  <si>
    <t xml:space="preserve">           05  W800-OCCUR-TABLE OCCURS 6 TIMES.</t>
  </si>
  <si>
    <t xml:space="preserve">           05  W800-EMISSAO              PIC X(11).</t>
  </si>
  <si>
    <t xml:space="preserve">         03  W800-CRT-MORADA2            PIC X(40).                     </t>
  </si>
  <si>
    <t>PJG#1      MOVE WAUX-TIMESTAMP(07:02)          TO WAUX-TSDIA</t>
  </si>
  <si>
    <t xml:space="preserve">          02 X080BNCHIP-TRACO              PIC X(020).</t>
  </si>
  <si>
    <t>PJG#1         MOVE 'BGOW9001'                 TO W400-COPYNAME</t>
  </si>
  <si>
    <t xml:space="preserve">              DISPLAY 'PGOC009A: ERRO READ QZINPUT. FS=' FSQZINPUT</t>
  </si>
  <si>
    <t xml:space="preserve">       P110-PREENCHE-CODBAR.</t>
  </si>
  <si>
    <t xml:space="preserve">             07  W800-OCCUR-DATE         PIC X(10).</t>
  </si>
  <si>
    <t xml:space="preserve">           05  W800-DATE                 PIC X(11).</t>
  </si>
  <si>
    <t xml:space="preserve">         03  W800-CRT-MORADA3            PIC X(40).                     </t>
  </si>
  <si>
    <t>PJG#1      MOVE WAUX-TIMESTAMP(05:02)          TO WAUX-TSMES</t>
  </si>
  <si>
    <t xml:space="preserve">              DISPLAY 'PGOC421A: ERRO CLOSE DO QZOUTPUT. FS=' FSQZOUTPUT</t>
  </si>
  <si>
    <t xml:space="preserve">          02 X080BNCHIP-DESCRICAO          PIC X(006).</t>
  </si>
  <si>
    <t>PJG#1         MOVE 'F'                        TO W400-CANAL</t>
  </si>
  <si>
    <t xml:space="preserve">           INITIALIZE CC-CODBAR-NLIN-DOC</t>
  </si>
  <si>
    <t xml:space="preserve">             07  W800-OCCUR-FILLER       PIC X(01).</t>
  </si>
  <si>
    <t xml:space="preserve">         03  W800-PRINT-VEICULOS.</t>
  </si>
  <si>
    <t xml:space="preserve">         03  W800-CRT-MORADA4            PIC X(40).                     </t>
  </si>
  <si>
    <t>PJG#1      MOVE WAUX-TIMESTAMP(01:04)          TO WAUX-TSANO</t>
  </si>
  <si>
    <t xml:space="preserve">                ADD 1 TO WAUX-ENV-MEDIADOR</t>
  </si>
  <si>
    <t xml:space="preserve">          02 X080BNCHIP-EMISSAO-DATE       PIC X(011).</t>
  </si>
  <si>
    <t>PJG#1         MOVE 'P002'                     TO W400-COD-DOC</t>
  </si>
  <si>
    <t xml:space="preserve">           05  W800-CAMPO-LIVRE  OCCURS 9 TIMES.</t>
  </si>
  <si>
    <t xml:space="preserve">         03  FILLER                      PIC X(20)  VALUE SPACES.       </t>
  </si>
  <si>
    <t xml:space="preserve">      *** PRIMEIRA LEITURA AO FICHEIRO DE INPUT ***</t>
  </si>
  <si>
    <t>PJG#1      MOVE WAUX-TIMESTAMP(09:02)          TO WAUX-TSHH</t>
  </si>
  <si>
    <t xml:space="preserve">           INITIALIZE WORK-O-BGOW0020</t>
  </si>
  <si>
    <t xml:space="preserve">          02 X080BNCHIP-DATE               PIC X(011).</t>
  </si>
  <si>
    <t>PJG#1         MOVE NZ5PDU01-PRINT-RECORD      TO W400-REGISTO</t>
  </si>
  <si>
    <t xml:space="preserve">              WHEN RU-C-VIADIRECTA</t>
  </si>
  <si>
    <t xml:space="preserve">      *** CARTA PARA A COMPANHIA DE LEASING ***</t>
  </si>
  <si>
    <t xml:space="preserve">             07  W800-FIELD              PIC X(90).</t>
  </si>
  <si>
    <t xml:space="preserve">         03  W800-LT-IDENTIFICA-DOC      PIC X(24).                     </t>
  </si>
  <si>
    <t xml:space="preserve">           PERFORM X10-READ-QZINPUT         THRU X10-EXIT.</t>
  </si>
  <si>
    <t>PJG#1      MOVE WAUX-TIMESTAMP(11:02)          TO WAUX-TSMM</t>
  </si>
  <si>
    <t xml:space="preserve">                      CONTADOR-VIDA-RISCO</t>
  </si>
  <si>
    <t xml:space="preserve">      *       carta 30 dias</t>
  </si>
  <si>
    <t xml:space="preserve">          02 X080BNCHIP-PRODUCT-DESC       PIC X(030).</t>
  </si>
  <si>
    <t xml:space="preserve">           IF NZ44DU01-POLICY-BASIC-DATA</t>
  </si>
  <si>
    <t xml:space="preserve">                 EVALUATE TRUE</t>
  </si>
  <si>
    <t xml:space="preserve">         03  W800-HEADER-LETTER-LEASING.</t>
  </si>
  <si>
    <t>PJG#1      MOVE WAUX-TIMESTAMP(13:02)          TO WAUX-TSSS</t>
  </si>
  <si>
    <t xml:space="preserve">           DISPLAY 'PGOC421A: FIM DA PASSAGEM SEGUINTE NO QZINPUT'.</t>
  </si>
  <si>
    <t xml:space="preserve">          02 X080BNCHIP-POLICY             PIC X(010).</t>
  </si>
  <si>
    <t xml:space="preserve">              ADD 1 TO REG-LIDOS</t>
  </si>
  <si>
    <t xml:space="preserve">                    WHEN RU-M-OKTELESEGURO</t>
  </si>
  <si>
    <t xml:space="preserve">           05  W800-HD-ENT-TITULO1       PIC X(40)  VALUE SPACES.</t>
  </si>
  <si>
    <t xml:space="preserve">       01  W800-PRINT-INVOICE.</t>
  </si>
  <si>
    <t xml:space="preserve">       01  W800-OUTPUT-DATA.                                            </t>
  </si>
  <si>
    <t xml:space="preserve">       B10-EXIT.</t>
  </si>
  <si>
    <t xml:space="preserve">                      CONTADOR-MAPA</t>
  </si>
  <si>
    <t xml:space="preserve">                MOVE 'X002BNC002'            TO NOME-O-LAYOUT</t>
  </si>
  <si>
    <t xml:space="preserve">       TRATA-EXIT.</t>
  </si>
  <si>
    <t xml:space="preserve">          02 X080BNCHIP-CANCELL-DATE       PIC X(011).</t>
  </si>
  <si>
    <t>PJG#1         IF W500-GRAVA-REGISTO EQUAL 'S'</t>
  </si>
  <si>
    <t xml:space="preserve">                       SET CODBAR-VD-OK TO TRUE</t>
  </si>
  <si>
    <t xml:space="preserve">           05  W800-HD-ENT-TITULO2       PIC X(40)  VALUE SPACES.</t>
  </si>
  <si>
    <t xml:space="preserve">         03  W800-INVOICE-NR             PIC X(10).</t>
  </si>
  <si>
    <t xml:space="preserve">         03  W800-DATADODIA              PIC X(23).                     </t>
  </si>
  <si>
    <t xml:space="preserve">          02 X080BNCHIP-CHIP-CAMPOX.</t>
  </si>
  <si>
    <t xml:space="preserve">       P2100-LEITURA-EX.</t>
  </si>
  <si>
    <t>PJG#1            PERFORM P210-GRAVAR-REGISTO THRU P210-GRAVAR-REGISTO-EX</t>
  </si>
  <si>
    <t xml:space="preserve">                    WHEN RU-M-CONTINENTE</t>
  </si>
  <si>
    <t xml:space="preserve">           05  W800-HD-ENT-COMP-MARC     PIC X(02).</t>
  </si>
  <si>
    <t xml:space="preserve">         03  W800-START-END-DATE         PIC X(25).</t>
  </si>
  <si>
    <t xml:space="preserve">       TRATA-CARTA-1-2.</t>
  </si>
  <si>
    <t xml:space="preserve">             03 X080-CHIP-CAMPOXX OCCURS 7 TIMES.</t>
  </si>
  <si>
    <t>PJG#1         END-IF</t>
  </si>
  <si>
    <t xml:space="preserve">                       SET CODBAR-VD-SONAE TO TRUE</t>
  </si>
  <si>
    <t xml:space="preserve">           05  W800-HD-ENT-ROYAL-MAIL-4S PIC X(22).</t>
  </si>
  <si>
    <t xml:space="preserve">         03  W800-INVOICE-VLR            PIC ZZZ.ZZZ.ZZ9,99-.</t>
  </si>
  <si>
    <t xml:space="preserve">           UNTIL FSQZT-EOF OR FSQZC-EOF.</t>
  </si>
  <si>
    <t xml:space="preserve">                      LINHA-CABECALHO</t>
  </si>
  <si>
    <t xml:space="preserve">                04 X080-CHIP-FLD           PIC X(070).</t>
  </si>
  <si>
    <t xml:space="preserve">              MOVE 'S' TO W500-GRAVA-REGISTO</t>
  </si>
  <si>
    <t xml:space="preserve">                 END-EVALUATE</t>
  </si>
  <si>
    <t xml:space="preserve">           05  W800-HD-ENT-NOME          PIC X(40).</t>
  </si>
  <si>
    <t xml:space="preserve">      *** COPYBOOK DA ROTINA DE ENDERECAMENTO ***                       </t>
  </si>
  <si>
    <t xml:space="preserve">                MOVE 'X002BNCP02'            TO NOME-O-LAYOUT</t>
  </si>
  <si>
    <t xml:space="preserve">              WHEN BGOW0027-REG-A</t>
  </si>
  <si>
    <t xml:space="preserve">          02 X080BNCHIP-PROCESS-DATE       PIC X(023).</t>
  </si>
  <si>
    <t xml:space="preserve">       P2000-PROCESSO.</t>
  </si>
  <si>
    <t xml:space="preserve">              WHEN RU-C-FIDELIDADEMUNDIAL</t>
  </si>
  <si>
    <t xml:space="preserve">           05  W800-HD-ENT-MORADA1       PIC X(40).</t>
  </si>
  <si>
    <t xml:space="preserve">       01  BGOW0008-AREA.                                               </t>
  </si>
  <si>
    <t xml:space="preserve">       B20-PROCESSO SECTION.</t>
  </si>
  <si>
    <t>MJE#1           MOVE ZEROS TO CONT-RECIBOS</t>
  </si>
  <si>
    <t xml:space="preserve">           05  W800-HD-ENT-MORADA2       PIC X(40).</t>
  </si>
  <si>
    <t xml:space="preserve">      *** COPYBOOK DA ROTINA DE ENDERECAMENTO ***</t>
  </si>
  <si>
    <t xml:space="preserve">           COPY BGOW0008.                                               </t>
  </si>
  <si>
    <t xml:space="preserve">                PERFORM TRATA-DADOS-GERAIS THRU</t>
  </si>
  <si>
    <t>#11   *01 LX080BNENTI                      PIC X(179).</t>
  </si>
  <si>
    <t>PJG#1 *** TRATA COM OPCAO DE LAYOUT ***</t>
  </si>
  <si>
    <t xml:space="preserve">                    WHEN RU-M-FIDELIDADEMUNDIAL</t>
  </si>
  <si>
    <t xml:space="preserve">           05  W800-HD-ENT-MORADA3       PIC X(40).</t>
  </si>
  <si>
    <t xml:space="preserve">           CLOSE QZCOPY</t>
  </si>
  <si>
    <t xml:space="preserve">                        TRATA-DADOS-GERAIS-EX</t>
  </si>
  <si>
    <t>#11    01 LX080BNENTI                      PIC X(222).</t>
  </si>
  <si>
    <t>PJG#1      IF W100-TRATA-LAYOUT</t>
  </si>
  <si>
    <t>PJG#1      EVALUATE NZ44DU01-C-MARC-SGRA</t>
  </si>
  <si>
    <t xml:space="preserve">                       SET CODBAR-FIDMUNDIAL TO TRUE</t>
  </si>
  <si>
    <t xml:space="preserve">           05  W800-HD-ENT-MORADA4       PIC X(40).</t>
  </si>
  <si>
    <t xml:space="preserve">      *** COPYBOOK DE INPUT ***                                         </t>
  </si>
  <si>
    <t xml:space="preserve">      *      BLOCO PRINCIPAL DO PROGRAMA                            *</t>
  </si>
  <si>
    <t xml:space="preserve">       01 FILLER REDEFINES LX080BNENTI.</t>
  </si>
  <si>
    <t xml:space="preserve">           05  W800-HD-ENT-DATA          PIC X(32).</t>
  </si>
  <si>
    <t xml:space="preserve">       01  WORK-INPUT.                                                  </t>
  </si>
  <si>
    <t xml:space="preserve">              DISPLAY 'PGOC023A: ERRO CLOSE QZCOPY. FS=' FSQZCOPY</t>
  </si>
  <si>
    <t xml:space="preserve">                  (BUSK410A-R2-RECIBO(WAUX-INDA) = SPACES OR ZEROS)</t>
  </si>
  <si>
    <t xml:space="preserve">               WHEN BGOW0027-REG-B</t>
  </si>
  <si>
    <t xml:space="preserve">          02 X080BNENTI-CANCELL-DATE       PIC X(011).</t>
  </si>
  <si>
    <t xml:space="preserve">               WHEN NZ5PDU01-NOTICE-DATA</t>
  </si>
  <si>
    <t xml:space="preserve">              WHEN RU-C-IMPERIOBONANCA</t>
  </si>
  <si>
    <t xml:space="preserve">           05  W800-HD-ENT-IDENTIFICA-DOC PIC X(24).</t>
  </si>
  <si>
    <t xml:space="preserve">      *** CONVERSAO IBAN/SWIFT ***</t>
  </si>
  <si>
    <t xml:space="preserve">           COPY BGOW9017.                                               </t>
  </si>
  <si>
    <t xml:space="preserve">       B20-START.</t>
  </si>
  <si>
    <t xml:space="preserve">                   OR WAUX-INDA GREATER 9</t>
  </si>
  <si>
    <t xml:space="preserve">                PERFORM TRATA-DADOS-RECIBOS THRU</t>
  </si>
  <si>
    <t xml:space="preserve">          02 X080BNENTI-TOMADOR            PIC X(040).</t>
  </si>
  <si>
    <t xml:space="preserve">                    ADD 1 TO REG-LIDOS</t>
  </si>
  <si>
    <t xml:space="preserve">           05  W800-HD-ENT-REGISTO-CTT   PIC X(17)  VALUE SPACES.</t>
  </si>
  <si>
    <t xml:space="preserve">       01  BGOW0031-AREA.</t>
  </si>
  <si>
    <t xml:space="preserve">                   MOVE BUSK410A-R2-RECIBO (WAUX-INDA)</t>
  </si>
  <si>
    <t xml:space="preserve">                        TRATA-DADOS-RECIBOS-EX</t>
  </si>
  <si>
    <t xml:space="preserve">          02 X080BNENTI-PROCESS-DATE       PIC X(032).</t>
  </si>
  <si>
    <t xml:space="preserve">                    PERFORM P2900-REGISTOA THRU P2900-REGISTOA-EXIT</t>
  </si>
  <si>
    <t xml:space="preserve">                    WHEN RU-M-IMPERIOBONANCA</t>
  </si>
  <si>
    <t xml:space="preserve">           05  W800-HD-ENT-NUMERO-CTT    PIC X(13)  VALUE SPACES.</t>
  </si>
  <si>
    <t xml:space="preserve">      *** COPYBOOK DO PARM ***                                          </t>
  </si>
  <si>
    <t xml:space="preserve">           PERFORM T10-FRMT-200             THRU T10-EXIT</t>
  </si>
  <si>
    <t xml:space="preserve">              WHEN OTHER</t>
  </si>
  <si>
    <t xml:space="preserve">          02 X080BNENTI-APOL-PROD          PIC X(065).</t>
  </si>
  <si>
    <t xml:space="preserve">               WHEN NZ5PDU01-CLIENT-DATA</t>
  </si>
  <si>
    <t xml:space="preserve">                       SET CODBAR-IMPERIO TO TRUE</t>
  </si>
  <si>
    <t xml:space="preserve">           05  W800-HD-ENT-ADERENTE      PIC X(08)  VALUE SPACES.</t>
  </si>
  <si>
    <t xml:space="preserve">           COPY BGOW0017.                                               </t>
  </si>
  <si>
    <t xml:space="preserve">                      PRODUTO-AUX</t>
  </si>
  <si>
    <t xml:space="preserve">                   MOVE BUSK410A-R2-TOT-REC (WAUX-INDA)</t>
  </si>
  <si>
    <t xml:space="preserve">               DISPLAY 'BGOW0027-TIPO-REGISTO DESCONHECIDO2'</t>
  </si>
  <si>
    <t>#11   *   02 X080BNENTI-OBJECTO-DESC       PIC X(040).</t>
  </si>
  <si>
    <t xml:space="preserve">                    PERFORM P2900-REGISTOB THRU P2900-REGISTOB-EXIT</t>
  </si>
  <si>
    <t xml:space="preserve">                    WHEN RU-M-ICI</t>
  </si>
  <si>
    <t xml:space="preserve">           05  W800-HD-ENT-BALCAO        PIC X(04)  VALUE SPACES.</t>
  </si>
  <si>
    <t xml:space="preserve">      *** COPYBOOK DE INPUT ***</t>
  </si>
  <si>
    <t xml:space="preserve">           INITIALIZE W800-OUTPUT-PAGE</t>
  </si>
  <si>
    <t xml:space="preserve">                      DT-EMISSAO-AUX</t>
  </si>
  <si>
    <t xml:space="preserve">                        BGOW0027-TIPO-REGISTO</t>
  </si>
  <si>
    <t>#11       02 X080BNENTI-OBJECTO-DESC       PIC X(059).</t>
  </si>
  <si>
    <t xml:space="preserve">               WHEN NZ5PDU01-AGENT-DATA</t>
  </si>
  <si>
    <t xml:space="preserve">                       SET CODBAR-ICI TO TRUE</t>
  </si>
  <si>
    <t xml:space="preserve">           05  W800-HD-ENT-CPOSTAL       PIC X(08).</t>
  </si>
  <si>
    <t xml:space="preserve">       01  WORK-INPUT.</t>
  </si>
  <si>
    <t xml:space="preserve">              DISPLAY 'PGOC023A: ERRO CLOSE QZINPUT. FS=' FSQZINPUT</t>
  </si>
  <si>
    <t xml:space="preserve">                   MOVE BUSK410A-R2-DT-VENC-REC (WAUX-INDA)</t>
  </si>
  <si>
    <t xml:space="preserve">               PERFORM FIM-ANORMAL THRU FIM-ANORMAL-EX</t>
  </si>
  <si>
    <t>#11       02 X080BNENTI-NIF-LINE.</t>
  </si>
  <si>
    <t xml:space="preserve">                    PERFORM P2900-REGISTOC THRU P2900-REGISTOC-EXIT</t>
  </si>
  <si>
    <t xml:space="preserve">           05  W800-HD-ENT-APOLICE       PIC X(16).</t>
  </si>
  <si>
    <t xml:space="preserve">           COPY BGOW9016.</t>
  </si>
  <si>
    <t xml:space="preserve">           MOVE NY5D1U01-ADDRESSEE-NAME     TO W800-ADDRESSEE-NAME</t>
  </si>
  <si>
    <t>APUHL * TRATAMENTO PARA LEITURA DA DATA DO PROCESSAMENTO</t>
  </si>
  <si>
    <t xml:space="preserve">                     TO X002BNCL00-O-DT-VENCIMENTO</t>
  </si>
  <si>
    <t xml:space="preserve">           END-EVALUATE.</t>
  </si>
  <si>
    <t>#11          03 X080BNENTI-NIF-LIT         PIC X(006).</t>
  </si>
  <si>
    <t xml:space="preserve">               WHEN NZ5PDU01-PAYMENT-DATA</t>
  </si>
  <si>
    <t xml:space="preserve">              WHEN RU-C-MULTICARE</t>
  </si>
  <si>
    <t xml:space="preserve">           05  W800-HD-ENT-TEXTO-LIVRE   PIC X(40)  VALUE SPACES.</t>
  </si>
  <si>
    <t xml:space="preserve">       LINKAGE SECTION.                                                 </t>
  </si>
  <si>
    <t xml:space="preserve">           MOVE 'N' TO CONTINUA-MAPA</t>
  </si>
  <si>
    <t xml:space="preserve">                   MOVE BUSK410A-R2-MEDIADOR (WAUX-INDA)</t>
  </si>
  <si>
    <t xml:space="preserve">       TRATA-CARTA-1-2-EX.</t>
  </si>
  <si>
    <t>#11          03 X080BNENTI-NIF             PIC X(009).</t>
  </si>
  <si>
    <t xml:space="preserve">                    PERFORM P2900-REGISTOD THRU P2900-REGISTOD-EXIT</t>
  </si>
  <si>
    <t xml:space="preserve">      *** COPYBOOK DO PARM ***</t>
  </si>
  <si>
    <t xml:space="preserve">       01  LS-AREA.                                                     </t>
  </si>
  <si>
    <t xml:space="preserve">           MOVE NY5D1U01-ADDRESSEE-ADDRESS  TO BGOW0008-MORADA1</t>
  </si>
  <si>
    <t xml:space="preserve">           MOVE FUNCTION CURRENT-DATE   TO W400-PROCESS-DATE</t>
  </si>
  <si>
    <t xml:space="preserve">                     TO X002BNCL00-O-MEDIADOR</t>
  </si>
  <si>
    <t xml:space="preserve">               WHEN NZ5PDU01-OBJECTO-DATA</t>
  </si>
  <si>
    <t xml:space="preserve">                    WHEN RU-M-MULTICARE</t>
  </si>
  <si>
    <t xml:space="preserve">         03  W800-OUTPUT-LETTER-LEASING.</t>
  </si>
  <si>
    <t xml:space="preserve">           COPY BGOW0017.</t>
  </si>
  <si>
    <t xml:space="preserve">         03  LS-COMPR-INFO               PIC 9(03) COMP.                </t>
  </si>
  <si>
    <t xml:space="preserve">           MOVE NY5D1U01-ADDRESSEE-ADDRESS-2 TO BGOW0008-MORADA2</t>
  </si>
  <si>
    <t xml:space="preserve">                                           WAUX-TIMESTAMP</t>
  </si>
  <si>
    <t xml:space="preserve">                   MOVE 'X002BNCL02'            TO NOME-O-LAYOUT</t>
  </si>
  <si>
    <t xml:space="preserve">       TRATA-CARTA-3-4.</t>
  </si>
  <si>
    <t xml:space="preserve">       01 LX080BNCTAD                      PIC X(228).</t>
  </si>
  <si>
    <t xml:space="preserve">                    PERFORM P2900-REGISTOE THRU P2900-REGISTOE-EXIT</t>
  </si>
  <si>
    <t xml:space="preserve">                       SET CODBAR-MULTICARE TO TRUE</t>
  </si>
  <si>
    <t xml:space="preserve">           05  W800-LETTER-CLIENT-L      PIC X(01)  VALUE 'L'.</t>
  </si>
  <si>
    <t xml:space="preserve">         03  LS-INFORMACAO               PIC X(100).                    </t>
  </si>
  <si>
    <t xml:space="preserve">           MOVE NY5D1U01-ADDRESSEE-CITY     TO BGOW0008-MORADA3</t>
  </si>
  <si>
    <t xml:space="preserve">           MOVE WAUX-TIMESTAMP(07:02)     TO WAUX-TSDIA</t>
  </si>
  <si>
    <t xml:space="preserve">       01 FILLER REDEFINES LX080BNCTAD.</t>
  </si>
  <si>
    <t xml:space="preserve">               WHEN NZ5PDU01-END-OF-DOCUMENT</t>
  </si>
  <si>
    <t xml:space="preserve">           05  W800-LEASING-POLICY-NR    PIC X(16).</t>
  </si>
  <si>
    <t xml:space="preserve">           MOVE NY5D1U01-POST-CODE-DESCR    TO BGOW0008-MORADA4</t>
  </si>
  <si>
    <t xml:space="preserve">              DISPLAY 'PGOC023A: ERRO CLOSE QZOUTPUT. FS=' FSQZOUTPUT</t>
  </si>
  <si>
    <t xml:space="preserve">           MOVE WAUX-TIMESTAMP(05:02)     TO WAUX-TSMES</t>
  </si>
  <si>
    <t xml:space="preserve">          02 X080BNCTAD-POLICY             PIC X(010).</t>
  </si>
  <si>
    <t xml:space="preserve">                    PERFORM P2200-GRAVA THRU P2200-GRAVA-EX</t>
  </si>
  <si>
    <t xml:space="preserve">           05  W800-LEASING-CAN-EFF-DATE PIC X(11).</t>
  </si>
  <si>
    <t xml:space="preserve">           MOVE NY5D1U01-POST-CODE          TO BGOW0008-CPOSTAL</t>
  </si>
  <si>
    <t xml:space="preserve">           MOVE WAUX-TIMESTAMP(01:04)     TO WAUX-TSANO</t>
  </si>
  <si>
    <t xml:space="preserve">          02 X080BNCTAD-NOTICE             PIC X(010).</t>
  </si>
  <si>
    <t xml:space="preserve">           05  W800-LEASING-VEH-REG-NR   PIC X(15).</t>
  </si>
  <si>
    <t xml:space="preserve">       LINKAGE SECTION.</t>
  </si>
  <si>
    <t xml:space="preserve">       PROCEDURE DIVISION USING LS-AREA.                                </t>
  </si>
  <si>
    <t xml:space="preserve">           MOVE NY5D1U01-ADDRESSEE-NUM-TYPE TO BGOW0008-TNUM-PORTA</t>
  </si>
  <si>
    <t xml:space="preserve">           MOVE WAUX-TIMESTAMP(09:02)     TO WAUX-TSHH.</t>
  </si>
  <si>
    <t xml:space="preserve">          02 X080BNCTAD-PROCESS-DATE       PIC X(023).</t>
  </si>
  <si>
    <t xml:space="preserve">      *  preenche dados para documento de cancelamento da FM, IB ou VD</t>
  </si>
  <si>
    <t xml:space="preserve">           05  W800-LEASING-TOMADOR      PIC X(45).</t>
  </si>
  <si>
    <t xml:space="preserve">       01  LS-AREA.</t>
  </si>
  <si>
    <t xml:space="preserve">       A10-MAINLINE SECTION.                                            </t>
  </si>
  <si>
    <t xml:space="preserve">           MOVE NY5D1U01-ADDRESSEE-NUM      TO BGOW0008-NUM-PORTA</t>
  </si>
  <si>
    <t xml:space="preserve">           MOVE WAUX-TIMESTAMP(11:02)     TO WAUX-TSMM.</t>
  </si>
  <si>
    <t xml:space="preserve">          02 X080BNCTAD-PERIODO-1          PIC X(025).</t>
  </si>
  <si>
    <t xml:space="preserve">           IF RU-DOC-CANCEL</t>
  </si>
  <si>
    <t xml:space="preserve">           05  W800-APOLPROD             PIC X(65)  VALUE SPACES.</t>
  </si>
  <si>
    <t xml:space="preserve">         03  LS-COMPR-INFO               PIC 9(03) COMP.</t>
  </si>
  <si>
    <t xml:space="preserve">           MOVE SPACES                      TO BGOW0008-CBARRAS</t>
  </si>
  <si>
    <t xml:space="preserve">           DISPLAY 'PGOC023A: TERMINOU'</t>
  </si>
  <si>
    <t xml:space="preserve">           MOVE WAUX-TIMESTAMP(13:02)     TO WAUX-TSSS.</t>
  </si>
  <si>
    <t xml:space="preserve">          02 X080BNCTAD-VALOR-AMOUNT       PIC Z.ZZZ.ZZZ.ZZ9,99-.</t>
  </si>
  <si>
    <t xml:space="preserve">           PERFORM P2100-LEITURA  THRU P2100-LEITURA-EX</t>
  </si>
  <si>
    <t xml:space="preserve">              SET CODBAR-AG1-GERAL      TO TRUE</t>
  </si>
  <si>
    <t xml:space="preserve">           05  W800-VARIAVEL             PIC X(40)  VALUE SPACES.</t>
  </si>
  <si>
    <t xml:space="preserve">         03  LS-INFORMACAO               PIC X(100).</t>
  </si>
  <si>
    <t xml:space="preserve">      *  SECTION'S PURPOSE                                          *   </t>
  </si>
  <si>
    <t xml:space="preserve">           DISPLAY 'LIDOS:              ' REG-LIDOS</t>
  </si>
  <si>
    <t xml:space="preserve">           MOVE W400-DATE-YEAR          TO WS-FORMATA-ANO</t>
  </si>
  <si>
    <t xml:space="preserve">                IF BUSK410A-TOT-REC    GREATER ZERO</t>
  </si>
  <si>
    <t xml:space="preserve">               DISPLAY 'BGOW0027-TIPO-REGISTO DESCONHECIDO3'</t>
  </si>
  <si>
    <t xml:space="preserve">          02 X080BNCTAD-PENALTY-AMOUNT     PIC Z.ZZZ.ZZZ.ZZ9,99-.</t>
  </si>
  <si>
    <t xml:space="preserve">              SET CODBAR-AG2-CARTAS     TO TRUE</t>
  </si>
  <si>
    <t xml:space="preserve">      *  THIS SECTION CONTAINS THE MAIN LOGIC OF THE MODULE         *   </t>
  </si>
  <si>
    <t xml:space="preserve">           CALL 'PYOXAU04' USING BGOW0008-AREA</t>
  </si>
  <si>
    <t xml:space="preserve">           DISPLAY 'ESCRITOS:           ' REG-ESCRITOS</t>
  </si>
  <si>
    <t xml:space="preserve">           MOVE W400-DATE-MONTH         TO WS-FORMATA-MES</t>
  </si>
  <si>
    <t xml:space="preserve">                   MOVE 'Total a pagar (€):'</t>
  </si>
  <si>
    <t xml:space="preserve">          02 X080BNCTAD-TOTAL-AMOUNT       PIC ZZ.ZZZ.ZZZ.ZZ9,99-.</t>
  </si>
  <si>
    <t xml:space="preserve">       P2000-PROCESSO-EX.</t>
  </si>
  <si>
    <t>PJG#2**       SET CODBAR-EXPEDIR        TO TRUE</t>
  </si>
  <si>
    <t xml:space="preserve">           MOVE W400-DATE-DAY           TO WS-FORMATA-DIA</t>
  </si>
  <si>
    <t xml:space="preserve">                                       TO X002BNCL00-O-TEXTO-LIVRE</t>
  </si>
  <si>
    <t xml:space="preserve">          02 X080BNCTAD-CANCELL-DATE       PIC X(011).</t>
  </si>
  <si>
    <t>PJG#2         EVALUATE RU-TIPO-IMPRESSAO</t>
  </si>
  <si>
    <t xml:space="preserve">      *  W900-LAYOUT-TEMP-AREA.                                     *</t>
  </si>
  <si>
    <t xml:space="preserve">       PROCEDURE DIVISION USING LS-AREA.</t>
  </si>
  <si>
    <t xml:space="preserve">       A10-START.                                                       </t>
  </si>
  <si>
    <t xml:space="preserve">           MOVE BGOW0008-MORADA1            TO W800-ADDRESSEE-ADDRESS</t>
  </si>
  <si>
    <t xml:space="preserve">           MOVE '/'                     TO WS-BARRA1 WS-BARRA2</t>
  </si>
  <si>
    <t xml:space="preserve">          02 X080BNCTAD-PRODUCT-DESC       PIC X(030).</t>
  </si>
  <si>
    <t>PJG#2            WHEN 'I'</t>
  </si>
  <si>
    <t xml:space="preserve">           DISPLAY '* * * * * * * * * * * * * * * * * * * *'.           </t>
  </si>
  <si>
    <t xml:space="preserve">           MOVE BGOW0008-MORADA2            TO W800-ADDRESSEE-ADDRESS2</t>
  </si>
  <si>
    <t xml:space="preserve">           MOVE WS-FORMATA-DATA         TO WS-DATA-EXECUCAO</t>
  </si>
  <si>
    <t xml:space="preserve">                   MOVE 'Total a receber (€):'</t>
  </si>
  <si>
    <t xml:space="preserve">          02 X080BNCTAD-NOME-CLIENTE       PIC X(040).</t>
  </si>
  <si>
    <t>PJG#2               SET CODBAR-ONLINE         TO TRUE</t>
  </si>
  <si>
    <t xml:space="preserve">       01  W900-TEMP-RECORD.</t>
  </si>
  <si>
    <t xml:space="preserve">           DISPLAY '* PROG: ' W600-LITERAL-THIS-PROG                    </t>
  </si>
  <si>
    <t xml:space="preserve">           MOVE BGOW0008-MORADA3            TO W800-ADDRESSEE-CITY</t>
  </si>
  <si>
    <t xml:space="preserve">            WHEN BGOW0027-TIPO-CARTA-3</t>
  </si>
  <si>
    <t xml:space="preserve">          02 X080BNCTAD-VALOR-RCIB-PEND    PIC **.***.***.**9,99-.</t>
  </si>
  <si>
    <t xml:space="preserve">       P2900-REGISTOA.</t>
  </si>
  <si>
    <t>PJG#2            WHEN OTHER</t>
  </si>
  <si>
    <t xml:space="preserve">         03  W900-TEMP-COMUM             PIC X(0210)  VALUE SPACES.</t>
  </si>
  <si>
    <t xml:space="preserve">                   '                      *'.                           </t>
  </si>
  <si>
    <t xml:space="preserve">           MOVE BGOW0008-MORADA4            TO W800-POST-CODE-DESCR</t>
  </si>
  <si>
    <t xml:space="preserve">           MOVE SPACES  TO W500-DATA-COMPLETA</t>
  </si>
  <si>
    <t xml:space="preserve">              ADD 1 TO CONT-ESCRITA-CARTA-3</t>
  </si>
  <si>
    <t>PJG#2               SET CODBAR-EXPEDIR        TO TRUE</t>
  </si>
  <si>
    <t xml:space="preserve">         03  W900-TEMP-RESTO             PIC X(3886)  VALUE SPACES.</t>
  </si>
  <si>
    <t xml:space="preserve">           MOVE BGOW0008-CBARRAS            TO W800-CBARRAS-MORADA</t>
  </si>
  <si>
    <t xml:space="preserve">       PRIMEIRA-PASSAGEM.</t>
  </si>
  <si>
    <t xml:space="preserve">           MOVE WAUX-TSDIA TO W500-DIA3</t>
  </si>
  <si>
    <t xml:space="preserve">            WHEN BGOW0027-TIPO-CARTA-4</t>
  </si>
  <si>
    <t xml:space="preserve">       01 LX080BNLIST                      PIC X(050).</t>
  </si>
  <si>
    <t xml:space="preserve">           MOVE NZ5PDU01-C-COMP-SGRA          TO RU-COD-COMPANHIA</t>
  </si>
  <si>
    <t>PJG#2         END-EVALUATE</t>
  </si>
  <si>
    <t xml:space="preserve">       01  W900-TEMP-QZLEN               PIC S9(04) COMP VALUE +0.</t>
  </si>
  <si>
    <t xml:space="preserve">           DISPLAY 'PGOC023A: INICIO DA PRIMEIRA PASSAGEM NO QZINPUT'</t>
  </si>
  <si>
    <t xml:space="preserve">           MOVE WAUX-TSMES TO W500-MM3</t>
  </si>
  <si>
    <t xml:space="preserve">                MOVE 'X002BNCX02'            TO NOME-O-LAYOUT</t>
  </si>
  <si>
    <t xml:space="preserve">              ADD 1 TO CONT-ESCRITA-CARTA-4</t>
  </si>
  <si>
    <t xml:space="preserve">       01 FILLER REDEFINES LX080BNLIST.</t>
  </si>
  <si>
    <t xml:space="preserve">           MOVE NZ5PDU01-C-MARC-SGRA          TO RU-COD-MARCA</t>
  </si>
  <si>
    <t xml:space="preserve">           PERFORM B10-INICIAL              THRU B10-EXIT.              </t>
  </si>
  <si>
    <t xml:space="preserve">           MOVE NY5D1U01-PRODUCT-CODE-DESC  TO W800-PRODUCT-CODE-DESC   00000405</t>
  </si>
  <si>
    <t xml:space="preserve">           MOVE WAUX-TSANO TO W500-ANO3</t>
  </si>
  <si>
    <t xml:space="preserve">          02 X080BNLIST-INVOICE-NUM        PIC X(010).</t>
  </si>
  <si>
    <t xml:space="preserve">           SET RU-DOC-CANCEL TO TRUE</t>
  </si>
  <si>
    <t xml:space="preserve">      *  verifica se a carta é para Expedir normal ou Registada só VD</t>
  </si>
  <si>
    <t xml:space="preserve">           MOVE NY5D1U01-CLIENT-NUMBER      TO W800-CLIENTE             00000405</t>
  </si>
  <si>
    <t xml:space="preserve">           SEARCH ALL ENTRADA AT END GO TO FIM-ANORMAL</t>
  </si>
  <si>
    <t xml:space="preserve">       TRATA-CARTA-3-4-EX.</t>
  </si>
  <si>
    <t xml:space="preserve">          02 X080BNLIST-START-END-DATE     PIC X(025).</t>
  </si>
  <si>
    <t xml:space="preserve">           SET RU-O-PRIC41 TO TRUE</t>
  </si>
  <si>
    <t xml:space="preserve">           IF RU-CARTA</t>
  </si>
  <si>
    <t xml:space="preserve">           DISPLAY '* PROG: ' W600-LITERAL-THIS-PROG</t>
  </si>
  <si>
    <t xml:space="preserve">           PERFORM B20-PROCESSO             THRU B20-EXIT               </t>
  </si>
  <si>
    <t xml:space="preserve">           MOVE NY5D1U01-POLICY-NUMBER      TO W800-POLICY-NUMBER       00000406</t>
  </si>
  <si>
    <t xml:space="preserve">              WHEN MES (INDICE) EQUAL W500-MM3</t>
  </si>
  <si>
    <t xml:space="preserve">          02 X080BNLIST-INVOICE-AMOUNT     PIC ZZZ.ZZZ.ZZ9,99-.</t>
  </si>
  <si>
    <t xml:space="preserve">           MOVE NZ5PDU01-DOCUMENT-CODE        TO RU-TIPO-REG OF</t>
  </si>
  <si>
    <t xml:space="preserve">              SET CODBAR-AG1-NE-CARTA   TO TRUE</t>
  </si>
  <si>
    <t xml:space="preserve">                   '                      *'.</t>
  </si>
  <si>
    <t xml:space="preserve">             UNTIL W400-ST-QZINPUT-FIM                                  </t>
  </si>
  <si>
    <t xml:space="preserve">              DISPLAY 'PGOC023A: ERRO OPEN DO QZINPUT. FS=' FSQZINPUT</t>
  </si>
  <si>
    <t xml:space="preserve">                   MOVE DESCRITIVO (INDICE) TO W500-MES3</t>
  </si>
  <si>
    <t xml:space="preserve">                ADD 1 TO WAUX-ENV-30DIAS</t>
  </si>
  <si>
    <t xml:space="preserve">                                                 RU-CARTA-CANCEL</t>
  </si>
  <si>
    <t xml:space="preserve">                OR W100-ERROR-OCCURRED.                                 </t>
  </si>
  <si>
    <t xml:space="preserve">           SEARCH ALL W400-ENTRANCE</t>
  </si>
  <si>
    <t xml:space="preserve">           END-SEARCH</t>
  </si>
  <si>
    <t xml:space="preserve">       TRATA-DADOS-GERAIS.</t>
  </si>
  <si>
    <t>PJG#4 *** COPYBOOK DO PARM ***</t>
  </si>
  <si>
    <t xml:space="preserve">           MOVE NZ5PDU01-C-CTA-ENT-AGT-CBRX   TO RU-NR-MEDIADOR</t>
  </si>
  <si>
    <t>PJG#2**       IF RU-MOTIVO-CANCEL       EQUAL 'R1'</t>
  </si>
  <si>
    <t xml:space="preserve">               AT END SET W100-ERROR-OCCURRED TO TRUE</t>
  </si>
  <si>
    <t xml:space="preserve">      *       carta advogado</t>
  </si>
  <si>
    <t>PJG#4      COPY BGOW0017.</t>
  </si>
  <si>
    <t xml:space="preserve">           MOVE NZ5PDU01-C-TOMADOR            TO RU-NR-CLIENTE</t>
  </si>
  <si>
    <t>PJG#2**          SET CODBAR-REGISTADA   TO TRUE</t>
  </si>
  <si>
    <t xml:space="preserve">           PERFORM B30-FINAL                THRU B30-EXIT.              </t>
  </si>
  <si>
    <t xml:space="preserve">                      DISPLAY 'ERRO NA BUSCA DE DATA'</t>
  </si>
  <si>
    <t xml:space="preserve">           STRING</t>
  </si>
  <si>
    <t xml:space="preserve">           MOVE NZ5PDU01-IDENTIFIER           TO RU-NR-APOLICE</t>
  </si>
  <si>
    <t>PJG#2**       ELSE</t>
  </si>
  <si>
    <t xml:space="preserve">           COPY BGOW9009.</t>
  </si>
  <si>
    <t xml:space="preserve">           WHEN W400-NUM-MOUNTH(INDICE)</t>
  </si>
  <si>
    <t xml:space="preserve">           OPEN OUTPUT QZCOPY</t>
  </si>
  <si>
    <t xml:space="preserve">              W500-DIA3 ' de ' DELIMITED BY SIZE</t>
  </si>
  <si>
    <t xml:space="preserve">                MOVE 'X002BNC003'            TO NOME-O-LAYOUT</t>
  </si>
  <si>
    <t xml:space="preserve">           MOVE NZ5PDU01-NOTICE               TO RU-NR-DOCUMENTO</t>
  </si>
  <si>
    <t>PJG#2**          SET CODBAR-EXPEDIR     TO TRUE</t>
  </si>
  <si>
    <t xml:space="preserve">           DISPLAY '* NUMERO DE REGISTOS:                 *'.           </t>
  </si>
  <si>
    <t xml:space="preserve">                                    EQUAL NY5D1U01-DATA-EMISSAO(06:02)</t>
  </si>
  <si>
    <t xml:space="preserve">              W500-MES3        DELIMITED BY SPACES</t>
  </si>
  <si>
    <t>PJG#4  LINKAGE SECTION.</t>
  </si>
  <si>
    <t xml:space="preserve">           MOVE NZ5PDU01-MOTIVO-CANC          TO RU-MOTIVO-CANCEL</t>
  </si>
  <si>
    <t>PJG#2**       END-IF</t>
  </si>
  <si>
    <t xml:space="preserve">           DISPLAY '*  - LIDOS....: ' W500-REG-LIDOS '       *'.        </t>
  </si>
  <si>
    <t xml:space="preserve">                STRING 'Lisboa, '</t>
  </si>
  <si>
    <t xml:space="preserve">              ' de '           DELIMITED BY SIZE</t>
  </si>
  <si>
    <t xml:space="preserve">           MOVE NZ5PDU01-MOTIVO-CANC-DESCR    TO RU-DESCR-MOTIVO-CANCEL</t>
  </si>
  <si>
    <t xml:space="preserve">           DISPLAY '*  - ESCRITOS.: ' W500-REG-ESCRI '       *'.        </t>
  </si>
  <si>
    <t xml:space="preserve">                   NY5D1U01-DATA-EMISSAO(09:02) DELIMITED BY SIZE</t>
  </si>
  <si>
    <t xml:space="preserve">              W500-ANO3 ' '    DELIMITED BY SIZE</t>
  </si>
  <si>
    <t>PJG#4  01 LS-AREA.</t>
  </si>
  <si>
    <t xml:space="preserve">           MOVE NZ5PDU01-C-MOED-ISO           TO RU-COD-MOEDA</t>
  </si>
  <si>
    <t xml:space="preserve">                   ' de ' DELIMITED BY SIZE</t>
  </si>
  <si>
    <t xml:space="preserve">              INTO W500-DATA-COMPLETA</t>
  </si>
  <si>
    <t xml:space="preserve">                MOVE 'X002BNCP03'            TO NOME-O-LAYOUT</t>
  </si>
  <si>
    <t>PJG#4     02 LS-COMPR-INFO               PIC 9(03) COMP.</t>
  </si>
  <si>
    <t xml:space="preserve">           DISPLAY '* FIM PROCESSAMENTO DO PROG: '                      </t>
  </si>
  <si>
    <t xml:space="preserve">                    W400-DESCRIPTION(INDICE) DELIMITED BY SPACES</t>
  </si>
  <si>
    <t>APUHL * FIM</t>
  </si>
  <si>
    <t>PJG#4     02 LS-INFORMACAO               PIC X(100).</t>
  </si>
  <si>
    <t xml:space="preserve">           IF NZ5PDU01-RAMO-SO-DESCR          EQUAL SPACES</t>
  </si>
  <si>
    <t xml:space="preserve">                   W600-LITERAL-THIS-PROG ' *'.                         </t>
  </si>
  <si>
    <t xml:space="preserve">              IF NZ5PDU01-PRODUCT-DESCR       EQUAL SPACES</t>
  </si>
  <si>
    <t>PJG#2               IF RU-MOTIVO-CANCEL EQUAL 'R1'</t>
  </si>
  <si>
    <t xml:space="preserve">                   NY5D1U01-DATA-EMISSAO(01:04)DELIMITED BY SIZE</t>
  </si>
  <si>
    <t xml:space="preserve">           MOVE +9 TO CNTLLEN</t>
  </si>
  <si>
    <t xml:space="preserve">                 MOVE NZ5PDU01-RAMO-DESCR     TO RU-DESCR-PRODUTO</t>
  </si>
  <si>
    <t>PJG#2                  SET CODBAR-REGISTADA   TO TRUE</t>
  </si>
  <si>
    <t xml:space="preserve">           DISPLAY '*  - LIDOS....: ' W500-REG-LIDOS '       *'.</t>
  </si>
  <si>
    <t xml:space="preserve">                                            INTO W400-PROCESS-DATE</t>
  </si>
  <si>
    <t>PJG#4  PROCEDURE DIVISION USING LS-AREA.</t>
  </si>
  <si>
    <t xml:space="preserve">                 MOVE NZ5PDU01-C-RAMO-DIRZ-FNCO TO RU-COD-PRODUTO</t>
  </si>
  <si>
    <t>PJG#1         MOVE 'BGOW9003'                 TO W400-COPYNAME</t>
  </si>
  <si>
    <t>PJG#2               ELSE</t>
  </si>
  <si>
    <t xml:space="preserve">           DISPLAY '*  - ESCRITOS.: ' W500-REG-ESCRI '       *'.</t>
  </si>
  <si>
    <t xml:space="preserve">           IF W100-ERROR-OCCURRED                                       </t>
  </si>
  <si>
    <t xml:space="preserve">                END-STRING</t>
  </si>
  <si>
    <t xml:space="preserve">           PERFORM UNTIL FSQZT-EOF</t>
  </si>
  <si>
    <t xml:space="preserve">                  (BUSK410A-R3-RECIBO(WAUX-INDA) = SPACES OR ZEROS)</t>
  </si>
  <si>
    <t xml:space="preserve">              ELSE</t>
  </si>
  <si>
    <t>PJG#2                  SET CODBAR-EXPEDIR     TO TRUE</t>
  </si>
  <si>
    <t xml:space="preserve">              MOVE 01                         TO RETURN-CODE            </t>
  </si>
  <si>
    <t xml:space="preserve">             MOVE RU-COD-DOC-ORIGEM TO CONTROLE-DOC-ORIGEM</t>
  </si>
  <si>
    <t xml:space="preserve">                   OR WAUX-INDA GREATER 13</t>
  </si>
  <si>
    <t xml:space="preserve">                 MOVE NZ5PDU01-PRODUCT-DESCR  TO RU-DESCR-PRODUTO</t>
  </si>
  <si>
    <t>PJG#1         MOVE 'X002'                     TO W400-COD-DOC</t>
  </si>
  <si>
    <t>PJG#2               END-IF</t>
  </si>
  <si>
    <t xml:space="preserve">           END-IF.                                                      </t>
  </si>
  <si>
    <t xml:space="preserve">             IF (RU-COD-DOC-ORIGEM = 'Med_Semest' OR</t>
  </si>
  <si>
    <t xml:space="preserve">                   MOVE BUSK410A-R3-RECIBO (WAUX-INDA)</t>
  </si>
  <si>
    <t xml:space="preserve">           PERFORM P1000-INICIAR    THRU P1000-INICIAR-EX.</t>
  </si>
  <si>
    <t xml:space="preserve">                 MOVE NZ5PDU01-PRODUCT-CODE   TO RU-COD-PRODUTO</t>
  </si>
  <si>
    <t>PJG#1         MOVE NZ44DU01-PRINT-RECORD      TO W400-REGISTO</t>
  </si>
  <si>
    <t xml:space="preserve">                   W600-LITERAL-THIS-PROG ' *'.</t>
  </si>
  <si>
    <t xml:space="preserve">           MOVE W400-PROCESS-DATE           TO W800-DATA-EMISSAO        00000332</t>
  </si>
  <si>
    <t xml:space="preserve">                RU-COD-DOC-ORIGEM = 'Med_Mensal'  OR</t>
  </si>
  <si>
    <t xml:space="preserve">            WHEN BGOW0027-TIPO-CARTA-1</t>
  </si>
  <si>
    <t xml:space="preserve">           PERFORM P2100-LEITURA    THRU P2100-LEITURA-EX.</t>
  </si>
  <si>
    <t xml:space="preserve">       A10-EXIT.                                                        </t>
  </si>
  <si>
    <t xml:space="preserve">           MOVE NY5D1U01-NOTICE             TO W800-NOTICE              00000406</t>
  </si>
  <si>
    <t xml:space="preserve">                RU-COD-DOC-ORIGEM = 'MedCobFA  '  OR</t>
  </si>
  <si>
    <t xml:space="preserve">                   MOVE BUSK410A-R3-DT-DEVI-REC (WAUX-INDA)</t>
  </si>
  <si>
    <t xml:space="preserve">               ADD 1 TO CONT-LER-CARTA-1</t>
  </si>
  <si>
    <t xml:space="preserve">           PERFORM P2000-PROCESSO   THRU P2000-PROCESSO-EX</t>
  </si>
  <si>
    <t xml:space="preserve">      *  apos fazer a carta de acompanhamento VD, faz o doc de cancVD</t>
  </si>
  <si>
    <t xml:space="preserve">           GOBACK.                                                      </t>
  </si>
  <si>
    <t xml:space="preserve">           MOVE NY5D1U01-DUE-DATE           TO W800-DUE-DATE            00000406</t>
  </si>
  <si>
    <t xml:space="preserve">                RU-COD-DOC-ORIGEM = 'Med_Cob   '  OR</t>
  </si>
  <si>
    <t xml:space="preserve">                     TO X002BNCL00-O-DT-DEVIDO</t>
  </si>
  <si>
    <t xml:space="preserve">            WHEN BGOW0027-TIPO-CARTA-2</t>
  </si>
  <si>
    <t xml:space="preserve">              UNTIL FSQZI-EOF.</t>
  </si>
  <si>
    <t xml:space="preserve">              MOVE NZ5PDU01-RAMO-SO-DESCR     TO RU-DESCR-PRODUTO</t>
  </si>
  <si>
    <t xml:space="preserve">           IF RU-CARTA AND RU-MOTIVO-CANCEL = '00'</t>
  </si>
  <si>
    <t xml:space="preserve">                RU-COD-DOC-ORIGEM = 'S_EF_894  '  OR</t>
  </si>
  <si>
    <t xml:space="preserve">              DISPLAY 'PGOC038A: ERRO CLOSE QZCOPY. FS=' FSQZCOPY</t>
  </si>
  <si>
    <t xml:space="preserve">                   MOVE BUSK410A-R3-TOT-REC (WAUX-INDA)</t>
  </si>
  <si>
    <t xml:space="preserve">               ADD 1 TO CONT-LER-CARTA-2</t>
  </si>
  <si>
    <t xml:space="preserve">           PERFORM P3000-FIM        THRU P3000-FIM-EX.</t>
  </si>
  <si>
    <t xml:space="preserve">              MOVE NZ5PDU01-RAMO-SO           TO RU-COD-PRODUTO</t>
  </si>
  <si>
    <t xml:space="preserve">           MOVE NY5D1U01-TOTAL-AMOUNT       TO W400-PREM-AMOUNT         00000406</t>
  </si>
  <si>
    <t>PUHL  *         RU-COD-DOC-ORIGEM = 'Carta26   ')</t>
  </si>
  <si>
    <t xml:space="preserve">           MOVE W400-PREM-AMOUNT            TO W800-PREM-AMOUNT         00000406</t>
  </si>
  <si>
    <t>PUHL            RU-COD-DOC-ORIGEM = 'Carta26   '  OR</t>
  </si>
  <si>
    <t xml:space="preserve">                   MOVE BUSK410A-R3-JUROS-VENC (WAUX-INDA)</t>
  </si>
  <si>
    <t xml:space="preserve">               ADD 1 TO CONT-LER-CARTA-3</t>
  </si>
  <si>
    <t xml:space="preserve">           DISPLAY '------------------------------------------------'</t>
  </si>
  <si>
    <t xml:space="preserve">       B10-INICIAL SECTION.                                             </t>
  </si>
  <si>
    <t>PUHL            RU-COD-DOC-ORIGEM = 'Carta28   ')</t>
  </si>
  <si>
    <t xml:space="preserve">                     TO X002BNCL00-O-TOT-JUR</t>
  </si>
  <si>
    <t xml:space="preserve">           DISPLAY 'PGOA405 - Contadores de registos:'</t>
  </si>
  <si>
    <t xml:space="preserve">           IF NZ5PDU01-CANCELLATION-DATE      EQUAL SPACES</t>
  </si>
  <si>
    <t xml:space="preserve">           MOVE NY5D1U01-INTEREST-AMOUNT    TO W400-INTEREST-AMOUNT     00000406</t>
  </si>
  <si>
    <t xml:space="preserve">                MOVE RU-TIPO-LINHA TO TIPO-LINHA</t>
  </si>
  <si>
    <t xml:space="preserve">                   MOVE BUSK410A-R3-TOTAL (WAUX-INDA)</t>
  </si>
  <si>
    <t xml:space="preserve">               ADD 1 TO CONT-LER-CARTA-4</t>
  </si>
  <si>
    <t xml:space="preserve">           DISPLAY WAUX-REG-LIDOS-ENTI  ' ' 'TOT CARTAS ENTI  INPUT'</t>
  </si>
  <si>
    <t xml:space="preserve">              MOVE SPACES                     TO RU-DT-CESSACAO</t>
  </si>
  <si>
    <t xml:space="preserve">           MOVE W400-INTEREST-AMOUNT        TO W800-INTEREST-AMOUNT     00000406</t>
  </si>
  <si>
    <t xml:space="preserve">                IF TIPO-LINHA = '0010'</t>
  </si>
  <si>
    <t xml:space="preserve">                     TO X002BNCL00-O-TOT-REC-JUR</t>
  </si>
  <si>
    <t xml:space="preserve">           DISPLAY WAUX-REG-GRAVS-ENTI  ' ' 'TOT CARTAS ENTI OUTPUT'</t>
  </si>
  <si>
    <t xml:space="preserve">      *      BLOCO INICIAL DO PROGRAMA                              *   </t>
  </si>
  <si>
    <t xml:space="preserve">                  PERFORM FORMATA-LINHAS THRU FORMATA-LINHAS-EX</t>
  </si>
  <si>
    <t xml:space="preserve">              DISPLAY 'PGOC038A: ERRO CLOSE QZINPUT. FS=' FSQZINPUT</t>
  </si>
  <si>
    <t xml:space="preserve">                   MOVE 'X002BNCL03'            TO NOME-O-LAYOUT</t>
  </si>
  <si>
    <t xml:space="preserve">           DISPLAY WAUX-REG-LIDOS-CHIP  ' ' 'TOT CARTAS CHIP  INPUT'</t>
  </si>
  <si>
    <t xml:space="preserve">              MOVE NZ5PDU01-CANCELLATION-DATE TO W500-DATA1</t>
  </si>
  <si>
    <t xml:space="preserve">           MOVE NY5D1U01-PEN-AMOUNT         TO W400-PEN-AMOUNT          00000406</t>
  </si>
  <si>
    <t xml:space="preserve">                  UNTIL RU-FIM-DOCUMENTO</t>
  </si>
  <si>
    <t xml:space="preserve">           PERFORM FORMATA-BGOW0001 THRU FORMATA-BGOW0001-EX</t>
  </si>
  <si>
    <t xml:space="preserve">           DISPLAY WAUX-REG-GRAVS-CHIP  ' ' 'TOT CARTAS CHIP OUTPUT'</t>
  </si>
  <si>
    <t xml:space="preserve">              MOVE W500-DT1-DIA               TO W500-DT2-DIA</t>
  </si>
  <si>
    <t>PJG#1**    IF W500-GRAVA-REGISTO EQUAL 'S'</t>
  </si>
  <si>
    <t xml:space="preserve">       B10-START.                                                       </t>
  </si>
  <si>
    <t xml:space="preserve">           MOVE W400-PEN-AMOUNT             TO W800-PEN-AMOUNT          00000406</t>
  </si>
  <si>
    <t xml:space="preserve">           ADD  1 REF-CODBAR-NSEQ-DOC GIVING     CODBAR-NSEQ-DOC</t>
  </si>
  <si>
    <t xml:space="preserve">           DISPLAY WAUX-REG-LIDOS-CTAD  ' ' 'TOT CARTAS CTAD  INPUT'</t>
  </si>
  <si>
    <t xml:space="preserve">              MOVE W500-DT1-MES               TO W500-DT2-MES</t>
  </si>
  <si>
    <t>PJG#1**       PERFORM P210-GRAVAR-REGISTO THRU P210-GRAVAR-REGISTO-EX</t>
  </si>
  <si>
    <t xml:space="preserve">      *** INICIALIZACOES ***                                            </t>
  </si>
  <si>
    <t xml:space="preserve">             ELSE</t>
  </si>
  <si>
    <t xml:space="preserve">           MOVE CODBAR-NSEQ-DOC               TO REF-CODBAR-NSEQ-DOC</t>
  </si>
  <si>
    <t xml:space="preserve">           DISPLAY WAUX-REG-GRAVS-CTAD  ' ' 'TOT CARTAS CTAD OUTPUT'</t>
  </si>
  <si>
    <t xml:space="preserve">              MOVE W500-DT1-ANO               TO W500-DT2-ANO</t>
  </si>
  <si>
    <t>PJG#1**       MOVE 'N' TO W500-GRAVA-REGISTO</t>
  </si>
  <si>
    <t xml:space="preserve">           INITIALIZE W100-SYSTEM-SWITCHES                              </t>
  </si>
  <si>
    <t xml:space="preserve">           IF W400-PEN-AMOUNT EQUAL ZEROS                               00000407</t>
  </si>
  <si>
    <t xml:space="preserve">               PERFORM FORMATA-LINHAS THRU FORMATA-LINHAS-EX</t>
  </si>
  <si>
    <t xml:space="preserve">           MOVE 1                             TO CODBAR-NLIN-DOC</t>
  </si>
  <si>
    <t xml:space="preserve">              MOVE '-'           TO W500-DT2-TRACO1 W500-DT2-TRACO2</t>
  </si>
  <si>
    <t>PJG#1**    END-IF</t>
  </si>
  <si>
    <t xml:space="preserve">                      W400-FILE-STATUS.                                 </t>
  </si>
  <si>
    <t xml:space="preserve">              MOVE ' SEM PENALIZAÇÃO'       TO W800-PEN-AMOUNT-R        00000407</t>
  </si>
  <si>
    <t xml:space="preserve">               UNTIL RU-FIM-DOCUMENTO</t>
  </si>
  <si>
    <t xml:space="preserve">              MOVE W500-DATA2                 TO RU-DT-CESSACAO</t>
  </si>
  <si>
    <t xml:space="preserve">           MOVE 'X002'       TO CODBAR-COD-DOC</t>
  </si>
  <si>
    <t xml:space="preserve">           END-IF.                                                      00000407</t>
  </si>
  <si>
    <t xml:space="preserve">             END-IF</t>
  </si>
  <si>
    <t xml:space="preserve">              DISPLAY 'PGOC038A: ERRO CLOSE QZOUTPUT. FS=' FSQZOUTPUT</t>
  </si>
  <si>
    <t xml:space="preserve">                MOVE 'Total a pagar (€):'</t>
  </si>
  <si>
    <t xml:space="preserve">      * Registo Tipo 1</t>
  </si>
  <si>
    <t xml:space="preserve">           MOVE SPACES                        TO CODBAR.                </t>
  </si>
  <si>
    <t xml:space="preserve">           MOVE BGOW0027-TIPO-REGISTO TO W400-REF-TIPO-REGISTO</t>
  </si>
  <si>
    <t xml:space="preserve">           MOVE 1                             TO CODBAR-NPAG-DOC.       </t>
  </si>
  <si>
    <t xml:space="preserve">           COMPUTE W400-TOTAL-NOTICE = W400-PREM-AMOUNT +               00000444</t>
  </si>
  <si>
    <t xml:space="preserve">             IF WPAGTOT GREATER ZERO</t>
  </si>
  <si>
    <t xml:space="preserve">           MOVE BGOW0027-TIPO-CARTA TO W400-REF-TIPO-CARTA</t>
  </si>
  <si>
    <t xml:space="preserve">           STRING NZ5PDU01-DATA-1-IMPRESSAO(9:2)</t>
  </si>
  <si>
    <t xml:space="preserve">              MOVE NZ44DU01-PRODUCT-CODE-DESC      TO RU-DESCR-PRODUTO</t>
  </si>
  <si>
    <t xml:space="preserve">           MOVE 'X041'                        TO CODBAR-COD-DOC.        </t>
  </si>
  <si>
    <t xml:space="preserve">                   W400-INTEREST-AMOUNT + W400-PEN-AMOUNT               00000444</t>
  </si>
  <si>
    <t xml:space="preserve">                COMPUTE TOTDOCS = TOTDOCS + 1</t>
  </si>
  <si>
    <t xml:space="preserve">                MOVE BUSK410A-TOT-JUR  TO X002BNCL00-O-TOT-JUR</t>
  </si>
  <si>
    <t xml:space="preserve">           MOVE 'F_P_SELECT' TO NOME-O-LAYOUT</t>
  </si>
  <si>
    <t xml:space="preserve">       P1000-INICIAR.</t>
  </si>
  <si>
    <t xml:space="preserve">                    '-'</t>
  </si>
  <si>
    <t xml:space="preserve">              MOVE NZ44DU01-CANC-LAP-REASON        TO RU-MOTIVO-CANCEL</t>
  </si>
  <si>
    <t xml:space="preserve">           MOVE W600-LITERAL-THIS-PROG        TO CODBAR-PROGRAMA.       </t>
  </si>
  <si>
    <t xml:space="preserve">           MOVE W400-TOTAL-NOTICE           TO W800-TOTAL-NOTICE</t>
  </si>
  <si>
    <t xml:space="preserve">                MOVE WPAGTOT TO WQZCOPY-TPAG-DOC</t>
  </si>
  <si>
    <t xml:space="preserve">           DISPLAY 'PGOC038A: TERMINOU'</t>
  </si>
  <si>
    <t xml:space="preserve">                MOVE BUSK410A-TOT-REC-JUR TO X002BNCL00-O-TOT-REC</t>
  </si>
  <si>
    <t xml:space="preserve">           MOVE '00000'                    TO CODBAR-COD-INSERT</t>
  </si>
  <si>
    <t xml:space="preserve">                    NZ5PDU01-DATA-1-IMPRESSAO(6:2)</t>
  </si>
  <si>
    <t xml:space="preserve">              MOVE NZ44DU01-PH-POST-CODE      TO RU-COD-POSTALC</t>
  </si>
  <si>
    <t xml:space="preserve">                 MOVE '1006'               TO CODBAR-IDENTIF-DOCUM</t>
  </si>
  <si>
    <t xml:space="preserve">                      W400-FILE-STATUS.</t>
  </si>
  <si>
    <t xml:space="preserve">           MOVE ZEROS                         TO CODBAR-NSEQ-DOC.       </t>
  </si>
  <si>
    <t xml:space="preserve">                WRITE RQZCOPY FROM WQZCOPY</t>
  </si>
  <si>
    <t xml:space="preserve">           PERFORM WRITE-QZOUTPUT THRU WRITE-QZOUTPUT-EX</t>
  </si>
  <si>
    <t xml:space="preserve">              MOVE NZ44DU01-ADDRESSEE         TO RU-NOME</t>
  </si>
  <si>
    <t xml:space="preserve">           MOVE NY5D1U01-CANC-REV-EFF-DATE  TO W800-DATA-ANULACAO       00000406</t>
  </si>
  <si>
    <t xml:space="preserve">                IF FSQZCOPY NOT EQUAL '00'</t>
  </si>
  <si>
    <t xml:space="preserve">                MOVE 'X002BNCX03'            TO NOME-O-LAYOUT</t>
  </si>
  <si>
    <t xml:space="preserve">                    NZ5PDU01-DATA-1-IMPRESSAO(1:4)</t>
  </si>
  <si>
    <t xml:space="preserve">              MOVE NZ44DU01-ADDRESS1          TO RU-MORADA1</t>
  </si>
  <si>
    <t xml:space="preserve">           MOVE SPACES                        TO CODBAR.</t>
  </si>
  <si>
    <t xml:space="preserve">      *** FORMATA COM DATA DE EXECUCAO ***                              </t>
  </si>
  <si>
    <t xml:space="preserve">                   DISPLAY 'PGOC023A:ERRO WRITE DO QZCOPY. FS='</t>
  </si>
  <si>
    <t xml:space="preserve">           EVALUATE BGOW0027-MARCA</t>
  </si>
  <si>
    <t xml:space="preserve">              DISPLAY 'PGOA405: ERRO OPEN QZINPUT. FS=' FSQZINPUT</t>
  </si>
  <si>
    <t xml:space="preserve">           DELIMITED BY SIZE INTO RU-DT-EMISSAO</t>
  </si>
  <si>
    <t xml:space="preserve">              MOVE NZ44DU01-ADDRESS2          TO RU-MORADA2</t>
  </si>
  <si>
    <t xml:space="preserve">           MOVE 1                             TO CODBAR-NPAG-DOC.</t>
  </si>
  <si>
    <t xml:space="preserve">           MOVE FUNCTION CURRENT-DATE         TO CODBAR-TIMESTAMP.      </t>
  </si>
  <si>
    <t xml:space="preserve">           MOVE CODBAR-TIMESTAMP(07:02)     TO W400-TSDIA</t>
  </si>
  <si>
    <t xml:space="preserve">                           FSQZCOPY</t>
  </si>
  <si>
    <t xml:space="preserve">              WHEN '002'</t>
  </si>
  <si>
    <t xml:space="preserve">              MOVE NZ44DU01-TOWN-SUBURB       TO RU-MORADA3</t>
  </si>
  <si>
    <t>MJE#2      MOVE RU-COD-ORIGEM              TO CODBAR-SIST-ORIGEM</t>
  </si>
  <si>
    <t xml:space="preserve">           MOVE 'X002'                        TO CODBAR-COD-DOC.</t>
  </si>
  <si>
    <t xml:space="preserve">           MOVE CODBAR-TIMESTAMP(07:02)       TO W400-TSDIA.            </t>
  </si>
  <si>
    <t xml:space="preserve">           MOVE CODBAR-TIMESTAMP(05:02)     TO W400-TSMES</t>
  </si>
  <si>
    <t xml:space="preserve">                   GO TO FIM-ANORMAL</t>
  </si>
  <si>
    <t xml:space="preserve">                 MOVE 'X002BNLOG1' TO NOME-O-LAYOUT</t>
  </si>
  <si>
    <t xml:space="preserve">           IF NZ5PDU01-DATA-1-IMPRESSAO       EQUAL SPACES</t>
  </si>
  <si>
    <t xml:space="preserve">              MOVE NZ44DU01-POST-CODE-DESC    TO RU-MORADA4</t>
  </si>
  <si>
    <t xml:space="preserve">           MOVE W600-LITERAL-THIS-PROG        TO CODBAR-PROGRAMA.</t>
  </si>
  <si>
    <t xml:space="preserve">           MOVE CODBAR-TIMESTAMP(05:02)       TO W400-TSMES.            </t>
  </si>
  <si>
    <t xml:space="preserve">           MOVE CODBAR-TIMESTAMP(01:04)     TO W400-TSANO</t>
  </si>
  <si>
    <t xml:space="preserve">                ADD 1 TO WAUX-ENV-ADVOGADO</t>
  </si>
  <si>
    <t xml:space="preserve">              WHEN '003'</t>
  </si>
  <si>
    <t xml:space="preserve">              MOVE SPACES                     TO RU-DT-CARTA-EMISSAO</t>
  </si>
  <si>
    <t xml:space="preserve">              MOVE NZ44DU01-NUM-TYPE          TO RU-TNUM-PORTA</t>
  </si>
  <si>
    <t xml:space="preserve">           COMPUTE CC-CODBAR-NSEQ-DOC = CC-CODBAR-NSEQ-DOC + 1</t>
  </si>
  <si>
    <t xml:space="preserve">           MOVE ZEROS                         TO CODBAR-NSEQ-DOC.</t>
  </si>
  <si>
    <t xml:space="preserve">           MOVE CODBAR-TIMESTAMP(01:04)       TO W400-TSANO.            </t>
  </si>
  <si>
    <t xml:space="preserve">           MOVE CODBAR-TIMESTAMP(09:02)     TO W400-TSHH</t>
  </si>
  <si>
    <t xml:space="preserve">                 MOVE 'X002BNLOG2' TO NOME-O-LAYOUT</t>
  </si>
  <si>
    <t xml:space="preserve">              MOVE NZ44DU01-NUM               TO RU-NUM-PORTA</t>
  </si>
  <si>
    <t xml:space="preserve">           MOVE CC-CODBAR-NSEQ-DOC      TO CODBAR-NSEQ-DOC</t>
  </si>
  <si>
    <t xml:space="preserve">           MOVE CODBAR-TIMESTAMP(09:02)       TO W400-TSHH.             </t>
  </si>
  <si>
    <t xml:space="preserve">           MOVE CODBAR-TIMESTAMP(11:02)     TO W400-TSMM</t>
  </si>
  <si>
    <t xml:space="preserve">             INITIALIZE WPAGTOT</t>
  </si>
  <si>
    <t xml:space="preserve">      *       carta credor hipotecario</t>
  </si>
  <si>
    <t xml:space="preserve">              WHEN '004'</t>
  </si>
  <si>
    <t xml:space="preserve">             MOVE SPACES                      TO W500-DATA-COMPLETA</t>
  </si>
  <si>
    <t xml:space="preserve">           MOVE CODBAR-TIMESTAMP(11:02)       TO W400-TSMM.             </t>
  </si>
  <si>
    <t xml:space="preserve">           MOVE CODBAR-TIMESTAMP(13:02)     TO W400-TSSS</t>
  </si>
  <si>
    <t xml:space="preserve">             INITIALIZE TIPO-LINHA</t>
  </si>
  <si>
    <t xml:space="preserve">           DISPLAY 'PGOC038A: INICIO DA PRIMEIRA PASSAGEM NO QZINPUT'</t>
  </si>
  <si>
    <t xml:space="preserve">              DISPLAY 'PGOA405: ERRO OPEN QZOUTPUT. FS=' FSQZOUTPUT</t>
  </si>
  <si>
    <t xml:space="preserve">             SEARCH ALL W500-ENTRADA AT END   GO TO FIM-ANORMAL</t>
  </si>
  <si>
    <t xml:space="preserve">      * DATA INICIO E DATA FIM RECIBO - PERIODO DO RECIBO</t>
  </si>
  <si>
    <t xml:space="preserve">           MOVE ZEROS                   TO CODBAR-NLIN-DOC</t>
  </si>
  <si>
    <t xml:space="preserve">           MOVE FUNCTION CURRENT-DATE         TO CODBAR-TIMESTAMP.</t>
  </si>
  <si>
    <t xml:space="preserve">           MOVE CODBAR-TIMESTAMP(13:02)       TO W400-TSSS.             </t>
  </si>
  <si>
    <t xml:space="preserve">           MOVE CODBAR-COD-DOC TO W800-ID-DOCUMENTO (1:5)</t>
  </si>
  <si>
    <t xml:space="preserve">             PERFORM P100-LEITURA      THRU P100-LEITURA-EXIT</t>
  </si>
  <si>
    <t xml:space="preserve">                MOVE 'X002BNC004'            TO NOME-O-LAYOUT</t>
  </si>
  <si>
    <t xml:space="preserve">                 WHEN W500-MES (INDICE)       EQUAL</t>
  </si>
  <si>
    <t xml:space="preserve">              IF NZ44DU01-FROM-DATE EQUAL SPACES</t>
  </si>
  <si>
    <t xml:space="preserve">           MOVE 1                       TO CODBAR-NPAG-DOC</t>
  </si>
  <si>
    <t xml:space="preserve">           MOVE CODBAR-TIMESTAMP(07:02)       TO W400-TSDIA.</t>
  </si>
  <si>
    <t xml:space="preserve">           MOVE W400-TIMESTAMP TO W800-ID-DOCUMENTO (6:19)</t>
  </si>
  <si>
    <t xml:space="preserve">                      NZ5PDU01-DATA-1-IMPRESSAO (6:2)</t>
  </si>
  <si>
    <t xml:space="preserve">                MOVE SPACES                     TO RU-DT-INICIO-RECIBO</t>
  </si>
  <si>
    <t xml:space="preserve">           MOVE 'PGOC011A'              TO CODBAR-PROGRAMA</t>
  </si>
  <si>
    <t xml:space="preserve">           MOVE CODBAR-TIMESTAMP(05:02)       TO W400-TSMES.</t>
  </si>
  <si>
    <t xml:space="preserve">      *** VALIDA AREA DO PARM ***                                       </t>
  </si>
  <si>
    <t xml:space="preserve">           DISPLAY 'PGOC023A:FORAM ENCONTRADOS ' TOTDOCS ' DOCUMENTOS'</t>
  </si>
  <si>
    <t xml:space="preserve">                    MOVE W500-DESCRITIVO (INDICE)        TO W500-MES3</t>
  </si>
  <si>
    <t xml:space="preserve">           MOVE CODBAR-TIMESTAMP(01:04)       TO W400-TSANO.</t>
  </si>
  <si>
    <t xml:space="preserve">           MOVE LS-COMPR-INFO                 TO BGOW0017-LPARM.        </t>
  </si>
  <si>
    <t xml:space="preserve">      ***  WRITE DO REGISTOS</t>
  </si>
  <si>
    <t xml:space="preserve">              DISPLAY 'PGOC038A: ERRO OPEN DO QZINPUT. FS=' FSQZINPUT</t>
  </si>
  <si>
    <t>PJG#4      INITIALIZE W100-SYSTEM-SWITCHES</t>
  </si>
  <si>
    <t xml:space="preserve">                    MOVE NZ5PDU01-DATA-1-IMPRESSAO (9:2) TO W500-DIA3</t>
  </si>
  <si>
    <t xml:space="preserve">                MOVE NZ44DU01-FROM-DATE         TO W500-DATA1</t>
  </si>
  <si>
    <t xml:space="preserve">           MOVE FUNCTION CURRENT-DATE   TO CODBAR-TIMESTAMP</t>
  </si>
  <si>
    <t xml:space="preserve">           MOVE CODBAR-TIMESTAMP(09:02)       TO W400-TSHH.</t>
  </si>
  <si>
    <t xml:space="preserve">           MOVE LS-INFORMACAO                 TO BGOW0017-PARM.         </t>
  </si>
  <si>
    <t xml:space="preserve">           MOVE 'F_P_SELECT'                TO W800-CAB-LAYOUT</t>
  </si>
  <si>
    <t xml:space="preserve">                ADD 1 TO WAUX-ENV-CREDOR</t>
  </si>
  <si>
    <t xml:space="preserve">      *    ENDEREÇAMENTO</t>
  </si>
  <si>
    <t xml:space="preserve">           INITIALIZE WAUX-AREA-OUTPUT LX080BNCAB1 LX080BNENTI</t>
  </si>
  <si>
    <t xml:space="preserve">                    MOVE NZ5PDU01-DATA-1-IMPRESSAO (1:4) TO W500-ANO3</t>
  </si>
  <si>
    <t xml:space="preserve">                MOVE W500-DT1-DIA               TO W500-DT2-DIA</t>
  </si>
  <si>
    <t xml:space="preserve">           MOVE CODBAR-TIMESTAMP(11:02)       TO W400-TSMM.</t>
  </si>
  <si>
    <t xml:space="preserve">           PERFORM 888-TRATA-EXECPARM       THRU 888-TRATA-EXECPARM-EX. </t>
  </si>
  <si>
    <t xml:space="preserve">           MOVE ALL '0'                     TO CODBAR-COD-INSERT</t>
  </si>
  <si>
    <t xml:space="preserve">           MOVE SPACES                TO X002BNCAB1-O-TITULO1</t>
  </si>
  <si>
    <t xml:space="preserve">                      LX080BNCTAD      LX080BNCHIP LX080BNLIST</t>
  </si>
  <si>
    <t xml:space="preserve">                    STRING 'Lisboa, '       DELIMITED BY SIZE</t>
  </si>
  <si>
    <t xml:space="preserve">                MOVE W500-DT1-MES               TO W500-DT2-MES</t>
  </si>
  <si>
    <t xml:space="preserve">           MOVE WAUX-TIMESTAMP(07:02)   TO WAUX-TSDIA</t>
  </si>
  <si>
    <t xml:space="preserve">           MOVE CODBAR-TIMESTAMP(13:02)       TO W400-TSSS.</t>
  </si>
  <si>
    <t xml:space="preserve">           MOVE 1                           TO CODBAR-NLIN-DOC</t>
  </si>
  <si>
    <t xml:space="preserve">              DISPLAY 'PGOC023A:ERRO CLOSE DO QZCOPY. FS=' FSQZCOPY</t>
  </si>
  <si>
    <t xml:space="preserve">                                         X002BNCAB1-O-TITULO2</t>
  </si>
  <si>
    <t xml:space="preserve">                           W500-DIA3 ' de ' DELIMITED BY SIZE</t>
  </si>
  <si>
    <t xml:space="preserve">                MOVE W500-DT1-ANO               TO W500-DT2-ANO</t>
  </si>
  <si>
    <t xml:space="preserve">           MOVE WAUX-TIMESTAMP(05:02)   TO WAUX-TSMES</t>
  </si>
  <si>
    <t xml:space="preserve">      *** ABRE FICHEIRO DE INPUT ***                                    </t>
  </si>
  <si>
    <t xml:space="preserve">           MOVE ZEROS                       TO W400-COMP-REG</t>
  </si>
  <si>
    <t xml:space="preserve">                                         X002BNCAB1-O-DATA</t>
  </si>
  <si>
    <t>PJG#4 *** VALIDA AREA DO PARM ***</t>
  </si>
  <si>
    <t xml:space="preserve">                           W500-MES3        DELIMITED BY SPACES</t>
  </si>
  <si>
    <t xml:space="preserve">                MOVE '-'           TO W500-DT2-TRACO1 W500-DT2-TRACO2</t>
  </si>
  <si>
    <t xml:space="preserve">           MOVE WAUX-TIMESTAMP(01:04)   TO WAUX-TSANO</t>
  </si>
  <si>
    <t xml:space="preserve">      *** VALIDA AREA DO PARM ***</t>
  </si>
  <si>
    <t xml:space="preserve">           OPEN INPUT QZINPUT.                                          </t>
  </si>
  <si>
    <t xml:space="preserve">           PERFORM X20-WRITE-QZOUTPUT       THRU X20-EXIT</t>
  </si>
  <si>
    <t xml:space="preserve">       P4000-PREENCHE-TIPO-CARTA-EX.</t>
  </si>
  <si>
    <t xml:space="preserve">                                         X002BNCAB1-O-REGISTO-CTT</t>
  </si>
  <si>
    <t>PJG#4      MOVE LS-COMPR-INFO             TO BGOW0017-LPARM</t>
  </si>
  <si>
    <t xml:space="preserve">                          ' de '            DELIMITED BY SIZE</t>
  </si>
  <si>
    <t xml:space="preserve">                MOVE W500-DATA2                 TO RU-DT-INICIO-RECIBO</t>
  </si>
  <si>
    <t xml:space="preserve">           MOVE WAUX-TIMESTAMP(09:02)   TO WAUX-TSHH</t>
  </si>
  <si>
    <t xml:space="preserve">           MOVE LS-COMPR-INFO                 TO BGOW0017-LPARM.</t>
  </si>
  <si>
    <t xml:space="preserve">                                         X002BNCAB1-O-NUMERO-CTT</t>
  </si>
  <si>
    <t>PJG#4      MOVE LS-INFORMACAO             TO BGOW0017-PARM</t>
  </si>
  <si>
    <t xml:space="preserve">                           W500-ANO3 ' '    DELIMITED BY SIZE</t>
  </si>
  <si>
    <t xml:space="preserve">           MOVE WAUX-TIMESTAMP(11:02)   TO WAUX-TSMM</t>
  </si>
  <si>
    <t xml:space="preserve">           MOVE LS-INFORMACAO                 TO BGOW0017-PARM.</t>
  </si>
  <si>
    <t xml:space="preserve">           IF NOT W400-ST-QZINPUT-OK                                    </t>
  </si>
  <si>
    <t xml:space="preserve">           EVALUATE NY5D1U01-C-MARC-SGRA</t>
  </si>
  <si>
    <t xml:space="preserve">                                         X002BNCAB1-O-BALCAO</t>
  </si>
  <si>
    <t>PJG#4      PERFORM 888-TRATA-EXECPARM   THRU 888-TRATA-EXECPARM-EX</t>
  </si>
  <si>
    <t xml:space="preserve">                           INTO W500-DATA-COMPLETA</t>
  </si>
  <si>
    <t xml:space="preserve">              IF NZ44DU01-TO-DATE EQUAL SPACES</t>
  </si>
  <si>
    <t xml:space="preserve">           MOVE WAUX-TIMESTAMP(13:02)   TO WAUX-TSSS</t>
  </si>
  <si>
    <t xml:space="preserve">           PERFORM 888-TRATA-EXECPARM       THRU 888-TRATA-EXECPARM-EX.</t>
  </si>
  <si>
    <t xml:space="preserve">              DISPLAY 'ERRO DE OPEN &lt;FICH QZINPUT&gt;.: ' W400-ST-QZINPUT  </t>
  </si>
  <si>
    <t xml:space="preserve">       P4100-PREENCHE-CODBAR.</t>
  </si>
  <si>
    <t xml:space="preserve">                                         X002BNCAB1-O-TEXTO-LIVRE</t>
  </si>
  <si>
    <t xml:space="preserve">                   MOVE W500-DATA-COMPLETA  TO RU-DT-CARTA-EMISSAO</t>
  </si>
  <si>
    <t xml:space="preserve">                MOVE SPACES                     TO RU-DT-FIM-RECIBO</t>
  </si>
  <si>
    <t xml:space="preserve">              PERFORM Z10-CALL-ABEND                                    </t>
  </si>
  <si>
    <t xml:space="preserve">                 MOVE 'X046BNAVG1'           TO W800-CAB-LAYOUT</t>
  </si>
  <si>
    <t xml:space="preserve">              DISPLAY 'PGOC023A:ERRO CLOSE DO QZINPUT. FS=' FSQZINPUT</t>
  </si>
  <si>
    <t xml:space="preserve">           MOVE CODBAR-COMP-MARCA   TO X002BNCAB1-O-COMP-MARC</t>
  </si>
  <si>
    <t>PJG#4 *** ABRE FICHEIRO DE OUTPUT &lt;QZFICH&gt; ***</t>
  </si>
  <si>
    <t xml:space="preserve">             END-SEARCH</t>
  </si>
  <si>
    <t xml:space="preserve">      *** ABRE FICHEIRO DE INPUT ***</t>
  </si>
  <si>
    <t xml:space="preserve">           INITIALIZE CODBAR</t>
  </si>
  <si>
    <t>PJG#4      IF BGOW0017-BATCH</t>
  </si>
  <si>
    <t xml:space="preserve">                MOVE NZ44DU01-TO-DATE      TO W500-DATA1</t>
  </si>
  <si>
    <t xml:space="preserve">           OPEN INPUT QZINPUT.</t>
  </si>
  <si>
    <t xml:space="preserve">                 MOVE 'X046BNAVG2'           TO W800-CAB-LAYOUT</t>
  </si>
  <si>
    <t>PJG#1**    INITIALIZE CC-CODBAR-NLIN-DOC</t>
  </si>
  <si>
    <t xml:space="preserve">           MOVE SPACES                  TO BGOW0008-COMMAREA</t>
  </si>
  <si>
    <t>PJG#4         MOVE SPACES                 TO WAUX-PYOXAU05-AREA</t>
  </si>
  <si>
    <t xml:space="preserve">      *   TRATAMENTO DA DATA DE ANUIDADE                       *</t>
  </si>
  <si>
    <t xml:space="preserve">                MOVE W500-DT1-DIA          TO W500-DT2-DIA</t>
  </si>
  <si>
    <t xml:space="preserve">      *** ABRE FICHEIROS DE OUTPUT ***                                  </t>
  </si>
  <si>
    <t xml:space="preserve">           IF BUSK410A-COD-COMPANHIA EQUAL '128' AND</t>
  </si>
  <si>
    <t xml:space="preserve">           MOVE BGOW0027-ADDRESSEE      TO X002BNCAB1-O-NOME</t>
  </si>
  <si>
    <t>PJG#4         MOVE 'A'                    TO WAUX-OPERACAO</t>
  </si>
  <si>
    <t xml:space="preserve">           IF NZ5PDU01-DATA-INI-APOL          EQUAL SPACES</t>
  </si>
  <si>
    <t xml:space="preserve">                MOVE W500-DT1-MES          TO W500-DT2-MES</t>
  </si>
  <si>
    <t xml:space="preserve">           OPEN OUTPUT QZOUTPUT.                                        </t>
  </si>
  <si>
    <t xml:space="preserve">           DISPLAY 'PGOC023A:FIM DA PRIMEIRA PASSAGEM NO QZINPUT'</t>
  </si>
  <si>
    <t xml:space="preserve">              BUSK410A-COD-MARCA     EQUAL '002'</t>
  </si>
  <si>
    <t xml:space="preserve">           MOVE BGOW0027-ADDRESS1       TO BGOW0008-MORADA1</t>
  </si>
  <si>
    <t>PJG#4         CALL 'PYOXAU05'          USING WAUX-PYOXAU05-AREA</t>
  </si>
  <si>
    <t xml:space="preserve">              MOVE SPACES                     TO RU-DT-INICIO</t>
  </si>
  <si>
    <t xml:space="preserve">                MOVE W500-DT1-ANO          TO W500-DT2-ANO</t>
  </si>
  <si>
    <t xml:space="preserve">             IF RU-DOC-ID NOT = '   ' AND</t>
  </si>
  <si>
    <t xml:space="preserve">              SET CODBAR-FIDMUNDIAL TO TRUE</t>
  </si>
  <si>
    <t xml:space="preserve">           MOVE BGOW0027-ADDRESS2       TO BGOW0008-MORADA2</t>
  </si>
  <si>
    <t>PJG#4      END-IF</t>
  </si>
  <si>
    <t xml:space="preserve">                MOVE '-'          TO W500-DT2-TRACO1 W500-DT2-TRACO2</t>
  </si>
  <si>
    <t xml:space="preserve">           IF NOT W400-ST-QZOUTPUT-OK                                   </t>
  </si>
  <si>
    <t xml:space="preserve">           MOVE SPACES                      TO CODBAR-COD-INSERT</t>
  </si>
  <si>
    <t xml:space="preserve">       PRIMEIRA-PASSAGEM-EXIT.</t>
  </si>
  <si>
    <t xml:space="preserve">                RU-DOC-ID NOT = '001' AND</t>
  </si>
  <si>
    <t xml:space="preserve">           MOVE BGOW0027-ADDRESS3       TO BGOW0008-MORADA3</t>
  </si>
  <si>
    <t xml:space="preserve">              MOVE NZ5PDU01-DATA-INI-APOL     TO W500-DATA1</t>
  </si>
  <si>
    <t xml:space="preserve">                MOVE W500-DATA2                 TO RU-DT-FIM-RECIBO</t>
  </si>
  <si>
    <t xml:space="preserve">                MOVE SPACES               TO CODBAR-COD-POSTALM</t>
  </si>
  <si>
    <t xml:space="preserve">              DISPLAY 'ERRO DE OPEN &lt;FICH QZOUTPUT&gt;: ' W400-ST-QZOUTPUT </t>
  </si>
  <si>
    <t xml:space="preserve">           ADD 1                            TO CODBAR-NLIN-DOC</t>
  </si>
  <si>
    <t xml:space="preserve">                RU-DOC-ID NOT = '002' AND</t>
  </si>
  <si>
    <t xml:space="preserve">           MOVE BGOW0027-ADDRESS4       TO BGOW0008-MORADA4</t>
  </si>
  <si>
    <t xml:space="preserve">           MOVE FUNCTION CURRENT-DATE     TO WAUX-TIMESTAMP</t>
  </si>
  <si>
    <t xml:space="preserve">                MOVE SPACES               TO CODBAR-MEDIADOR</t>
  </si>
  <si>
    <t xml:space="preserve">                RU-DOC-ID NOT = '003' AND</t>
  </si>
  <si>
    <t xml:space="preserve">      *  verifica se a carta é para Expedir, Registada</t>
  </si>
  <si>
    <t xml:space="preserve">           MOVE SPACES                  TO BGOW0008-CPOSTAL</t>
  </si>
  <si>
    <t xml:space="preserve">      *** ABRE FICHEIROS DE OUTPUT ***</t>
  </si>
  <si>
    <t xml:space="preserve">       FORMATA-LINHAS.</t>
  </si>
  <si>
    <t xml:space="preserve">                RU-DOC-ID NOT = '004' AND</t>
  </si>
  <si>
    <t xml:space="preserve">           SET CODBAR-AG1-NE-CARTA   TO TRUE</t>
  </si>
  <si>
    <t xml:space="preserve">           MOVE CODBAR-COD-POSTALC(1:4) TO BGOW0008-CPOSTAL(1:4)</t>
  </si>
  <si>
    <t xml:space="preserve">      * DATA INICIO E DATA FIM - ANUIDADE DA APÓLICE</t>
  </si>
  <si>
    <t xml:space="preserve">           OPEN OUTPUT QZOUTPUT.</t>
  </si>
  <si>
    <t xml:space="preserve">           MOVE 'X046BNCRT1'                TO W800-CAB-LAYOUT</t>
  </si>
  <si>
    <t xml:space="preserve">                RU-DOC-ID NOT = '005' AND</t>
  </si>
  <si>
    <t xml:space="preserve">           SET CODBAR-AG2-CARTAS     TO TRUE</t>
  </si>
  <si>
    <t xml:space="preserve">           MOVE ZERO                    TO BGOW0008-CPOSTAL(5:1)</t>
  </si>
  <si>
    <t xml:space="preserve">              IF NZ44DU01-COMPANY NOT EQUAL '111'</t>
  </si>
  <si>
    <t xml:space="preserve">      *** ABRE FICHEIRO DE OUTPUT &lt;QZFICH&gt; ***                          </t>
  </si>
  <si>
    <t xml:space="preserve">             MOVE RU-COD-DOC-ORIGEM TO CONTROLE-DOC-ORIG-A</t>
  </si>
  <si>
    <t xml:space="preserve">                RU-DOC-ID NOT = '006'</t>
  </si>
  <si>
    <t xml:space="preserve">           MOVE SPACES               TO CODBAR-COD-POSTALM</t>
  </si>
  <si>
    <t xml:space="preserve">           MOVE CODBAR-COD-POSTALC(5:3) TO BGOW0008-CPOSTAL(6:3)</t>
  </si>
  <si>
    <t xml:space="preserve">              MOVE W500-DATA2                 TO RU-DT-INICIO</t>
  </si>
  <si>
    <t xml:space="preserve">                IF NZ44DU01-DATE-INI-ANUIDADE  EQUAL SPACES</t>
  </si>
  <si>
    <t xml:space="preserve">      *** INICIALIZA AREA DE CODBAR ***</t>
  </si>
  <si>
    <t xml:space="preserve">           IF BGOW0017-BATCH                                            </t>
  </si>
  <si>
    <t xml:space="preserve">           MOVE W800-OUTPUT-PAGE            TO W800-RESTO</t>
  </si>
  <si>
    <t xml:space="preserve">             IF CONTROLE-DOC-ORIGEM = CONTROLE-DOC-ORIG-A</t>
  </si>
  <si>
    <t xml:space="preserve">               DISPLAY 'PGOC038A:DOC-ID INVALIDO=' RU-DOC-ID</t>
  </si>
  <si>
    <t xml:space="preserve">           MOVE SPACES               TO CODBAR-MEDIADOR</t>
  </si>
  <si>
    <t xml:space="preserve">           MOVE BGOW0027-TNUM-PORTA     TO BGOW0008-TNUM-PORTA</t>
  </si>
  <si>
    <t xml:space="preserve">                  MOVE SPACES                     TO RU-DT-INICIO</t>
  </si>
  <si>
    <t xml:space="preserve">           IF RU-COD-POSTALC(1:4) = SPACES OR</t>
  </si>
  <si>
    <t xml:space="preserve">              MOVE SPACES                     TO W400-PYOXAU05-AREA     </t>
  </si>
  <si>
    <t xml:space="preserve">           MOVE LENGTH OF W800-OUTPUT-PAGE  TO W400-COMP-REG</t>
  </si>
  <si>
    <t xml:space="preserve">               COMPUTE WPAGTOT = WPAGTOT + 1</t>
  </si>
  <si>
    <t xml:space="preserve">           MOVE BGOW0027-NUM-PORTA      TO BGOW0008-NUM-PORTA</t>
  </si>
  <si>
    <t xml:space="preserve">                                    LOW-VALUES OR</t>
  </si>
  <si>
    <t xml:space="preserve">              MOVE 'A'                        TO W400-OPERACAO          </t>
  </si>
  <si>
    <t xml:space="preserve">               PERFORM P100-LEITURA      THRU P100-LEITURA-EXIT</t>
  </si>
  <si>
    <t xml:space="preserve">           MOVE SPACES                  TO BGOW0008-CBARRAS</t>
  </si>
  <si>
    <t xml:space="preserve">           IF NZ5PDU01-DATA-FIM-APOL          EQUAL SPACES</t>
  </si>
  <si>
    <t xml:space="preserve">                  MOVE NZ44DU01-DATE-INI-ANUIDADE TO W500-DATA1</t>
  </si>
  <si>
    <t xml:space="preserve">                                    '9999' OR</t>
  </si>
  <si>
    <t xml:space="preserve">              CALL 'PYOXAU05' USING W400-PYOXAU05-AREA                  </t>
  </si>
  <si>
    <t xml:space="preserve">                   SET CODBAR-EXPEDIR          TO TRUE</t>
  </si>
  <si>
    <t xml:space="preserve">           CALL 'PYOXAU04'  USING BGOW0008-AREA</t>
  </si>
  <si>
    <t xml:space="preserve">       P1000-INICIAR-EX.</t>
  </si>
  <si>
    <t xml:space="preserve">              MOVE SPACES                     TO RU-DT-FIM</t>
  </si>
  <si>
    <t xml:space="preserve">                  MOVE W500-DT1-DIA               TO W500-DT2-DIA</t>
  </si>
  <si>
    <t xml:space="preserve">                                    '8888'</t>
  </si>
  <si>
    <t xml:space="preserve">               DISPLAY 'PGOC023A:COD.DOC.ORIGEM INVALIDO:'</t>
  </si>
  <si>
    <t xml:space="preserve">                   MOVE '1022'                 TO CODBAR-IDENTIF-DOCUM</t>
  </si>
  <si>
    <t xml:space="preserve">                  MOVE W500-DT1-MES               TO W500-DT2-MES</t>
  </si>
  <si>
    <t xml:space="preserve">              MOVE SPACES              TO WCODBAR-COD-POSTALC</t>
  </si>
  <si>
    <t xml:space="preserve">      *** ABRE FICHEIRO DE OUTPUT &lt;QZFICH&gt; ***</t>
  </si>
  <si>
    <t xml:space="preserve">                        RU-COD-DOC-ORIGEM</t>
  </si>
  <si>
    <t xml:space="preserve">             IF (RU-COD-DOC-ORIGEM = 'ICRS37AF  ' OR</t>
  </si>
  <si>
    <t xml:space="preserve">                   MOVE BUSK410A-COD-POSTALM   TO CODBAR-COD-POSTALM</t>
  </si>
  <si>
    <t xml:space="preserve">           MOVE BGOW0008-MORADA1        TO X002BNCAB1-O-MORADA1</t>
  </si>
  <si>
    <t xml:space="preserve">              MOVE NZ5PDU01-DATA-FIM-APOL     TO W500-DATA1</t>
  </si>
  <si>
    <t xml:space="preserve">                  MOVE W500-DT1-ANO               TO W500-DT2-ANO</t>
  </si>
  <si>
    <t xml:space="preserve">           IF BGOW0017-BATCH</t>
  </si>
  <si>
    <t xml:space="preserve">      *** LE PRIMEIRO REGISTO DO FICH DE INPUT ***                      </t>
  </si>
  <si>
    <t xml:space="preserve">      *** LE PROXIMO REGISTO DO FICH DE INPUT ***</t>
  </si>
  <si>
    <t xml:space="preserve">               DISPLAY 'PGOC023A:APOLICE: '</t>
  </si>
  <si>
    <t xml:space="preserve">                RU-COD-DOC-ORIGEM = 'XCRS37AF  ')</t>
  </si>
  <si>
    <t xml:space="preserve">                   MOVE BUSK410A-NR-MEDIADOR   TO CODBAR-MEDIADOR</t>
  </si>
  <si>
    <t xml:space="preserve">           MOVE BGOW0008-MORADA2        TO X002BNCAB1-O-MORADA2</t>
  </si>
  <si>
    <t xml:space="preserve">                  MOVE '-'           TO W500-DT2-TRACO1 W500-DT2-TRACO2</t>
  </si>
  <si>
    <t xml:space="preserve">              MOVE RU-COD-POSTALC(1:4) TO WCODBAR-COD-POSTALC1</t>
  </si>
  <si>
    <t xml:space="preserve">              MOVE SPACES                     TO W400-PYOXAU05-AREA</t>
  </si>
  <si>
    <t xml:space="preserve">           PERFORM X10-READ-QZINPUT         THRU X10-EXIT.              </t>
  </si>
  <si>
    <t xml:space="preserve">           IF NOT W100-ERROR-OCCURRED</t>
  </si>
  <si>
    <t xml:space="preserve">                        RU-NR-APOLICE</t>
  </si>
  <si>
    <t xml:space="preserve">                   MOVE LENGTH OF CODBAR-MEDIADOR TO WAUX-LEN</t>
  </si>
  <si>
    <t xml:space="preserve">           MOVE BGOW0008-MORADA3        TO X002BNCAB1-O-MORADA3</t>
  </si>
  <si>
    <t xml:space="preserve">                  MOVE W500-DATA2                 TO RU-DT-INICIO</t>
  </si>
  <si>
    <t xml:space="preserve">              MOVE RU-COD-POSTALC(6:3) TO WCODBAR-COD-POSTALC2</t>
  </si>
  <si>
    <t xml:space="preserve">              MOVE 'A'                        TO W400-OPERACAO</t>
  </si>
  <si>
    <t xml:space="preserve">              PERFORM X10-READ-QZINPUT      THRU X10-EXIT</t>
  </si>
  <si>
    <t xml:space="preserve">               DISPLAY 'PGOC023A:NMEDIADOR: '</t>
  </si>
  <si>
    <t xml:space="preserve">                   CALL</t>
  </si>
  <si>
    <t xml:space="preserve">           MOVE BGOW0008-MORADA4        TO X002BNCAB1-O-MORADA4</t>
  </si>
  <si>
    <t xml:space="preserve">              CALL 'PYOXAU05' USING W400-PYOXAU05-AREA</t>
  </si>
  <si>
    <t xml:space="preserve">       B10-EXIT.                                                        </t>
  </si>
  <si>
    <t xml:space="preserve">                        RU-NR-MEDIADOR</t>
  </si>
  <si>
    <t xml:space="preserve">                     'PGOU001A' USING  WAUX-LEN, CODBAR-MEDIADOR</t>
  </si>
  <si>
    <t xml:space="preserve">           MOVE BGOW0008-CBARRAS        TO X002BNCAB1-O-ROYAL-MAIL-4S</t>
  </si>
  <si>
    <t xml:space="preserve">           READ QZINPUT INTO WAUX-AREA-INPUT</t>
  </si>
  <si>
    <t xml:space="preserve">                IF NZ44DU01-DATE-FIM-ANUIDADE      EQUAL SPACES</t>
  </si>
  <si>
    <t xml:space="preserve">           EXIT.                                                        </t>
  </si>
  <si>
    <t xml:space="preserve">       B20-EXIT.</t>
  </si>
  <si>
    <t xml:space="preserve">                   END-CALL</t>
  </si>
  <si>
    <t xml:space="preserve">              MOVE W500-DATA2                 TO RU-DT-FIM</t>
  </si>
  <si>
    <t xml:space="preserve">                  MOVE SPACES                     TO RU-DT-FIM</t>
  </si>
  <si>
    <t xml:space="preserve">           MOVE WCODBAR-COD-POSTALC     TO CODBAR-COD-POSTALC</t>
  </si>
  <si>
    <t xml:space="preserve">             END-IF.</t>
  </si>
  <si>
    <t xml:space="preserve">           MOVE CODBAR-COD-DOC    TO X002BNCAB1-O-IDENTIFICA-DOC (1:5)</t>
  </si>
  <si>
    <t xml:space="preserve">                GO TO P2100-LEITURA-EX.</t>
  </si>
  <si>
    <t xml:space="preserve">      *** LE PRIMEIRO REGISTO DO FICH DE INPUT ***</t>
  </si>
  <si>
    <t xml:space="preserve">      * Quando BUSK410A-REGISTO-CTT estiver a espaços, enviar como 'E'</t>
  </si>
  <si>
    <t xml:space="preserve">           MOVE W-AUX-TIMESTAMP   TO X002BNCAB1-O-IDENTIFICA-DOC (6:19)</t>
  </si>
  <si>
    <t>PJG#2      MOVE NZ5PDU01-TIPO-IMPRESSAO       TO RU-TIPO-IMPRESSAO</t>
  </si>
  <si>
    <t xml:space="preserve">                  MOVE NZ44DU01-DATE-FIM-ANUIDADE(9:2)</t>
  </si>
  <si>
    <t xml:space="preserve">           MOVE RU-NR-CLIENTE           TO CODBAR-CLIENTE</t>
  </si>
  <si>
    <t xml:space="preserve">       B20-PROCESSO SECTION.                                            </t>
  </si>
  <si>
    <t xml:space="preserve">       FORMATA-LINHAS-EX.</t>
  </si>
  <si>
    <t xml:space="preserve">      * para que quando o remetente for CAIXA, seguir correio interno.</t>
  </si>
  <si>
    <t xml:space="preserve">                                TO W500-CALCULA-DIA(7:2)</t>
  </si>
  <si>
    <t xml:space="preserve">            MOVE LENGTH OF CODBAR-CLIENTE     TO AUX-LEN</t>
  </si>
  <si>
    <t xml:space="preserve">                   IF BUSK410A-REGISTO-CTT   EQUAL SPACES</t>
  </si>
  <si>
    <t xml:space="preserve">           MOVE BGOW0008-CPOSTAL         TO X002BNCAB1-O-CPOSTAL</t>
  </si>
  <si>
    <t xml:space="preserve">              DISPLAY 'PGOA405: ERRO READ QZINPUT. FS=' FSQZINPUT</t>
  </si>
  <si>
    <t xml:space="preserve">       P2900-REGISTOA-EXIT.</t>
  </si>
  <si>
    <t xml:space="preserve">                  MOVE NZ44DU01-DATE-FIM-ANUIDADE(6:2)</t>
  </si>
  <si>
    <t xml:space="preserve">            CALL 'PGOU001A' USING AUX-LEN, CODBAR-CLIENTE</t>
  </si>
  <si>
    <t xml:space="preserve">           IF W400-ST-QZINPUT-OK</t>
  </si>
  <si>
    <t xml:space="preserve">       B30-FINAL SECTION.</t>
  </si>
  <si>
    <t xml:space="preserve">                      SET CODBAR-EXPEDIR        TO TRUE</t>
  </si>
  <si>
    <t xml:space="preserve">           MOVE BGOW0027-APOLICE-GRUPO   TO X002BNCAB1-O-APOLICE</t>
  </si>
  <si>
    <t xml:space="preserve">                                TO W500-CALCULA-DIA(5:2)</t>
  </si>
  <si>
    <t xml:space="preserve">            END-CALL</t>
  </si>
  <si>
    <t xml:space="preserve">              MOVE NY5BAU01-SORT-POLICY-NUMBER TO W500-POLICY-NUMBER</t>
  </si>
  <si>
    <t xml:space="preserve">      *      BLOCO PRINCIPAL DO PROGRAMA                            *   </t>
  </si>
  <si>
    <t xml:space="preserve">                      MOVE BUSK410A-COD-POSTALM  TO CODBAR-COD-POSTALM</t>
  </si>
  <si>
    <t xml:space="preserve">           MOVE BGOW0027-CERTIF-INDIV    TO X002BNCAB1-O-ADERENTE</t>
  </si>
  <si>
    <t xml:space="preserve">                  MOVE NZ44DU01-DATE-FIM-ANUIDADE(1:4)</t>
  </si>
  <si>
    <t xml:space="preserve">           MOVE RU-COD-PRODUTO          TO CODBAR-PRODUTO</t>
  </si>
  <si>
    <t xml:space="preserve">              MOVE NY5BAU01-SORT-TRAN-NUMBER  TO W500-TRAN-NUMBER</t>
  </si>
  <si>
    <t xml:space="preserve">                      MOVE BUSK410A-NR-MEDIADOR  TO CODBAR-MEDIADOR</t>
  </si>
  <si>
    <t xml:space="preserve">       P2900-REGISTOB.</t>
  </si>
  <si>
    <t xml:space="preserve">                                TO W500-CALCULA-DIA(1:4)</t>
  </si>
  <si>
    <t xml:space="preserve">           MOVE RU-NR-APOLICE           TO CODBAR-APOLICE</t>
  </si>
  <si>
    <t xml:space="preserve">       B20-START.                                                       </t>
  </si>
  <si>
    <t xml:space="preserve">      *      BLOCO QUE TERMINA O PROGRAMA                           *</t>
  </si>
  <si>
    <t xml:space="preserve">                      MOVE LENGTH OF CODBAR-MEDIADOR TO WAUX-LEN</t>
  </si>
  <si>
    <t>PJG#4      EVALUATE NZ5PDU01-C-MARC-SGRA</t>
  </si>
  <si>
    <t xml:space="preserve">           MOVE NZ5PDU01-CLIENT-NAME          TO RU-NOME</t>
  </si>
  <si>
    <t xml:space="preserve">                  COMPUTE W500-RESULT-DATA = FUNCTION DATE-OF-INTEGER</t>
  </si>
  <si>
    <t xml:space="preserve">           MOVE LENGTH OF CODBAR-APOLICE TO AUX-LEN</t>
  </si>
  <si>
    <t xml:space="preserve">           INITIALIZE W400-LOCAL-VARIABLES.                             </t>
  </si>
  <si>
    <t xml:space="preserve">                IF (WPAGTOT &gt; 48 AND WPAGTOT  &lt; 54) AND RU-DOCID-CP</t>
  </si>
  <si>
    <t xml:space="preserve">                      CALL 'PGOU001A' USING WAUX-LEN, CODBAR-MEDIADOR</t>
  </si>
  <si>
    <t>PJG#4          WHEN '001'</t>
  </si>
  <si>
    <t xml:space="preserve">           MOVE NZ5PDU01-CLIENT-ADDRESS       TO RU-MORADA1</t>
  </si>
  <si>
    <t xml:space="preserve">                  (FUNCTION INTEGER-OF-DATE (W500-CALCULA-DIA) - 1)</t>
  </si>
  <si>
    <t xml:space="preserve">           CALL</t>
  </si>
  <si>
    <t xml:space="preserve">       B30-START.</t>
  </si>
  <si>
    <t xml:space="preserve">                  DISPLAY 'Antes:wpagtot=' WPAGTOT</t>
  </si>
  <si>
    <t xml:space="preserve">                      END-CALL</t>
  </si>
  <si>
    <t>PJG#4             MOVE '111001'               TO W400-TRATA-COMP-MARCA</t>
  </si>
  <si>
    <t xml:space="preserve">           MOVE NZ5PDU01-CLIENT-ADDRESS-2     TO RU-MORADA2</t>
  </si>
  <si>
    <t xml:space="preserve">                  MOVE W500-RESULT-DATA(7:2)      TO W500-DT2-DIA</t>
  </si>
  <si>
    <t xml:space="preserve">              'PGOU001A' USING  AUX-LEN, CODBAR-APOLICE</t>
  </si>
  <si>
    <t xml:space="preserve">      *** TRATA O FORMATO LAYOUT ***                                    </t>
  </si>
  <si>
    <t xml:space="preserve">      *** FECHA OS FICHEIROS ***</t>
  </si>
  <si>
    <t xml:space="preserve">                  COMPUTE WPAGTOT = 47</t>
  </si>
  <si>
    <t xml:space="preserve">                   ELSE</t>
  </si>
  <si>
    <t xml:space="preserve">             MOVE SPACES        TO X002BNCAB1-O-JANELA</t>
  </si>
  <si>
    <t>PJG#4          WHEN '002'</t>
  </si>
  <si>
    <t xml:space="preserve">           MOVE NZ5PDU01-CLIENT-CITY          TO RU-MORADA3</t>
  </si>
  <si>
    <t xml:space="preserve">                  MOVE W500-RESULT-DATA(5:2)      TO W500-DT2-MES</t>
  </si>
  <si>
    <t xml:space="preserve">           END-CALL</t>
  </si>
  <si>
    <t xml:space="preserve">           IF W100-TRATA-LAYOUT                                         </t>
  </si>
  <si>
    <t xml:space="preserve">              DISPLAY 'PGOC023A: ERRO READ QZINPUT. FS=' FSQZINPUT</t>
  </si>
  <si>
    <t xml:space="preserve">                      SET CODBAR-REGISTADA      TO TRUE</t>
  </si>
  <si>
    <t xml:space="preserve">             STRING</t>
  </si>
  <si>
    <t>PJG#4             MOVE '128002'               TO W400-TRATA-COMP-MARCA</t>
  </si>
  <si>
    <t xml:space="preserve">           MOVE NZ5PDU01-CLIENT-POST-DESCR    TO RU-MORADA4</t>
  </si>
  <si>
    <t xml:space="preserve">                  MOVE W500-RESULT-DATA(1:4)      TO W500-DT2-ANO</t>
  </si>
  <si>
    <t xml:space="preserve">           MOVE RU-NR-DOCUMENTO         TO CODBAR-RECIBO</t>
  </si>
  <si>
    <t xml:space="preserve">              EVALUATE TRUE                                             </t>
  </si>
  <si>
    <t xml:space="preserve">                 QZOUTPUT.</t>
  </si>
  <si>
    <t xml:space="preserve">                DISPLAY 'depois:wpagtot=' WPAGTOT</t>
  </si>
  <si>
    <t>PJG#1*** ALTERAÇÃO PROVISORIA - ORDENAÇÃO FINAL POR REGISTO</t>
  </si>
  <si>
    <t xml:space="preserve">               BGOW0027-RAMO(1:2)     DELIMITED BY SIZE</t>
  </si>
  <si>
    <t>PJG#4          WHEN '003'</t>
  </si>
  <si>
    <t xml:space="preserve">           MOVE NZ5PDU01-CLIENT-POST-CODE     TO RU-COD-POSTALC</t>
  </si>
  <si>
    <t xml:space="preserve">                  MOVE '-'          TO W500-DT2-TRACO1 W500-DT2-TRACO2</t>
  </si>
  <si>
    <t xml:space="preserve">           MOVE 'F_P_SELECT'            TO NOME-O-LAYOUT</t>
  </si>
  <si>
    <t xml:space="preserve">                  WHEN NZ5B8U01-NOTICE-BASIC-DATA                       </t>
  </si>
  <si>
    <t>PJG#1**               MOVE BUSK410A-REGISTO-CTT (5:9)</t>
  </si>
  <si>
    <t xml:space="preserve">               '/'</t>
  </si>
  <si>
    <t>PJG#4             MOVE '138003'               TO W400-TRATA-COMP-MARCA</t>
  </si>
  <si>
    <t xml:space="preserve">           MOVE NZ5PDU01-CLIENT-NUM-TYPE      TO RU-TNUM-PORTA</t>
  </si>
  <si>
    <t xml:space="preserve">                  MOVE W500-DATA2                 TO RU-DT-FIM</t>
  </si>
  <si>
    <t xml:space="preserve">           MOVE ALL '0'                 TO CODBAR-COD-INSERT</t>
  </si>
  <si>
    <t xml:space="preserve">                     PERFORM T10-NOTICE-BASIC-DATA THRU T10-EXIT        </t>
  </si>
  <si>
    <t>PJG#1**                 TO CODBAR-MATRICULA (5:9)</t>
  </si>
  <si>
    <t xml:space="preserve">               BGOW0027-APOLICE-GRUPO DELIMITED BY SIZE</t>
  </si>
  <si>
    <t>PJG#4          WHEN '004'</t>
  </si>
  <si>
    <t xml:space="preserve">           MOVE NZ5PDU01-CLIENT-NUM           TO RU-NUM-PORTA</t>
  </si>
  <si>
    <t xml:space="preserve">           MOVE LENGTH OF LF-P-SELECT-O TO QZOLEN</t>
  </si>
  <si>
    <t xml:space="preserve">                  WHEN NZ5B8U01-AGENT-BASIC-DATA                        </t>
  </si>
  <si>
    <t xml:space="preserve">              DISPLAY 'ERRO CLOSE &lt;FICH QZINPUT&gt;...: ' W400-ST-QZINPUT</t>
  </si>
  <si>
    <t xml:space="preserve">               '-'</t>
  </si>
  <si>
    <t>PJG#4             MOVE '138004'               TO W400-TRATA-COMP-MARCA</t>
  </si>
  <si>
    <t xml:space="preserve">           PERFORM P291-GRAVAR-REGISTO  THRU P291-GRAVAR-REGISTO-EX</t>
  </si>
  <si>
    <t xml:space="preserve">                     PERFORM T20-AGENT-BASIC-DATA  THRU T20-EXIT        </t>
  </si>
  <si>
    <t xml:space="preserve">                   DISPLAY 'PGOC038A:ERRO WRITE DO QZCOPY. FS='</t>
  </si>
  <si>
    <t xml:space="preserve">                   MOVE '1020'                  TO CODBAR-IDENTIF-DOCUM</t>
  </si>
  <si>
    <t xml:space="preserve">               BGOW0027-CERTIF-INDIV  DELIMITED BY SIZE</t>
  </si>
  <si>
    <t>PJG#4          WHEN '005'</t>
  </si>
  <si>
    <t xml:space="preserve">       P2900-REGISTOB-EXIT.</t>
  </si>
  <si>
    <t xml:space="preserve">           MOVE SPACES                  TO CODBAR-COD-INSERT</t>
  </si>
  <si>
    <t xml:space="preserve">                  WHEN NZ5B8U01-NOTICE-LIST-DATA                        </t>
  </si>
  <si>
    <t xml:space="preserve">                 INTO X002BNCAB1-O-JANELA</t>
  </si>
  <si>
    <t>PJG#4             MOVE '111005'               TO W400-TRATA-COMP-MARCA</t>
  </si>
  <si>
    <t xml:space="preserve">              IF NZ44DU01-ORIG-DATE-PRINTED   EQUAL SPACES</t>
  </si>
  <si>
    <t xml:space="preserve">                     PERFORM T30-NOTICE-LIST-DATA  THRU T30-EXIT        </t>
  </si>
  <si>
    <t xml:space="preserve">                   SET CODBAR-EXPEDIR           TO TRUE</t>
  </si>
  <si>
    <t xml:space="preserve">             END-STRING</t>
  </si>
  <si>
    <t>PJG#4          WHEN '006'</t>
  </si>
  <si>
    <t xml:space="preserve">                 MOVE SPACES                  TO RU-DT-CARTA-EMISSAO</t>
  </si>
  <si>
    <t xml:space="preserve">       P110-PREENCHE-CODBAR-EX.</t>
  </si>
  <si>
    <t xml:space="preserve">           INITIALIZE W400-LOCAL-VARIABLES.</t>
  </si>
  <si>
    <t xml:space="preserve">              END-EVALUATE                                              </t>
  </si>
  <si>
    <t xml:space="preserve">       P101-LEITURA.</t>
  </si>
  <si>
    <t xml:space="preserve">                   MOVE '1023'                  TO CODBAR-IDENTIF-DOCUM</t>
  </si>
  <si>
    <t>PJG#4             MOVE '148006'               TO W400-TRATA-COMP-MARCA</t>
  </si>
  <si>
    <t xml:space="preserve">       P2900-REGISTOC.</t>
  </si>
  <si>
    <t xml:space="preserve">              DISPLAY 'ERRO CLOSE &lt;FICH QZOUTPUT&gt;..: ' W400-ST-QZOUTPUT</t>
  </si>
  <si>
    <t xml:space="preserve">           READ QZCOPY INTO WQZCOPY</t>
  </si>
  <si>
    <t>PJG#4      END-EVALUATE.</t>
  </si>
  <si>
    <t xml:space="preserve">              MOVE NZ5PDU01-AGENT-NAME        TO RU-AG-NOME</t>
  </si>
  <si>
    <t xml:space="preserve">                MOVE SPACES  TO W500-DATA-COMPLETA</t>
  </si>
  <si>
    <t xml:space="preserve">      *** TRATA O FORMATO LAYOUT ***</t>
  </si>
  <si>
    <t xml:space="preserve">                AT END SET FSQZC-EOF TO TRUE</t>
  </si>
  <si>
    <t>PJG#4</t>
  </si>
  <si>
    <t xml:space="preserve">              MOVE NZ5PDU01-AGENT-ADDRESS     TO RU-AG-MORADA1</t>
  </si>
  <si>
    <t xml:space="preserve">                SEARCH ALL W500-ENTRADA AT END</t>
  </si>
  <si>
    <t xml:space="preserve">       P220-PREENCHE-GERAL-CARTA.</t>
  </si>
  <si>
    <t xml:space="preserve">           IF W100-TRATA-LAYOUT</t>
  </si>
  <si>
    <t xml:space="preserve">      *** LE PROXIMO REGISTO DO FICH DE INPUT ***                       </t>
  </si>
  <si>
    <t xml:space="preserve">                GO TO P101-LEITURA-EXIT.</t>
  </si>
  <si>
    <t xml:space="preserve">             MOVE 'N' TO LISTA-VERSO</t>
  </si>
  <si>
    <t xml:space="preserve">              MOVE NZ5PDU01-AGENT-ADDRESS-2   TO RU-AG-MORADA2</t>
  </si>
  <si>
    <t xml:space="preserve">                       GO TO FIM-ANORMAL</t>
  </si>
  <si>
    <t xml:space="preserve">      *    verifica companhia/marca para escrever logotipo</t>
  </si>
  <si>
    <t xml:space="preserve">              SET W100-JA-EXECUTOU            TO TRUE</t>
  </si>
  <si>
    <t>PJG#4         PERFORM P00-TRATA-PARM        THRU P00-EXIT</t>
  </si>
  <si>
    <t xml:space="preserve">              MOVE NZ5PDU01-AGENT-CITY        TO RU-AG-MORADA3</t>
  </si>
  <si>
    <t xml:space="preserve">                    WHEN W500-MES (INDICE) EQUAL</t>
  </si>
  <si>
    <t xml:space="preserve">           IF RU-C-FIDELIDADEMUNDIAL</t>
  </si>
  <si>
    <t xml:space="preserve">       B30-EXIT.</t>
  </si>
  <si>
    <t>PJG#4      ELSE</t>
  </si>
  <si>
    <t xml:space="preserve">              MOVE NZ5PDU01-AGENT-POST-DESCR  TO RU-AG-MORADA4</t>
  </si>
  <si>
    <t xml:space="preserve">                         NZ44DU01-ORIG-DATE-PRINTED (6:2)</t>
  </si>
  <si>
    <t xml:space="preserve">              MOVE 'X002BNLOG1'            TO NOME-O-LAYOUT</t>
  </si>
  <si>
    <t xml:space="preserve">              IF ((NY5BAU01-SORT-POLICY-NUMBER = W500-POLICY-NUMBER) AND</t>
  </si>
  <si>
    <t xml:space="preserve">       B20-EXIT.                                                        </t>
  </si>
  <si>
    <t xml:space="preserve">              DISPLAY 'PGOC023A: ERRO READ QZCOPY. FS=' FSQZCOPY</t>
  </si>
  <si>
    <t xml:space="preserve">           DISPLAY 'PGOC038A:FORAM ENCONTRADOS ' TOTDOCS ' DOCUMENTOS'</t>
  </si>
  <si>
    <t>PJG#4         SET W100-TRATA-LAYOUT           TO TRUE</t>
  </si>
  <si>
    <t xml:space="preserve">              MOVE NZ5PDU01-AGENT-POST-CODE   TO RU-COD-POSTALM</t>
  </si>
  <si>
    <t xml:space="preserve">                       MOVE W500-DESCRITIVO (INDICE)  TO W500-MES3</t>
  </si>
  <si>
    <t xml:space="preserve">              MOVE LENGTH OF LX002BNLOG4-O TO QZOLEN</t>
  </si>
  <si>
    <t xml:space="preserve">                  (NY5BAU01-SORT-TRAN-NUMBER   = W500-TRAN-NUMBER))</t>
  </si>
  <si>
    <t xml:space="preserve">                 INTO X002BNCAB1-O-JANELA (10:11)</t>
  </si>
  <si>
    <t>PJG#4         SET W100-NO-FICH                TO TRUE</t>
  </si>
  <si>
    <t xml:space="preserve">              MOVE NZ5PDU01-AGENT-NUM-TYPE    TO RU-AG-TNUM-PORTA</t>
  </si>
  <si>
    <t xml:space="preserve">                       MOVE NZ44DU01-ORIG-DATE-PRINTED (9:2)</t>
  </si>
  <si>
    <t xml:space="preserve">              PERFORM P291-GRAVAR-REGISTO  THRU P291-GRAVAR-REGISTO-EX</t>
  </si>
  <si>
    <t xml:space="preserve">                 PERFORM T10-PROCESSA-CHIP  THRU T10-EXIT</t>
  </si>
  <si>
    <t>PJG#4      END-IF.</t>
  </si>
  <si>
    <t xml:space="preserve">              MOVE NZ5PDU01-AGENT-NUM         TO RU-AG-NUM-PORTA</t>
  </si>
  <si>
    <t xml:space="preserve">                         TO W500-DIA3</t>
  </si>
  <si>
    <t xml:space="preserve">            WHEN OTHER</t>
  </si>
  <si>
    <t xml:space="preserve">                       MOVE NZ44DU01-ORIG-DATE-PRINTED (1:4)</t>
  </si>
  <si>
    <t xml:space="preserve">                 PERFORM T20-ESCREVE-CHIP   THRU T20-EXIT</t>
  </si>
  <si>
    <t xml:space="preserve">       B30-FINAL SECTION.                                               </t>
  </si>
  <si>
    <t xml:space="preserve">       P101-LEITURA-EXIT.</t>
  </si>
  <si>
    <t xml:space="preserve">              DISPLAY 'PGOC038A:ERRO CLOSE DO QZCOPY. FS=' FSQZCOPY</t>
  </si>
  <si>
    <t xml:space="preserve">            DISPLAY 'BGOW0027-TIPO-CARTA DESCONHECIDO4'</t>
  </si>
  <si>
    <t>PJG#4 *** TRATA COM OPCAO DE FICHEIRO &lt;QZFICH&gt; ***</t>
  </si>
  <si>
    <t xml:space="preserve">       P2900-REGISTOC-EXIT.</t>
  </si>
  <si>
    <t xml:space="preserve">                         TO W500-ANO3</t>
  </si>
  <si>
    <t xml:space="preserve">           IF RU-C-IMPERIOBONANCA</t>
  </si>
  <si>
    <t xml:space="preserve">                 MOVE NY5BAU01-SORT-POLICY-NUMBER TO W500-POLICY-NUMBER</t>
  </si>
  <si>
    <t xml:space="preserve">       T10-FRMT-200 SECTION.</t>
  </si>
  <si>
    <t xml:space="preserve">                     BGOW0027-TIPO-CARTA</t>
  </si>
  <si>
    <t>PJG#4      IF W100-TRATA-FICH</t>
  </si>
  <si>
    <t xml:space="preserve">                       STRING 'Lisboa, ' DELIMITED BY SIZE</t>
  </si>
  <si>
    <t xml:space="preserve">              MOVE 'X002BNLOG2'            TO NOME-O-LAYOUT</t>
  </si>
  <si>
    <t xml:space="preserve">                 MOVE NY5BAU01-SORT-TRAN-NUMBER   TO W500-TRAN-NUMBER</t>
  </si>
  <si>
    <t xml:space="preserve">            PERFORM FIM-ANORMAL THRU FIM-ANORMAL-EX</t>
  </si>
  <si>
    <t>PJG#4         MOVE SPACES                     TO WAUX-PYOXAU05-AREA</t>
  </si>
  <si>
    <t xml:space="preserve">                              W500-DIA3 ' de ' DELIMITED BY SIZE</t>
  </si>
  <si>
    <t xml:space="preserve">              MOVE LENGTH OF LX002BNLOG5-O TO QZOLEN</t>
  </si>
  <si>
    <t xml:space="preserve">      *      BLOCO QUE TERMINA O PROGRAMA                           *   </t>
  </si>
  <si>
    <t xml:space="preserve">      *  FORMATA OS 200 BYTES PARA A AGRUPADA                       *</t>
  </si>
  <si>
    <t xml:space="preserve">       P2900-REGISTOD.</t>
  </si>
  <si>
    <t xml:space="preserve">                              W500-MES3 DELIMITED BY SPACES</t>
  </si>
  <si>
    <t xml:space="preserve">                   MOVE '1021'                  TO CODBAR-IDENTIF-DOCUM</t>
  </si>
  <si>
    <t>PJG#4         EVALUATE TRUE</t>
  </si>
  <si>
    <t xml:space="preserve">           MOVE NZ5PDU01-M-RECIBO             TO RU-VALOR-RESULTANTE</t>
  </si>
  <si>
    <t xml:space="preserve">                             ' de ' DELIMITED BY SIZE</t>
  </si>
  <si>
    <t xml:space="preserve">       B30-START.                                                       </t>
  </si>
  <si>
    <t xml:space="preserve">       T10-START.</t>
  </si>
  <si>
    <t xml:space="preserve">           IF RU-O-GIS OR RU-O-VIDA-GRUPO OR RU-O-VIDA-IND</t>
  </si>
  <si>
    <t xml:space="preserve">           MOVE 'REGISTOCTT'           TO NOME-O-LAYOUT</t>
  </si>
  <si>
    <t>PJG#4             WHEN W400-TRATA-COMP-MARCA EQUAL '111001'</t>
  </si>
  <si>
    <t xml:space="preserve">                              W500-ANO3 ' ' DELIMITED BY SIZE</t>
  </si>
  <si>
    <t xml:space="preserve">      *** FECHA OS FICHEIROS ***                                        </t>
  </si>
  <si>
    <t xml:space="preserve">           EVALUATE NY5D1U01-TIPO-IMPRESSAO</t>
  </si>
  <si>
    <t xml:space="preserve">             PERFORM P300-PREENCHE-CORPO-CARTA</t>
  </si>
  <si>
    <t xml:space="preserve">              DISPLAY 'PGOC038A:ERRO CLOSE DO QZINPUT. FS=' FSQZINPUT</t>
  </si>
  <si>
    <t xml:space="preserve">           PERFORM WRITE-QZOUTPUT      THRU WRITE-QZOUTPUT-EX</t>
  </si>
  <si>
    <t>PJG#4                MOVE 'VO'                TO WAUX-COMPANHIA</t>
  </si>
  <si>
    <t xml:space="preserve">           IF NZ5PDU01-Z-INIC-PAG-RCIB        EQUAL SPACES</t>
  </si>
  <si>
    <t xml:space="preserve">                              INTO W500-DATA-COMPLETA</t>
  </si>
  <si>
    <t xml:space="preserve">           IF RU-M-OKTELESEGURO</t>
  </si>
  <si>
    <t xml:space="preserve">           CLOSE QZINPUT                                                </t>
  </si>
  <si>
    <t xml:space="preserve">              WHEN 'I'</t>
  </si>
  <si>
    <t xml:space="preserve">                THRU P300-PREENCHE-CORPO-CARTA-EX</t>
  </si>
  <si>
    <t>PJG#1**    MOVE 'CLA '                    TO CODBAR-MATRICULA (1:4)</t>
  </si>
  <si>
    <t>PJG#4                MOVE 'V080'              TO WAUX-COD-DOC</t>
  </si>
  <si>
    <t xml:space="preserve">              MOVE SPACES                     TO RU-DT-INICIO-RECIBO</t>
  </si>
  <si>
    <t xml:space="preserve">                      MOVE W500-DATA-COMPLETA  TO RU-DT-CARTA-EMISSAO</t>
  </si>
  <si>
    <t xml:space="preserve">              MOVE 'X002BNLOG4'            TO NOME-O-LAYOUT</t>
  </si>
  <si>
    <t xml:space="preserve">                 QZOUTPUT.                                              </t>
  </si>
  <si>
    <t xml:space="preserve">                 SET CODBAR-ONLINE            TO TRUE</t>
  </si>
  <si>
    <t>PJG#1      SET CODBAR-ORIG-CLASSICO       TO TRUE</t>
  </si>
  <si>
    <t xml:space="preserve">           MOVE W400-PROCESS-DATE     TO X002BNDAT-O-PROC-DATE</t>
  </si>
  <si>
    <t>PJG#4             WHEN W400-TRATA-COMP-MARCA EQUAL '111005'</t>
  </si>
  <si>
    <t xml:space="preserve">                END-SEARCH</t>
  </si>
  <si>
    <t xml:space="preserve">             DISPLAY 'PGOC023A: COD-ORIGEM INVALIDO'</t>
  </si>
  <si>
    <t xml:space="preserve">           MOVE 'X002'                    TO CODBAR-COD-DOC</t>
  </si>
  <si>
    <t>PJG#4                MOVE 'VC'                TO WAUX-COMPANHIA</t>
  </si>
  <si>
    <t xml:space="preserve">              MOVE NZ5PDU01-Z-INIC-PAG-RCIB   TO W500-DATA1</t>
  </si>
  <si>
    <t xml:space="preserve">                MOVE NZ44DU01-ORIG-DATE-PRINTED (9:2)TO W500-DT2-DIA</t>
  </si>
  <si>
    <t xml:space="preserve">                 SET CODBAR-EXPEDIR           TO TRUE</t>
  </si>
  <si>
    <t xml:space="preserve">             GO TO FIM-ANORMAL</t>
  </si>
  <si>
    <t xml:space="preserve">           DISPLAY 'PGOC038A:FIM DA PRIMEIRA PASSAGEM NO QZINPUT'</t>
  </si>
  <si>
    <t>PJG#1      COMPUTE CODBAR-NSEQ-DOC = CODBAR-NSEQ-DOC + 1</t>
  </si>
  <si>
    <t xml:space="preserve">                MOVE '-'                             TO W500-DT2-TRACO1</t>
  </si>
  <si>
    <t xml:space="preserve">           IF NZ44CU01-RECORD-TYPE-1</t>
  </si>
  <si>
    <t xml:space="preserve">              DISPLAY 'ERRO CLOSE &lt;FICH QZINPUT&gt;...: ' W400-ST-QZINPUT  </t>
  </si>
  <si>
    <t>PJG#1**    COMPUTE CC-CODBAR-NSEQ-DOC = CC-CODBAR-NSEQ-DOC + 1</t>
  </si>
  <si>
    <t xml:space="preserve">           MOVE 'X002BNDAT'            TO NOME-O-LAYOUT</t>
  </si>
  <si>
    <t>PJG#4             WHEN W400-TRATA-COMP-MARCA EQUAL '128002'</t>
  </si>
  <si>
    <t xml:space="preserve">                MOVE NZ44DU01-ORIG-DATE-PRINTED (6:2)TO W500-DT2-MES</t>
  </si>
  <si>
    <t xml:space="preserve">              MOVE NZ44CU01-COMPANY-KEY       TO W400-TRATA-COMP-MARCA</t>
  </si>
  <si>
    <t xml:space="preserve">      *** FORMATA COMPANHIA/MARCA ***</t>
  </si>
  <si>
    <t>PJG#1**    MOVE CC-CODBAR-NSEQ-DOC        TO CODBAR-NSEQ-DOC</t>
  </si>
  <si>
    <t>PJG#4                MOVE 'FM'                TO WAUX-COMPANHIA</t>
  </si>
  <si>
    <t xml:space="preserve">                MOVE '-'                             TO W500-DT2-TRACO2</t>
  </si>
  <si>
    <t xml:space="preserve">           IF RU-M-CONTINENTE</t>
  </si>
  <si>
    <t xml:space="preserve">              MOVE NZ44CU01-COMPANY           TO W400-TRATA-COMP-MARCA</t>
  </si>
  <si>
    <t xml:space="preserve">                     MOVE 'X080'              TO WAUX-COD-DOC</t>
  </si>
  <si>
    <t xml:space="preserve">                MOVE NZ44DU01-ORIG-DATE-PRINTED (1:4)TO W500-DT2-ANO</t>
  </si>
  <si>
    <t xml:space="preserve">              MOVE 'X002BNLOG5'            TO NOME-O-LAYOUT</t>
  </si>
  <si>
    <t xml:space="preserve">                                                                 (4:3)</t>
  </si>
  <si>
    <t xml:space="preserve">           MOVE ZEROS                     TO CODBAR-NLIN-DOC</t>
  </si>
  <si>
    <t>PJG#4             WHEN W400-TRATA-COMP-MARCA EQUAL '138003'</t>
  </si>
  <si>
    <t xml:space="preserve">              MOVE W500-DATA2                 TO RU-DT-INICIO-RECIBO</t>
  </si>
  <si>
    <t xml:space="preserve">                MOVE W500-DATA2                TO RU-DT-EMISSAO</t>
  </si>
  <si>
    <t xml:space="preserve">                 SET CODBAR-FIDMUNDIAL TO TRUE</t>
  </si>
  <si>
    <t xml:space="preserve">           MOVE 1                         TO CODBAR-NPAG-DOC</t>
  </si>
  <si>
    <t>PJG#4                MOVE 'IB'                TO WAUX-COMPANHIA</t>
  </si>
  <si>
    <t xml:space="preserve">              DISPLAY 'ERRO CLOSE &lt;FICH QZOUTPUT&gt;..: ' W400-ST-QZOUTPUT </t>
  </si>
  <si>
    <t xml:space="preserve">           MOVE 'PGOC043A'                TO CODBAR-PROGRAMA</t>
  </si>
  <si>
    <t xml:space="preserve">               PERFORM TRATA-CARTA-1   THRU TRATA-CARTA-1-EX</t>
  </si>
  <si>
    <t xml:space="preserve">                 SET CODBAR-IMPERIO    TO TRUE</t>
  </si>
  <si>
    <t xml:space="preserve">             IF RU-TL-VERSO</t>
  </si>
  <si>
    <t>PJG#4             WHEN W400-TRATA-COMP-MARCA EQUAL '138004'</t>
  </si>
  <si>
    <t xml:space="preserve">           IF NZ5PDU01-Z-LIM-PAG-RCIB         EQUAL SPACES</t>
  </si>
  <si>
    <t xml:space="preserve">              IF NZ44DU01-CANC-REV-EFF-DATE    EQUAL SPACES</t>
  </si>
  <si>
    <t xml:space="preserve">              IF NZ44CU01-RECORD-TYPE-1</t>
  </si>
  <si>
    <t>PJG#1 *----------------------------------------------------------------</t>
  </si>
  <si>
    <t xml:space="preserve">                SET LISTA-VERSO-Y TO TRUE</t>
  </si>
  <si>
    <t xml:space="preserve">           MOVE BUSK410A-COD-POSTALC    TO CODBAR-COD-POSTALC</t>
  </si>
  <si>
    <t xml:space="preserve">               PERFORM TRATA-CARTA-2   THRU TRATA-CARTA-2-EX</t>
  </si>
  <si>
    <t>PJG#4                MOVE 'IC'                TO WAUX-COMPANHIA</t>
  </si>
  <si>
    <t xml:space="preserve">              MOVE SPACES                     TO RU-DT-FIM-RECIBO</t>
  </si>
  <si>
    <t xml:space="preserve">                 MOVE SPACES                   TO RU-DT-CESSACAO</t>
  </si>
  <si>
    <t xml:space="preserve">           IF RU-M-MULTICARE</t>
  </si>
  <si>
    <t xml:space="preserve">                 PERFORM P00-TRATA-PARM     THRU P00-EXIT</t>
  </si>
  <si>
    <t xml:space="preserve">                 SET CODBAR-ICI        TO TRUE</t>
  </si>
  <si>
    <t>PJG#1  P110-STANDARD-CODBAR.</t>
  </si>
  <si>
    <t xml:space="preserve">           MOVE BUSK410A-NR-CLIENTE     TO CODBAR-CLIENTE</t>
  </si>
  <si>
    <t xml:space="preserve">              MOVE 'X002BNLOG6'            TO NOME-O-LAYOUT</t>
  </si>
  <si>
    <t xml:space="preserve">           IF W100-JA-EXECUTOU</t>
  </si>
  <si>
    <t xml:space="preserve">      *** FECHA FICHEIRO DE OUTPUT &lt;QZFICH&gt; ***                         </t>
  </si>
  <si>
    <t>PJG#1      MOVE LENGTH OF CODBAR-CLIENTE TO WAUX-LEN</t>
  </si>
  <si>
    <t xml:space="preserve">               PERFORM TRATA-CARTA-3   THRU TRATA-CARTA-3-EX</t>
  </si>
  <si>
    <t>PJG#4             WHEN W400-TRATA-COMP-MARCA EQUAL '148006'</t>
  </si>
  <si>
    <t xml:space="preserve">              MOVE NZ5PDU01-Z-LIM-PAG-RCIB    TO W500-DATA1</t>
  </si>
  <si>
    <t xml:space="preserve">                 MOVE NZ44DU01-CANC-REV-EFF-DATE TO W500-DATA4</t>
  </si>
  <si>
    <t xml:space="preserve">              MOVE LENGTH OF LX002BNLOG6-O TO QZOLEN</t>
  </si>
  <si>
    <t xml:space="preserve">              PERFORM T20-ESCREVE-CHIP      THRU T20-EXIT</t>
  </si>
  <si>
    <t xml:space="preserve">              DISPLAY 'ERRO COMPANHIA/MARCA: ' NY5D1U01-C-MARC-SGRA</t>
  </si>
  <si>
    <t>PJG#1      EVALUATE TRUE</t>
  </si>
  <si>
    <t>PJG#1      CALL</t>
  </si>
  <si>
    <t>PJG#4                MOVE 'FC'                TO WAUX-COMPANHIA</t>
  </si>
  <si>
    <t xml:space="preserve">                 MOVE W500-DIA4                  TO W500-DT2-DIA</t>
  </si>
  <si>
    <t xml:space="preserve">              SET W100-TRATA-LAYOUT           TO TRUE</t>
  </si>
  <si>
    <t>PJG#1          WHEN RU-C-VIADIRECTA</t>
  </si>
  <si>
    <t xml:space="preserve">               IF RU-TIPO-DETALHE AND</t>
  </si>
  <si>
    <t>PJG#1         'PGOU001A' USING  WAUX-LEN, CODBAR-CLIENTE</t>
  </si>
  <si>
    <t xml:space="preserve">               PERFORM TRATA-CARTA-4   THRU TRATA-CARTA-4-EX</t>
  </si>
  <si>
    <t xml:space="preserve">                 MOVE W500-MES4                  TO W500-DT2-MES</t>
  </si>
  <si>
    <t xml:space="preserve">              SET W100-NO-FICH                TO TRUE</t>
  </si>
  <si>
    <t xml:space="preserve">              MOVE 'F'                        TO W400-OPERACAO          </t>
  </si>
  <si>
    <t>PJG#1             EVALUATE TRUE</t>
  </si>
  <si>
    <t xml:space="preserve">                  (RU-COD-DOC-ORIGEM NOT = 'ICRS37AF  '  OR</t>
  </si>
  <si>
    <t>PJG#1      END-CALL</t>
  </si>
  <si>
    <t>PJG#4         END-EVALUATE</t>
  </si>
  <si>
    <t xml:space="preserve">                 MOVE W500-ANO4                  TO W500-DT2-ANO</t>
  </si>
  <si>
    <t>PJG#1                 WHEN RU-M-OKTELESEGURO</t>
  </si>
  <si>
    <t xml:space="preserve">                   RU-COD-DOC-ORIGEM NOT = 'XCRS37AF  ') OR</t>
  </si>
  <si>
    <t xml:space="preserve">       TRATA-DADOS-GERAIS-EX.</t>
  </si>
  <si>
    <t xml:space="preserve">                 MOVE '-'           TO W500-DT2-TRACO1 W500-DT2-TRACO2</t>
  </si>
  <si>
    <t xml:space="preserve">      *    dados para preencher layout do cabeçalho - Titulos/companhia</t>
  </si>
  <si>
    <t xml:space="preserve">           MOVE 'X046'                        TO CODBAR-COD-DOC</t>
  </si>
  <si>
    <t>PJG#1                    SET CODBAR-VD-OK      TO TRUE</t>
  </si>
  <si>
    <t xml:space="preserve">                  RU-TIPO-DETALHE AND</t>
  </si>
  <si>
    <t xml:space="preserve">           MOVE BUSK410A-COD-RAMO       TO CODBAR-PRODUTO</t>
  </si>
  <si>
    <t>PJG#4         MOVE 'T'                        TO WAUX-OPERACAO</t>
  </si>
  <si>
    <t xml:space="preserve">              MOVE W500-DATA2                 TO RU-DT-FIM-RECIBO</t>
  </si>
  <si>
    <t xml:space="preserve">                 MOVE W500-DATA2                 TO RU-DT-CESSACAO</t>
  </si>
  <si>
    <t xml:space="preserve">           IF RU-CDC1 OR RU-CCAG OR RU-CAVR</t>
  </si>
  <si>
    <t xml:space="preserve">      *** TRATA COM OPCAO DE LAYOUT ***</t>
  </si>
  <si>
    <t xml:space="preserve">           ADD 1                              TO CODBAR-NSEQ-DOC.</t>
  </si>
  <si>
    <t>PJG#1                 WHEN RU-M-CONTINENTE</t>
  </si>
  <si>
    <t xml:space="preserve">                  ((RU-COD-DOC-ORIGEM = 'ICRS37AF  ' AND LISTA-VERSO-Y)</t>
  </si>
  <si>
    <t xml:space="preserve">           MOVE BUSK410A-NR-APOLICE     TO CODBAR-APOLICE</t>
  </si>
  <si>
    <t>PJG#4         MOVE 'BGOW9001'                 TO WAUX-COPYNAME</t>
  </si>
  <si>
    <t xml:space="preserve">       B30-EXIT.                                                        </t>
  </si>
  <si>
    <t xml:space="preserve">           SET CODBAR-AG1-GERAL               TO TRUE</t>
  </si>
  <si>
    <t>PJG#1                    SET CODBAR-VD-SONAE   TO TRUE</t>
  </si>
  <si>
    <t xml:space="preserve">               OR (RU-COD-DOC-ORIGEM = 'XCRS37AF  ' AND LISTA-VERSO-Y))</t>
  </si>
  <si>
    <t xml:space="preserve">           MOVE LENGTH OF CODBAR-APOLICE TO WAUX-LEN</t>
  </si>
  <si>
    <t>PJG#4         MOVE 'F'                        TO WAUX-CANAL</t>
  </si>
  <si>
    <t xml:space="preserve">                 WHEN RU-C-VIADIRECTA</t>
  </si>
  <si>
    <t xml:space="preserve">           SET CODBAR-AG2-CARTAS              TO TRUE</t>
  </si>
  <si>
    <t>PJG#1                 WHEN OTHER</t>
  </si>
  <si>
    <t xml:space="preserve">                 MOVE RU-LINHA-GIS     TO LININ-GIS</t>
  </si>
  <si>
    <t xml:space="preserve">       TRATA-CARTA-1.</t>
  </si>
  <si>
    <t>PJG#4         MOVE NZ5PDU01-PRINT-RECORD      TO WAUX-REGISTO</t>
  </si>
  <si>
    <t xml:space="preserve">           IF NZ5PDU01-N-NIB           NOT EQUAL SPACES</t>
  </si>
  <si>
    <t xml:space="preserve">      * Valores</t>
  </si>
  <si>
    <t xml:space="preserve">                    MOVE SPACES              TO X002BNCAB1-O-TITULO1</t>
  </si>
  <si>
    <t xml:space="preserve">      *  *** FORMATA CAMPOS DO REGISTO 1 ***</t>
  </si>
  <si>
    <t>PJG#1                    DISPLAY 'PGOC023A: COD-MARCA INVALIDO'</t>
  </si>
  <si>
    <t xml:space="preserve">                 MOVE LENGTH OF RU-LINHA-GIS TO LININ-LEN</t>
  </si>
  <si>
    <t xml:space="preserve">              'PGOU001A' USING  WAUX-LEN, CODBAR-APOLICE</t>
  </si>
  <si>
    <t xml:space="preserve">           MOVE SPACES                    TO X002BNASSG-O-G-RAMO-A</t>
  </si>
  <si>
    <t>PJG#4         CALL 'PYOXAU05' USING WAUX-PYOXAU05-AREA</t>
  </si>
  <si>
    <t xml:space="preserve">              MOVE NZ5PDU01-N-NIB      TO  RU-NIB</t>
  </si>
  <si>
    <t xml:space="preserve">              MOVE NZ44DU01-PREMIO-ANUAL      TO RU-PREMIO-ANUAL</t>
  </si>
  <si>
    <t xml:space="preserve">                    IF CODBAR-REGISTADA</t>
  </si>
  <si>
    <t xml:space="preserve">      *** FORMATA DADOS CLIENTE ***</t>
  </si>
  <si>
    <t>PJG#1                    GO TO FIM-ANORMAL</t>
  </si>
  <si>
    <t xml:space="preserve">                 PERFORM TRATA1-PYOXAU03 THRU TRATA1-PYOXAU03-EX</t>
  </si>
  <si>
    <t xml:space="preserve">           MOVE BGOW0027-RAMO(3:28)       TO X002BNASSG-O-G-RAMO-A</t>
  </si>
  <si>
    <t xml:space="preserve">              MOVE NZ44DU01-PREMIO-PAGO       TO RU-PREMIO-PAGO</t>
  </si>
  <si>
    <t xml:space="preserve">                       MOVE 'REGISTADA'      TO X002BNCAB1-O-TITULO2</t>
  </si>
  <si>
    <t xml:space="preserve">                 INITIALIZE W800-DOCS-AREA</t>
  </si>
  <si>
    <t xml:space="preserve">           MOVE NY5D1U01-CLIENT-NUMBER        TO CODBAR-CLIENTE.</t>
  </si>
  <si>
    <t>PJG#1             END-EVALUATE</t>
  </si>
  <si>
    <t xml:space="preserve">                 UNTIL FSPYOXAU03 EQUAL 'SV'</t>
  </si>
  <si>
    <t xml:space="preserve">           MOVE BGOW0027-APOLICE-GRUPO    TO X002BNASSG-O-G-GRUPO-A</t>
  </si>
  <si>
    <t xml:space="preserve">              MOVE NZ44DU01-PREMIO-CANCEL     TO RU-PREMIO-CANCEL</t>
  </si>
  <si>
    <t xml:space="preserve">                       COMPUTE REG-ESCRITOS-REG = REG-ESCRITOS-REG + 1</t>
  </si>
  <si>
    <t xml:space="preserve">                 PERFORM D10-FRMT-DATA-DOC  THRU D10-EXIT</t>
  </si>
  <si>
    <t xml:space="preserve">       D10-VALIDA-PARM SECTION.                                         </t>
  </si>
  <si>
    <t xml:space="preserve">           MOVE LENGTH OF CODBAR-CLIENTE      TO AUX-LEN.</t>
  </si>
  <si>
    <t>PJG#1          WHEN RU-C-FIDELIDADEMUNDIAL</t>
  </si>
  <si>
    <t xml:space="preserve">           MOVE BUSK410A-NR-RECIBO      TO CODBAR-RECIBO</t>
  </si>
  <si>
    <t xml:space="preserve">           MOVE BGOW0027-CERTIF-INDIV     TO X002BNASSG-O-G-APOLICE-A</t>
  </si>
  <si>
    <t xml:space="preserve">       P2900-REGISTOD-EXIT.</t>
  </si>
  <si>
    <t xml:space="preserve">              MOVE NZ44DU01-PERC-PENALIZACAO  TO RU-PERC-PENALIZACAO</t>
  </si>
  <si>
    <t xml:space="preserve">                    ELSE</t>
  </si>
  <si>
    <t xml:space="preserve">                 PERFORM T00-FRMT-200BYTES  THRU T00-EXIT</t>
  </si>
  <si>
    <t xml:space="preserve">                 MOVE SPACES       TO FSPYOXAU03</t>
  </si>
  <si>
    <t xml:space="preserve">           MOVE LENGTH OF CODBAR-RECIBO TO WAUX-LEN</t>
  </si>
  <si>
    <t xml:space="preserve">           MOVE BGOW0027-PESSOA-SEGURA1   TO X002BNASSG-O-G-SEG1-A</t>
  </si>
  <si>
    <t xml:space="preserve">              MOVE NZ44DU01-PENALIZACAO       TO RU-PENALIZACAO</t>
  </si>
  <si>
    <t xml:space="preserve">                       MOVE SPACES           TO X002BNCAB1-O-TITULO2</t>
  </si>
  <si>
    <t xml:space="preserve">      *  VERIFICA MARCA PARA VALIDAR COM O PARM                     *   </t>
  </si>
  <si>
    <t xml:space="preserve">              'PGOU001A' USING AUX-LEN, CODBAR-CLIENTE</t>
  </si>
  <si>
    <t>PJG#1                 WHEN RU-M-FIDELIDADEMUNDIAL</t>
  </si>
  <si>
    <t xml:space="preserve">                 MOVE SPACES       TO LININ-GIS</t>
  </si>
  <si>
    <t xml:space="preserve">           MOVE BGOW0027-PESSOA-SEGURA2   TO X002BNASSG-O-G-SEG2-A</t>
  </si>
  <si>
    <t xml:space="preserve">              MOVE NZ44DU01-PREMIO-EM-DIVIDA  TO RU-PREMIO-EM-DIVIDA</t>
  </si>
  <si>
    <t xml:space="preserve">                       COMPUTE REG-ESCRITOS  = REG-ESCRITOS + 1</t>
  </si>
  <si>
    <t xml:space="preserve">                 IF NZ44CU01-CARTA-NCDC</t>
  </si>
  <si>
    <t xml:space="preserve">           END-CALL.</t>
  </si>
  <si>
    <t>PJG#1                 WHEN RU-M-FMLEVE</t>
  </si>
  <si>
    <t xml:space="preserve">               END-IF</t>
  </si>
  <si>
    <t xml:space="preserve">              'PGOU001A' USING  WAUX-LEN, CODBAR-RECIBO</t>
  </si>
  <si>
    <t xml:space="preserve">           IF BGOW0027-NIF-PESSOA-SEGURA1 = ZEROS</t>
  </si>
  <si>
    <t xml:space="preserve">       P2900-REGISTOE.</t>
  </si>
  <si>
    <t xml:space="preserve">              MOVE NZ44DU01-VALORES-PAGOS-N-REC</t>
  </si>
  <si>
    <t xml:space="preserve">                    END-IF</t>
  </si>
  <si>
    <t xml:space="preserve">                    PERFORM T10-FORMAT-REG1 THRU T10-EXIT</t>
  </si>
  <si>
    <t xml:space="preserve">       D10-START.                                                       </t>
  </si>
  <si>
    <t>PJG#1                    SET CODBAR-FIDMUNDIAL TO TRUE</t>
  </si>
  <si>
    <t xml:space="preserve">              MOVE SPACES                      TO X002BNASSG-O-G-NIF-A</t>
  </si>
  <si>
    <t xml:space="preserve">           STRING NZ5PDU01-X-LVRE-1(1:25)  DELIMITED BY '  '</t>
  </si>
  <si>
    <t xml:space="preserve">                                              TO RU-VALORES-PAGOS-N-REC</t>
  </si>
  <si>
    <t xml:space="preserve">                 WHEN RU-C-FIDELIDADEMUNDIAL</t>
  </si>
  <si>
    <t xml:space="preserve">                    EVALUATE NZ44CU01-TIPO-IMP1</t>
  </si>
  <si>
    <t xml:space="preserve">           EVALUATE NZ5B8U01-C-MARC-SGRA                                </t>
  </si>
  <si>
    <t xml:space="preserve">      *** FORMATA PRODUTO/APOLICE ***</t>
  </si>
  <si>
    <t xml:space="preserve">                  '  '</t>
  </si>
  <si>
    <t xml:space="preserve">              MOVE NZ44DU01-VALOR-RESULTANTE  TO RU-VALOR-RESULTANTE</t>
  </si>
  <si>
    <t xml:space="preserve">                 WHEN RU-C-IMPERIOBONANCA</t>
  </si>
  <si>
    <t xml:space="preserve">                       WHEN 'I'</t>
  </si>
  <si>
    <t xml:space="preserve">      *** FECHA FICHEIRO DE OUTPUT &lt;QZFICH&gt; ***</t>
  </si>
  <si>
    <t xml:space="preserve">               WHEN '001'                                               </t>
  </si>
  <si>
    <t xml:space="preserve">           MOVE NY5D1U01-PRODUCT-CODE         TO CODBAR-PRODUTO.</t>
  </si>
  <si>
    <t xml:space="preserve">               DISPLAY 'APOLICE:' RU-NR-APOLICE</t>
  </si>
  <si>
    <t xml:space="preserve">              MOVE BGOW0027-NIF-PESSOA-SEGURA1 TO X002BNASSG-O-G-NIF-A</t>
  </si>
  <si>
    <t>PJG#4 *** TRATA COM OPCAO DE LAYOUT ***</t>
  </si>
  <si>
    <t xml:space="preserve">                  NZ5PDU01-X-LVRE-1(26:15) DELIMITED BY '  '</t>
  </si>
  <si>
    <t xml:space="preserve">              IF NZ44DU01-COMPANY     EQUAL '111'</t>
  </si>
  <si>
    <t xml:space="preserve">                 WHEN RU-C-MULTICARE</t>
  </si>
  <si>
    <t xml:space="preserve">                          SET CODBAR-ONLINE   TO TRUE</t>
  </si>
  <si>
    <t xml:space="preserve">                  MOVE '111001'               TO W400-TRATA-COMP-MARCA  </t>
  </si>
  <si>
    <t xml:space="preserve">               DISPLAY 'WPAGTOT:' WPAGTOT</t>
  </si>
  <si>
    <t>PJG#4      IF W100-TRATA-LAYOUT</t>
  </si>
  <si>
    <t xml:space="preserve">             INTO RU-OBJECTO-SEGURO</t>
  </si>
  <si>
    <t xml:space="preserve">      * Verifica a necessidade de fazer carta de acompanhamento VD</t>
  </si>
  <si>
    <t xml:space="preserve">                    MOVE 'ANULAÇÃO DE APÓLICE'  TO X002BNCAB1-O-TITULO1</t>
  </si>
  <si>
    <t xml:space="preserve">                       WHEN OTHER</t>
  </si>
  <si>
    <t xml:space="preserve">                  SET CODBAR-VD-OK            TO TRUE                   </t>
  </si>
  <si>
    <t xml:space="preserve">           MOVE NY5D1U01-POST-CODE(1:4)       TO CODBAR-COD-POSTALC(1:4)</t>
  </si>
  <si>
    <t xml:space="preserve">               DISPLAY 'PGOC038A:COD.DOC.ORIGEM INVALIDO:'</t>
  </si>
  <si>
    <t xml:space="preserve">           MOVE WAUX-TIMESTAMP          TO CODBAR-TIMESTAMP</t>
  </si>
  <si>
    <t xml:space="preserve">           END-STRING.</t>
  </si>
  <si>
    <t xml:space="preserve">                 IF NZ44DU01-IMPRIME</t>
  </si>
  <si>
    <t xml:space="preserve">                    COMPUTE REG-ESCRITOS  = REG-ESCRITOS + 1</t>
  </si>
  <si>
    <t xml:space="preserve">                          SET CODBAR-EXPEDIR  TO TRUE</t>
  </si>
  <si>
    <t xml:space="preserve">              MOVE 'F'                        TO W400-OPERACAO</t>
  </si>
  <si>
    <t xml:space="preserve">               WHEN '002'                                               </t>
  </si>
  <si>
    <t xml:space="preserve">           MOVE NY5D1U01-POST-CODE(6:3)       TO CODBAR-COD-POSTALC(5:3)</t>
  </si>
  <si>
    <t>PJG#1          WHEN RU-C-IMPERIOBONANCA</t>
  </si>
  <si>
    <t xml:space="preserve">           MOVE SPACES TO  X002BNASSG-O-G-IBAN-A</t>
  </si>
  <si>
    <t xml:space="preserve">                    SET RU-CARTA         TO TRUE</t>
  </si>
  <si>
    <t xml:space="preserve">                 WHEN OTHER</t>
  </si>
  <si>
    <t xml:space="preserve">                    END-EVALUATE</t>
  </si>
  <si>
    <t xml:space="preserve">                  MOVE '128002'               TO W400-TRATA-COMP-MARCA  </t>
  </si>
  <si>
    <t xml:space="preserve">           PERFORM P8000-GRAVAR-REGISTO THRU P8000-GRAVAR-REGISTO-EX</t>
  </si>
  <si>
    <t xml:space="preserve">                           X002BNASSG-O-G-BIC-SWIFT-A</t>
  </si>
  <si>
    <t>REG-A            WHEN NZ5PDU01-NOTICE-DATA</t>
  </si>
  <si>
    <t xml:space="preserve">       P2900-REGISTOE-EXIT.</t>
  </si>
  <si>
    <t xml:space="preserve">                 END-IF</t>
  </si>
  <si>
    <t xml:space="preserve">                    MOVE SPACES                TO X002BNCAB1-O-TITULO1</t>
  </si>
  <si>
    <t xml:space="preserve">                 ELSE</t>
  </si>
  <si>
    <t xml:space="preserve">                  SET CODBAR-FIDMUNDIAL       TO TRUE                   </t>
  </si>
  <si>
    <t xml:space="preserve">           MOVE NY5D1U01-POLICY-NUMBER        TO CODBAR-APOLICE</t>
  </si>
  <si>
    <t>PJG#1                 WHEN RU-M-IMPERIOBONANCA</t>
  </si>
  <si>
    <t xml:space="preserve">           ADD 1                        TO WAUX-REG-F-P-SELECT</t>
  </si>
  <si>
    <t xml:space="preserve">                    MOVE SPACES               TO WAUX-TEM-AGENTE</t>
  </si>
  <si>
    <t xml:space="preserve">      * Verifica a necessidade de fazer documento de cancel. CDC1 VD</t>
  </si>
  <si>
    <t xml:space="preserve">                    MOVE SPACES                TO X002BNCAB1-O-TITULO2</t>
  </si>
  <si>
    <t xml:space="preserve">                    IF NZ44CU01-CARTA-ENT1 OR NZ44CU01-CARTA-ENT2</t>
  </si>
  <si>
    <t xml:space="preserve">               WHEN '003'                                               </t>
  </si>
  <si>
    <t xml:space="preserve">           MOVE LENGTH OF CODBAR-APOLICE      TO AUX-LEN.</t>
  </si>
  <si>
    <t>PJG#1                 WHEN RU-M-IBLEVE</t>
  </si>
  <si>
    <t xml:space="preserve">           IF BGOW0027-NIB-CONTRATO = SPACES</t>
  </si>
  <si>
    <t xml:space="preserve">                    MOVE SPACES               TO WAUX-TEM-LISTA</t>
  </si>
  <si>
    <t xml:space="preserve">      ***=&gt; segundo informações dadas pela VD, em caso do cliente ter</t>
  </si>
  <si>
    <t xml:space="preserve">                       EVALUATE NZ44CU01-TIPO-IMP1</t>
  </si>
  <si>
    <t xml:space="preserve">                  MOVE '138003'               TO W400-TRATA-COMP-MARCA  </t>
  </si>
  <si>
    <t>PJG#1                    SET CODBAR-IMPERIO    TO TRUE</t>
  </si>
  <si>
    <t xml:space="preserve">              MOVE 'IBAN: '            TO X002BNASSG-O-G-IBAN-A</t>
  </si>
  <si>
    <t xml:space="preserve">                    MOVE SPACES               TO WAUX-FAZ-CARTA-AGENTE</t>
  </si>
  <si>
    <t xml:space="preserve">       P2200-GRAVA.</t>
  </si>
  <si>
    <t xml:space="preserve">      *** um estorno, o mesmo é emitido pelo TAG - carta cheque.</t>
  </si>
  <si>
    <t xml:space="preserve">                          WHEN 'I'</t>
  </si>
  <si>
    <t xml:space="preserve">                  SET CODBAR-IMPERIO          TO TRUE                   </t>
  </si>
  <si>
    <t xml:space="preserve">              'PGOU001A' USING AUX-LEN, CODBAR-APOLICE</t>
  </si>
  <si>
    <t>PJG#1                 WHEN RU-M-ICI</t>
  </si>
  <si>
    <t xml:space="preserve">       P4100-PREENCHE-CODBAR-EX.</t>
  </si>
  <si>
    <t xml:space="preserve">              MOVE 'BIC SWIFT: '       TO X002BNASSG-O-G-BIC-SWIFT-A</t>
  </si>
  <si>
    <t xml:space="preserve">                    MOVE SPACES               TO WAUX-GUARDA-REGIME</t>
  </si>
  <si>
    <t xml:space="preserve">           MOVE LENGTH OF W400-AREA-OUTPUT TO QZLEN.</t>
  </si>
  <si>
    <t xml:space="preserve">                 IF RU-VALOR-RESULTANTE GREATER 0</t>
  </si>
  <si>
    <t xml:space="preserve">                             SET CODBAR-ONLINE    TO TRUE</t>
  </si>
  <si>
    <t xml:space="preserve">               WHEN '004'                                               </t>
  </si>
  <si>
    <t>PJG#1                    SET CODBAR-ICI        TO TRUE</t>
  </si>
  <si>
    <t xml:space="preserve">                    MOVE SPACES               TO WAUX-GUARDA-TIPOREC</t>
  </si>
  <si>
    <t xml:space="preserve">           WRITE QZTEMP-RECORD FROM W400-AREA-OUTPUT.</t>
  </si>
  <si>
    <t xml:space="preserve">                    SET RU-DOC-CANCEL    TO TRUE</t>
  </si>
  <si>
    <t xml:space="preserve">                          WHEN OTHER</t>
  </si>
  <si>
    <t xml:space="preserve">                  MOVE '138004'               TO W400-TRATA-COMP-MARCA  </t>
  </si>
  <si>
    <t xml:space="preserve">              MOVE BGOW0027-NIB-CONTRATO TO BGOW0031-NIB</t>
  </si>
  <si>
    <t xml:space="preserve">           ...</t>
  </si>
  <si>
    <t xml:space="preserve">                             SET CODBAR-REGISTADA TO TRUE</t>
  </si>
  <si>
    <t xml:space="preserve">                  SET CODBAR-ICI              TO TRUE                   </t>
  </si>
  <si>
    <t xml:space="preserve">       T10-EXIT.</t>
  </si>
  <si>
    <t xml:space="preserve">       P4200-PREENCHE-GERAL-CARTA.</t>
  </si>
  <si>
    <t xml:space="preserve">              CALL 'PYOXAU09'        USING PYOXAU09-COMM</t>
  </si>
  <si>
    <t xml:space="preserve">                    PERFORM VARYING GL FROM 1 BY 1</t>
  </si>
  <si>
    <t xml:space="preserve">              DISPLAY 'PGOC029A: ERRO NO WRITE DO QZTEMP - STATUS: '</t>
  </si>
  <si>
    <t xml:space="preserve">                       END-EVALUATE</t>
  </si>
  <si>
    <t xml:space="preserve">       D10-VALIDA-PARM SECTION.</t>
  </si>
  <si>
    <t xml:space="preserve">               WHEN '005'                                               </t>
  </si>
  <si>
    <t xml:space="preserve">              IF BGOW0031-RETCODE = SPACES</t>
  </si>
  <si>
    <t xml:space="preserve">                      UNTIL GL GREATER 75</t>
  </si>
  <si>
    <t xml:space="preserve">                 SET RU-DOC-CANCEL       TO TRUE</t>
  </si>
  <si>
    <t xml:space="preserve">      *    dados comuns</t>
  </si>
  <si>
    <t xml:space="preserve">                       MOVE NZ44CU01-PRODUCT-CODE</t>
  </si>
  <si>
    <t xml:space="preserve">                  MOVE '111005'               TO W400-TRATA-COMP-MARCA  </t>
  </si>
  <si>
    <t>PJG#1**    INITIALIZE WAUX-DADOS-GUIA-CTT</t>
  </si>
  <si>
    <t xml:space="preserve">                 STRING</t>
  </si>
  <si>
    <t xml:space="preserve">                       MOVE SPACES            TO W400-INVOICE-NUMBER(GL)</t>
  </si>
  <si>
    <t xml:space="preserve">           MOVE RU-NOME             TO X002BNCAB1-O-NOME</t>
  </si>
  <si>
    <t xml:space="preserve">                                              TO W500-GUARDA-PROD-CODE</t>
  </si>
  <si>
    <t xml:space="preserve">      *  VERIFICA MARCA PARA VALIDAR COM O PARM                     *</t>
  </si>
  <si>
    <t xml:space="preserve">                  SET CODBAR-VD-SONAE         TO TRUE                   </t>
  </si>
  <si>
    <t xml:space="preserve">       X10-READ-QZINPUT SECTION.</t>
  </si>
  <si>
    <t>PJG#1          WHEN RU-C-MULTICARE</t>
  </si>
  <si>
    <t xml:space="preserve">                   'IBAN: '           DELIMITED BY SIZE</t>
  </si>
  <si>
    <t xml:space="preserve">                       MOVE SPACES            TO W400-START-END-DATE(GL)</t>
  </si>
  <si>
    <t xml:space="preserve">      * Outros campos</t>
  </si>
  <si>
    <t xml:space="preserve">                       MOVE NZ44CU01-CLIENT-NAME1</t>
  </si>
  <si>
    <t xml:space="preserve">               WHEN '006'                                               </t>
  </si>
  <si>
    <t xml:space="preserve">      *    qdo carta advogado, não tem logotipo e menções</t>
  </si>
  <si>
    <t xml:space="preserve">                   BGOW0031-IBAN      DELIMITED BY SIZE</t>
  </si>
  <si>
    <t xml:space="preserve">                       MOVE ZEROS             TO W400-INVOICE-AMOUNT(GL)</t>
  </si>
  <si>
    <t xml:space="preserve">           ADD  1 TO REG-ESCRITOS</t>
  </si>
  <si>
    <t xml:space="preserve">              IF NZ44DU01-CLAIM-DATE-OCCURRED EQUAL SPACES</t>
  </si>
  <si>
    <t xml:space="preserve">           MOVE RU-MORADA1          TO BGOW0008-MORADA1</t>
  </si>
  <si>
    <t xml:space="preserve">                                              TO W800-LEASING-TOMADOR</t>
  </si>
  <si>
    <t xml:space="preserve">       D10-START.</t>
  </si>
  <si>
    <t xml:space="preserve">                  MOVE '148006'               TO W400-TRATA-COMP-MARCA  </t>
  </si>
  <si>
    <t xml:space="preserve">      *  LEITURA DO FICHEIRO DE INPUT                               *</t>
  </si>
  <si>
    <t>PJG#1                 WHEN RU-M-MULTICARE</t>
  </si>
  <si>
    <t xml:space="preserve">              DISPLAY 'PGOC038A: ERRO READ QZINPUT. FS=' FSQZINPUT</t>
  </si>
  <si>
    <t xml:space="preserve">           IF NOT BUSK410A-COD-C003</t>
  </si>
  <si>
    <t xml:space="preserve">                     INTO X002BNASSG-O-G-IBAN-A</t>
  </si>
  <si>
    <t xml:space="preserve">                    END-PERFORM</t>
  </si>
  <si>
    <t xml:space="preserve">                 MOVE SPACES                  TO RU-DT-SINISTRO</t>
  </si>
  <si>
    <t xml:space="preserve">           MOVE RU-MORADA2          TO BGOW0008-MORADA2</t>
  </si>
  <si>
    <t xml:space="preserve">           EVALUATE NY5BAU01-C-MARC-SGRA</t>
  </si>
  <si>
    <t xml:space="preserve">                  SET CODBAR-MULTICARE        TO TRUE                   </t>
  </si>
  <si>
    <t>PJG#1                    SET CODBAR-MULTICARE  TO TRUE</t>
  </si>
  <si>
    <t xml:space="preserve">              IF CODBAR-FIDMUNDIAL</t>
  </si>
  <si>
    <t xml:space="preserve">                 END-STRING</t>
  </si>
  <si>
    <t xml:space="preserve">                    MOVE +0                   TO GL</t>
  </si>
  <si>
    <t xml:space="preserve">           MOVE RU-MORADA3          TO BGOW0008-MORADA3</t>
  </si>
  <si>
    <t xml:space="preserve">               WHEN '001'</t>
  </si>
  <si>
    <t xml:space="preserve">           END-EVALUATE.                                                </t>
  </si>
  <si>
    <t xml:space="preserve">       X10-START.</t>
  </si>
  <si>
    <t xml:space="preserve">                 MOVE 'X002BNLOG1'            TO NOME-O-LAYOUT</t>
  </si>
  <si>
    <t xml:space="preserve">       P2200-GRAVA-EX.</t>
  </si>
  <si>
    <t xml:space="preserve">                 MOVE NZ44DU01-CLAIM-DATE-OCCURRED TO W500-DATA4</t>
  </si>
  <si>
    <t xml:space="preserve">           MOVE RU-MORADA4          TO BGOW0008-MORADA4</t>
  </si>
  <si>
    <t xml:space="preserve">                  MOVE '111001'               TO W400-TRATA-COMP-MARCA</t>
  </si>
  <si>
    <t xml:space="preserve">           INITIALIZE NY5D1U01.</t>
  </si>
  <si>
    <t xml:space="preserve">                 MOVE LENGTH OF LX002BNLOG1-O TO QZOLEN</t>
  </si>
  <si>
    <t xml:space="preserve">                   'BIC SWIFT: '      DELIMITED BY SIZE</t>
  </si>
  <si>
    <t>PJG#2               IF NZ5PDU01-C-APL-ORIG EQUAL 'MHS'</t>
  </si>
  <si>
    <t xml:space="preserve">           MOVE RU-COD-POSTALC      TO BGOW0008-CPOSTAL</t>
  </si>
  <si>
    <t xml:space="preserve">                  SET CODBAR-VD-OK            TO TRUE</t>
  </si>
  <si>
    <t xml:space="preserve">                 PERFORM P8000-GRAVAR-REGISTO</t>
  </si>
  <si>
    <t xml:space="preserve">                   BGOW0031-BIC-PART  DELIMITED BY SIZE</t>
  </si>
  <si>
    <t>PJG#2                  MOVE 'S'               TO WAUX-MHS</t>
  </si>
  <si>
    <t xml:space="preserve">           MOVE RU-TNUM-PORTA       TO BGOW0008-TNUM-PORTA</t>
  </si>
  <si>
    <t xml:space="preserve">      *  *** FORMATA CAMPOS DO REGISTO 3 ***</t>
  </si>
  <si>
    <t xml:space="preserve">               WHEN '002'</t>
  </si>
  <si>
    <t xml:space="preserve">              PERFORM D11-TRATA-PARM        THRU D11-EXIT               </t>
  </si>
  <si>
    <t xml:space="preserve">           READ QZINPUT</t>
  </si>
  <si>
    <t xml:space="preserve">                    THRU P8000-GRAVAR-REGISTO-EX</t>
  </si>
  <si>
    <t xml:space="preserve">                     INTO X002BNASSG-O-G-BIC-SWIFT-A</t>
  </si>
  <si>
    <t xml:space="preserve">       P3000-FIM.</t>
  </si>
  <si>
    <t xml:space="preserve">           MOVE RU-NUM-PORTA        TO BGOW0008-NUM-PORTA</t>
  </si>
  <si>
    <t xml:space="preserve">              IF NZ44CU01-RECORD-TYPE-3</t>
  </si>
  <si>
    <t xml:space="preserve">                  MOVE '128002'               TO W400-TRATA-COMP-MARCA</t>
  </si>
  <si>
    <t xml:space="preserve">           ELSE                                                         </t>
  </si>
  <si>
    <t>PJG#1          WHEN OTHER</t>
  </si>
  <si>
    <t>PJG#2                  MOVE 'N'               TO WAUX-MHS</t>
  </si>
  <si>
    <t xml:space="preserve">                 PERFORM T30-FORMAT-REG3    THRU T30-EXIT</t>
  </si>
  <si>
    <t xml:space="preserve">                  SET CODBAR-FIDMUNDIAL       TO TRUE</t>
  </si>
  <si>
    <t xml:space="preserve">              SET W100-TRATA-LAYOUT           TO TRUE                   </t>
  </si>
  <si>
    <t>PJG#1             DISPLAY 'PGOC023A: COD-COMPANHIA INVALIDO'</t>
  </si>
  <si>
    <t xml:space="preserve">                 MOVE W500-DATA2                 TO RU-DT-SINISTRO</t>
  </si>
  <si>
    <t xml:space="preserve">           CALL 'PYOXAU04'          USING BGOW0008-AREA</t>
  </si>
  <si>
    <t xml:space="preserve">               WHEN '003'</t>
  </si>
  <si>
    <t xml:space="preserve">              SET W100-NO-FICH                TO TRUE                   </t>
  </si>
  <si>
    <t xml:space="preserve">              COMPUTE W500-REG-LIDOS = W500-REG-LIDOS + 1</t>
  </si>
  <si>
    <t>PJG#1             GO TO FIM-ANORMAL</t>
  </si>
  <si>
    <t>PJG#2</t>
  </si>
  <si>
    <t xml:space="preserve">                  MOVE '138003'               TO W400-TRATA-COMP-MARCA</t>
  </si>
  <si>
    <t>PJG#1      END-EVALUATE</t>
  </si>
  <si>
    <t xml:space="preserve">                   'NIB: '                DELIMITED BY SIZE</t>
  </si>
  <si>
    <t>PJG#3               IF NZ5PDU01-C-TIPO-CTAD EQUAL 'P'</t>
  </si>
  <si>
    <t xml:space="preserve">              DISPLAY 'PGOC029A: ERRO NO CLOSE DO QZINPUT - STATUS: '</t>
  </si>
  <si>
    <t xml:space="preserve">              MOVE NZ44DU01-REFERENCIA       TO RU-NR-DOCUMENTO</t>
  </si>
  <si>
    <t xml:space="preserve">           MOVE BGOW0008-MORADA1    TO X002BNCAB1-O-MORADA1</t>
  </si>
  <si>
    <t xml:space="preserve">      *  *** FORMATA CAMPOS DO REGISTO 4 ***</t>
  </si>
  <si>
    <t xml:space="preserve">                  SET CODBAR-IMPERIO          TO TRUE</t>
  </si>
  <si>
    <t xml:space="preserve">              MOVE QZINPUT-RECORD             TO NY5D1U01</t>
  </si>
  <si>
    <t xml:space="preserve">                   BGOW0027-NIB-CONTRATO DELIMITED BY SIZE</t>
  </si>
  <si>
    <t>PJG#3                  MOVE 'P'               TO WAUX-C-TIPO-CTAD</t>
  </si>
  <si>
    <t xml:space="preserve">              MOVE NZ44DU01-IND-UAR          TO RU-IND-UAR</t>
  </si>
  <si>
    <t xml:space="preserve">           MOVE BGOW0008-MORADA2    TO X002BNCAB1-O-MORADA2</t>
  </si>
  <si>
    <t xml:space="preserve">              IF NZ44CU01-RECORD-TYPE-4</t>
  </si>
  <si>
    <t xml:space="preserve">               WHEN '004'</t>
  </si>
  <si>
    <t xml:space="preserve">      *** TRATA COM OPCAO DE FICHEIRO &lt;QZFICH&gt; ***                      </t>
  </si>
  <si>
    <t xml:space="preserve">           MOVE SPACES                TO X002BNCAB1-O-TITULO2</t>
  </si>
  <si>
    <t>PJG#3                  MOVE NZ5PDU01-CANC-RCIB-PEND TO</t>
  </si>
  <si>
    <t xml:space="preserve">              IF NZ44DU01-MULTIPLE-UAR</t>
  </si>
  <si>
    <t xml:space="preserve">           MOVE BGOW0008-MORADA3    TO X002BNCAB1-O-MORADA3</t>
  </si>
  <si>
    <t xml:space="preserve">                 PERFORM T40-FORMAT-REG4    THRU T40-EXIT</t>
  </si>
  <si>
    <t xml:space="preserve">                  MOVE '138004'               TO W400-TRATA-COMP-MARCA</t>
  </si>
  <si>
    <t xml:space="preserve">           IF W100-TRATA-FICH                                           </t>
  </si>
  <si>
    <t>PJG#1          WHEN RU-O-GIS</t>
  </si>
  <si>
    <t xml:space="preserve">                            X080BNCTAD-VALOR-RCIB-PEND</t>
  </si>
  <si>
    <t xml:space="preserve">                 MOVE 'VÁRIOS'               TO RU-OBJECTO-SEGURO</t>
  </si>
  <si>
    <t xml:space="preserve">           MOVE BGOW0008-MORADA4    TO X002BNCAB1-O-MORADA4</t>
  </si>
  <si>
    <t xml:space="preserve">                  SET CODBAR-ICI              TO TRUE</t>
  </si>
  <si>
    <t xml:space="preserve">           IF NOT (W400-ST-QZINPUT-OK OR W400-ST-QZINPUT-FIM)</t>
  </si>
  <si>
    <t>PJG#1             SET CODBAR-ORIG-GIS          TO TRUE</t>
  </si>
  <si>
    <t xml:space="preserve">                   MOVE 'BIC SWIFT: '    TO X002BNASSG-O-G-BIC-SWIFT-A</t>
  </si>
  <si>
    <t>PJG#3               ELSE</t>
  </si>
  <si>
    <t xml:space="preserve">                                                RU-VEIC-NUMERO</t>
  </si>
  <si>
    <t xml:space="preserve">           MOVE BGOW0008-CBARRAS    TO X002BNCAB1-O-ROYAL-MAIL-4S</t>
  </si>
  <si>
    <t xml:space="preserve">               WHEN '005'</t>
  </si>
  <si>
    <t xml:space="preserve">              DISPLAY 'ERRO DE READ &lt;FICH QZINPUT&gt;.: ' W400-ST-QZINPUT</t>
  </si>
  <si>
    <t>PJG#1          WHEN RU-O-VIDA-GRUPO</t>
  </si>
  <si>
    <t xml:space="preserve">              DISPLAY 'PGOC038A: ERRO READ QZCOPY. FS=' FSQZCOPY</t>
  </si>
  <si>
    <t>PJG#3                  MOVE SPACES            TO WAUX-C-TIPO-CTAD</t>
  </si>
  <si>
    <t xml:space="preserve">                 MOVE SPACES                 TO RU-VEIC-MARCA</t>
  </si>
  <si>
    <t xml:space="preserve">      *  *** FORMATA CAMPOS DO REGISTO 5 ***</t>
  </si>
  <si>
    <t xml:space="preserve">                  MOVE '111005'               TO W400-TRATA-COMP-MARCA</t>
  </si>
  <si>
    <t>PJG#1             SET CODBAR-ORIG-VIDA-GRUPO   TO TRUE</t>
  </si>
  <si>
    <t xml:space="preserve">           IF BUSK410A-DATA-CARTA EQUAL SPACES</t>
  </si>
  <si>
    <t>PJG#3                  MOVE ZEROS             TO</t>
  </si>
  <si>
    <t xml:space="preserve">              DISPLAY 'PGOC029A: ERRO NO CLOSE DO QZTEMP - STATUS: '</t>
  </si>
  <si>
    <t xml:space="preserve">                                                RU-VEIC-MARCA</t>
  </si>
  <si>
    <t xml:space="preserve">              IF NZ44CU01-RECORD-TYPE-5</t>
  </si>
  <si>
    <t xml:space="preserve">                  SET CODBAR-VD-SONAE         TO TRUE</t>
  </si>
  <si>
    <t xml:space="preserve">                  WHEN W400-TRATA-COMP-MARCA EQUAL '111001'             </t>
  </si>
  <si>
    <t>PJG#1          WHEN RU-O-VIDA-IND</t>
  </si>
  <si>
    <t xml:space="preserve">              MOVE WAUX-TSDIA TO W500-DIA3</t>
  </si>
  <si>
    <t xml:space="preserve">                                                RU-VEIC-EXTRA</t>
  </si>
  <si>
    <t xml:space="preserve">                MOVE RU-DT-CARTA-EMISSAO TO X002BNCAB1-O-DATA</t>
  </si>
  <si>
    <t xml:space="preserve">                 PERFORM T50-FORMAT-REG5    THRU T50-EXIT</t>
  </si>
  <si>
    <t xml:space="preserve">               WHEN '006'</t>
  </si>
  <si>
    <t xml:space="preserve">                     MOVE 'VO'                TO W400-COMPANHIA         </t>
  </si>
  <si>
    <t xml:space="preserve">       X10-EXIT.</t>
  </si>
  <si>
    <t>PJG#1             SET CODBAR-ORIG-VIDA-IND     TO TRUE</t>
  </si>
  <si>
    <t xml:space="preserve">              MOVE WAUX-TSMES TO W500-MM3</t>
  </si>
  <si>
    <t>PJG#3               END-IF</t>
  </si>
  <si>
    <t xml:space="preserve">                  MOVE '148006'               TO W400-TRATA-COMP-MARCA</t>
  </si>
  <si>
    <t xml:space="preserve">                  WHEN W400-TRATA-COMP-MARCA EQUAL '111005'             </t>
  </si>
  <si>
    <t xml:space="preserve">              MOVE WAUX-TSANO TO W500-ANO3</t>
  </si>
  <si>
    <t xml:space="preserve">           MOVE SPACES                  TO X002BNASSG-O-G-BENEF-A</t>
  </si>
  <si>
    <t xml:space="preserve">                  SET CODBAR-MULTICARE        TO TRUE</t>
  </si>
  <si>
    <t xml:space="preserve">                     MOVE 'VC'                TO W400-COMPANHIA         </t>
  </si>
  <si>
    <t>PJG#1             DISPLAY 'PGOC023A: COD-ORIGEM INVALIDO'</t>
  </si>
  <si>
    <t xml:space="preserve">           IF BGOW0027-BENEFICIARIO NOT = SPACES</t>
  </si>
  <si>
    <t xml:space="preserve">                   PERFORM P2005-MONTA-CODBAR THRU P2005-MONTA-CODBAR-EX</t>
  </si>
  <si>
    <t xml:space="preserve">              MOVE NZ44DU01-COMPANY           TO RU-COD-COMPANHIA</t>
  </si>
  <si>
    <t xml:space="preserve">                  WHEN W400-TRATA-COMP-MARCA EQUAL '128002'             </t>
  </si>
  <si>
    <t xml:space="preserve">       X20-WRITE-QZOUTPUT SECTION.</t>
  </si>
  <si>
    <t xml:space="preserve">              MOVE BUSK410A-DATA-CARTA(1:2) TO W500-DIA3</t>
  </si>
  <si>
    <t xml:space="preserve">              STRING</t>
  </si>
  <si>
    <t xml:space="preserve">                   PERFORM P2010-NOTICE-DATA  THRU P2010-NOTICE-DATA-EX</t>
  </si>
  <si>
    <t xml:space="preserve">              MOVE NZ44DU01-C-MARC-SGRA       TO RU-COD-MARCA</t>
  </si>
  <si>
    <t xml:space="preserve">           MOVE CODBAR-COD-DOC TO X002BNCAB1-O-IDENTIFICA-DOC (1:5)</t>
  </si>
  <si>
    <t xml:space="preserve">      *** TRATA COM OPCAO DE FICHEIRO &lt;QZFICH&gt; ***</t>
  </si>
  <si>
    <t xml:space="preserve">                     MOVE 'FM'                TO W400-COMPANHIA         </t>
  </si>
  <si>
    <t xml:space="preserve">              MOVE BUSK410A-DATA-CARTA(4:2) TO W500-MM3</t>
  </si>
  <si>
    <t xml:space="preserve">               'Beneficiário Aceitante: '  DELIMITED BY SIZE</t>
  </si>
  <si>
    <t xml:space="preserve">              SET RU-O-COGEN33                TO TRUE</t>
  </si>
  <si>
    <t xml:space="preserve">           MOVE WAUX-DATA-TIMESTAMP TO</t>
  </si>
  <si>
    <t xml:space="preserve">           IF W100-TRATA-FICH</t>
  </si>
  <si>
    <t xml:space="preserve">                  WHEN W400-TRATA-COMP-MARCA EQUAL '138003'             </t>
  </si>
  <si>
    <t xml:space="preserve">      *  ESCREVE FICHEIRO DE OUTPUT                                 *</t>
  </si>
  <si>
    <t xml:space="preserve">              MOVE BUSK410A-DATA-CARTA(7:4) TO W500-ANO3</t>
  </si>
  <si>
    <t xml:space="preserve">                BGOW0027-BENEFICIARIO      DELIMITED BY SIZE</t>
  </si>
  <si>
    <t>REG-B            WHEN NZ5PDU01-CLIENT-DATA</t>
  </si>
  <si>
    <t xml:space="preserve">              MOVE NZ44DU01-CLIENT-REFERENCE  TO RU-NR-CLIENTE</t>
  </si>
  <si>
    <t xml:space="preserve">                                  X002BNCAB1-O-IDENTIFICA-DOC (6:19)</t>
  </si>
  <si>
    <t xml:space="preserve">              PERFORM D11-TRATA-PARM        THRU D11-EXIT</t>
  </si>
  <si>
    <t xml:space="preserve">                     MOVE 'IB'                TO W400-COMPANHIA         </t>
  </si>
  <si>
    <t xml:space="preserve">           IF RU-O-GIS OR RU-O-VIDA-GRUPO OR RU-O-PAXUS</t>
  </si>
  <si>
    <t xml:space="preserve">               INTO  X002BNASSG-O-G-BENEF-A</t>
  </si>
  <si>
    <t xml:space="preserve">                    PERFORM P2020-CLIENT-DATA THRU P2020-CLIENT-DATA-EX</t>
  </si>
  <si>
    <t xml:space="preserve">              MOVE NZ44DU01-POLICY-NUMBER     TO RU-NR-APOLICE</t>
  </si>
  <si>
    <t xml:space="preserve">                  WHEN W400-TRATA-COMP-MARCA EQUAL '111001'</t>
  </si>
  <si>
    <t xml:space="preserve">                  WHEN W400-TRATA-COMP-MARCA EQUAL '138004'             </t>
  </si>
  <si>
    <t xml:space="preserve">       X20-START.</t>
  </si>
  <si>
    <t>PJG#1          WHEN RU-CEN-AGR-EX</t>
  </si>
  <si>
    <t xml:space="preserve">           SEARCH ALL TAB-ENTRADA AT END GO TO FIM-ANORMAL</t>
  </si>
  <si>
    <t xml:space="preserve">              END-STRING</t>
  </si>
  <si>
    <t xml:space="preserve">              MOVE NZ44DU01-PRODUCT-CODE      TO RU-COD-PRODUTO</t>
  </si>
  <si>
    <t xml:space="preserve">           MOVE 'X002BNCAB1'        TO NOME-O-LAYOUT</t>
  </si>
  <si>
    <t xml:space="preserve">                     SET CODBAR-VD-OK         TO TRUE</t>
  </si>
  <si>
    <t xml:space="preserve">                     MOVE 'IC'                TO W400-COMPANHIA         </t>
  </si>
  <si>
    <t xml:space="preserve">           WRITE QZOUTPUT-RECORD         FROM W800-WORK-AREA</t>
  </si>
  <si>
    <t>PJG#1          WHEN RU-CEN-AGR-NEX</t>
  </si>
  <si>
    <t xml:space="preserve">              WHEN TAB-MES (INDICE) EQUAL W500-MM3</t>
  </si>
  <si>
    <t>REG-C            WHEN NZ5PDU01-AGENT-DATA</t>
  </si>
  <si>
    <t xml:space="preserve">              MOVE 'EUR'                      TO RU-COD-MOEDA</t>
  </si>
  <si>
    <t xml:space="preserve">           MOVE LENGTH OF LX002BNCAB1-O TO QZOLEN</t>
  </si>
  <si>
    <t xml:space="preserve">                  WHEN W400-TRATA-COMP-MARCA EQUAL '111005'</t>
  </si>
  <si>
    <t xml:space="preserve">                  WHEN W400-TRATA-COMP-MARCA EQUAL '148006'             </t>
  </si>
  <si>
    <t>PJG#1             SET CODBAR-EXPEDIR           TO TRUE</t>
  </si>
  <si>
    <t xml:space="preserve">                   MOVE TAB-DESCRITIVO (INDICE) TO W500-MES3</t>
  </si>
  <si>
    <t xml:space="preserve">           MOVE BGOW0027-VLR-DIVIDA     TO W400-VALOR-DIV</t>
  </si>
  <si>
    <t xml:space="preserve">                    PERFORM P2030-AGENT-DATA  THRU P2030-AGENT-DATA-EX</t>
  </si>
  <si>
    <t xml:space="preserve">              MOVE 'CDC1'                     TO RU-TIPO-REG OF</t>
  </si>
  <si>
    <t xml:space="preserve">                     SET CODBAR-VD-SONAE      TO TRUE</t>
  </si>
  <si>
    <t xml:space="preserve">                     MOVE 'FC'                TO W400-COMPANHIA         </t>
  </si>
  <si>
    <t xml:space="preserve">              DISPLAY 'ERRO WRITE &lt;FICH QZOUTPUT&gt;..: ' W400-ST-QZOUTPUT</t>
  </si>
  <si>
    <t>PJG#1          WHEN RU-CEN-NAGR-EX</t>
  </si>
  <si>
    <t xml:space="preserve">             DISPLAY 'PGOC038A: COD-ORIGEM INVALIDO'</t>
  </si>
  <si>
    <t xml:space="preserve">           MOVE X'9F'                   TO W400-VALOR-DIV-EURO</t>
  </si>
  <si>
    <t xml:space="preserve">       P3000-FIM-EX.</t>
  </si>
  <si>
    <t xml:space="preserve">                  WHEN W400-TRATA-COMP-MARCA EQUAL '128002'</t>
  </si>
  <si>
    <t>PJG#1             IF RU-REGISTADA</t>
  </si>
  <si>
    <t xml:space="preserve">           MOVE W400-VALOR-DIVIDA       TO LININ</t>
  </si>
  <si>
    <t>REG-D            WHEN NZ5PDU01-PAYMENT-DATA</t>
  </si>
  <si>
    <t>PJG#2         MOVE NZ44DU01-TIPO-IMPRESSAO    TO RU-TIPO-IMPRESSAO</t>
  </si>
  <si>
    <t xml:space="preserve">       P220-PREENCHE-GERAL-CARTA-EX.</t>
  </si>
  <si>
    <t xml:space="preserve">                     SET CODBAR-FIDMUNDIAL    TO TRUE</t>
  </si>
  <si>
    <t>PJG#1                SET CODBAR-REGISTADA      TO TRUE</t>
  </si>
  <si>
    <t xml:space="preserve">           STRING 'Lisboa, '   DELIMITED BY SIZE</t>
  </si>
  <si>
    <t xml:space="preserve">           MOVE LENGTH OF LININ      TO LININ-LEN</t>
  </si>
  <si>
    <t xml:space="preserve">                   PERFORM P2040-PAYMENT-DATA THRU P2040-PAYMENT-DATA-EX</t>
  </si>
  <si>
    <t xml:space="preserve">                  WHEN W400-TRATA-COMP-MARCA EQUAL '138003'</t>
  </si>
  <si>
    <t xml:space="preserve">              MOVE 'T'                        TO W400-OPERACAO          </t>
  </si>
  <si>
    <t xml:space="preserve">              COMPUTE W500-REG-ESCRI = W500-REG-ESCRI + 1</t>
  </si>
  <si>
    <t>PJG#1             ELSE</t>
  </si>
  <si>
    <t xml:space="preserve">           PERFORM TRATA-PYOXAU03-VLR THRU TRATA-PYOXAU03-VLR-EX</t>
  </si>
  <si>
    <t>PJG#1  P00-TRATA-PARM SECTION.</t>
  </si>
  <si>
    <t xml:space="preserve">                     SET CODBAR-IMPERIO       TO TRUE</t>
  </si>
  <si>
    <t xml:space="preserve">              MOVE 'BGOW9017'                 TO W400-COPYNAME          </t>
  </si>
  <si>
    <t>PJG#1                IF RU-COD-DOC-ORIGEM = 'ElClinico '</t>
  </si>
  <si>
    <t xml:space="preserve">           UNTIL FSPYOXAU03 EQUAL 'SV'</t>
  </si>
  <si>
    <t>REG-E            WHEN NZ5PDU01-OBJECTO-DATA</t>
  </si>
  <si>
    <t xml:space="preserve">      * Registo Tipo 2</t>
  </si>
  <si>
    <t xml:space="preserve">                  WHEN W400-TRATA-COMP-MARCA EQUAL '138004'</t>
  </si>
  <si>
    <t xml:space="preserve">              MOVE 'F'                        TO W400-CANAL             </t>
  </si>
  <si>
    <t xml:space="preserve">       X20-EXIT.</t>
  </si>
  <si>
    <t>PJG#1                   SET CODBAR-ELEM-CLI    TO TRUE</t>
  </si>
  <si>
    <t xml:space="preserve">           MOVE LINOUT       TO  X002BNASSG-O-G-VLR-DIV-A</t>
  </si>
  <si>
    <t xml:space="preserve">                   PERFORM P2050-OBJECTO-DATA THRU P2050-OBJECTO-DATA-EX</t>
  </si>
  <si>
    <t>PJG#1 *  VERIFICA SE TRATA LAYOUT OU FICHEIRO, PERANTE O PARM       *</t>
  </si>
  <si>
    <t xml:space="preserve">           IF NZ44DU01-UAR-DATA</t>
  </si>
  <si>
    <t xml:space="preserve">       P230-PREENCHE-TIPO-CARTA.</t>
  </si>
  <si>
    <t xml:space="preserve">                     SET CODBAR-ICI           TO TRUE</t>
  </si>
  <si>
    <t xml:space="preserve">              MOVE 'X041'                     TO W400-COD-DOC           </t>
  </si>
  <si>
    <t>PJG#1                ELSE</t>
  </si>
  <si>
    <t xml:space="preserve">           MOVE SPACES       TO FSPYOXAU03</t>
  </si>
  <si>
    <t xml:space="preserve">              IF RU-UAR-UNICA</t>
  </si>
  <si>
    <t xml:space="preserve">                  WHEN W400-TRATA-COMP-MARCA EQUAL '148006'</t>
  </si>
  <si>
    <t xml:space="preserve">              MOVE NZ5B8U01-PRINT-RECORD      TO W400-REGISTO           </t>
  </si>
  <si>
    <t>PJG#1                   SET CODBAR-VIDA        TO TRUE</t>
  </si>
  <si>
    <t xml:space="preserve">              INTO W500-DATA-COMPLETA.</t>
  </si>
  <si>
    <t xml:space="preserve">           MOVE SPACES       TO LININ</t>
  </si>
  <si>
    <t>REG-F            WHEN NZ5PDU01-LISTA-DATA</t>
  </si>
  <si>
    <t>PJG#1  P00-START.</t>
  </si>
  <si>
    <t xml:space="preserve">               MOVE NZ44DU01-VEH-MAKE      TO W500-VEHICLE-MAKE</t>
  </si>
  <si>
    <t xml:space="preserve">           IF RU-C-VIADIRECTA</t>
  </si>
  <si>
    <t xml:space="preserve">                     SET CODBAR-MULTICARE     TO TRUE</t>
  </si>
  <si>
    <t xml:space="preserve">                     MOVE 'VO'                TO W400-COMPANHIA</t>
  </si>
  <si>
    <t xml:space="preserve">       Z10-CALL-ABEND SECTION.</t>
  </si>
  <si>
    <t>PJG#1                END-IF</t>
  </si>
  <si>
    <t xml:space="preserve">                    PERFORM P2060-LISTA-DATA  THRU P2060-LISTA-DATA-EX</t>
  </si>
  <si>
    <t>PJG#1      SET W100-NO-LAYOUT                 TO TRUE.</t>
  </si>
  <si>
    <t xml:space="preserve">               MOVE NZ44DU01-VEH-MODEL     TO W500-VEHICLE-MODEL</t>
  </si>
  <si>
    <t xml:space="preserve">              IF RU-CARTA</t>
  </si>
  <si>
    <t>PJG#1             END-IF</t>
  </si>
  <si>
    <t xml:space="preserve">              BGOW0027-DT-ANUL (1:2) DELIMITED BY SIZE</t>
  </si>
  <si>
    <t xml:space="preserve">               MOVE NZ44DU01-VEH-EXTRA     TO W500-VEHICLE-EXTRA</t>
  </si>
  <si>
    <t xml:space="preserve">                 PERFORM P110-PREENCHE-CODBAR</t>
  </si>
  <si>
    <t xml:space="preserve">                     MOVE 'VC'                TO W400-COMPANHIA</t>
  </si>
  <si>
    <t xml:space="preserve">      *  THIS SECTION CALLS THE ABEND ROUTINE                       *</t>
  </si>
  <si>
    <t>PJG#1          WHEN RU-CEN-NAGR-NEX</t>
  </si>
  <si>
    <t xml:space="preserve">              '/'  DELIMITED BY SIZE</t>
  </si>
  <si>
    <t>REG-G            WHEN NZ5PDU01-CREDOR-DATA</t>
  </si>
  <si>
    <t>PJG#1          WHEN W400-TRATA-COMP-MARCA EQUAL '111001' AND</t>
  </si>
  <si>
    <t xml:space="preserve">               CALL 'PY4RBB0'              USING PARAMETROS-AUXILIARES</t>
  </si>
  <si>
    <t xml:space="preserve">                 THRU P110-PREENCHE-CODBAR-EX</t>
  </si>
  <si>
    <t xml:space="preserve">       D10-EXIT.                                                        </t>
  </si>
  <si>
    <t>PJG#1          WHEN RU-DES-AGR-NEX</t>
  </si>
  <si>
    <t xml:space="preserve">              BGOW0027-DT-ANUL (4:2) DELIMITED BY SIZE</t>
  </si>
  <si>
    <t xml:space="preserve">                    PERFORM P2070-CREDOR-DATA THRU P2070-CREDOR-DATA-EX</t>
  </si>
  <si>
    <t>PJG#1               BGOW0017-LAYOUTS-111001</t>
  </si>
  <si>
    <t xml:space="preserve">               MOVE W500-DESCRIPTION       TO W400-GUARDA-DESCR-VEHICLE</t>
  </si>
  <si>
    <t xml:space="preserve">                 PERFORM P220-PREENCHE-GERAL-CARTA</t>
  </si>
  <si>
    <t xml:space="preserve">              MOVE 'T'                        TO W400-OPERACAO</t>
  </si>
  <si>
    <t xml:space="preserve">                     MOVE 'FM'                TO W400-COMPANHIA</t>
  </si>
  <si>
    <t xml:space="preserve">       Z10-START.</t>
  </si>
  <si>
    <t>PJG#1             IF RU-COD-DOC-ORIGEM = 'ElClinico '</t>
  </si>
  <si>
    <t>PJG#1          WHEN W400-TRATA-COMP-MARCA EQUAL '111005' AND</t>
  </si>
  <si>
    <t xml:space="preserve">               MOVE SPACES                     TO NYYABNM-TEXTO</t>
  </si>
  <si>
    <t xml:space="preserve">                 THRU P220-PREENCHE-GERAL-CARTA-EX</t>
  </si>
  <si>
    <t xml:space="preserve">              MOVE 'BGOW9009'                 TO W400-COPYNAME</t>
  </si>
  <si>
    <t xml:space="preserve">           DISPLAY 'VAI SAIR POR ABEND &lt;ANALISAR MENSAGENS&gt;'.</t>
  </si>
  <si>
    <t>PJG#1                SET CODBAR-ELEM-CLI       TO TRUE</t>
  </si>
  <si>
    <t xml:space="preserve">           INITIALIZE CC-CODBAR-NPAG-DOC</t>
  </si>
  <si>
    <t xml:space="preserve">           MOVE BUSK410A-NOME       TO X002BNCAB1-O-NOME</t>
  </si>
  <si>
    <t xml:space="preserve">              BGOW0027-DT-ANUL (7:4) DELIMITED BY SIZE</t>
  </si>
  <si>
    <t>REG-Z            WHEN NZ5PDU01-END-OF-DOCUMENT</t>
  </si>
  <si>
    <t>PJG#1               BGOW0017-LAYOUTS-111005</t>
  </si>
  <si>
    <t xml:space="preserve">               STRING W400-GUARDA-DESCR-VEHICLE ' '</t>
  </si>
  <si>
    <t xml:space="preserve">              MOVE 'F'                        TO W400-CANAL</t>
  </si>
  <si>
    <t xml:space="preserve">                     MOVE 'IB'                TO W400-COMPANHIA</t>
  </si>
  <si>
    <t xml:space="preserve">           SET W100-ERROR-OCCURRED            TO TRUE.</t>
  </si>
  <si>
    <t xml:space="preserve">           INITIALIZE CC-CODBAR-NPAG1-DOC</t>
  </si>
  <si>
    <t xml:space="preserve">              INTO X002BNASSG-O-G-DT-ANUL-A</t>
  </si>
  <si>
    <t xml:space="preserve">                    PERFORM P2080-WRITE-DOC   THRU  P2080-WRITE-DOC-EX</t>
  </si>
  <si>
    <t>PJG#1          WHEN W400-TRATA-COMP-MARCA EQUAL '128002' AND</t>
  </si>
  <si>
    <t xml:space="preserve">                     NZ44DU01-VEH-REG-NUMBER DELIMITED BY SIZE</t>
  </si>
  <si>
    <t xml:space="preserve">                    WHEN RU-DESISTENCIA0</t>
  </si>
  <si>
    <t xml:space="preserve">              MOVE CODBAR-COMP-MARCA          TO W400-COMPANHIA</t>
  </si>
  <si>
    <t xml:space="preserve">       D11-TRATA-PARM SECTION.                                          </t>
  </si>
  <si>
    <t>PJG#1                SET CODBAR-VIDA           TO TRUE</t>
  </si>
  <si>
    <t xml:space="preserve">           MOVE BUSK410A-MORADA1    TO BGOW0008-MORADA1</t>
  </si>
  <si>
    <t xml:space="preserve">           END-STRING</t>
  </si>
  <si>
    <t>PJG#1               BGOW0017-LAYOUTS-128002</t>
  </si>
  <si>
    <t xml:space="preserve">                INTO NYYABNM-TEXTO</t>
  </si>
  <si>
    <t xml:space="preserve">                    WHEN RU-EXTINCAO-RISCO0</t>
  </si>
  <si>
    <t xml:space="preserve">              MOVE 'X007'                     TO W400-COD-DOC</t>
  </si>
  <si>
    <t xml:space="preserve">                     MOVE 'IC'                TO W400-COMPANHIA</t>
  </si>
  <si>
    <t xml:space="preserve">           MOVE 'ILBOABN0'                    TO W500-MODULO.</t>
  </si>
  <si>
    <t xml:space="preserve">           MOVE BUSK410A-MORADA2    TO BGOW0008-MORADA2</t>
  </si>
  <si>
    <t>PJG#1          WHEN W400-TRATA-COMP-MARCA EQUAL '138003' AND</t>
  </si>
  <si>
    <t xml:space="preserve">               MOVE 95                         TO NYYABNM-COMPR-OUT</t>
  </si>
  <si>
    <t xml:space="preserve">                         MOVE RU-NR-APOLICE  TO X002BNCT01-O-APOLICE</t>
  </si>
  <si>
    <t xml:space="preserve">              MOVE NZ44CU01-PRINT-RECORD      TO W400-REGISTO</t>
  </si>
  <si>
    <t xml:space="preserve">      *  VERIFICA SE TRATA LAYOUT OU FICHEIRO, PERANTE O PARM       *   </t>
  </si>
  <si>
    <t xml:space="preserve">           CALL  W500-MODULO               USING W500-COMP-CODE.</t>
  </si>
  <si>
    <t>PJG#1          WHEN RU-DES-NAGR-NEX</t>
  </si>
  <si>
    <t xml:space="preserve">           MOVE BUSK410A-MORADA3    TO BGOW0008-MORADA3</t>
  </si>
  <si>
    <t xml:space="preserve">              BGOW0027-DT-EFEITO-ANUL (1:2) DELIMITED BY SIZE</t>
  </si>
  <si>
    <t>PJG#1               BGOW0017-LAYOUTS-138003</t>
  </si>
  <si>
    <t xml:space="preserve">               PERFORM PROCESSA-NOME           THRU PROCESSA-NOME-EXIT</t>
  </si>
  <si>
    <t xml:space="preserve">                         MOVE RU-DT-CESSACAO TO X002BNCT01-O-DT-CESSACAO</t>
  </si>
  <si>
    <t xml:space="preserve">                     MOVE 'FC'                TO W400-COMPANHIA</t>
  </si>
  <si>
    <t>PJG#1             IF RU-COD-DOC-ORIGEM = 'Aceit_Pes ' OR</t>
  </si>
  <si>
    <t xml:space="preserve">           MOVE BUSK410A-MORADA4    TO BGOW0008-MORADA4</t>
  </si>
  <si>
    <t>PJG#1          WHEN W400-TRATA-COMP-MARCA EQUAL '138004' AND</t>
  </si>
  <si>
    <t xml:space="preserve">               MOVE NYYABNM-TEXTO              TO RU-OBJECTO-SEGURO</t>
  </si>
  <si>
    <t xml:space="preserve">                         MOVE 'X002BNCT01'   TO NOME-O-LAYOUT</t>
  </si>
  <si>
    <t xml:space="preserve">       D11-START.                                                       </t>
  </si>
  <si>
    <t xml:space="preserve">       Z10-EXIT.</t>
  </si>
  <si>
    <t>PJG#1                RU-COD-DOC-ORIGEM = 'ElClinico '</t>
  </si>
  <si>
    <t xml:space="preserve">           IF BUSK410A-COD-C001</t>
  </si>
  <si>
    <t xml:space="preserve">              BGOW0027-DT-EFEITO-ANUL (4:2) DELIMITED BY SIZE</t>
  </si>
  <si>
    <t>PJG#1               BGOW0017-LAYOUTS-138004</t>
  </si>
  <si>
    <t xml:space="preserve">      * FORMATA CAIXA SEGURO</t>
  </si>
  <si>
    <t xml:space="preserve">                         MOVE LENGTH OF LX002BNCT01-O TO QZOLEN</t>
  </si>
  <si>
    <t xml:space="preserve">           SET W100-NO-LAYOUT                 TO TRUE.                  </t>
  </si>
  <si>
    <t>PJG#1                SET CODBAR-OL-CONF        TO TRUE</t>
  </si>
  <si>
    <t xml:space="preserve">              MOVE BUSK410A-COD-POSTALM(1:4) TO BGOW0008-CPOSTAL(1:4)</t>
  </si>
  <si>
    <t>PJG#1          WHEN W400-TRATA-COMP-MARCA EQUAL '148006' AND</t>
  </si>
  <si>
    <t xml:space="preserve">               MOVE NZ44DU01-VEH-REG-NUMBER    TO RU-VEIC-NUMERO</t>
  </si>
  <si>
    <t xml:space="preserve">           EVALUATE TRUE                                                </t>
  </si>
  <si>
    <t xml:space="preserve">              MOVE '-'                       TO BGOW0008-CPOSTAL(5:1)</t>
  </si>
  <si>
    <t xml:space="preserve">              BGOW0027-DT-EFEITO-ANUL (7:4) DELIMITED BY SIZE</t>
  </si>
  <si>
    <t>PJG#1               BGOW0017-LAYOUTS-148006</t>
  </si>
  <si>
    <t xml:space="preserve">               MOVE NZ44DU01-VEHICLE-TYPE      TO RU-VEIC-TIPO</t>
  </si>
  <si>
    <t xml:space="preserve">                    WHEN RU-FALSAS-DECLAF1</t>
  </si>
  <si>
    <t xml:space="preserve">              MOVE 'BGOW9016'                 TO W400-COPYNAME</t>
  </si>
  <si>
    <t xml:space="preserve">               WHEN W400-TRATA-COMP-MARCA EQUAL '111001' AND            </t>
  </si>
  <si>
    <t>PJG#1                SET CODBAR-ONLINE         TO TRUE</t>
  </si>
  <si>
    <t xml:space="preserve">              MOVE BUSK410A-COD-POSTALM(5:3) TO BGOW0008-CPOSTAL(6:3)</t>
  </si>
  <si>
    <t xml:space="preserve">              INTO X002BNASSG-O-G-DT-EF-ANUL-A</t>
  </si>
  <si>
    <t>PJG#1             SET W100-TRATA-LAYOUT       TO TRUE</t>
  </si>
  <si>
    <t xml:space="preserve">               MOVE NZ44DU01-VEH-MAKE          TO RU-VEIC-MARCA</t>
  </si>
  <si>
    <t xml:space="preserve">                         MOVE RU-NR-APOLICE  TO X002BNCT02-O-APOLICE</t>
  </si>
  <si>
    <t xml:space="preserve">                    BGOW0017-LAYOUTS-111001                             </t>
  </si>
  <si>
    <t xml:space="preserve">               MOVE SPACES                     TO W500-VEHICLE-MAKE</t>
  </si>
  <si>
    <t xml:space="preserve">                         MOVE RU-DT-CESSACAO TO X002BNCT02-O-DT-CESSACAO</t>
  </si>
  <si>
    <t xml:space="preserve">              MOVE 'X002'                     TO W400-COD-DOC</t>
  </si>
  <si>
    <t xml:space="preserve">               WHEN W400-TRATA-COMP-MARCA EQUAL '111005' AND            </t>
  </si>
  <si>
    <t xml:space="preserve">              MOVE BUSK410A-COD-POSTALC(1:4) TO BGOW0008-CPOSTAL(1:4)</t>
  </si>
  <si>
    <t xml:space="preserve">           MOVE 'X002BNASSG'             TO NOME-O-LAYOUT</t>
  </si>
  <si>
    <t xml:space="preserve">               MOVE NZ44DU01-VEH-MODEL         TO W500-VEHICLE-MODEL</t>
  </si>
  <si>
    <t xml:space="preserve">                         MOVE 'X002BNCT02'   TO NOME-O-LAYOUT</t>
  </si>
  <si>
    <t xml:space="preserve">                    BGOW0017-LAYOUTS-111005                             </t>
  </si>
  <si>
    <t>PJG#1             DISPLAY 'PGOC023A: TIPO-IMPRESSAO INVALIDO'</t>
  </si>
  <si>
    <t xml:space="preserve">           PERFORM WRITE-QZOUTPUT        THRU WRITE-QZOUTPUT-EX</t>
  </si>
  <si>
    <t xml:space="preserve">       P2005-MONTA-CODBAR.</t>
  </si>
  <si>
    <t>PJG#1      SET W100-NO-FICH                   TO TRUE.</t>
  </si>
  <si>
    <t xml:space="preserve">               MOVE NZ44DU01-VEH-EXTRA         TO W500-VEHICLE-EXTRA</t>
  </si>
  <si>
    <t xml:space="preserve">                         MOVE LENGTH OF LX002BNCT02-O TO QZOLEN</t>
  </si>
  <si>
    <t xml:space="preserve">                  WHEN NY5BAU01-REC-TYPE-1</t>
  </si>
  <si>
    <t xml:space="preserve">               WHEN W400-TRATA-COMP-MARCA EQUAL '128002' AND            </t>
  </si>
  <si>
    <t xml:space="preserve">              MOVE BUSK410A-COD-POSTALC(5:3) TO BGOW0008-CPOSTAL(6:3)</t>
  </si>
  <si>
    <t xml:space="preserve">                     STRING NY5BAU01-SORT-KEY DELIMITED BY SIZE</t>
  </si>
  <si>
    <t xml:space="preserve">                    BGOW0017-LAYOUTS-128002                             </t>
  </si>
  <si>
    <t xml:space="preserve">           EVALUATE NZ5PDU01-C-MARC-SGRA</t>
  </si>
  <si>
    <t xml:space="preserve">               MOVE W500-DESCRIPTION        TO W400-GUARDA-DESCR-VEHICLE</t>
  </si>
  <si>
    <t xml:space="preserve">                    WHEN RU-FALSAS-DECLAFD</t>
  </si>
  <si>
    <t xml:space="preserve">                            NY5BAU01-LINE-1 DELIMITED BY SIZE</t>
  </si>
  <si>
    <t xml:space="preserve">               WHEN W400-TRATA-COMP-MARCA EQUAL '138003' AND            </t>
  </si>
  <si>
    <t xml:space="preserve">                    WHEN RU-M-FMLEVE</t>
  </si>
  <si>
    <t xml:space="preserve">           MOVE BUSK410A-TNUM-PORTA TO BGOW0008-TNUM-PORTA</t>
  </si>
  <si>
    <t xml:space="preserve">              MOVE W400-TEXT-BENEFIC     TO LININ</t>
  </si>
  <si>
    <t>PJG#1               BGOW0017-FFLAT-111001</t>
  </si>
  <si>
    <t xml:space="preserve">                         MOVE RU-NR-APOLICE  TO X002BNCT03-O-APOLICE</t>
  </si>
  <si>
    <t xml:space="preserve">                                            INTO W400-REGISTO</t>
  </si>
  <si>
    <t xml:space="preserve">                    BGOW0017-LAYOUTS-138003                             </t>
  </si>
  <si>
    <t>PJG#1      MOVE RU-COD-POSTALM(3:7)            TO CODBAR-COD-POSTALM</t>
  </si>
  <si>
    <t xml:space="preserve">           MOVE BUSK410A-NUM-PORTA  TO BGOW0008-NUM-PORTA</t>
  </si>
  <si>
    <t xml:space="preserve">              MOVE LENGTH OF LININ       TO LININ-LEN</t>
  </si>
  <si>
    <t xml:space="preserve">                 SET CODBAR-FIDMUNDIAL        TO TRUE</t>
  </si>
  <si>
    <t xml:space="preserve">                         MOVE RU-DT-CESSACAO TO X002BNCT03-O-DT-CESSACAO</t>
  </si>
  <si>
    <t xml:space="preserve">                  WHEN NY5BAU01-REC-TYPE-2</t>
  </si>
  <si>
    <t xml:space="preserve">               WHEN W400-TRATA-COMP-MARCA EQUAL '138004' AND            </t>
  </si>
  <si>
    <t>PJG#1      MOVE RU-NR-MEDIADOR                 TO CODBAR-MEDIADOR</t>
  </si>
  <si>
    <t xml:space="preserve">              PERFORM TRATA-PYOXAU03     THRU TRATA-PYOXAU03-EX</t>
  </si>
  <si>
    <t>PJG#1               BGOW0017-FFLAT-111005</t>
  </si>
  <si>
    <t xml:space="preserve">               MOVE   W400-GUARDA-DESCR-VEHICLE TO NYYABNM-TEXTO</t>
  </si>
  <si>
    <t xml:space="preserve">                         MOVE 'X002BNCT03'   TO NOME-O-LAYOUT</t>
  </si>
  <si>
    <t xml:space="preserve">                    BGOW0017-LAYOUTS-138004                             </t>
  </si>
  <si>
    <t>PJG#1      MOVE LENGTH OF CODBAR-MEDIADOR      TO AUX-LEN</t>
  </si>
  <si>
    <t xml:space="preserve">              UNTIL FSPYOXAU03 EQUAL 'SV'</t>
  </si>
  <si>
    <t xml:space="preserve">                         MOVE LENGTH OF LX002BNCT03-O TO QZOLEN</t>
  </si>
  <si>
    <t xml:space="preserve">                            NY5BAU01-LINE-2 DELIMITED BY SIZE</t>
  </si>
  <si>
    <t xml:space="preserve">               WHEN W400-TRATA-COMP-MARCA EQUAL '148006' AND            </t>
  </si>
  <si>
    <t xml:space="preserve">              MOVE SPACES                TO FSPYOXAU03</t>
  </si>
  <si>
    <t xml:space="preserve">                 SET CODBAR-IMPERIO           TO TRUE</t>
  </si>
  <si>
    <t>PJG#1               BGOW0017-FFLAT-128002</t>
  </si>
  <si>
    <t xml:space="preserve">                    BGOW0017-LAYOUTS-148006                             </t>
  </si>
  <si>
    <t>PJG#1         'PGOU001A' USING AUX-LEN, CODBAR-MEDIADOR</t>
  </si>
  <si>
    <t xml:space="preserve">              MOVE SPACES                TO LININ</t>
  </si>
  <si>
    <t xml:space="preserve">              WHEN '006'</t>
  </si>
  <si>
    <t xml:space="preserve">               MOVE NYYABNM-TEXTO              TO RU-VEIC-EXTRA</t>
  </si>
  <si>
    <t xml:space="preserve">                    WHEN RU-AGRAVA-RISCOR</t>
  </si>
  <si>
    <t xml:space="preserve">                  WHEN NY5BAU01-REC-TYPE-3</t>
  </si>
  <si>
    <t xml:space="preserve">                  SET W100-TRATA-LAYOUT       TO TRUE                   </t>
  </si>
  <si>
    <t xml:space="preserve">              MOVE 'X002BNTXT'           TO NOME-O-LAYOUT</t>
  </si>
  <si>
    <t xml:space="preserve">                 SET CODBAR-MULTICARE         TO TRUE</t>
  </si>
  <si>
    <t>PJG#1               BGOW0017-FFLAT-138003</t>
  </si>
  <si>
    <t xml:space="preserve">                         MOVE RU-NR-APOLICE  TO X002BNCT04-O-APOLICE</t>
  </si>
  <si>
    <t xml:space="preserve">                    WHEN RU-M-IBLEVE</t>
  </si>
  <si>
    <t xml:space="preserve">              PERFORM WRITE-QZOUTPUT     THRU WRITE-QZOUTPUT-EX</t>
  </si>
  <si>
    <t xml:space="preserve">                         MOVE RU-DT-CESSACAO TO X002BNCT04-O-DT-CESSACAO</t>
  </si>
  <si>
    <t xml:space="preserve">                            NY5BAU01-LINE-3 DELIMITED BY SIZE</t>
  </si>
  <si>
    <t>PJG#1      MOVE RU-COD-POSTALC(3:7)            TO CODBAR-COD-POSTALC</t>
  </si>
  <si>
    <t xml:space="preserve">              MOVE 'X002BNLAY1'          TO NOME-O-LAYOUT</t>
  </si>
  <si>
    <t>PJG#1               BGOW0017-FFLAT-138004</t>
  </si>
  <si>
    <t xml:space="preserve">                         MOVE 'X002BNCT04'   TO NOME-O-LAYOUT</t>
  </si>
  <si>
    <t xml:space="preserve">           SET W100-NO-FICH                   TO TRUE.                  </t>
  </si>
  <si>
    <t>PJG#1      MOVE RU-NR-CLIENTE                  TO CODBAR-CLIENTE</t>
  </si>
  <si>
    <t>PJG#1      MOVE BGOW0008-CBARRAS    TO X002BNCAB1-O-ROYAL-MAIL-4S</t>
  </si>
  <si>
    <t>PJG#5**    SET CODBAR-EXPEDIR                 TO TRUE</t>
  </si>
  <si>
    <t xml:space="preserve">      * Registo Tipo 3</t>
  </si>
  <si>
    <t xml:space="preserve">                         MOVE LENGTH OF LX002BNCT04-O TO QZOLEN</t>
  </si>
  <si>
    <t>PJG#1      MOVE LENGTH OF CODBAR-CLIENTE       TO AUX-LEN</t>
  </si>
  <si>
    <t>PJG#5      EVALUATE NZ5PDU01-TIPO-IMPRESSAO</t>
  </si>
  <si>
    <t>PJG#1               BGOW0017-FFLAT-148006</t>
  </si>
  <si>
    <t xml:space="preserve">           IF NZ44DU01-T-UAR-DATA</t>
  </si>
  <si>
    <t xml:space="preserve">           IF BUSK410A-COD-C004</t>
  </si>
  <si>
    <t xml:space="preserve">              MOVE 'X002BNLAY2'          TO NOME-O-LAYOUT</t>
  </si>
  <si>
    <t>PJG#5         WHEN 'I'</t>
  </si>
  <si>
    <t>PJG#1             SET W100-TRATA-FICH         TO TRUE</t>
  </si>
  <si>
    <t xml:space="preserve">              MOVE NZ44DU01-T-LICENSE-NUMBER-25 TO RU-VEIC-LICENCA</t>
  </si>
  <si>
    <t xml:space="preserve">                    WHEN RU-FRAUDE0</t>
  </si>
  <si>
    <t xml:space="preserve">                    BGOW0017-FFLAT-111001                               </t>
  </si>
  <si>
    <t>PJG#1         'PGOU001A' USING AUX-LEN, CODBAR-CLIENTE</t>
  </si>
  <si>
    <t>FLCM1         WHEN RU-C-CXPOUPANCA</t>
  </si>
  <si>
    <t xml:space="preserve">              IF BUSK410A-CL-NIB        NOT EQUAL SPACES</t>
  </si>
  <si>
    <t>PJG#5            SET CODBAR-ONLINE            TO TRUE</t>
  </si>
  <si>
    <t xml:space="preserve">                                                   RU-OBJECTO-SEGURO</t>
  </si>
  <si>
    <t xml:space="preserve">                         MOVE RU-NR-APOLICE  TO X002BNCT05-O-APOLICE</t>
  </si>
  <si>
    <t>FLCM1            EVALUATE TRUE</t>
  </si>
  <si>
    <t xml:space="preserve">                 MOVE BUSK410A-CL-NIB(5:4) TO X002BNCAB1-O-BALCAO</t>
  </si>
  <si>
    <t>PJG#5         WHEN OTHER</t>
  </si>
  <si>
    <t xml:space="preserve">                         MOVE RU-DT-CESSACAO TO X002BNCT05-O-DT-CESSACAO</t>
  </si>
  <si>
    <t xml:space="preserve">       D10-EXIT.</t>
  </si>
  <si>
    <t xml:space="preserve">                    BGOW0017-FFLAT-111005                               </t>
  </si>
  <si>
    <t>FLCM1               WHEN RU-M-CXPOUPANCA</t>
  </si>
  <si>
    <t>PJG#5            SET CODBAR-EXPEDIR           TO TRUE</t>
  </si>
  <si>
    <t>PJG#1  P00-EXIT.</t>
  </si>
  <si>
    <t xml:space="preserve">                         MOVE 'X002BNCT05'   TO NOME-O-LAYOUT</t>
  </si>
  <si>
    <t>PJG#1      MOVE RU-NR-APOLICE                  TO CODBAR-APOLICE</t>
  </si>
  <si>
    <t>FLCM1                  SET CODBAR-CXPOUPANCA TO TRUE</t>
  </si>
  <si>
    <t xml:space="preserve">           MOVE SPACES                   TO X002BNDCVG-O-G-RAMO-B</t>
  </si>
  <si>
    <t>PJG#5      END-EVALUATE</t>
  </si>
  <si>
    <t>PJG#1      EXIT.</t>
  </si>
  <si>
    <t xml:space="preserve">      * Registo Tipo 4</t>
  </si>
  <si>
    <t xml:space="preserve">                         MOVE LENGTH OF LX002BNCT05-O TO QZOLEN</t>
  </si>
  <si>
    <t xml:space="preserve">                    BGOW0017-FFLAT-128002                               </t>
  </si>
  <si>
    <t>PJG#1      MOVE LENGTH OF CODBAR-APOLICE       TO AUX-LEN</t>
  </si>
  <si>
    <t>FLCM1               WHEN RU-M-CPLEVE</t>
  </si>
  <si>
    <t>PJG#1      MOVE SPACES              TO X002BNCAB1-O-REGISTO-CTT</t>
  </si>
  <si>
    <t xml:space="preserve">           MOVE BGOW0027-RAMO(3:28)      TO X002BNDCVG-O-G-RAMO-B</t>
  </si>
  <si>
    <t xml:space="preserve">           MOVE 'X080'                        TO CODBAR-COD-DOC</t>
  </si>
  <si>
    <t xml:space="preserve">           IF NZ44DU01-AGENT-DATA</t>
  </si>
  <si>
    <t>PJG#1      MOVE SPACES              TO X002BNCAB1-O-NUMERO-CTT</t>
  </si>
  <si>
    <t xml:space="preserve">           MOVE BGOW0027-APOLICE-GRUPO   TO X002BNDCVG-O-G-GRUPO-B</t>
  </si>
  <si>
    <t xml:space="preserve">           MOVE 'PGOA405'                     TO CODBAR-PROGRAMA</t>
  </si>
  <si>
    <t xml:space="preserve">              MOVE NZ44DU01-AGENT-POST-CODE TO RU-COD-POSTALM</t>
  </si>
  <si>
    <t xml:space="preserve">                    WHEN RU-PERDA-TOTAL</t>
  </si>
  <si>
    <t xml:space="preserve">       D11-TRATA-PARM SECTION.</t>
  </si>
  <si>
    <t xml:space="preserve">                    BGOW0017-FFLAT-138003                               </t>
  </si>
  <si>
    <t>PJG#1         'PGOU001A' USING AUX-LEN, CODBAR-APOLICE</t>
  </si>
  <si>
    <t>FLCM1            END-EVALUATE</t>
  </si>
  <si>
    <t xml:space="preserve">           MOVE BGOW0027-CERTIF-INDIV    TO X002BNDCVG-O-G-APOLICE-B</t>
  </si>
  <si>
    <t xml:space="preserve">           MOVE WAUX-TIMESTAMP                TO CODBAR-TIMESTAMP</t>
  </si>
  <si>
    <t xml:space="preserve">              MOVE NZ44DU01-AGENT-NUMBER    TO RU-NR-MEDIADOR</t>
  </si>
  <si>
    <t xml:space="preserve">                    WHEN RU-PAG-SINI-PERDA-TOTAL</t>
  </si>
  <si>
    <t xml:space="preserve">           IF CODBAR-EXPEDIR</t>
  </si>
  <si>
    <t xml:space="preserve">           MOVE BGOW0027-PESSOA-SEGURA1  TO X002BNDCVG-O-G-SEG1-B</t>
  </si>
  <si>
    <t xml:space="preserve">       FIM-ANORMAL.</t>
  </si>
  <si>
    <t xml:space="preserve">              MOVE NZ44DU01-AGENT-ADDRESSEE      TO RU-AG-NOME</t>
  </si>
  <si>
    <t xml:space="preserve">                    WHEN RU-PEN-COB-PERDA-TOTAL</t>
  </si>
  <si>
    <t xml:space="preserve">      *  VERIFICA SE TRATA LAYOUT OU FICHEIRO, PERANTE O PARM       *</t>
  </si>
  <si>
    <t xml:space="preserve">                    BGOW0017-FFLAT-138004                               </t>
  </si>
  <si>
    <t>PJG#1**       MOVE BGOW0008-CBARRAS TO X002BNCAB1-O-ROYAL-MAIL-4S</t>
  </si>
  <si>
    <t xml:space="preserve">           MOVE BGOW0027-PESSOA-SEGURA2  TO X002BNDCVG-O-G-SEG2-B</t>
  </si>
  <si>
    <t xml:space="preserve">           DISPLAY 'PGOC029A: PROGRAMA COM ERRO - ANALISAR MENSAGENS'</t>
  </si>
  <si>
    <t xml:space="preserve">              MOVE NZ44DU01-AGENT-ADDRESS1        TO RU-AG-MORADA1</t>
  </si>
  <si>
    <t xml:space="preserve">                         MOVE 'S'            TO WS-PERDA-TOTAL</t>
  </si>
  <si>
    <t>PJG#1      MOVE 'PGOC023A'                     TO CODBAR-PROGRAMA</t>
  </si>
  <si>
    <t>PJG#1**       MOVE SPACES           TO X002BNCAB1-O-REGISTO-CTT</t>
  </si>
  <si>
    <t xml:space="preserve">           MOVE BGOW0027-VLR-DIVIDA      TO W400-VALOR-DIV</t>
  </si>
  <si>
    <t xml:space="preserve">           CALL 'ILBOABN0' USING CAMPO-DUMP</t>
  </si>
  <si>
    <t xml:space="preserve">              MOVE NZ44DU01-AGENT-ADDRESS2        TO RU-AG-MORADA2</t>
  </si>
  <si>
    <t xml:space="preserve">                         MOVE RU-NR-APOLICE  TO X002BNCT06-O-APOLICE</t>
  </si>
  <si>
    <t xml:space="preserve">       D11-START.</t>
  </si>
  <si>
    <t xml:space="preserve">                    BGOW0017-FFLAT-148006                               </t>
  </si>
  <si>
    <t>PJG#1      SET CODBAR-F048-NOVO                TO TRUE</t>
  </si>
  <si>
    <t>PJG#1**       MOVE SPACES           TO X002BNCAB1-O-NUMERO-CTT</t>
  </si>
  <si>
    <t xml:space="preserve">           MOVE X'9F'                    TO W400-VALOR-DIV-EURO</t>
  </si>
  <si>
    <t xml:space="preserve">           EVALUATE NZ5PDU01-DOCUMENT-CODE</t>
  </si>
  <si>
    <t xml:space="preserve">              MOVE NZ44DU01-AGENT-TOWN-SUBURB     TO RU-AG-MORADA3</t>
  </si>
  <si>
    <t xml:space="preserve">                         MOVE RU-DT-CESSACAO TO X002BNCT06-O-DT-CESSACAO</t>
  </si>
  <si>
    <t xml:space="preserve">           SET W100-NO-LAYOUT                 TO TRUE.</t>
  </si>
  <si>
    <t xml:space="preserve">                  SET W100-TRATA-FICH         TO TRUE                   </t>
  </si>
  <si>
    <t>PJG#1      MOVE RU-COD-IMPRESSORA              TO CODBAR-IMPRESSORA</t>
  </si>
  <si>
    <t xml:space="preserve">              MOVE 'X002BNCAB1'     TO NOME-O-LAYOUT</t>
  </si>
  <si>
    <t xml:space="preserve">           MOVE W400-VALOR-DIVIDA        TO LININ</t>
  </si>
  <si>
    <t xml:space="preserve">              WHEN 'CHIP'</t>
  </si>
  <si>
    <t xml:space="preserve">              MOVE NZ44DU01-AGENT-POST-CODE-DESC  TO RU-AG-MORADA4</t>
  </si>
  <si>
    <t xml:space="preserve">                         MOVE 'X002BNCT06'   TO NOME-O-LAYOUT</t>
  </si>
  <si>
    <t>PJG#1      MOVE RU-USER-ID                     TO CODBAR-USERID</t>
  </si>
  <si>
    <t xml:space="preserve">           MOVE LENGTH OF LININ          TO LININ-LEN</t>
  </si>
  <si>
    <t xml:space="preserve">                 ADD  1 TO WAUX-REG-LIDOS-CHIP</t>
  </si>
  <si>
    <t xml:space="preserve">              MOVE NZ44DU01-NUM-TYPE-AGE          TO RU-AG-TNUM-PORTA</t>
  </si>
  <si>
    <t xml:space="preserve">                         MOVE LENGTH OF LX002BNCT06-O TO QZOLEN</t>
  </si>
  <si>
    <t xml:space="preserve">               WHEN W400-TRATA-COMP-MARCA EQUAL '111001' AND</t>
  </si>
  <si>
    <t xml:space="preserve">                 DISPLAY 'PGOC038A: COD-COMPANHIA INVALIDO'</t>
  </si>
  <si>
    <t xml:space="preserve">                 MOVE '1003'  TO CODBAR-IDENTIF-DOCUM</t>
  </si>
  <si>
    <t>PJG#1 *** AREA DE TRATAMENTO DO PARM ***</t>
  </si>
  <si>
    <t xml:space="preserve">              MOVE NZ44DU01-NUM-AGE               TO RU-AG-NUM-PORTA</t>
  </si>
  <si>
    <t xml:space="preserve">                    WHEN OTHER</t>
  </si>
  <si>
    <t xml:space="preserve">                    BGOW0017-LAYOUTS-111001</t>
  </si>
  <si>
    <t xml:space="preserve">       D11-EXIT.                                                        </t>
  </si>
  <si>
    <t>PJG#1      MOVE RU-ADERENTE                    TO CODBAR-ADERENTE</t>
  </si>
  <si>
    <t xml:space="preserve">                 GO TO FIM-ANORMAL</t>
  </si>
  <si>
    <t xml:space="preserve">           IF CODBAR-REGISTADA</t>
  </si>
  <si>
    <t xml:space="preserve">                 MOVE SPACES  TO CODBAR-RECIBO</t>
  </si>
  <si>
    <t>PJG#1      COPY BGOP0017.</t>
  </si>
  <si>
    <t xml:space="preserve">                         DISPLAY</t>
  </si>
  <si>
    <t xml:space="preserve">               WHEN W400-TRATA-COMP-MARCA EQUAL '111005' AND</t>
  </si>
  <si>
    <t>PJG#1      MOVE LENGTH OF CODBAR-ADERENTE      TO AUX-LEN</t>
  </si>
  <si>
    <t>PJG#1         MOVE SPACES                     TO X002BNCAB1-O-JANELA</t>
  </si>
  <si>
    <t xml:space="preserve">           MOVE LINOUT                   TO X002BNDCVG-O-G-VLR-DIV-B</t>
  </si>
  <si>
    <t xml:space="preserve">                 MOVE NZ5PDU01-IDENTIFIER TO CODBAR-APOLICE</t>
  </si>
  <si>
    <t xml:space="preserve">                          'PGOC011A - NÃO EXISTE TRATAMENTO PARA: '</t>
  </si>
  <si>
    <t xml:space="preserve">                    BGOW0017-LAYOUTS-111005</t>
  </si>
  <si>
    <t>PJG#1         STRING '         ' DELIMITED BY SIZE</t>
  </si>
  <si>
    <t xml:space="preserve">           MOVE SPACES                   TO FSPYOXAU03</t>
  </si>
  <si>
    <t xml:space="preserve">                 MOVE LENGTH OF CODBAR-APOLICE TO AUX-LEN</t>
  </si>
  <si>
    <t>PJG#1      END-IF</t>
  </si>
  <si>
    <t xml:space="preserve">                          'APOLICE: ' RU-NR-APOLICE ' ' 'MARCA: '</t>
  </si>
  <si>
    <t xml:space="preserve">               WHEN W400-TRATA-COMP-MARCA EQUAL '128002' AND</t>
  </si>
  <si>
    <t>PJG#1         'PGOU001A' USING AUX-LEN, CODBAR-ADERENTE</t>
  </si>
  <si>
    <t>PJG#1                CODBAR-PRODUTO(01:02) DELIMITED BY SIZE</t>
  </si>
  <si>
    <t xml:space="preserve">           MOVE SPACES                   TO LININ</t>
  </si>
  <si>
    <t xml:space="preserve">                 CALL 'PGOU001A'</t>
  </si>
  <si>
    <t xml:space="preserve">                           RU-COD-MARCA ' ' 'CARTA: ' RU-TIPO-REG OF</t>
  </si>
  <si>
    <t xml:space="preserve">                    BGOW0017-LAYOUTS-128002</t>
  </si>
  <si>
    <t xml:space="preserve">       D20-FRMT-DATA SECTION.                                           </t>
  </si>
  <si>
    <t xml:space="preserve">             WHEN RU-CEN-AGR-EX</t>
  </si>
  <si>
    <t>PJG#1                '/' DELIMITED BY SIZE</t>
  </si>
  <si>
    <t xml:space="preserve">           MOVE 'PT50003503960021969183037' TO  X002BNDCVG-O-G-IBAN-B</t>
  </si>
  <si>
    <t xml:space="preserve">                    USING AUX-LEN, CODBAR-APOLICE</t>
  </si>
  <si>
    <t xml:space="preserve">                           RU-CARTA-CANCEL ' '</t>
  </si>
  <si>
    <t xml:space="preserve">               WHEN W400-TRATA-COMP-MARCA EQUAL '138003' AND</t>
  </si>
  <si>
    <t xml:space="preserve">                  SET CODBAR-EXPEDIR TO TRUE</t>
  </si>
  <si>
    <t>PJG#1                CODBAR-APOLICE(09:08) DELIMITED BY SIZE</t>
  </si>
  <si>
    <t xml:space="preserve">           MOVE 'X002BNDCVG'             TO NOME-O-LAYOUT</t>
  </si>
  <si>
    <t xml:space="preserve">                 END-CALL</t>
  </si>
  <si>
    <t xml:space="preserve">                           ' TIPO: ' RU-MOTIVO-CANCEL ' '</t>
  </si>
  <si>
    <t xml:space="preserve">       D10-FRMT-DATA-DOC SECTION.</t>
  </si>
  <si>
    <t xml:space="preserve">                    BGOW0017-LAYOUTS-138003</t>
  </si>
  <si>
    <t xml:space="preserve">      *  FORMATA A DATA                                             *   </t>
  </si>
  <si>
    <t>PJG#1      MOVE WAUX-TIMESTAMP                 TO CODBAR-TIMESTAMP</t>
  </si>
  <si>
    <t xml:space="preserve">             WHEN RU-CEN-AGR-NEX</t>
  </si>
  <si>
    <t>PJG#1                                       INTO X002BNCAB1-O-JANELA</t>
  </si>
  <si>
    <t xml:space="preserve">                         PERFORM FIM-ANORMAL</t>
  </si>
  <si>
    <t xml:space="preserve">               WHEN W400-TRATA-COMP-MARCA EQUAL '138004' AND</t>
  </si>
  <si>
    <t>PJG#1      MOVE WAUX-DATA-TIMESTAMP(01:10)     TO WS-DATA-EXECUCAO</t>
  </si>
  <si>
    <t>PJG#1         END-STRING</t>
  </si>
  <si>
    <t xml:space="preserve">           MOVE 'B_P_SELECT'             TO NOME-O-LAYOUT</t>
  </si>
  <si>
    <t xml:space="preserve">                 IF NZ5PDU01-RAMO-SO-DESCR EQUAL SPACES</t>
  </si>
  <si>
    <t xml:space="preserve">           IF FSQZI-EOF</t>
  </si>
  <si>
    <t xml:space="preserve">      *  FORMATA A DATA PARA O DOCUMENTO                            *</t>
  </si>
  <si>
    <t xml:space="preserve">                    BGOW0017-LAYOUTS-138004</t>
  </si>
  <si>
    <t xml:space="preserve">       D20-START.                                                       </t>
  </si>
  <si>
    <t xml:space="preserve">             WHEN RU-CEN-NAGR-EX</t>
  </si>
  <si>
    <t>PJG#1**       MOVE BUSK410A-REGISTO-CTT TO X002BNCAB1-O-REGISTO-CTT</t>
  </si>
  <si>
    <t xml:space="preserve">                    IF NZ5PDU01-PRODUCT-DESCR EQUAL SPACES</t>
  </si>
  <si>
    <t>PJG#1        IF REG-LIDOS GREATER THAN ZEROS</t>
  </si>
  <si>
    <t xml:space="preserve">                 PERFORM P290-GRAVAR-REGISTO THRU P290-GRAVAR-REGISTO-EX</t>
  </si>
  <si>
    <t xml:space="preserve">               WHEN W400-TRATA-COMP-MARCA EQUAL '148006' AND</t>
  </si>
  <si>
    <t xml:space="preserve">           SEARCH ALL W400-ENTRANCE                                     </t>
  </si>
  <si>
    <t>PJG#1      .</t>
  </si>
  <si>
    <t xml:space="preserve">               IF RU-COD-DOC-ORIGEM = 'XCRS030F  ' OR</t>
  </si>
  <si>
    <t>PJG#1**       MOVE BUSK410A-NUMERO-CTT  TO X002BNCAB1-O-NUMERO-CTT</t>
  </si>
  <si>
    <t xml:space="preserve">           MOVE 'X002BNPOS1'             TO NOME-O-LAYOUT</t>
  </si>
  <si>
    <t xml:space="preserve">                       MOVE NZ5PDU01-C-RAMO-DIRZ-FNCO TO CODBAR-PRODUTO</t>
  </si>
  <si>
    <t xml:space="preserve">              PERFORM P210-GRAVAR-REGISTO THRU P210-GRAVAR-REGISTO-EX</t>
  </si>
  <si>
    <t xml:space="preserve">                    BGOW0017-LAYOUTS-148006</t>
  </si>
  <si>
    <t xml:space="preserve">               AT END                                                   </t>
  </si>
  <si>
    <t>PJG#1  P110-STANDARD-CODBAR-EX.</t>
  </si>
  <si>
    <t xml:space="preserve">                  RU-COD-DOC-ORIGEM = 'XCRS031F  ' OR</t>
  </si>
  <si>
    <t>PJG#1**       MOVE SPACES               TO X002BNCAB1-O-ROYAL-MAIL-4S</t>
  </si>
  <si>
    <t>PJG#1        END-IF</t>
  </si>
  <si>
    <t xml:space="preserve">      *       documento de cancelamento da vd não vai como registada.</t>
  </si>
  <si>
    <t xml:space="preserve">                  SET W100-TRATA-LAYOUT       TO TRUE</t>
  </si>
  <si>
    <t xml:space="preserve">                  DISPLAY 'ERRO: MES &lt;' W400-MOUNTH '&gt; INVALIDO'        </t>
  </si>
  <si>
    <t xml:space="preserve">                  RU-COD-DOC-ORIGEM = 'XCRS032F  ' OR</t>
  </si>
  <si>
    <t>PJG#1**       MOVE 'X002BNCABR'         TO NOME-O-LAYOUT</t>
  </si>
  <si>
    <t xml:space="preserve">           MOVE 'X002BNPOS2'             TO NOME-O-LAYOUT</t>
  </si>
  <si>
    <t xml:space="preserve">                       MOVE NZ5PDU01-PRODUCT-CODE     TO CODBAR-PRODUTO</t>
  </si>
  <si>
    <t xml:space="preserve">              IF RU-DOC-CANCEL</t>
  </si>
  <si>
    <t xml:space="preserve">               AT END</t>
  </si>
  <si>
    <t xml:space="preserve">                  MOVE '#ERRO#'               TO W400-MOUNTH-DESC       </t>
  </si>
  <si>
    <t xml:space="preserve">                  RU-COD-DOC-ORIGEM = 'XCRS033F  ' OR</t>
  </si>
  <si>
    <t>PJG#1         MOVE 'REGISTOCTT'         TO NOME-O-LAYOUT</t>
  </si>
  <si>
    <t xml:space="preserve">           PERFORM WRITE-QZOUTPUT        THRU WRITE-QZOUTPUT-EX.</t>
  </si>
  <si>
    <t xml:space="preserve">                 MOVE '00'                 TO RU-MOTIVO-CANCEL</t>
  </si>
  <si>
    <t xml:space="preserve">                  DISPLAY 'D10-ERROR: ' NZ44CU01-ORIG-DATE-PRINTED</t>
  </si>
  <si>
    <t xml:space="preserve">                  PERFORM Z10-CALL-ABEND                                </t>
  </si>
  <si>
    <t xml:space="preserve">                  RU-COD-DOC-ORIGEM = 'ICRS030F  ' OR</t>
  </si>
  <si>
    <t xml:space="preserve">       TRATA-CARTA-1-EX.</t>
  </si>
  <si>
    <t xml:space="preserve">                 PERFORM P231-TRATA-DOC-CANCEL THRU</t>
  </si>
  <si>
    <t xml:space="preserve">                  SET W100-ERROR-OCCURRED     TO TRUE</t>
  </si>
  <si>
    <t xml:space="preserve">           SET W100-NO-FICH                   TO TRUE.</t>
  </si>
  <si>
    <t xml:space="preserve">             WHEN W400-NR-MOUNTH(INDICE) EQUAL W400-MOUNTH              </t>
  </si>
  <si>
    <t xml:space="preserve">                  RU-COD-DOC-ORIGEM = 'ICRS031F  ' OR</t>
  </si>
  <si>
    <t xml:space="preserve">      * Guarda dados para construir a guia CTT.</t>
  </si>
  <si>
    <t xml:space="preserve">                    MOVE NZ5PDU01-RAMO-SO     TO CODBAR-PRODUTO</t>
  </si>
  <si>
    <t xml:space="preserve">                         P231-TRATA-DOC-CANCEL-EX</t>
  </si>
  <si>
    <t xml:space="preserve">             WHEN W400-NR-MOUNTH(INDEX0) EQUAL</t>
  </si>
  <si>
    <t xml:space="preserve">                MOVE W400-DESCRIPTION(INDICE) TO W400-MOUNTH-DESC       </t>
  </si>
  <si>
    <t xml:space="preserve">                  RU-COD-DOC-ORIGEM = 'ICRS032F  ' OR</t>
  </si>
  <si>
    <t>PJG#1**       MOVE CODBAR-COMP-MARCA    TO WAUX-X012-O-MARCA</t>
  </si>
  <si>
    <t xml:space="preserve">       TRATA-CARTA-2.</t>
  </si>
  <si>
    <t xml:space="preserve">                                        NZ44CU01-ORIG-DATE-PRINTED(6:2)</t>
  </si>
  <si>
    <t xml:space="preserve">           END-SEARCH.                                                  </t>
  </si>
  <si>
    <t xml:space="preserve">                  RU-COD-DOC-ORIGEM = 'ICRS033F  '</t>
  </si>
  <si>
    <t>PJG#1**       MOVE BUSK410A-NOME        TO WAUX-X012-O-NOME</t>
  </si>
  <si>
    <t xml:space="preserve">           MOVE SPACES                    TO X002BNASSI-O-I-RAMO-A</t>
  </si>
  <si>
    <t xml:space="preserve">                MOVE W400-DESCRIPTION(INDEX0) TO W500-DESCR-MONTH</t>
  </si>
  <si>
    <t xml:space="preserve">                    BGOW0017-FFLAT-111001</t>
  </si>
  <si>
    <t xml:space="preserve">                 SET CODBAR-ELEM-CLI  TO TRUE</t>
  </si>
  <si>
    <t>PJG#1**       MOVE BUSK410A-MORADA1     TO WAUX-X012-O-MORADA1</t>
  </si>
  <si>
    <t xml:space="preserve">           MOVE BGOW0027-RAMO(3:28)       TO X002BNASSI-O-I-RAMO-A</t>
  </si>
  <si>
    <t xml:space="preserve">              WHEN 'CTAD'</t>
  </si>
  <si>
    <t xml:space="preserve">       P210-GRAVAR-REGISTO.</t>
  </si>
  <si>
    <t xml:space="preserve">                STRING 'Lisboa, ' NZ44CU01-ORIG-DATE-PRINTED(9:2)</t>
  </si>
  <si>
    <t xml:space="preserve">       D20-EXIT.                                                        </t>
  </si>
  <si>
    <t xml:space="preserve">               ELSE</t>
  </si>
  <si>
    <t>PJG#1**       MOVE BUSK410A-MORADA2     TO WAUX-X012-O-MORADA2</t>
  </si>
  <si>
    <t xml:space="preserve">           MOVE BGOW0027-APOLICE-GRUPO    TO X002BNASSI-O-I-APOLICE-A</t>
  </si>
  <si>
    <t xml:space="preserve">                 ADD  1 TO WAUX-REG-LIDOS-CTAD</t>
  </si>
  <si>
    <t xml:space="preserve">                       ' de ' W500-DESCR-MONTH DELIMITED BY '  '</t>
  </si>
  <si>
    <t xml:space="preserve">                    BGOW0017-FFLAT-111005</t>
  </si>
  <si>
    <t>PJG#1      PERFORM P110-STANDARD-CODBAR     THRU P110-STANDARD-CODBAR-EX</t>
  </si>
  <si>
    <t xml:space="preserve">                 SET CODBAR-VIDA    TO TRUE</t>
  </si>
  <si>
    <t>PJG#1**       MOVE BUSK410A-MORADA3     TO WAUX-X012-O-MORADA3</t>
  </si>
  <si>
    <t xml:space="preserve">           MOVE BGOW0027-PESSOA-SEGURA1   TO X002BNASSI-O-I-SEG1-A</t>
  </si>
  <si>
    <t xml:space="preserve">                 MOVE '1005'                  TO CODBAR-IDENTIF-DOCUM</t>
  </si>
  <si>
    <t xml:space="preserve">           MOVE LENGTH OF W400-AREA-OUTPUT TO QZLEN</t>
  </si>
  <si>
    <t xml:space="preserve">                       ' de ' NZ44CU01-ORIG-DATE-PRINTED(1:4)</t>
  </si>
  <si>
    <t>PJG#1**    EVALUATE TRUE</t>
  </si>
  <si>
    <t>PJG#1**       MOVE BUSK410A-MORADA4     TO WAUX-X012-O-MORADA4</t>
  </si>
  <si>
    <t xml:space="preserve">           MOVE BGOW0027-PESSOA-SEGURA2   TO X002BNASSI-O-I-SEG2-A</t>
  </si>
  <si>
    <t xml:space="preserve">                 MOVE NZ5PDU01-C-TOMADOR      TO CODBAR-CLIENTE</t>
  </si>
  <si>
    <t xml:space="preserve">           WRITE QZTEMP-RECORD FROM W400-AREA-OUTPUT</t>
  </si>
  <si>
    <t xml:space="preserve">                          DELIMITED BY SIZE INTO W800-FOOTER-DATE</t>
  </si>
  <si>
    <t xml:space="preserve">                    BGOW0017-FFLAT-128002</t>
  </si>
  <si>
    <t>PJG#1**       WHEN RU-C-VIADIRECTA</t>
  </si>
  <si>
    <t xml:space="preserve">             WHEN RU-CEN-NAGR-NEX</t>
  </si>
  <si>
    <t>PJG#1**       MOVE BGOW0008-CPOSTAL     TO WAUX-X012-O-CPOSTAL</t>
  </si>
  <si>
    <t xml:space="preserve">                 MOVE LENGTH OF CODBAR-CLIENTE TO AUX-LEN</t>
  </si>
  <si>
    <t xml:space="preserve">                MOVE W800-FOOTER-DATE         TO W800-HD-ENT-DATA</t>
  </si>
  <si>
    <t>PJG#1**          EVALUATE TRUE</t>
  </si>
  <si>
    <t>PJG#1         MOVE BGOW0008-CPOSTAL     TO X002BNCAB1-O-CPOSTAL</t>
  </si>
  <si>
    <t xml:space="preserve">              MOVE SPACES                 TO X002BNASSI-O-I-NIF-A</t>
  </si>
  <si>
    <t xml:space="preserve">              DISPLAY 'PGOC009A: ERRO WRITE QZTEMP ' FSQZTEMP</t>
  </si>
  <si>
    <t xml:space="preserve">           END-SEARCH.</t>
  </si>
  <si>
    <t xml:space="preserve">                    BGOW0017-FFLAT-138003</t>
  </si>
  <si>
    <t xml:space="preserve">       T10-NOTICE-BASIC-DATA SECTION.                                   </t>
  </si>
  <si>
    <t>PJG#1**             WHEN RU-M-OKTELESEGURO</t>
  </si>
  <si>
    <t>PJG#1**       MOVE BUSK410A-REGISTO-CTT TO WAUX-X012-O-REGISTO-CTT</t>
  </si>
  <si>
    <t xml:space="preserve">                    USING AUX-LEN, CODBAR-CLIENTE</t>
  </si>
  <si>
    <t xml:space="preserve">              PERFORM FIM-ANORMAL</t>
  </si>
  <si>
    <t xml:space="preserve">       P230-PREENCHE-TIPO-CARTA-EX.</t>
  </si>
  <si>
    <t>PJG#1**                SET CODBAR-VD-OK TO TRUE</t>
  </si>
  <si>
    <t>PJG#1**       MOVE BUSK410A-NUMERO-CTT  TO WAUX-X012-O-NUMERO-CTT</t>
  </si>
  <si>
    <t xml:space="preserve">              MOVE BGOW0027-NIF-PESSOA-SEGURA1 TO X002BNASSI-O-I-NIF-A</t>
  </si>
  <si>
    <t xml:space="preserve">                    BGOW0017-FFLAT-138004</t>
  </si>
  <si>
    <t xml:space="preserve">      *  TRATA O REGISTO TIPO: NOTICE-BASIC-DATA                    *   </t>
  </si>
  <si>
    <t>PJG#1**             WHEN RU-M-CONTINENTE</t>
  </si>
  <si>
    <t>PJG#1**       MOVE BUSK410A-NR-APOLICE  TO WAUX-X012-O-APOLICE</t>
  </si>
  <si>
    <t xml:space="preserve">              COMPUTE REG-ESCRITOS = REG-ESCRITOS + 1</t>
  </si>
  <si>
    <t>PJG#1**                SET CODBAR-VD-SONAE TO TRUE</t>
  </si>
  <si>
    <t>PJG#1         MOVE BUSK410A-NR-APOLICE  TO X002BNCAB1-O-APOLICE</t>
  </si>
  <si>
    <t xml:space="preserve">           MOVE SPACES                         TO X002BNASSI-O-I-BENEF-A</t>
  </si>
  <si>
    <t xml:space="preserve">                 MOVE NZ5PDU01-NOTICE TO CODBAR-RECIBO</t>
  </si>
  <si>
    <t xml:space="preserve">                    BGOW0017-FFLAT-148006</t>
  </si>
  <si>
    <t xml:space="preserve">       T10-START.                                                       </t>
  </si>
  <si>
    <t>PJG#1**          END-EVALUATE</t>
  </si>
  <si>
    <t xml:space="preserve">      *       MOVE BUSK410A-NR-MEDIADOR TO WAUX-X012-O-MEDIADOR</t>
  </si>
  <si>
    <t xml:space="preserve">                 MOVE LENGTH OF CODBAR-RECIBO  TO AUX-LEN</t>
  </si>
  <si>
    <t xml:space="preserve">           INITIALIZE W400-AREA-OUTPUT.</t>
  </si>
  <si>
    <t xml:space="preserve">       P231-TRATA-DOC-CANCEL.</t>
  </si>
  <si>
    <t xml:space="preserve">                  SET W100-TRATA-FICH         TO TRUE</t>
  </si>
  <si>
    <t xml:space="preserve">AQUI***    INITIALIZE W800-OUTPUT-AREA                                  </t>
  </si>
  <si>
    <t>PJG#1**       WHEN RU-C-FIDELIDADEMUNDIAL</t>
  </si>
  <si>
    <t xml:space="preserve">       D20-FRMT-DATA-ANUL SECTION.</t>
  </si>
  <si>
    <t xml:space="preserve">           INITIALIZE W800-RESTO                                        </t>
  </si>
  <si>
    <t xml:space="preserve">                    USING AUX-LEN, CODBAR-RECIBO</t>
  </si>
  <si>
    <t xml:space="preserve">       P210-GRAVAR-REGISTO-EX.</t>
  </si>
  <si>
    <t xml:space="preserve">           PERFORM P110-PREENCHE-CODBAR  THRU P110-PREENCHE-CODBAR-EX</t>
  </si>
  <si>
    <t xml:space="preserve">                      W800-OUTPUT-CLIENTE                               </t>
  </si>
  <si>
    <t>PJG#1**             WHEN RU-M-FIDELIDADEMUNDIAL</t>
  </si>
  <si>
    <t xml:space="preserve">           PERFORM P220-PREENCHE-GERAL-CARTA</t>
  </si>
  <si>
    <t xml:space="preserve">      *  FORMATA A DATA DE ANULACAO                                 *</t>
  </si>
  <si>
    <t xml:space="preserve">       D11-EXIT.</t>
  </si>
  <si>
    <t xml:space="preserve">                      W800-OUTPUT-AGENTE                                </t>
  </si>
  <si>
    <t>PJG#1**                SET CODBAR-FIDMUNDIAL TO TRUE</t>
  </si>
  <si>
    <t xml:space="preserve">               INTO  X002BNASSI-O-I-BENEF-A</t>
  </si>
  <si>
    <t xml:space="preserve">              THRU P220-PREENCHE-GERAL-CARTA-EX</t>
  </si>
  <si>
    <t xml:space="preserve">                      W800-OUTPUT-NOTICE                                </t>
  </si>
  <si>
    <t>PJG#1**             WHEN RU-M-FMLEVE</t>
  </si>
  <si>
    <t xml:space="preserve">                 MOVE NZ5PDU01-IDENTIFIER     TO CODBAR-APOLICE</t>
  </si>
  <si>
    <t xml:space="preserve">       D20-START.</t>
  </si>
  <si>
    <t xml:space="preserve">                      W800-OUTPUT-CRT-AGT                               </t>
  </si>
  <si>
    <t xml:space="preserve">       P4200-PREENCHE-GERAL-CARTA-EX.</t>
  </si>
  <si>
    <t xml:space="preserve">      *    segundo info. dadas pela VD: caso do cliente ter um estorno,</t>
  </si>
  <si>
    <t xml:space="preserve">                      W800-OUTPUT-DATA                                  </t>
  </si>
  <si>
    <t xml:space="preserve">             WHEN RU-DES-AGR-NEX</t>
  </si>
  <si>
    <t xml:space="preserve">           MOVE BGOW0027-VLR-DIVIDA          TO W400-VALOR-DIV</t>
  </si>
  <si>
    <t xml:space="preserve">      *    o mesmo é emitido pelo TAG - carta cheque, e não por aqui.</t>
  </si>
  <si>
    <t xml:space="preserve">       D20-FRMT-DATA SECTION.</t>
  </si>
  <si>
    <t xml:space="preserve">                      W400-IND.                                         </t>
  </si>
  <si>
    <t>PJG#1**       WHEN RU-C-IMPERIOBONANCA</t>
  </si>
  <si>
    <t xml:space="preserve">           MOVE X'9F'                        TO W400-VALOR-DIV-EURO</t>
  </si>
  <si>
    <t xml:space="preserve">                  DISPLAY 'D20-ERROR: ' NZ44CU01-CANC-REV-EFF-DATE</t>
  </si>
  <si>
    <t>PJG#1**P5000-PREENCHE-GUIA-CTT.</t>
  </si>
  <si>
    <t xml:space="preserve">             MOVE RU-NR-APOLICE       TO X002BNCT07-O-APOLICE</t>
  </si>
  <si>
    <t xml:space="preserve">      *  FORMATA A DATA                                             *</t>
  </si>
  <si>
    <t xml:space="preserve">      *** DADOS DOS 200 BYTES ***                                       </t>
  </si>
  <si>
    <t>PJG#1**             WHEN RU-M-IMPERIOBONANCA</t>
  </si>
  <si>
    <t xml:space="preserve">             IF RU-UAR-MULTIPLA</t>
  </si>
  <si>
    <t xml:space="preserve">           IF NZ5B8U01-TIPO-IMPRESSAO EQUAL 'I'                         </t>
  </si>
  <si>
    <t>PJG#1**                SET CODBAR-IMPERIO TO TRUE</t>
  </si>
  <si>
    <t>PJG#1**    IF WAUX-X012-O-NUMERO-CTT  NOT EQUAL SPACES</t>
  </si>
  <si>
    <t xml:space="preserve">                MOVE 'VÁRIOS'       TO X002BNCT07-O-MATRICULA</t>
  </si>
  <si>
    <t xml:space="preserve">                                        NZ44CU01-CANC-REV-EFF-DATE(3:2)</t>
  </si>
  <si>
    <t xml:space="preserve">              SET CODBAR-ONLINE               TO TRUE                   </t>
  </si>
  <si>
    <t>PJG#1**             WHEN RU-M-IBLEVE</t>
  </si>
  <si>
    <t>PJG#1**       MOVE WAUX-X012-O-MARCA        TO X012BNCR00-O-MARCA</t>
  </si>
  <si>
    <t>PJG#1**       MOVE WAUX-X012-O-NOME         TO X012BNCR00-O-NOME</t>
  </si>
  <si>
    <t xml:space="preserve">           MOVE LINOUT       TO  X002BNASSI-O-I-VLR-DIV-A</t>
  </si>
  <si>
    <t xml:space="preserve">                MOVE RU-VEIC-NUMERO TO X002BNCT07-O-MATRICULA</t>
  </si>
  <si>
    <t xml:space="preserve">              SET CODBAR-EXPEDIR              TO TRUE                   </t>
  </si>
  <si>
    <t>PJG#1**             WHEN RU-M-ICI</t>
  </si>
  <si>
    <t>PJG#1**       MOVE WAUX-X012-O-MORADA1      TO X012BNCR00-O-MORADA1</t>
  </si>
  <si>
    <t xml:space="preserve">                  DISPLAY 'ERRO: MES &lt;' W400-MOUNTH '&gt; INVALIDO'</t>
  </si>
  <si>
    <t>PJG#1**                SET CODBAR-ICI TO TRUE</t>
  </si>
  <si>
    <t>PJG#1**       MOVE WAUX-X012-O-MORADA2      TO X012BNCR00-O-MORADA2</t>
  </si>
  <si>
    <t xml:space="preserve">                       MOVE NZ5PDU01-PRODUCT-CODE TO CODBAR-PRODUTO</t>
  </si>
  <si>
    <t xml:space="preserve">             MOVE RU-DT-CESSACAO      TO X002BNCT07-O-DT-CESSACAO</t>
  </si>
  <si>
    <t xml:space="preserve">       D20-EXIT.</t>
  </si>
  <si>
    <t xml:space="preserve">                  MOVE '#ERRO#'               TO W400-MOUNTH-DESC</t>
  </si>
  <si>
    <t>PJG#1**       MOVE WAUX-X012-O-MORADA3      TO X012BNCR00-O-MORADA3</t>
  </si>
  <si>
    <t xml:space="preserve">             MOVE RU-VALOR-RESULTANTE</t>
  </si>
  <si>
    <t xml:space="preserve">                  PERFORM Z10-CALL-ABEND</t>
  </si>
  <si>
    <t xml:space="preserve">           SET CODBAR-ORIG-COGEN33            TO TRUE.                  </t>
  </si>
  <si>
    <t>PJG#1**       WHEN RU-C-MULTICARE</t>
  </si>
  <si>
    <t>PJG#1**       MOVE WAUX-X012-O-MORADA4      TO X012BNCR00-O-MORADA4</t>
  </si>
  <si>
    <t xml:space="preserve">               TO X002BNCT07-O-VALOR-RESULTANTE</t>
  </si>
  <si>
    <t xml:space="preserve">             WHEN W400-NR-MOUNTH(INDICE) EQUAL W400-MOUNTH</t>
  </si>
  <si>
    <t>PJG#1**       MOVE WAUX-X012-O-CPOSTAL      TO X012BNCR00-O-CPOSTAL</t>
  </si>
  <si>
    <t xml:space="preserve">             MOVE RU-PREMIO-ANUAL</t>
  </si>
  <si>
    <t xml:space="preserve">                MOVE W400-DESCRIPTION(INDICE) TO W400-MOUNTH-DESC</t>
  </si>
  <si>
    <t xml:space="preserve">      *** CODIGOS DE AGRUPAMENTO ***                                    </t>
  </si>
  <si>
    <t>PJG#1**             WHEN RU-M-MULTICARE</t>
  </si>
  <si>
    <t>PJG#1**       MOVE WAUX-X012-O-CPOSTAL(1:4) TO CODBAR-COD-POSTALC(1:4)</t>
  </si>
  <si>
    <t xml:space="preserve">               TO X002BNCT07-O-PREMIO-ANUAL</t>
  </si>
  <si>
    <t xml:space="preserve">       D30-FRMT-DATA-INI-PER SECTION.</t>
  </si>
  <si>
    <t xml:space="preserve">           SET CODBAR-AG1-GERAL               TO TRUE.                  </t>
  </si>
  <si>
    <t>PJG#1**                SET CODBAR-MULTICARE TO TRUE</t>
  </si>
  <si>
    <t xml:space="preserve">             WHEN RU-DES-NAGR-NEX</t>
  </si>
  <si>
    <t>PJG#1**       IF WAUX-X012-O-CPOSTAL(6:3) EQUAL SPACES</t>
  </si>
  <si>
    <t xml:space="preserve">             MOVE RU-PREMIO-PAGO</t>
  </si>
  <si>
    <t xml:space="preserve">           SET CODBAR-AG2-CARTAS              TO TRUE.                  </t>
  </si>
  <si>
    <t xml:space="preserve">               IF RU-COD-DOC-ORIGEM = 'ICRS030F  ' OR</t>
  </si>
  <si>
    <t>PJG#1**          MOVE ZEROS                 TO CODBAR-COD-POSTALC(5:3)</t>
  </si>
  <si>
    <t xml:space="preserve">              WHEN 'ENTI'</t>
  </si>
  <si>
    <t xml:space="preserve">               TO X002BNCT07-O-PREMIO-PAGO</t>
  </si>
  <si>
    <t xml:space="preserve">      *  FORMATA A DATA DE INICIO DO PERIODO                        *</t>
  </si>
  <si>
    <t>PJG#1**       WHEN OTHER</t>
  </si>
  <si>
    <t>PJG#1**       ELSE</t>
  </si>
  <si>
    <t xml:space="preserve">              INTO X002BNASSI-O-I-DT-ANUL-A</t>
  </si>
  <si>
    <t xml:space="preserve">                 ADD  1 TO WAUX-REG-LIDOS-ENTI</t>
  </si>
  <si>
    <t xml:space="preserve">             MOVE RU-PREMIO-CANCEL</t>
  </si>
  <si>
    <t xml:space="preserve">      *** FORMATA DATA DE EMISSAO DA CARTA ***                          </t>
  </si>
  <si>
    <t>PJG#1**          DISPLAY 'PGOC023A: COD-COMPANHIA INVALIDO'</t>
  </si>
  <si>
    <t>PJG#1**         MOVE WAUX-X012-O-CPOSTAL(6:3) TO CODBAR-COD-POSTALC(5:3)</t>
  </si>
  <si>
    <t xml:space="preserve">                 MOVE '1004'                   TO CODBAR-IDENTIF-DOCUM</t>
  </si>
  <si>
    <t xml:space="preserve">               TO X002BNCT07-O-PREMIO-CANCEL</t>
  </si>
  <si>
    <t xml:space="preserve">       D30-START.</t>
  </si>
  <si>
    <t xml:space="preserve">           MOVE NZ5B8U01-ISSUE-DATE(6:2)      TO W400-MOUNTH.           </t>
  </si>
  <si>
    <t>PJG#1**          GO TO FIM-ANORMAL</t>
  </si>
  <si>
    <t xml:space="preserve">                  RU-COD-DOC-ORIGEM = 'ICRS033F  ' OR</t>
  </si>
  <si>
    <t>PJG#1**       END-IF</t>
  </si>
  <si>
    <t xml:space="preserve">                 MOVE SPACES                   TO CODBAR-RECIBO</t>
  </si>
  <si>
    <t xml:space="preserve">             MOVE RU-PENALIZACAO</t>
  </si>
  <si>
    <t xml:space="preserve">           PERFORM D20-FRMT-DATA            THRU D20-EXIT.              </t>
  </si>
  <si>
    <t>PJG#1**    END-EVALUATE</t>
  </si>
  <si>
    <t>FLCM              RU-COD-DOC-ORIGEM = 'XCRS030F  ' OR</t>
  </si>
  <si>
    <t>PJG#1**       MOVE LENGTH OF CODBAR-COD-POSTALC TO WAUX-LEN</t>
  </si>
  <si>
    <t xml:space="preserve">                 IF NZ5PDU01-RAMO-SO-DESCR     EQUAL SPACES</t>
  </si>
  <si>
    <t xml:space="preserve">               TO X002BNCT07-O-PENALIZACAO</t>
  </si>
  <si>
    <t>FLCM              RU-COD-DOC-ORIGEM = 'XCRS031F  ' OR</t>
  </si>
  <si>
    <t>PJG#1**       CALL</t>
  </si>
  <si>
    <t xml:space="preserve">                    IF NZ5PDU01-PRODUCT-DESCR  EQUAL SPACES</t>
  </si>
  <si>
    <t xml:space="preserve">                  DISPLAY 'D30-ERROR: ' NZ44CU01-POLICY-EFFECTIVE-DATE</t>
  </si>
  <si>
    <t xml:space="preserve">       T10-PROCESSA-CHIP SECTION.</t>
  </si>
  <si>
    <t xml:space="preserve">           STRING 'Lisboa, ' NZ5B8U01-ISSUE-DATE(9:2)                   </t>
  </si>
  <si>
    <t>FLCM              RU-COD-DOC-ORIGEM = 'XCRS032F  ' OR</t>
  </si>
  <si>
    <t>PJG#1**          'PGOU001A' USING  WAUX-LEN, CODBAR-COD-POSTALC</t>
  </si>
  <si>
    <t xml:space="preserve">             IF WS-PERDA-TOTAL EQUAL 'S'</t>
  </si>
  <si>
    <t xml:space="preserve">                  ' de ' W400-MOUNTH-DESC DELIMITED BY '  '             </t>
  </si>
  <si>
    <t>PJG#1**      WHEN RU-CEN-AGR-EX</t>
  </si>
  <si>
    <t>FLCM              RU-COD-DOC-ORIGEM = 'XCRS033F  ' OR</t>
  </si>
  <si>
    <t>PJG#1**       END-CALL</t>
  </si>
  <si>
    <t xml:space="preserve">                MOVE ', por motivo de Perda Total.' TO</t>
  </si>
  <si>
    <t xml:space="preserve">      *  TRATA A CARTA CHIP POR APOLICE                             *</t>
  </si>
  <si>
    <t xml:space="preserve">                  ' de ' NZ5B8U01-ISSUE-DATE(1:4)                       </t>
  </si>
  <si>
    <t>PJG#1**           SET CODBAR-EXPEDIR TO TRUE</t>
  </si>
  <si>
    <t>APUHL             RU-COD-DOC-ORIGEM = 'ICRS042F  ' OR</t>
  </si>
  <si>
    <t>PJG#1**       MOVE WAUX-X012-O-REGISTO-CTT  TO X012BNCR00-O-REGISTO-CTT</t>
  </si>
  <si>
    <t xml:space="preserve">                     X002BNCT07-O-TEXTO1</t>
  </si>
  <si>
    <t xml:space="preserve">                                    NZ44CU01-POLICY-EFFECTIVE-DATE(3:2)</t>
  </si>
  <si>
    <t xml:space="preserve">                          DELIMITED BY SIZE INTO W800-DATA-DOC.         </t>
  </si>
  <si>
    <t>PJG#1**      WHEN RU-CEN-AGR-NEX</t>
  </si>
  <si>
    <t>APUHL             RU-COD-DOC-ORIGEM = 'ICRS043F  ' OR</t>
  </si>
  <si>
    <t>PJG#1**       MOVE WAUX-X012-O-NUMERO-CTT   TO X012BNCR00-O-NUMERO-CTT</t>
  </si>
  <si>
    <t xml:space="preserve">              INTO  X002BNASSI-O-I-DATA-EF-ANUL-A</t>
  </si>
  <si>
    <t>APUHL             RU-COD-DOC-ORIGEM = 'ICRS044F  ' OR</t>
  </si>
  <si>
    <t>PJG#1**       MOVE WAUX-X012-O-APOLICE      TO CODBAR-APOLICE</t>
  </si>
  <si>
    <t xml:space="preserve">                MOVE '.' TO  X002BNCT07-O-TEXTO1</t>
  </si>
  <si>
    <t>PJG#1**      WHEN RU-CEN-NAGR-EX</t>
  </si>
  <si>
    <t>APUHL             RU-COD-DOC-ORIGEM = 'ICRS045F  ' OR</t>
  </si>
  <si>
    <t>PJG#1**       MOVE LENGTH OF CODBAR-APOLICE TO WAUX-LEN</t>
  </si>
  <si>
    <t xml:space="preserve">           MOVE 'X002BNASSI'                 TO NOME-O-LAYOUT</t>
  </si>
  <si>
    <t xml:space="preserve">                    MOVE NZ5PDU01-RAMO-SO      TO CODBAR-PRODUTO</t>
  </si>
  <si>
    <t xml:space="preserve">               WHEN NY5BAU01-REC-TYPE-1</t>
  </si>
  <si>
    <t xml:space="preserve">           MOVE NZ5B8U01-PRODUCT-CODE         TO CODBAR-PRODUTO.        </t>
  </si>
  <si>
    <t>PJG#1**        IF RU-REGISTADA</t>
  </si>
  <si>
    <t>APUHL             RU-COD-DOC-ORIGEM = 'ICRS046F  ' OR</t>
  </si>
  <si>
    <t xml:space="preserve">           STRING NZ44CU01-POLICY-EFFECTIVE-DATE(1:2) '-'</t>
  </si>
  <si>
    <t xml:space="preserve">                  PERFORM T11-TRATA-REG1    THRU T11-EXIT</t>
  </si>
  <si>
    <t xml:space="preserve">           MOVE NZ5B8U01-PRODUCT-CODE-DESC    TO W800-PRODUCT-CODE-DESC.</t>
  </si>
  <si>
    <t>PJG#1**           SET CODBAR-REGISTADA TO TRUE</t>
  </si>
  <si>
    <t xml:space="preserve">                  RU-COD-DOC-ORIGEM = 'XCRS042F  ' OR</t>
  </si>
  <si>
    <t>PJG#1**         'PGOU001A' USING  WAUX-LEN, CODBAR-APOLICE</t>
  </si>
  <si>
    <t xml:space="preserve">             MOVE 'X002BNCT07'     TO NOME-O-LAYOUT</t>
  </si>
  <si>
    <t xml:space="preserve">                  W500-DESCR-MONTH(1:3) '-'</t>
  </si>
  <si>
    <t xml:space="preserve">               WHEN NY5BAU01-REC-TYPE-2</t>
  </si>
  <si>
    <t>PJG#1**        ELSE</t>
  </si>
  <si>
    <t xml:space="preserve">                  RU-COD-DOC-ORIGEM = 'XCRS043F  ' OR</t>
  </si>
  <si>
    <t xml:space="preserve">                 MOVE NZ5PDU01-IDENTIFIER      TO CODBAR-APOLICE</t>
  </si>
  <si>
    <t xml:space="preserve">             MOVE LENGTH OF LX002BNCT07-O TO QZOLEN</t>
  </si>
  <si>
    <t xml:space="preserve">                  NZ44CU01-POLICY-EFFECTIVE-DATE(5:4)</t>
  </si>
  <si>
    <t xml:space="preserve">                  PERFORM T12-TRATA-REG2    THRU T12-EXIT</t>
  </si>
  <si>
    <t xml:space="preserve">           MOVE NZ5B8U01-POLICY-NUMBER        TO W800-POLICY-NUMBER     </t>
  </si>
  <si>
    <t>PJG#1**          IF RU-COD-DOC-ORIGEM = 'ElClinico '</t>
  </si>
  <si>
    <t xml:space="preserve">                  RU-COD-DOC-ORIGEM = 'XCRS044F  ' OR</t>
  </si>
  <si>
    <t>PJG#1**       MOVE WAUX-X012-O-APOLICE      TO X012BNCR00-O-APOLICE</t>
  </si>
  <si>
    <t xml:space="preserve">              MOVE W400-TEXT-BENEFIC    TO LININ</t>
  </si>
  <si>
    <t xml:space="preserve">             PERFORM P290-GRAVAR-REGISTO THRU P290-GRAVAR-REGISTO-EX</t>
  </si>
  <si>
    <t xml:space="preserve">                  DELIMITED BY SIZE         INTO W800-EFFECTIVE-DATE.</t>
  </si>
  <si>
    <t xml:space="preserve">                  VARYING W400-IND FROM 1 BY 1</t>
  </si>
  <si>
    <t xml:space="preserve">                                                 CODBAR-APOLICE.        </t>
  </si>
  <si>
    <t>PJG#1**            SET CODBAR-ELEM-CLI  TO TRUE</t>
  </si>
  <si>
    <t xml:space="preserve">                  RU-COD-DOC-ORIGEM = 'XCRS045F  ' OR</t>
  </si>
  <si>
    <t>PJG#1**       MOVE LENGTH OF X012BNCR00-O-APOLICE TO WAUX-LEN</t>
  </si>
  <si>
    <t xml:space="preserve">              MOVE LENGTH OF LININ      TO LININ-LEN</t>
  </si>
  <si>
    <t xml:space="preserve">                    UNTIL NY5BAU01-INVOICE-NUMBER(W400-IND) = LOW-VALUES</t>
  </si>
  <si>
    <t xml:space="preserve">           MOVE LENGTH OF CODBAR-APOLICE      TO W400-AUXLEN.           </t>
  </si>
  <si>
    <t>PJG#1**          ELSE</t>
  </si>
  <si>
    <t xml:space="preserve">                  RU-COD-DOC-ORIGEM = 'XCRS046F  ' OR</t>
  </si>
  <si>
    <t xml:space="preserve">              PERFORM TRATA-PYOXAU03    THRU TRATA-PYOXAU03-EX</t>
  </si>
  <si>
    <t xml:space="preserve">       D30-EXIT.</t>
  </si>
  <si>
    <t xml:space="preserve">                       OR NY5BAU01-INVOICE-NUMBER(W400-IND) = SPACES</t>
  </si>
  <si>
    <t xml:space="preserve">           CALL                                                         </t>
  </si>
  <si>
    <t>PJG#1**           SET CODBAR-VIDA    TO TRUE</t>
  </si>
  <si>
    <t>FLCM              RU-COD-DOC-ORIGEM = 'ICAEG25   '</t>
  </si>
  <si>
    <t>PJG#1**         'PGOU001A' USING  WAUX-LEN, X012BNCR00-O-APOLICE</t>
  </si>
  <si>
    <t xml:space="preserve">                 WHEN RU-CDC1</t>
  </si>
  <si>
    <t xml:space="preserve">               WHEN NY5BAU01-REC-TYPE-3</t>
  </si>
  <si>
    <t xml:space="preserve">              'PGOU001A' USING W400-AUXLEN, CODBAR-APOLICE              </t>
  </si>
  <si>
    <t>PJG#1**          END-IF</t>
  </si>
  <si>
    <t xml:space="preserve">                  SET CODBAR-OL-CONF TO TRUE</t>
  </si>
  <si>
    <t xml:space="preserve">              MOVE SPACES       TO FSPYOXAU03</t>
  </si>
  <si>
    <t xml:space="preserve">                 WHEN RU-CCAG</t>
  </si>
  <si>
    <t xml:space="preserve">                  PERFORM T13-TRATA-REG3    THRU T13-EXIT</t>
  </si>
  <si>
    <t xml:space="preserve">           END-CALL.                                                    </t>
  </si>
  <si>
    <t>PJG#1**        END-IF</t>
  </si>
  <si>
    <t>PJG#1**       MOVE 'X012'                   TO CODBAR-COD-DOC</t>
  </si>
  <si>
    <t xml:space="preserve">              MOVE SPACES       TO LININ</t>
  </si>
  <si>
    <t xml:space="preserve">                 WHEN RU-CAVR</t>
  </si>
  <si>
    <t>PJG#1**      WHEN RU-CEN-NAGR-NEX</t>
  </si>
  <si>
    <t xml:space="preserve">                 SET CODBAR-ONLINE TO TRUE</t>
  </si>
  <si>
    <t>PJG#1**       MOVE '1002'                   TO CODBAR-IDENTIF-DOCUM</t>
  </si>
  <si>
    <t xml:space="preserve">              MOVE 'X002BNTXT'          TO NOME-O-LAYOUT</t>
  </si>
  <si>
    <t xml:space="preserve">                    PERFORM T10-TRATA-CDC1-CCAG-CAVR THRU T10-EXIT</t>
  </si>
  <si>
    <t xml:space="preserve">       D40-FRMT-DATA-FIM-PER SECTION.</t>
  </si>
  <si>
    <t xml:space="preserve">           MOVE SPACES                        TO CODBAR-COD-POSTALM     </t>
  </si>
  <si>
    <t>PJG#1**        IF RU-COD-DOC-ORIGEM = 'ElClinico '</t>
  </si>
  <si>
    <t>PJG#1**       SET CODBAR-REGISTADA          TO TRUE</t>
  </si>
  <si>
    <t xml:space="preserve">              PERFORM WRITE-QZOUTPUT    THRU WRITE-QZOUTPUT-EX</t>
  </si>
  <si>
    <t xml:space="preserve">       P2005-MONTA-CODBAR-EX.</t>
  </si>
  <si>
    <t xml:space="preserve">                 ...</t>
  </si>
  <si>
    <t xml:space="preserve">                                                 CODBAR-MEDIADOR.       </t>
  </si>
  <si>
    <t>PJG#1**          SET CODBAR-ELEM-CLI  TO TRUE</t>
  </si>
  <si>
    <t xml:space="preserve">             WHEN OTHER</t>
  </si>
  <si>
    <t>PJG#1**       SET CODBAR-AG1-NE-RELRC       TO TRUE</t>
  </si>
  <si>
    <t xml:space="preserve">              MOVE 'X002BNLAY1'           TO NOME-O-LAYOUT</t>
  </si>
  <si>
    <t xml:space="preserve">      *  FORMATA A DATA DE FIM DO PERIODO                           *</t>
  </si>
  <si>
    <t xml:space="preserve">                  DISPLAY 'PGOC038A: TIPO DE IMPRESSAO INVALIDO'</t>
  </si>
  <si>
    <t>PJG#1**       SET CODBAR-AG2-NE-RELRC       TO TRUE</t>
  </si>
  <si>
    <t xml:space="preserve">              PERFORM WRITE-QZOUTPUT      THRU WRITE-QZOUTPUT-EX</t>
  </si>
  <si>
    <t xml:space="preserve">           MOVE NZ5B8U01-CLIENT-POST-CODE(1:4)                          </t>
  </si>
  <si>
    <t>PJG#1**          SET CODBAR-VIDA    TO TRUE</t>
  </si>
  <si>
    <t xml:space="preserve">                  GO TO FIM-ANORMAL</t>
  </si>
  <si>
    <t>PJG#1**       MOVE BUSK410A-REGISTO-CTT (5:9) TO CODBAR-MATRICULA (5:9)</t>
  </si>
  <si>
    <t xml:space="preserve">       P231-TRATA-DOC-CANCEL-EX.</t>
  </si>
  <si>
    <t xml:space="preserve">       D40-START.</t>
  </si>
  <si>
    <t xml:space="preserve">                                              TO CODBAR-COD-POSTALC(1:4)</t>
  </si>
  <si>
    <t>PJG#1**       MOVE 'CLA '                     TO CODBAR-MATRICULA (1:4)</t>
  </si>
  <si>
    <t xml:space="preserve">              MOVE 'X002BNLAY2'           TO NOME-O-LAYOUT</t>
  </si>
  <si>
    <t xml:space="preserve">       P2010-NOTICE-DATA.</t>
  </si>
  <si>
    <t xml:space="preserve">       T11-TRATA-REG1 SECTION.</t>
  </si>
  <si>
    <t xml:space="preserve">           MOVE NZ5B8U01-CLIENT-POST-CODE(6:3)                          </t>
  </si>
  <si>
    <t>PJG#1**      WHEN RU-DES-AGR-NEX</t>
  </si>
  <si>
    <t>PJG#1**       MOVE SPACES                   TO CODBAR-CLIENTE</t>
  </si>
  <si>
    <t xml:space="preserve">                                              TO CODBAR-COD-POSTALC(5:3)</t>
  </si>
  <si>
    <t>PJG#1**             CODBAR-COD-POSTALM         CODBAR-PRODUTO</t>
  </si>
  <si>
    <t xml:space="preserve">           MOVE NZ5PDU01-C-TIPO-RCIB          TO WAUX-GUARDA-TIPOREC.</t>
  </si>
  <si>
    <t xml:space="preserve">       P235-CRT-CDC1-CCAG-CAVR.</t>
  </si>
  <si>
    <t xml:space="preserve">                  DISPLAY 'D40-ERROR: ' NZ44CU01-POLICY-EXPIRY-DATE</t>
  </si>
  <si>
    <t xml:space="preserve">      *  TRATA OS CAMPOS DO REGISTO TIPO 1                          *</t>
  </si>
  <si>
    <t xml:space="preserve">           MOVE CC-CODBAR-NSEQ-DOC    TO CODBAR-NSEQ-DOC</t>
  </si>
  <si>
    <t>PJG#1**             CODBAR-RECIBO</t>
  </si>
  <si>
    <t xml:space="preserve">           IF RU-DT-SINISTRO NOT EQUAL SPACES</t>
  </si>
  <si>
    <t xml:space="preserve">           MOVE NZ5B8U01-CLIENT-REFERENCE     TO CODBAR-CLIENTE.        </t>
  </si>
  <si>
    <t xml:space="preserve">           SET CODBAR-F048-NOVO      TO TRUE</t>
  </si>
  <si>
    <t>PJG#1**       MOVE 'X012BNCR02'             TO NOME-O-LAYOUT</t>
  </si>
  <si>
    <t xml:space="preserve">           MOVE BGOW0027-APOLICE-GRUPO    TO X002BNDCVI-O-I-APOLICE-B</t>
  </si>
  <si>
    <t xml:space="preserve">           DISPLAY 'PGOC009A: PROGRAMA COM ERRO - ANALISAR MENSAGENS'</t>
  </si>
  <si>
    <t xml:space="preserve">              IF RU-C-FIDELIDADEMUNDIAL OR</t>
  </si>
  <si>
    <t xml:space="preserve">       T11-START.</t>
  </si>
  <si>
    <t xml:space="preserve">           MOVE LENGTH OF CODBAR-CLIENTE      TO W400-AUXLEN.           </t>
  </si>
  <si>
    <t xml:space="preserve">           MOVE ZEROS      TO CODBAR-NLIN-DOC</t>
  </si>
  <si>
    <t>PJG#1**       MOVE LENGTH OF LX012BNCR00-O TO QZOLEN</t>
  </si>
  <si>
    <t xml:space="preserve">           MOVE BGOW0027-PESSOA-SEGURA1   TO X002BNDCVI-O-I-SEG1-B</t>
  </si>
  <si>
    <t xml:space="preserve">                 RU-C-IMPERIOBONANCA</t>
  </si>
  <si>
    <t xml:space="preserve">                                       NZ44CU01-POLICY-EXPIRY-DATE(3:2)</t>
  </si>
  <si>
    <t xml:space="preserve">      *** DADOS DOS 200 BYTES ***</t>
  </si>
  <si>
    <t xml:space="preserve">           COMPUTE CC-CODBAR-NPAG-DOC = CC-CODBAR-NPAG-DOC + 1</t>
  </si>
  <si>
    <t>PJG#1**       PERFORM P8000-GRAVAR-REGISTO THRU P8000-GRAVAR-REGISTO-EX</t>
  </si>
  <si>
    <t xml:space="preserve">           MOVE BGOW0027-PESSOA-SEGURA2   TO X002BNDCVI-O-I-SEG2-B</t>
  </si>
  <si>
    <t xml:space="preserve">                 MOVE ZEROS   TO XX</t>
  </si>
  <si>
    <t xml:space="preserve">                 MOVE 'X002BNCT20'     TO NOME-O-LAYOUT</t>
  </si>
  <si>
    <t xml:space="preserve">           IF NY5BAU01-TIPO-IMPRESSAO-1 EQUAL 'I'</t>
  </si>
  <si>
    <t xml:space="preserve">              'PGOU001A' USING W400-AUXLEN, CODBAR-CLIENTE              </t>
  </si>
  <si>
    <t>PJG#1**      WHEN RU-DES-NAGR-NEX</t>
  </si>
  <si>
    <t xml:space="preserve">           MOVE CC-CODBAR-NPAG-DOC TO CODBAR-NPAG-DOC</t>
  </si>
  <si>
    <t xml:space="preserve">                 MOVE NZ5PDU01-IDENTIFIER TO X080BNCHIP-POLICY</t>
  </si>
  <si>
    <t xml:space="preserve">                 MOVE LENGTH OF LX002BNCT09-O TO QZOLEN</t>
  </si>
  <si>
    <t xml:space="preserve">              SET CODBAR-ONLINE               TO TRUE</t>
  </si>
  <si>
    <t>PJG#1**        IF RU-COD-DOC-ORIGEM = 'Aceit_Pes ' OR</t>
  </si>
  <si>
    <t>PJG#1**    .</t>
  </si>
  <si>
    <t xml:space="preserve">              MOVE SPACES                 TO X002BNDCVI-O-I-NIF-B</t>
  </si>
  <si>
    <t xml:space="preserve">      *** ROTINA PARA JUNTAR A MONTANTE AO VALOR ***</t>
  </si>
  <si>
    <t>PJG#1**           RU-COD-DOC-ORIGEM = 'ElClinico '</t>
  </si>
  <si>
    <t xml:space="preserve">           COMPUTE CC-CODBAR-NPAG1-DOC = CC-CODBAR-NPAG1-DOC + 1</t>
  </si>
  <si>
    <t>PJG#1**P5000-PREENCHE-GUIA-CTT-EX.</t>
  </si>
  <si>
    <t>#13   ***        Guarda os valores do IBAN e do SWIFT para depois tratar</t>
  </si>
  <si>
    <t xml:space="preserve">           COPY NYYABNMS.</t>
  </si>
  <si>
    <t xml:space="preserve">           STRING NZ44CU01-POLICY-EXPIRY-DATE(1:2) '-'</t>
  </si>
  <si>
    <t xml:space="preserve">              SET CODBAR-REGISTADA            TO TRUE</t>
  </si>
  <si>
    <t xml:space="preserve">           MOVE NZ5B8U01-CLIENT-ADDRESSEE     TO W800-CLIENT-NOME.      </t>
  </si>
  <si>
    <t>PJG#1**           SET CODBAR-OL-CONF TO TRUE</t>
  </si>
  <si>
    <t>PJG#1**    EXIT.</t>
  </si>
  <si>
    <t xml:space="preserve">              MOVE BGOW0027-NIF-PESSOA-SEGURA1 TO X002BNDCVI-O-I-NIF-B</t>
  </si>
  <si>
    <t>#13              MOVE NZ5PDU01-REFERENCIA-IBAN TO WAUX-IBAN</t>
  </si>
  <si>
    <t xml:space="preserve">           IF RU-DOC-ID = '002'</t>
  </si>
  <si>
    <t>#13              MOVE NZ5PDU01-SWIFT           TO WAUX-SWIFT</t>
  </si>
  <si>
    <t xml:space="preserve">                WHEN (RU-VALOR-RESULTANTE EQUAL ZEROS)</t>
  </si>
  <si>
    <t xml:space="preserve">                  NZ44CU01-POLICY-EXPIRY-DATE(5:4)</t>
  </si>
  <si>
    <t xml:space="preserve">           MOVE NZ5B8U01-CLIENT-ADDRESS       TO BGOW0008-MORADA1.      </t>
  </si>
  <si>
    <t>PJG#1**          SET CODBAR-ONLINE TO TRUE</t>
  </si>
  <si>
    <t xml:space="preserve">             IF RU-TIPO-LAYOUT = '02'</t>
  </si>
  <si>
    <t xml:space="preserve">       P8000-GRAVAR-REGISTO.</t>
  </si>
  <si>
    <t xml:space="preserve">                  IF RU-C-FIDELIDADEMUNDIAL  OR</t>
  </si>
  <si>
    <t xml:space="preserve">                  DELIMITED BY SIZE         INTO W800-EXPIRY-DATE.</t>
  </si>
  <si>
    <t xml:space="preserve">           SET CODBAR-ORIG-COGEN33            TO TRUE.                  00000632</t>
  </si>
  <si>
    <t xml:space="preserve">           MOVE NZ5B8U01-CLIENT-ADDRESS-2     TO BGOW0008-MORADA2.      </t>
  </si>
  <si>
    <t xml:space="preserve">               MOVE '1232'   TO CODBAR-IDENTIF-DOCUM</t>
  </si>
  <si>
    <t xml:space="preserve">                 PERFORM P2011-PROC-ISSUE-DATE THRU</t>
  </si>
  <si>
    <t xml:space="preserve">                     RU-C-IMPERIOBONANCA</t>
  </si>
  <si>
    <t xml:space="preserve">           MOVE NZ5B8U01-CLIENT-CITY          TO BGOW0008-MORADA3.      </t>
  </si>
  <si>
    <t>PJG#1**      WHEN OTHER</t>
  </si>
  <si>
    <t>PJG#1      COMPUTE CODBAR-NLIN-DOC = CODBAR-NLIN-DOC + 1</t>
  </si>
  <si>
    <t xml:space="preserve">                         P2011-PROC-ISSUE-DATE-EX</t>
  </si>
  <si>
    <t xml:space="preserve">                     MOVE 'X002BNCT17'     TO NOME-O-LAYOUT</t>
  </si>
  <si>
    <t xml:space="preserve">       D40-EXIT.</t>
  </si>
  <si>
    <t xml:space="preserve">           MOVE NZ5B8U01-POST-CODE-DESCR      TO BGOW0008-MORADA4.      </t>
  </si>
  <si>
    <t>PJG#1**           DISPLAY 'PGOC023A: TIPO DE IMPRESSAO INVALIDO'</t>
  </si>
  <si>
    <t xml:space="preserve">               IF RU-TIPO-LAYOUT = '07'</t>
  </si>
  <si>
    <t>PJG#1**    IF CODBAR-COD-DOC EQUAL 'X002'</t>
  </si>
  <si>
    <t xml:space="preserve">                     MOVE LENGTH OF LX002BNCT09-O TO QZOLEN</t>
  </si>
  <si>
    <t xml:space="preserve">           MOVE NY5BAU01-ISSUE-DATE(6:2)      TO W400-MOUNTH.</t>
  </si>
  <si>
    <t xml:space="preserve">           MOVE NZ5B8U01-CLIENT-POST-CODE     TO BGOW0008-CPOSTAL.      </t>
  </si>
  <si>
    <t>PJG#1**           GO TO FIM-ANORMAL</t>
  </si>
  <si>
    <t xml:space="preserve">                 MOVE '1233'   TO CODBAR-IDENTIF-DOCUM</t>
  </si>
  <si>
    <t>PJG#1**       COMPUTE CC-CODBAR-NLIN-DOC = CC-CODBAR-NLIN-DOC + 1</t>
  </si>
  <si>
    <t xml:space="preserve">                  END-IF</t>
  </si>
  <si>
    <t xml:space="preserve">           PERFORM D20-FRMT-DATA            THRU D20-EXIT.</t>
  </si>
  <si>
    <t xml:space="preserve">           MOVE NZ5B8U01-CLIENT-NUM-TYPE      TO BGOW0008-TNUM-PORTA.   </t>
  </si>
  <si>
    <t>PJG#1**       MOVE CC-CODBAR-NLIN-DOC    TO CODBAR-NLIN-DOC</t>
  </si>
  <si>
    <t xml:space="preserve">                  IF RU-C-MULTICARE</t>
  </si>
  <si>
    <t xml:space="preserve">           MOVE NZ5B8U01-CLIENT-NUM           TO BGOW0008-NUM-PORTA.    </t>
  </si>
  <si>
    <t xml:space="preserve">                 IF RU-TIPO-LAYOUT = '09'</t>
  </si>
  <si>
    <t>PJG#1**    ELSE</t>
  </si>
  <si>
    <t xml:space="preserve">           MOVE LINOUT       TO  X002BNDCVI-O-I-VLR-DIV-B</t>
  </si>
  <si>
    <t xml:space="preserve">                       MOVE NZ5PDU01-RAMO-DESCR</t>
  </si>
  <si>
    <t xml:space="preserve">                     MOVE 'X002BNCT22'     TO NOME-O-LAYOUT</t>
  </si>
  <si>
    <t xml:space="preserve">           STRING 'Lisboa, ' NY5BAU01-ISSUE-DATE(9:2)</t>
  </si>
  <si>
    <t xml:space="preserve">                   MOVE '1234'   TO CODBAR-IDENTIF-DOCUM</t>
  </si>
  <si>
    <t>PJG#1**       MOVE ZEROS                 TO CODBAR-NSEQ-DOC</t>
  </si>
  <si>
    <t xml:space="preserve">                         TO X080BNCHIP-PRODUCT-DESC</t>
  </si>
  <si>
    <t xml:space="preserve">       T00-FRMT-200BYTES SECTION.</t>
  </si>
  <si>
    <t xml:space="preserve">                  ' de ' W400-MOUNTH-DESC DELIMITED BY '  '</t>
  </si>
  <si>
    <t xml:space="preserve">           CALL 'PYOXAU04'                 USING BGOW0008-AREA.         </t>
  </si>
  <si>
    <t>PJG#1**       MOVE ZEROS                 TO CODBAR-NLIN-DOC</t>
  </si>
  <si>
    <t xml:space="preserve">                  ' de ' NY5BAU01-ISSUE-DATE(1:4)</t>
  </si>
  <si>
    <t>PJG#1**    SET CODBAR-F048-NOVO      TO TRUE</t>
  </si>
  <si>
    <t xml:space="preserve">                   IF RU-TIPO-LAYOUT = '10'</t>
  </si>
  <si>
    <t xml:space="preserve">           MOVE 'PT50003503960021969183037' TO  X002BNDCVI-O-I-IBAN-B</t>
  </si>
  <si>
    <t xml:space="preserve">                       MOVE NZ5PDU01-PRODUCT-DESCR</t>
  </si>
  <si>
    <t xml:space="preserve">                WHEN (RU-VALOR-RESULTANTE GREATER ZEROS)</t>
  </si>
  <si>
    <t xml:space="preserve">      *  FORMATA OS 200 BYTES DOS REGISTOS DE LAYOUTS               *</t>
  </si>
  <si>
    <t xml:space="preserve">                          DELIMITED BY SIZE INTO W800-DATA-DOC.</t>
  </si>
  <si>
    <t xml:space="preserve">           MOVE BGOW0008-MORADA1              TO W800-CLIENT-MORADA1.   </t>
  </si>
  <si>
    <t xml:space="preserve">                     MOVE '1235'   TO CODBAR-IDENTIF-DOCUM</t>
  </si>
  <si>
    <t xml:space="preserve">           WRITE RQZOUTPUT          FROM WORK-O-BGOW0014</t>
  </si>
  <si>
    <t xml:space="preserve">           MOVE 'X002BNDCVI'                 TO NOME-O-LAYOUT</t>
  </si>
  <si>
    <t xml:space="preserve">                  IF RU-C-FIDELIDADEMUNDIAL</t>
  </si>
  <si>
    <t xml:space="preserve">           MOVE BGOW0008-MORADA2              TO W800-CLIENT-MORADA2.   </t>
  </si>
  <si>
    <t xml:space="preserve">                     IF RU-AG-NOME     EQUAL SPACES</t>
  </si>
  <si>
    <t xml:space="preserve">       T00-START.</t>
  </si>
  <si>
    <t xml:space="preserve">           MOVE NY5BAU01-PRODUCT-CODE         TO CODBAR-PRODUTO.</t>
  </si>
  <si>
    <t xml:space="preserve">           MOVE BGOW0008-MORADA3              TO W800-CLIENT-MORADA3.   </t>
  </si>
  <si>
    <t xml:space="preserve">                     IF RU-TIPO-LAYOUT = '11'</t>
  </si>
  <si>
    <t xml:space="preserve">              DISPLAY 'PGOC043A: ERRO WRITE QZOUTPUT ' FSQZOUTPUT</t>
  </si>
  <si>
    <t xml:space="preserve">           MOVE 'B_P_SELECT'                 TO NOME-O-LAYOUT</t>
  </si>
  <si>
    <t xml:space="preserve">                        MOVE 'X002BNCT09'     TO NOME-O-LAYOUT</t>
  </si>
  <si>
    <t xml:space="preserve">           MOVE NY5BAU01-PRODUCT-CODE-DESC    TO W800-PRODUCT-CODE-DESC</t>
  </si>
  <si>
    <t xml:space="preserve">           MOVE BGOW0008-MORADA4              TO W800-CLIENT-MORADA4.   </t>
  </si>
  <si>
    <t xml:space="preserve">                       MOVE '1236'   TO CODBAR-IDENTIF-DOCUM</t>
  </si>
  <si>
    <t xml:space="preserve">                    MOVE NZ5PDU01-RAMO-SO-DESCR</t>
  </si>
  <si>
    <t xml:space="preserve">                        MOVE LENGTH OF LX002BNCT09-O TO QZOLEN</t>
  </si>
  <si>
    <t xml:space="preserve">           MOVE BGOW0008-CBARRAS              TO W800-CLIENT-ROYALMAIL. </t>
  </si>
  <si>
    <t xml:space="preserve">                     ELSE</t>
  </si>
  <si>
    <t xml:space="preserve">           MOVE 'X002BNPOS1'                 TO NOME-O-LAYOUT</t>
  </si>
  <si>
    <t xml:space="preserve">                      TO X080BNCHIP-PRODUCT-DESC</t>
  </si>
  <si>
    <t xml:space="preserve">               WHEN W400-TRATA-COMP-MARCA EQUAL '111001'</t>
  </si>
  <si>
    <t xml:space="preserve">           MOVE NY5BAU01-POLICY-NUMBER        TO W800-CHIP-APOLICE</t>
  </si>
  <si>
    <t xml:space="preserve">                       IF RU-TIPO-LAYOUT = '12'</t>
  </si>
  <si>
    <t xml:space="preserve">           ADD 1                      TO WAUX-REG-GRAVADOS-OUT</t>
  </si>
  <si>
    <t xml:space="preserve">                        MOVE 'X002BNCT11'     TO NOME-O-LAYOUT</t>
  </si>
  <si>
    <t xml:space="preserve">                                                 W800-NR-APOLICE</t>
  </si>
  <si>
    <t xml:space="preserve">           MOVE CODBAR-COD-DOC             TO W800-IDENTIFICA-DOC(1:5)  </t>
  </si>
  <si>
    <t xml:space="preserve">           IF RU-COD-DOC-ORIGEM = 'ElClinico '</t>
  </si>
  <si>
    <t xml:space="preserve">                         MOVE '1237'   TO CODBAR-IDENTIF-DOCUM</t>
  </si>
  <si>
    <t xml:space="preserve">           INITIALIZE WORK-O-BGOW0014-VARIAVEIS</t>
  </si>
  <si>
    <t xml:space="preserve">           MOVE 'X002BNPOS2'                 TO NOME-O-LAYOUT</t>
  </si>
  <si>
    <t xml:space="preserve">                 MOVE NZ5PDU01-CANCELLATION-DATE</t>
  </si>
  <si>
    <t xml:space="preserve">               WHEN W400-TRATA-COMP-MARCA EQUAL '111005'</t>
  </si>
  <si>
    <t xml:space="preserve">                                                 CODBAR-APOLICE.</t>
  </si>
  <si>
    <t xml:space="preserve">           MOVE W400-DATA-TIMESTAMP        TO W800-IDENTIFICA-DOC(6:19) </t>
  </si>
  <si>
    <t xml:space="preserve">             MOVE '1010'   TO CODBAR-IDENTIF-DOCUM</t>
  </si>
  <si>
    <t xml:space="preserve">                       ELSE</t>
  </si>
  <si>
    <t xml:space="preserve">           PERFORM WRITE-QZOUTPUT      THRU WRITE-QZOUTPUT-EX.</t>
  </si>
  <si>
    <t xml:space="preserve">                   TO X080BNCHIP-CANCELL-DATE</t>
  </si>
  <si>
    <t xml:space="preserve">                     END-IF</t>
  </si>
  <si>
    <t xml:space="preserve">           MOVE LENGTH OF CODBAR-APOLICE      TO W400-AUXLEN.</t>
  </si>
  <si>
    <t xml:space="preserve">                         MOVE '1231'   TO CODBAR-IDENTIF-DOCUM</t>
  </si>
  <si>
    <t xml:space="preserve">       P8000-GRAVAR-REGISTO-EX.</t>
  </si>
  <si>
    <t xml:space="preserve">       TRATA-CARTA-2-EX.</t>
  </si>
  <si>
    <t xml:space="preserve">                 IF NZ5PDU01-TIPO-RECIBO-N</t>
  </si>
  <si>
    <t xml:space="preserve">               WHEN W400-TRATA-COMP-MARCA EQUAL '128002'</t>
  </si>
  <si>
    <t xml:space="preserve">      *** FORMATA DATA DE ANULACAO ***                                  </t>
  </si>
  <si>
    <t xml:space="preserve">             IF RU-COD-DOC-ORIGEM = 'Med_Semest' OR</t>
  </si>
  <si>
    <t xml:space="preserve">                       END-IF</t>
  </si>
  <si>
    <t xml:space="preserve">                    SET WAUX-NEW          TO TRUE</t>
  </si>
  <si>
    <t xml:space="preserve">                  IF RU-C-IMPERIOBONANCA</t>
  </si>
  <si>
    <t xml:space="preserve">              'PGOU001A' USING W400-AUXLEN, CODBAR-APOLICE</t>
  </si>
  <si>
    <t xml:space="preserve">           MOVE NZ5B8U01-CANCELL-DATE(6:2)    TO W400-MOUNTH.           </t>
  </si>
  <si>
    <t xml:space="preserve">                RU-COD-DOC-ORIGEM = 'Med_Mensal' OR</t>
  </si>
  <si>
    <t xml:space="preserve">       TRATA-CARTA-3.</t>
  </si>
  <si>
    <t xml:space="preserve">               WHEN W400-TRATA-COMP-MARCA EQUAL '138003'</t>
  </si>
  <si>
    <t xml:space="preserve">                RU-COD-DOC-ORIGEM = 'MedCobFA  ' OR</t>
  </si>
  <si>
    <t xml:space="preserve">           MOVE SPACES                 TO X002BNBENG-O-G-RAMO-A</t>
  </si>
  <si>
    <t xml:space="preserve">                 IF NZ5PDU01-TIPO-RECIBO-C</t>
  </si>
  <si>
    <t xml:space="preserve">                        MOVE 'X002BNCT10'     TO NOME-O-LAYOUT</t>
  </si>
  <si>
    <t xml:space="preserve">                RU-COD-DOC-ORIGEM = 'Med_Cob   ' OR</t>
  </si>
  <si>
    <t xml:space="preserve">           MOVE BGOW0027-RAMO(3:28)    TO X002BNBENG-O-G-RAMO-A</t>
  </si>
  <si>
    <t xml:space="preserve">                    SET WAUX-CON          TO TRUE</t>
  </si>
  <si>
    <t xml:space="preserve">               WHEN W400-TRATA-COMP-MARCA EQUAL '138004'</t>
  </si>
  <si>
    <t xml:space="preserve">           MOVE SPACES                        TO W800-PRINT-2-VIA.</t>
  </si>
  <si>
    <t xml:space="preserve">           STRING NZ5B8U01-CANCELL-DATE(9:2) '-'                        </t>
  </si>
  <si>
    <t xml:space="preserve">                RU-COD-DOC-ORIGEM = 'S_EF_894  ' OR</t>
  </si>
  <si>
    <t xml:space="preserve">           MOVE BGOW0027-APOLICE-GRUPO TO X002BNBENG-O-G-GRUPO-A</t>
  </si>
  <si>
    <t xml:space="preserve">           IF NY5BAU01-SINGLE-REPRINT EQUAL 'R'</t>
  </si>
  <si>
    <t xml:space="preserve">                  W400-MOUNTH-DESC(1:3) '-'                             </t>
  </si>
  <si>
    <t>PUHL  *         RU-COD-DOC-ORIGEM = 'Carta26   '</t>
  </si>
  <si>
    <t xml:space="preserve">           MOVE BGOW0027-CERTIF-INDIV  TO X002BNBENG-O-G-APOLICE-A</t>
  </si>
  <si>
    <t xml:space="preserve">                 PERFORM P2013-REPRINT THRU P2013-REPRINT-EX</t>
  </si>
  <si>
    <t xml:space="preserve">                        MOVE 'X002BNCT12'     TO NOME-O-LAYOUT</t>
  </si>
  <si>
    <t xml:space="preserve">               WHEN W400-TRATA-COMP-MARCA EQUAL '148006'</t>
  </si>
  <si>
    <t xml:space="preserve">              MOVE '______________________'   TO W800-TRACO</t>
  </si>
  <si>
    <t xml:space="preserve">                  NZ5B8U01-CANCELL-DATE(1:4) DELIMITED BY SIZE          </t>
  </si>
  <si>
    <t>PUHL            RU-COD-DOC-ORIGEM = 'Carta26   ' OR</t>
  </si>
  <si>
    <t xml:space="preserve">              DISPLAY 'PGOC043A: ERRO OPEN QZINPUT. FS=' FSQZINPUT</t>
  </si>
  <si>
    <t xml:space="preserve">           MOVE BGOW0027-PESSOA-SEGURA1 TO X002BNBENG-O-G-SEG1-A</t>
  </si>
  <si>
    <t xml:space="preserve">              MOVE '2ª VIA'                   TO W800-DESCRICAO</t>
  </si>
  <si>
    <t xml:space="preserve">                                            INTO W400-AUX-CANCEL-DATE.  </t>
  </si>
  <si>
    <t>PUHL            RU-COD-DOC-ORIGEM = 'Carta28   '</t>
  </si>
  <si>
    <t xml:space="preserve">             IF RU-DOC-ID = '004'</t>
  </si>
  <si>
    <t xml:space="preserve">           MOVE BGOW0027-PESSOA-SEGURA2 TO X002BNBENG-O-G-SEG2-A</t>
  </si>
  <si>
    <t xml:space="preserve">              MOVE 'EMITIDA EM '              TO W800-EMISSAO</t>
  </si>
  <si>
    <t xml:space="preserve">               MOVE '1009' TO CODBAR-IDENTIF-DOCUM</t>
  </si>
  <si>
    <t xml:space="preserve">               IF RU-NR-CLIENTE = SPACES</t>
  </si>
  <si>
    <t xml:space="preserve">                 MOVE NZ5PDU01-NOTICE     TO X080BNCTAD-NOTICE</t>
  </si>
  <si>
    <t xml:space="preserve">      *** FORMATA PERIODO A QUE COMPREENDE O PREMIO ***                 </t>
  </si>
  <si>
    <t xml:space="preserve">                 DISPLAY 'PGOC038A: NR.CLIENTE ESPACOS    '</t>
  </si>
  <si>
    <t xml:space="preserve">              MOVE SPACES               TO X002BNBENG-O-G-NIF-A</t>
  </si>
  <si>
    <t xml:space="preserve">                 MOVE NZ5PDU01-IDENTIFIER TO X080BNCTAD-POLICY</t>
  </si>
  <si>
    <t xml:space="preserve">      *** FORMATA COD POSTAL CLIENTE ***</t>
  </si>
  <si>
    <t xml:space="preserve">              MOVE CODBAR-TIMESTAMP(05:02)    TO W400-MOUNTH</t>
  </si>
  <si>
    <t xml:space="preserve">           IF NZ5B8U01-EFFECTIVE-DATE NOT EQUAL SPACES                  </t>
  </si>
  <si>
    <t xml:space="preserve">               IF  RU-COD-DOC-ORIGEM = 'Aceit_Pes '</t>
  </si>
  <si>
    <t xml:space="preserve">           MOVE NZ44CU01-POST-CODE(1:4)       TO CODBAR-COD-POSTALC(1:4)</t>
  </si>
  <si>
    <t xml:space="preserve">              PERFORM D20-FRMT-DATA         THRU D20-EXIT</t>
  </si>
  <si>
    <t xml:space="preserve">              MOVE NZ5B8U01-EXPIRY-DATE(6:2)  TO W400-MOUNTH            </t>
  </si>
  <si>
    <t xml:space="preserve">                 MOVE '1011' TO CODBAR-IDENTIF-DOCUM</t>
  </si>
  <si>
    <t xml:space="preserve">              MOVE BGOW0027-NIF-PESSOA-SEGURA1  TO X002BNBENG-O-G-NIF-A</t>
  </si>
  <si>
    <t xml:space="preserve">                        MOVE 'X002BNCT23'     TO NOME-O-LAYOUT</t>
  </si>
  <si>
    <t xml:space="preserve">           MOVE NZ44CU01-POST-CODE(6:3)       TO CODBAR-COD-POSTALC(5:3)</t>
  </si>
  <si>
    <t xml:space="preserve">              PERFORM D20-FRMT-DATA         THRU D20-EXIT               </t>
  </si>
  <si>
    <t xml:space="preserve">                 MOVE '1238'   TO CODBAR-IDENTIF-DOCUM</t>
  </si>
  <si>
    <t xml:space="preserve">              DISPLAY 'PGOC043A: ERRO OPEN QZOUTPUT. FS=' FSQZOUTPUT</t>
  </si>
  <si>
    <t xml:space="preserve">              STRING CODBAR-TIMESTAMP(07:02) '/'</t>
  </si>
  <si>
    <t xml:space="preserve">                 IF RU-COD-DOC-ORIGEM = 'Aceit_Med ' OR</t>
  </si>
  <si>
    <t xml:space="preserve">      *** FORMATA NUMERO CLIENTE ***</t>
  </si>
  <si>
    <t xml:space="preserve">                     W400-MOUNTH-DESC(1:3) '/'</t>
  </si>
  <si>
    <t xml:space="preserve">              STRING NZ5B8U01-EXPIRY-DATE(9:2) '-'                      </t>
  </si>
  <si>
    <t xml:space="preserve">                    RU-COD-DOC-ORIGEM = 'Aceit_Ben '</t>
  </si>
  <si>
    <t xml:space="preserve">                        MOVE 'X002BNCT24'     TO NOME-O-LAYOUT</t>
  </si>
  <si>
    <t xml:space="preserve">           MOVE NZ44CU01-CLIENT-REFERENCE     TO CODBAR-CLIENTE.</t>
  </si>
  <si>
    <t xml:space="preserve">                     CODBAR-TIMESTAMP(01:04)</t>
  </si>
  <si>
    <t xml:space="preserve">                     W400-MOUNTH-DESC(1:3) '-'                          </t>
  </si>
  <si>
    <t xml:space="preserve">                   MOVE '1014' TO CODBAR-IDENTIF-DOCUM</t>
  </si>
  <si>
    <t xml:space="preserve">               IF RU-DOC-ID = '001' OR RU-DOC-ID = '   '</t>
  </si>
  <si>
    <t xml:space="preserve">           MOVE LENGTH OF CODBAR-CLIENTE      TO W400-AUXLEN.</t>
  </si>
  <si>
    <t xml:space="preserve">                          DELIMITED BY SIZE INTO W800-DATE</t>
  </si>
  <si>
    <t xml:space="preserve">                     NZ5B8U01-EXPIRY-DATE(1:4)                          </t>
  </si>
  <si>
    <t xml:space="preserve">                 IF RU-COD-DOC-ORIGEM = 'ICRS030F  '</t>
  </si>
  <si>
    <t xml:space="preserve">           MOVE FUNCTION CURRENT-DATE     TO WAUX-TIMESTAMP.</t>
  </si>
  <si>
    <t xml:space="preserve">           CALL 'PGOU001A'                 USING W400-AUXLEN,</t>
  </si>
  <si>
    <t xml:space="preserve">                          DELIMITED BY SIZE INTO W400-CANCEL-DATE       </t>
  </si>
  <si>
    <t xml:space="preserve">                   IF RU-COD-DOC-ORIGEM = 'AvisoRenda'</t>
  </si>
  <si>
    <t xml:space="preserve">                 OR RU-COD-DOC-ORIGEM = 'ICRS031F  '</t>
  </si>
  <si>
    <t xml:space="preserve">           MOVE WAUX-TIMESTAMP(07:02)     TO WAUX-TSDIA.</t>
  </si>
  <si>
    <t xml:space="preserve">                         TO X080BNCTAD-PRODUCT-DESC</t>
  </si>
  <si>
    <t xml:space="preserve">                                                 CODBAR-CLIENTE</t>
  </si>
  <si>
    <t xml:space="preserve">                     MOVE '1140' TO CODBAR-IDENTIF-DOCUM</t>
  </si>
  <si>
    <t xml:space="preserve">                 OR RU-COD-DOC-ORIGEM = 'ICRS032F  '</t>
  </si>
  <si>
    <t xml:space="preserve">           MOVE WAUX-TIMESTAMP(05:02)     TO WAUX-TSMES.</t>
  </si>
  <si>
    <t xml:space="preserve">                WHEN (RU-VALOR-RESULTANTE LESS ZEROS)</t>
  </si>
  <si>
    <t xml:space="preserve">           IF NY5BAU01-ADDRESSEE-NAME GREATER SPACES</t>
  </si>
  <si>
    <t xml:space="preserve">              MOVE NZ5B8U01-EFFECTIVE-DATE(6:2)                         </t>
  </si>
  <si>
    <t xml:space="preserve">                 OR RU-COD-DOC-ORIGEM = 'ICRS033F  '</t>
  </si>
  <si>
    <t xml:space="preserve">           MOVE WAUX-TIMESTAMP(01:04)     TO WAUX-TSANO.</t>
  </si>
  <si>
    <t xml:space="preserve">           MOVE LINOUT       TO  X002BNBENG-O-G-VLR-DIV-A</t>
  </si>
  <si>
    <t xml:space="preserve">              COMPUTE W400-FLD = W400-FLD + 1</t>
  </si>
  <si>
    <t xml:space="preserve">                                              TO W400-MOUNTH            </t>
  </si>
  <si>
    <t xml:space="preserve">                     MOVE '1008' TO CODBAR-IDENTIF-DOCUM</t>
  </si>
  <si>
    <t xml:space="preserve">                 OR RU-COD-DOC-ORIGEM = 'XCRS030F  '</t>
  </si>
  <si>
    <t xml:space="preserve">      *** FORMATA PRODUTO ***</t>
  </si>
  <si>
    <t xml:space="preserve">              STRING 'Tomador: '</t>
  </si>
  <si>
    <t xml:space="preserve">                 OR RU-COD-DOC-ORIGEM = 'XCRS031F  '</t>
  </si>
  <si>
    <t xml:space="preserve">                        MOVE 'X002BNCT13'     TO NOME-O-LAYOUT</t>
  </si>
  <si>
    <t xml:space="preserve">           MOVE NZ44CU01-PRODUCT-CODE         TO CODBAR-PRODUTO.</t>
  </si>
  <si>
    <t xml:space="preserve">                     NY5BAU01-ADDRESSEE-NAME DELIMITED BY SIZE</t>
  </si>
  <si>
    <t xml:space="preserve">                 OR RU-COD-DOC-ORIGEM = 'XCRS032F  '</t>
  </si>
  <si>
    <t xml:space="preserve">                                            INTO W800-FIELD(W400-FLD)</t>
  </si>
  <si>
    <t xml:space="preserve">              STRING NZ5B8U01-EFFECTIVE-DATE(9:2) '-'                   </t>
  </si>
  <si>
    <t xml:space="preserve">                 OR RU-COD-DOC-ORIGEM = 'XCRS033F  '</t>
  </si>
  <si>
    <t xml:space="preserve">      *** FORMATA APOLICE ***</t>
  </si>
  <si>
    <t xml:space="preserve">                   MOVE '1010'   TO CODBAR-IDENTIF-DOCUM</t>
  </si>
  <si>
    <t xml:space="preserve">                      TO X080BNCTAD-PRODUCT-DESC</t>
  </si>
  <si>
    <t xml:space="preserve">                        MOVE 'X002BNCT15'     TO NOME-O-LAYOUT</t>
  </si>
  <si>
    <t xml:space="preserve">           MOVE NZ44CU01-POLICY-NUMBER        TO CODBAR-APOLICE.</t>
  </si>
  <si>
    <t xml:space="preserve">                     NZ5B8U01-EFFECTIVE-DATE(1:4)                       </t>
  </si>
  <si>
    <t xml:space="preserve">           IF NY5BAU01-ADDRESSEE-ADDRESS-1 GREATER SPACES</t>
  </si>
  <si>
    <t xml:space="preserve">                          DELIMITED BY SIZE INTO W400-EFFECTIVE-DATE    </t>
  </si>
  <si>
    <t>PJG#1**    MOVE 'PGOC023A' TO CODBAR-PROGRAMA</t>
  </si>
  <si>
    <t xml:space="preserve">                   IF RU-COD-DOC-ORIGEM = 'ICRS37AF  '</t>
  </si>
  <si>
    <t>PJG#1**    MOVE RU-COD-IMPRESSORA TO CODBAR-IMPRESSORA</t>
  </si>
  <si>
    <t xml:space="preserve">                   OR RU-COD-DOC-ORIGEM = 'XCRS37AF  '</t>
  </si>
  <si>
    <t xml:space="preserve">       P9000-FIM.</t>
  </si>
  <si>
    <t xml:space="preserve">                 MOVE SPACES         TO  WAUX-DESCR-MES</t>
  </si>
  <si>
    <t xml:space="preserve">                                                 CODBAR-APOLICE</t>
  </si>
  <si>
    <t xml:space="preserve">              STRING '                  '</t>
  </si>
  <si>
    <t xml:space="preserve">              STRING W400-EFFECTIVE-DATE ' a ' W400-CANCEL-DATE         </t>
  </si>
  <si>
    <t>PJG#1**    MOVE RU-USER-ID        TO CODBAR-USERID</t>
  </si>
  <si>
    <t xml:space="preserve">                     MOVE '1009'   TO CODBAR-IDENTIF-DOCUM</t>
  </si>
  <si>
    <t xml:space="preserve">              INTO  X002BNBENG-O-G-DT-ANUL-A</t>
  </si>
  <si>
    <t xml:space="preserve">                 SEARCH ALL WAUX-TAB-MESS  AT END GO TO FIM-ANORMAL</t>
  </si>
  <si>
    <t xml:space="preserve">                     NY5BAU01-ADDRESSEE-ADDRESS-1 DELIMITED BY SIZE</t>
  </si>
  <si>
    <t xml:space="preserve">                          DELIMITED BY SIZE INTO W800-PERIODO-1         </t>
  </si>
  <si>
    <t>PJG#1**    MOVE RU-ADERENTE       TO CODBAR-ADERENTE</t>
  </si>
  <si>
    <t xml:space="preserve">                    WHEN WAUX-TAB-MES(INDICE) =</t>
  </si>
  <si>
    <t xml:space="preserve">                     IF RU-COD-DOC-ORIGEM = 'ICRS043F  '</t>
  </si>
  <si>
    <t xml:space="preserve">           MOVE 'X002BNBENG'                 TO NOME-O-LAYOUT</t>
  </si>
  <si>
    <t xml:space="preserve">                                       NZ5PDU01-CANCELLATION-DATE(6:2)</t>
  </si>
  <si>
    <t xml:space="preserve">                        MOVE 'X002BNCT14'     TO NOME-O-LAYOUT</t>
  </si>
  <si>
    <t xml:space="preserve">      *** FORMATA NORD-AGRUP / COD-DOC / IDENTIF-DOCUM ***</t>
  </si>
  <si>
    <t xml:space="preserve">              MOVE SPACES                     TO W800-PERIODO-1         </t>
  </si>
  <si>
    <t>PJG#1**    MOVE FUNCTION CURRENT-DATE   TO CODBAR-TIMESTAMP</t>
  </si>
  <si>
    <t xml:space="preserve">                     OR RU-COD-DOC-ORIGEM = 'ICRS044F  '</t>
  </si>
  <si>
    <t xml:space="preserve">              DISPLAY 'PGOC043A: ERRO CLOSE QZINPUT. FS=' FSQZINPUT</t>
  </si>
  <si>
    <t xml:space="preserve">                      MOVE WAUX-TAB-DESCR-MES(INDICE) TO WAUX-DESCR-MES</t>
  </si>
  <si>
    <t xml:space="preserve">           MOVE 'X007'                        TO CODBAR-COD-DOC.</t>
  </si>
  <si>
    <t>PJG#1**                                    WAUX-TIMESTAMP</t>
  </si>
  <si>
    <t xml:space="preserve">                     OR RU-COD-DOC-ORIGEM = 'ICRS046F  '</t>
  </si>
  <si>
    <t xml:space="preserve">                 END-SEARCH</t>
  </si>
  <si>
    <t xml:space="preserve">           SET CODBAR-AG1-GERAL               TO TRUE.</t>
  </si>
  <si>
    <t xml:space="preserve">           IF NY5BAU01-ADDRESSEE-ADDRESS-2 GREATER SPACES</t>
  </si>
  <si>
    <t>PJG#1**                                    W400-PROCESS-DATE</t>
  </si>
  <si>
    <t xml:space="preserve">                     OR RU-COD-DOC-ORIGEM = 'XCRS043F  '</t>
  </si>
  <si>
    <t xml:space="preserve">                 STRING NZ5PDU01-CANCELLATION-DATE(9:2) '-'</t>
  </si>
  <si>
    <t xml:space="preserve">                        MOVE 'X002BNCT16'     TO NOME-O-LAYOUT</t>
  </si>
  <si>
    <t xml:space="preserve">           SET CODBAR-AG2-CARTAS              TO TRUE.</t>
  </si>
  <si>
    <t xml:space="preserve">           IF NZ5B8U01-EXPIRY-DATE NOT EQUAL SPACES                     </t>
  </si>
  <si>
    <t>PJG#1**    MOVE WAUX-TIMESTAMP(07:02)     TO WAUX-TSDIA</t>
  </si>
  <si>
    <t xml:space="preserve">                     OR RU-COD-DOC-ORIGEM = 'XCRS044F  '</t>
  </si>
  <si>
    <t xml:space="preserve">       TRATA-CARTA-3-EX.</t>
  </si>
  <si>
    <t xml:space="preserve">                        WAUX-DESCR-MES(1:3) '-'</t>
  </si>
  <si>
    <t xml:space="preserve">           IF NZ44CU01-CARTA-NCDC</t>
  </si>
  <si>
    <t xml:space="preserve">      *  *** RETIRA UM DIA À EXPIRY-DATE ***                            </t>
  </si>
  <si>
    <t>PJG#1**    MOVE WAUX-TIMESTAMP(05:02)     TO WAUX-TSMES</t>
  </si>
  <si>
    <t xml:space="preserve">                     OR RU-COD-DOC-ORIGEM = 'XCRS046F  '</t>
  </si>
  <si>
    <t xml:space="preserve">                      NZ5PDU01-CANCELLATION-DATE(1:4)</t>
  </si>
  <si>
    <t xml:space="preserve">              MOVE '0401'                     TO CODBAR-IDENTIF-DOCUM</t>
  </si>
  <si>
    <t xml:space="preserve">                     NY5BAU01-ADDRESSEE-ADDRESS-2 DELIMITED BY SIZE</t>
  </si>
  <si>
    <t xml:space="preserve">              INITIALIZE W400-RESULT-DATA                               </t>
  </si>
  <si>
    <t>PJG#1**    MOVE WAUX-TIMESTAMP(01:04)     TO WAUX-TSANO</t>
  </si>
  <si>
    <t xml:space="preserve">                       MOVE '1011'   TO CODBAR-IDENTIF-DOCUM</t>
  </si>
  <si>
    <t xml:space="preserve">       TRATA-CARTA-4.</t>
  </si>
  <si>
    <t xml:space="preserve">                      DELIMITED BY SIZE INTO X080BNCTAD-CANCELL-DATE</t>
  </si>
  <si>
    <t>PJG#1**    MOVE WAUX-TIMESTAMP(09:02)     TO WAUX-TSHH.</t>
  </si>
  <si>
    <t xml:space="preserve">              DISPLAY 'PGOC043A: ERRO CLOSE QZOUTPUT. FS=' FSQZOUTPUT</t>
  </si>
  <si>
    <t xml:space="preserve">           MOVE SPACES                 TO X002BNBENI-O-I-RAMO-A</t>
  </si>
  <si>
    <t xml:space="preserve">              IF NZ44CU01-CARTA-ENT1</t>
  </si>
  <si>
    <t xml:space="preserve">              MOVE NZ5B8U01-EXPIRY-DATE(1:4)  TO W400-DATA-CALC(1:4)    </t>
  </si>
  <si>
    <t>PJG#1**    MOVE WAUX-TIMESTAMP(11:02)     TO WAUX-TSMM.</t>
  </si>
  <si>
    <t xml:space="preserve">                       MOVE '1008'   TO CODBAR-IDENTIF-DOCUM</t>
  </si>
  <si>
    <t xml:space="preserve">           MOVE BGOW0027-RAMO(3:28)    TO X002BNBENI-O-I-RAMO-A</t>
  </si>
  <si>
    <t xml:space="preserve">                 MOVE '1012'                  TO CODBAR-IDENTIF-DOCUM</t>
  </si>
  <si>
    <t xml:space="preserve">              MOVE NZ5B8U01-EXPIRY-DATE(6:2)  TO W400-DATA-CALC(5:2)    </t>
  </si>
  <si>
    <t>PJG#1**    MOVE WAUX-TIMESTAMP(13:02)     TO WAUX-TSSS.</t>
  </si>
  <si>
    <t xml:space="preserve">           MOVE BGOW0027-APOLICE-GRUPO TO X002BNBENI-O-I-APOLICE-A</t>
  </si>
  <si>
    <t xml:space="preserve">                        MOVE 'X002BNCT21'     TO NOME-O-LAYOUT</t>
  </si>
  <si>
    <t xml:space="preserve">           IF NY5BAU01-ADDRESSEE-CITY GREATER SPACES</t>
  </si>
  <si>
    <t xml:space="preserve">              MOVE NZ5B8U01-EXPIRY-DATE(9:2)  TO W400-DATA-CALC(7:2)    </t>
  </si>
  <si>
    <t>PJG#1**    MOVE W400-DATE-YEAR          TO WS-FORMATA-ANO</t>
  </si>
  <si>
    <t xml:space="preserve">           MOVE BGOW0027-PESSOA-SEGURA1 TO X002BNBENI-O-I-SEG1-A</t>
  </si>
  <si>
    <t xml:space="preserve">                 IF NZ44CU01-CARTA-ENT2</t>
  </si>
  <si>
    <t>PJG#1**    MOVE W400-DATE-MONTH         TO WS-FORMATA-MES</t>
  </si>
  <si>
    <t xml:space="preserve">       P9000-FIM-EX.</t>
  </si>
  <si>
    <t xml:space="preserve">           MOVE BGOW0027-PESSOA-SEGURA2 TO X002BNBENI-O-I-SEG2-A</t>
  </si>
  <si>
    <t xml:space="preserve">                    MOVE '1013'               TO CODBAR-IDENTIF-DOCUM</t>
  </si>
  <si>
    <t xml:space="preserve">              COMPUTE W400-RESULT-DATA = FUNCTION DATE-OF-INTEGER       </t>
  </si>
  <si>
    <t>PJG#1**    MOVE W400-DATE-DAY           TO WS-FORMATA-DIA</t>
  </si>
  <si>
    <t xml:space="preserve">                        MOVE 'X002BNCT25'     TO NOME-O-LAYOUT</t>
  </si>
  <si>
    <t xml:space="preserve">                     NY5BAU01-ADDRESSEE-CITY DELIMITED BY SIZE</t>
  </si>
  <si>
    <t xml:space="preserve">                 (FUNCTION INTEGER-OF-DATE (W400-DATA-CALC) - 1)        </t>
  </si>
  <si>
    <t>PJG#1**    MOVE '/'                     TO WS-BARRA1 WS-BARRA2</t>
  </si>
  <si>
    <t xml:space="preserve">                 IF RU-DOC-ID = '003'</t>
  </si>
  <si>
    <t xml:space="preserve">              MOVE SPACES                  TO X002BNBENI-O-I-NIF-A</t>
  </si>
  <si>
    <t>PJG#1**    MOVE WS-FORMATA-DATA         TO WS-DATA-EXECUCAO</t>
  </si>
  <si>
    <t xml:space="preserve">                   MOVE '1019'   TO CODBAR-IDENTIF-DOCUM</t>
  </si>
  <si>
    <t xml:space="preserve">       P2000-LEITURA.</t>
  </si>
  <si>
    <t xml:space="preserve">              MOVE W400-RESULT-DATA(5:2)      TO W400-MOUNTH            </t>
  </si>
  <si>
    <t xml:space="preserve">           READ QZINPUT INTO BUSK410A-REC-CARTA</t>
  </si>
  <si>
    <t xml:space="preserve">              MOVE BGOW0027-NIF-PESSOA-SEGURA1 TO X002BNBENI-O-I-NIF-A</t>
  </si>
  <si>
    <t xml:space="preserve">                       MOVE NZ5PDU01-RAMO-DESCR TO WAUX-PRODUCT-DESC</t>
  </si>
  <si>
    <t xml:space="preserve">           MOVE RU-NR-APOLICE(1:2)      TO CODBAR-PRODUTO</t>
  </si>
  <si>
    <t xml:space="preserve">                   IF RU-DOC-ID = '005'</t>
  </si>
  <si>
    <t xml:space="preserve">       T00-EXIT.</t>
  </si>
  <si>
    <t xml:space="preserve">           IF NY5BAU01-POST-CODE-DESCR GREATER SPACES</t>
  </si>
  <si>
    <t>PJG#1**    MOVE RU-NR-APOLICE           TO CODBAR-APOLICE</t>
  </si>
  <si>
    <t xml:space="preserve">                     IF RU-NR-CLIENTE = SPACES</t>
  </si>
  <si>
    <t xml:space="preserve">                GO TO P2000-LEITURA-EX.</t>
  </si>
  <si>
    <t xml:space="preserve">                       MOVE NZ5PDU01-PRODUCT-DESCR TO WAUX-PRODUCT-DESC</t>
  </si>
  <si>
    <t xml:space="preserve">       P235-CRT-CDC1-CCAG-CAVR-EX.</t>
  </si>
  <si>
    <t xml:space="preserve">              STRING W400-RESULT-DATA(7:2) '-'                          </t>
  </si>
  <si>
    <t>PJG#1**    MOVE RU-ADERENTE             TO CODBAR-ADERENTE</t>
  </si>
  <si>
    <t xml:space="preserve">                       DISPLAY 'PGOC038A: NR.CLIENTE ESPACOS    '</t>
  </si>
  <si>
    <t>PJG#1**    MOVE RU-COD-POSTALM(3:7)     TO CODBAR-COD-POSTALM</t>
  </si>
  <si>
    <t xml:space="preserve">                     NY5BAU01-POST-CODE-DESCR DELIMITED BY SIZE</t>
  </si>
  <si>
    <t xml:space="preserve">                     W400-RESULT-DATA(1:4)                              </t>
  </si>
  <si>
    <t>PJG#1**    MOVE RU-NR-MEDIADOR          TO CODBAR-MEDIADOR</t>
  </si>
  <si>
    <t xml:space="preserve">              DISPLAY 'PGOC043A: ERRO READ QZINPUT. FS=' FSQZINPUT</t>
  </si>
  <si>
    <t xml:space="preserve">                    MOVE NZ5PDU01-RAMO-SO-DESCR TO WAUX-PRODUCT-DESC</t>
  </si>
  <si>
    <t xml:space="preserve">       T10-FORMAT-REG1 SECTION.</t>
  </si>
  <si>
    <t xml:space="preserve">                          DELIMITED BY SIZE INTO W400-EXPIRY-DATE       </t>
  </si>
  <si>
    <t>PJG#1**    MOVE RU-COD-POSTALC(3:7)     TO CODBAR-COD-POSTALC</t>
  </si>
  <si>
    <t xml:space="preserve">                       MOVE '1239'   TO CODBAR-IDENTIF-DOCUM</t>
  </si>
  <si>
    <t>PJG#1**    MOVE RU-NR-CLIENTE           TO CODBAR-CLIENTE</t>
  </si>
  <si>
    <t>PJG#1  T10-TRATA-CDC1-CCAG-CAVR SECTION.</t>
  </si>
  <si>
    <t xml:space="preserve">      *  FORMATA DADOS DO REGISTO TIPO 1                            *</t>
  </si>
  <si>
    <t xml:space="preserve">              STRING W400-EFFECTIVE-DATE ' a ' W400-EXPIRY-DATE         </t>
  </si>
  <si>
    <t>PJG#1**    MOVE LENGTH OF CODBAR-ADERENTE TO AUX-LEN</t>
  </si>
  <si>
    <t xml:space="preserve">           ADD 1 TO WAUX-REG-LIDOS-INPUT</t>
  </si>
  <si>
    <t xml:space="preserve">           MOVE LINOUT       TO  X002BNBENI-O-I-VLR-DIV-A</t>
  </si>
  <si>
    <t xml:space="preserve">                 MOVE NZ5PDU01-IDENTIFIER     TO WAUX-POLICY</t>
  </si>
  <si>
    <t xml:space="preserve">           IF NY5BAU01-FISCAL-NUMBER GREATER SPACES</t>
  </si>
  <si>
    <t xml:space="preserve">                          DELIMITED BY SIZE INTO W400-PENALTY-PERIOD    </t>
  </si>
  <si>
    <t>PJG#1**    CALL</t>
  </si>
  <si>
    <t xml:space="preserve">                     DISPLAY 'PGOC038A: COD.DOCUMENTO INVALIDO'</t>
  </si>
  <si>
    <t xml:space="preserve">                 STRING WAUX-POLICY DELIMITED BY SIZE</t>
  </si>
  <si>
    <t>PJG#1 *  TRATA CARTAS CDC1, CCAG e CAVR                             *</t>
  </si>
  <si>
    <t>PJG#1**       'PGOU001A' USING  AUX-LEN, CODBAR-ADERENTE</t>
  </si>
  <si>
    <t xml:space="preserve">                     GO TO FIM-ANORMAL</t>
  </si>
  <si>
    <t xml:space="preserve">       P2000-LEITURA-EX.</t>
  </si>
  <si>
    <t xml:space="preserve">                        ' - '</t>
  </si>
  <si>
    <t xml:space="preserve">           MOVE 'T'                           TO W800-LETTER-CLIENT-T.</t>
  </si>
  <si>
    <t xml:space="preserve">              STRING 'NIF: '</t>
  </si>
  <si>
    <t>PJG#1**    END-CALL</t>
  </si>
  <si>
    <t xml:space="preserve">                        WAUX-PRODUCT-DESC DELIMITED BY '  '</t>
  </si>
  <si>
    <t>PJG#1  T10-START.</t>
  </si>
  <si>
    <t xml:space="preserve">           MOVE NZ44CU01-CLIENT-NAME1         TO W800-ADDRESSEE.</t>
  </si>
  <si>
    <t xml:space="preserve">                     NY5BAU01-FISCAL-NUMBER DELIMITED BY SIZE</t>
  </si>
  <si>
    <t>PJG#1**    MOVE LENGTH OF CODBAR-APOLICE TO AUX-LEN</t>
  </si>
  <si>
    <t xml:space="preserve">                        INTO X080BNENTI-APOL-PROD</t>
  </si>
  <si>
    <t xml:space="preserve">           MOVE RU-NR-APOLICE            TO X002BNCT09-O-APOLICE.</t>
  </si>
  <si>
    <t xml:space="preserve">           MOVE NZ5B8U01-PREMIUM-AMOUNT       TO W800-PREMIUM-AMOUNT.   </t>
  </si>
  <si>
    <t xml:space="preserve">           MOVE RU-NR-CLIENTE            TO X002BNCT09-O-CLIENTE.</t>
  </si>
  <si>
    <t xml:space="preserve">           MOVE NZ44CU01-ADDRESS-LINE-1       TO BGOW0008-MORADA1</t>
  </si>
  <si>
    <t>PJG#1**       'PGOU001A' USING  AUX-LEN, CODBAR-APOLICE</t>
  </si>
  <si>
    <t xml:space="preserve">           MOVE RU-NR-DOCUMENTO          TO X002BNCT09-O-DOCUMENTO.</t>
  </si>
  <si>
    <t xml:space="preserve">           MOVE NZ44CU01-ADDRESS-LINE-2       TO BGOW0008-MORADA2</t>
  </si>
  <si>
    <t xml:space="preserve">           IF NZ5B8U01-INTEREST-AMOUNT NOT EQUAL ZEROS                  </t>
  </si>
  <si>
    <t xml:space="preserve">           MOVE RU-DESCR-PRODUTO         TO X002BNCT09-O-PRODUTO.</t>
  </si>
  <si>
    <t xml:space="preserve">           MOVE NZ44CU01-ADDRESS-LINE-3       TO BGOW0008-MORADA3</t>
  </si>
  <si>
    <t xml:space="preserve">           IF NY5BAU01-CD-IBAN GREATER SPACES</t>
  </si>
  <si>
    <t xml:space="preserve">              MOVE NZ5B8U01-INTEREST-AMOUNT   TO W800-INTEREST-AMOUNT   </t>
  </si>
  <si>
    <t>PJG#1**    MOVE LENGTH OF CODBAR-MEDIADOR TO AUX-LEN</t>
  </si>
  <si>
    <t xml:space="preserve">           MOVE 'PGOC038A' TO CODBAR-PROGRAMA</t>
  </si>
  <si>
    <t xml:space="preserve">           DISPLAY 'PGOC043A: PROGRAMA COM ERRO - ANALISAR MENSAGENS'</t>
  </si>
  <si>
    <t xml:space="preserve">           MOVE NZ44CU01-ADDRESS-LINE-4       TO BGOW0008-MORADA4</t>
  </si>
  <si>
    <t xml:space="preserve">              MOVE W800-PERIODO-1             TO W800-INTEREST-PERIOD   </t>
  </si>
  <si>
    <t xml:space="preserve">           MOVE RU-COD-IMPRESSORA TO CODBAR-IMPRESSORA</t>
  </si>
  <si>
    <t xml:space="preserve">              INTO  X002BNBENI-O-I-DT-ANUL-A</t>
  </si>
  <si>
    <t xml:space="preserve">           SEARCH ALL ENTRADA AT END</t>
  </si>
  <si>
    <t xml:space="preserve">           MOVE NZ44CU01-POST-CODE            TO BGOW0008-CPOSTAL</t>
  </si>
  <si>
    <t xml:space="preserve">              STRING 'IBAN: ' NY5BAU01-CD-IBAN DELIMITED BY SIZE</t>
  </si>
  <si>
    <t>PJG#1**       'PGOU001A' USING  AUX-LEN, CODBAR-MEDIADOR</t>
  </si>
  <si>
    <t xml:space="preserve">           MOVE RU-USER-ID        TO CODBAR-USERID</t>
  </si>
  <si>
    <t xml:space="preserve">              MOVE '#ERRO#'              TO W400-PROCESS-MOUNTH</t>
  </si>
  <si>
    <t xml:space="preserve">           MOVE NZ44CU01-NUM-TYPE             TO BGOW0008-TNUM-PORTA</t>
  </si>
  <si>
    <t xml:space="preserve">                     '     BIC SWIFT: ' NY5BAU01-CD-SWIFT</t>
  </si>
  <si>
    <t xml:space="preserve">           MOVE RU-ADERENTE       TO CODBAR-ADERENTE</t>
  </si>
  <si>
    <t xml:space="preserve">           MOVE 'X002BNBENI'                 TO NOME-O-LAYOUT</t>
  </si>
  <si>
    <t xml:space="preserve">             WHEN MES(INDICE) EQUAL RU-DT-EMISSAO(4:2)</t>
  </si>
  <si>
    <t xml:space="preserve">           MOVE NZ44CU01-NUM                  TO BGOW0008-NUM-PORTA</t>
  </si>
  <si>
    <t xml:space="preserve">                          DELIMITED BY SIZE INTO W800-FIELD(W400-FLD)</t>
  </si>
  <si>
    <t xml:space="preserve">           IF NZ5B8U01-PENALTY-AMOUNT NOT EQUAL ZEROS                   </t>
  </si>
  <si>
    <t>PJG#1**    MOVE LENGTH OF CODBAR-CLIENTE TO AUX-LEN</t>
  </si>
  <si>
    <t xml:space="preserve">                MOVE DESCRITIVO(INDICE)  TO W400-PROCESS-MOUNTH</t>
  </si>
  <si>
    <t xml:space="preserve">              MOVE NZ5B8U01-PENALTY-AMOUNT    TO W800-PENALTY-AMOUNT    </t>
  </si>
  <si>
    <t>APUHL      MOVE WAUX-TIMESTAMP    TO CODBAR-TIMESTAMP</t>
  </si>
  <si>
    <t xml:space="preserve">              IF NY5BAU01-NIB GREATER SPACES</t>
  </si>
  <si>
    <t xml:space="preserve">              MOVE W400-PENALTY-PERIOD        TO W800-PENALTY-PERIOD    </t>
  </si>
  <si>
    <t>PJG#1**       'PGOU001A' USING  AUX-LEN, CODBAR-CLIENTE</t>
  </si>
  <si>
    <t xml:space="preserve">                 COMPUTE W400-FLD = W400-FLD + 1</t>
  </si>
  <si>
    <t xml:space="preserve">              MOVE '50 %'                     TO W800-PENALTY-PERCENT   </t>
  </si>
  <si>
    <t xml:space="preserve">       TRATA-CARTA-4-EX.</t>
  </si>
  <si>
    <t xml:space="preserve">           STRING RU-DT-EMISSAO(1:2) '-'</t>
  </si>
  <si>
    <t xml:space="preserve">           MOVE BGOW0008-MORADA1              TO W800-ADDRESS-1</t>
  </si>
  <si>
    <t xml:space="preserve">                 MOVE NY5BAU01-NIB            TO BGOW0031-NIB</t>
  </si>
  <si>
    <t>PJG#1**    MOVE LENGTH OF RU-COD-POSTALC TO AUX-LEN</t>
  </si>
  <si>
    <t xml:space="preserve">                      DELIMITED BY SIZE INTO X080BNENTI-CANCELL-DATE</t>
  </si>
  <si>
    <t xml:space="preserve">                  W400-PROCESS-MOUNTH(1:3) '-'</t>
  </si>
  <si>
    <t xml:space="preserve">           MOVE BGOW0008-MORADA2              TO W800-ADDRESS-2</t>
  </si>
  <si>
    <t xml:space="preserve">                 CALL 'PYOXAU09'           USING BGOW0031-AREA</t>
  </si>
  <si>
    <t xml:space="preserve">           MOVE RU-COD-POSTALM(3:7)     TO CODBAR-COD-POSTALM</t>
  </si>
  <si>
    <t xml:space="preserve">       TRATA-PYOXAU03.</t>
  </si>
  <si>
    <t xml:space="preserve">                  RU-DT-EMISSAO(7:4) '.' DELIMITED BY SIZE</t>
  </si>
  <si>
    <t xml:space="preserve">           MOVE BGOW0008-MORADA3              TO W800-ADDRESS-3</t>
  </si>
  <si>
    <t xml:space="preserve">                 IF BGOW0031-RETCODE-OK</t>
  </si>
  <si>
    <t xml:space="preserve">           COMPUTE W400-TOT-AMOUNT-EUR = NZ5B8U01-PREMIUM-AMOUNT +      </t>
  </si>
  <si>
    <t>PJG#1**       'PGOU001A' USING  AUX-LEN, RU-COD-POSTALC</t>
  </si>
  <si>
    <t xml:space="preserve">           MOVE RU-NR-MEDIADOR          TO CODBAR-MEDIADOR</t>
  </si>
  <si>
    <t xml:space="preserve">           MOVE 'HA09NP' TO FONTE.</t>
  </si>
  <si>
    <t xml:space="preserve">                                       INTO X002BNCT09-O-DT-EMISSAO.</t>
  </si>
  <si>
    <t xml:space="preserve">           MOVE BGOW0008-MORADA4              TO W800-ADDRESS-4</t>
  </si>
  <si>
    <t xml:space="preserve">                    STRING 'IBAN: ' BGOW0031-IBAN DELIMITED BY SIZE</t>
  </si>
  <si>
    <t xml:space="preserve">                                         NZ5B8U01-PENALTY-AMOUNT +      </t>
  </si>
  <si>
    <t xml:space="preserve">           MOVE RU-COD-POSTALC(3:7)     TO CODBAR-COD-POSTALC</t>
  </si>
  <si>
    <t xml:space="preserve">           MOVE 1580     TO LINOUT-LEN.</t>
  </si>
  <si>
    <t xml:space="preserve">                     '     BIC SWIFT: ' BGOW0031-BIC-PART</t>
  </si>
  <si>
    <t xml:space="preserve">                                         NZ5B8U01-INTEREST-AMOUNT.      </t>
  </si>
  <si>
    <t>PJG#1**    MOVE LENGTH OF RU-COD-POSTALM TO AUX-LEN</t>
  </si>
  <si>
    <t xml:space="preserve">           CALL 'PYOXAU03' USING PYOXAU03-COMM</t>
  </si>
  <si>
    <t xml:space="preserve">       P2010-NOTICE-DATA-EX.</t>
  </si>
  <si>
    <t xml:space="preserve">              MOVE BGOW0008-CBARRAS           TO W800-CBARRAS</t>
  </si>
  <si>
    <t xml:space="preserve">           MOVE ZEROS                         TO W800-VALOR-RCIB-PEND   </t>
  </si>
  <si>
    <t>PJG#1**       'PGOU001A' USING  AUX-LEN, RU-COD-POSTALM</t>
  </si>
  <si>
    <t xml:space="preserve">           IF RU-DOC-ID = '004'</t>
  </si>
  <si>
    <t xml:space="preserve">           IF FSPYOXAU03 EQUAL '**'</t>
  </si>
  <si>
    <t xml:space="preserve">             WHEN MES(INDICE) EQUAL RU-DT-CESSACAO(4:2)</t>
  </si>
  <si>
    <t xml:space="preserve">              MOVE SPACES                     TO W800-CBARRAS</t>
  </si>
  <si>
    <t xml:space="preserve">           IF W400-TOT-AMOUNT-EUR NEGATIVE                              </t>
  </si>
  <si>
    <t xml:space="preserve">             MOVE LENGTH OF RU-NCERTIFICADO   TO AUX-LEN</t>
  </si>
  <si>
    <t xml:space="preserve">              MOVE 'SV' TO FSPYOXAU03</t>
  </si>
  <si>
    <t xml:space="preserve">              IF NZ5B8U01-IND-REGIME EQUAL 'E'                          </t>
  </si>
  <si>
    <t xml:space="preserve">           IF CARTA-MEDIADOR-Y</t>
  </si>
  <si>
    <t xml:space="preserve">             CALL</t>
  </si>
  <si>
    <t xml:space="preserve">       P2011-PROC-ISSUE-DATE.</t>
  </si>
  <si>
    <t xml:space="preserve">                 SET W800-TYPE2               TO TRUE                   </t>
  </si>
  <si>
    <t xml:space="preserve">             SET CODBAR-AG1-NE-CARTA   TO TRUE</t>
  </si>
  <si>
    <t xml:space="preserve">                'PGOU001A' USING  AUX-LEN, RU-NCERTIFICADO</t>
  </si>
  <si>
    <t xml:space="preserve">           MOVE LINOUT TO  X002BNTXT-O-TXT-BENEF.</t>
  </si>
  <si>
    <t xml:space="preserve">           IF W800-ADDRESS-4(1:4) IS NUMERIC</t>
  </si>
  <si>
    <t xml:space="preserve">           MOVE NY5BAU01-CANCELLATION-DATE(6:2)</t>
  </si>
  <si>
    <t xml:space="preserve">                 MOVE '1031'                  TO CODBAR-IDENTIF-DOCUM   </t>
  </si>
  <si>
    <t xml:space="preserve">             SET CODBAR-AG2-NE-CARTA   TO TRUE</t>
  </si>
  <si>
    <t xml:space="preserve">             END-CALL</t>
  </si>
  <si>
    <t xml:space="preserve">       TRATA-PYOXAU03-EX.</t>
  </si>
  <si>
    <t xml:space="preserve">           MOVE SPACES                       TO X080BNCHIP-PROCESS-DATE</t>
  </si>
  <si>
    <t xml:space="preserve">           STRING RU-DT-CESSACAO(1:2) '-'</t>
  </si>
  <si>
    <t xml:space="preserve">              MOVE W800-ADDRESS-4 (1:30)      TO W800-POST-CODE-DESC</t>
  </si>
  <si>
    <t xml:space="preserve">                                              TO W400-MOUNTH.</t>
  </si>
  <si>
    <t xml:space="preserve">                 MOVE W400-AUX-CANCEL-DATE    TO W800-CANCEL-DATE       </t>
  </si>
  <si>
    <t xml:space="preserve">             MOVE 'X003'     TO CODBAR-COD-DOC</t>
  </si>
  <si>
    <t xml:space="preserve">           MOVE SPACES                       TO X080BNENTI-PROCESS-DATE</t>
  </si>
  <si>
    <t xml:space="preserve">              END-IF                                                    </t>
  </si>
  <si>
    <t xml:space="preserve">             MOVE '1001' TO CODBAR-IDENTIF-DOCUM</t>
  </si>
  <si>
    <t xml:space="preserve">       TRATA-PYOXAU03-VLR.</t>
  </si>
  <si>
    <t xml:space="preserve">           MOVE SPACES                       TO X080BNCTAD-PROCESS-DATE</t>
  </si>
  <si>
    <t xml:space="preserve">                  RU-DT-CESSACAO(7:4) '.' DELIMITED BY SIZE</t>
  </si>
  <si>
    <t xml:space="preserve">              IF W800-ADDRESS-3(1:4) IS NUMERIC</t>
  </si>
  <si>
    <t xml:space="preserve">             MOVE SPACES TO CODBAR-APOLICE</t>
  </si>
  <si>
    <t xml:space="preserve">           MOVE NZ5PDU01-DATA-1-IMPRESSAO(9:2) TO WAUX-PROCESS-DAY.</t>
  </si>
  <si>
    <t xml:space="preserve">                                       INTO X002BNCT09-O-DT-CESSACAO.</t>
  </si>
  <si>
    <t xml:space="preserve">                 MOVE W800-ADDRESS-3(1:30)    TO W800-POST-CODE-DESC</t>
  </si>
  <si>
    <t xml:space="preserve">           STRING NY5BAU01-CANCELLATION-DATE(9:2) '-'</t>
  </si>
  <si>
    <t xml:space="preserve">              IF NZ5B8U01-IND-REGIME EQUAL 'G'                          </t>
  </si>
  <si>
    <t xml:space="preserve">             MOVE SPACES TO CODBAR-PRODUTO</t>
  </si>
  <si>
    <t xml:space="preserve">           MOVE NZ5PDU01-DATA-1-IMPRESSAO(1:4) TO WAUX-PROCESS-YEAR.</t>
  </si>
  <si>
    <t xml:space="preserve">                  W400-MOUNTH-DESC(1:3) '-'</t>
  </si>
  <si>
    <t xml:space="preserve">                 SET W800-TYPE1-L             TO TRUE                   </t>
  </si>
  <si>
    <t xml:space="preserve">           IF RU-DT-SINISTRO = SPACES</t>
  </si>
  <si>
    <t xml:space="preserve">                 MOVE W800-ADDRESS-2(1:30)    TO W800-POST-CODE-DESC</t>
  </si>
  <si>
    <t xml:space="preserve">                  NY5BAU01-CANCELLATION-DATE(1:4) DELIMITED BY SIZE</t>
  </si>
  <si>
    <t xml:space="preserve">                 MOVE '1033'                  TO CODBAR-IDENTIF-DOCUM   </t>
  </si>
  <si>
    <t xml:space="preserve">             SET CODBAR-AG1-GERAL      TO TRUE</t>
  </si>
  <si>
    <t xml:space="preserve">           MOVE SPACES         TO  WAUX-DESCR-MES</t>
  </si>
  <si>
    <t xml:space="preserve">              MOVE SPACES                TO X002BNCT09-O-DT-SINISTRO</t>
  </si>
  <si>
    <t xml:space="preserve">                                            INTO W800-CANCEL-DATE.</t>
  </si>
  <si>
    <t xml:space="preserve">             SET CODBAR-AG2-CARTAS     TO TRUE</t>
  </si>
  <si>
    <t xml:space="preserve">           MOVE LENGTH OF CODBAR-MEDIADOR TO AUX-LEN</t>
  </si>
  <si>
    <t xml:space="preserve">           SEARCH ALL WAUX-TAB-MESS  AT END GO TO FIM-ANORMAL</t>
  </si>
  <si>
    <t xml:space="preserve">                 IF NZ5B8U01-C-TIPO-CTAD EQUAL 'P'                      </t>
  </si>
  <si>
    <t xml:space="preserve">             MOVE 'X006'     TO CODBAR-COD-DOC</t>
  </si>
  <si>
    <t xml:space="preserve">             WHEN WAUX-TAB-MES(INDICE) = NZ5PDU01-DATA-1-IMPRESSAO(6:2)</t>
  </si>
  <si>
    <t xml:space="preserve">              SEARCH ALL ENTRADA AT END</t>
  </si>
  <si>
    <t xml:space="preserve">           MOVE NY5BAU01-DUE-DATE(6:2)        TO W400-MOUNTH.</t>
  </si>
  <si>
    <t xml:space="preserve">                    SET W800-TYPE1-P          TO TRUE                   </t>
  </si>
  <si>
    <t xml:space="preserve">              'PGOU001A' USING  AUX-LEN, CODBAR-MEDIADOR</t>
  </si>
  <si>
    <t xml:space="preserve">                MOVE WAUX-TAB-DESCR-MES(INDICE)  TO WAUX-DESCR-MES</t>
  </si>
  <si>
    <t xml:space="preserve">                 MOVE '#ERRO#'           TO W400-PROCESS-MOUNTH</t>
  </si>
  <si>
    <t xml:space="preserve">           MOVE NZ44CU01-POLICY-NUMBER        TO W800-POLICY-NUMBER.</t>
  </si>
  <si>
    <t xml:space="preserve">                    MOVE '1034'               TO CODBAR-IDENTIF-DOCUM   </t>
  </si>
  <si>
    <t>PJG#1**    IF RU-REGISTADA</t>
  </si>
  <si>
    <t xml:space="preserve">       TRATA-PYOXAU03-VLR-EX.</t>
  </si>
  <si>
    <t xml:space="preserve">                WHEN MES(INDICE) EQUAL RU-DT-SINISTRO(4:2)</t>
  </si>
  <si>
    <t xml:space="preserve">                    MOVE NZ5B8U01-CANC-RCIB-PEND                        </t>
  </si>
  <si>
    <t>PJG#1**      MOVE SPACES                   TO CODBAR-MATRICULA</t>
  </si>
  <si>
    <t xml:space="preserve">           MOVE LENGTH OF CODBAR-CLIENTE TO AUX-LEN</t>
  </si>
  <si>
    <t xml:space="preserve">                   MOVE DESCRITIVO(INDICE) TO W400-PROCESS-MOUNTH</t>
  </si>
  <si>
    <t xml:space="preserve">      *** FORMATA DATA INICIO DO PERIODO ***</t>
  </si>
  <si>
    <t xml:space="preserve">           STRING NY5BAU01-DUE-DATE(9:2) '-'</t>
  </si>
  <si>
    <t xml:space="preserve">                                              TO W800-VALOR-RCIB-PEND   </t>
  </si>
  <si>
    <t>PJG#1**      MOVE 'FGS '                   TO CODBAR-MATRICULA (1:4)</t>
  </si>
  <si>
    <t xml:space="preserve">       TRATA-DADOS-RECIBOS.</t>
  </si>
  <si>
    <t xml:space="preserve">              END-SEARCH</t>
  </si>
  <si>
    <t xml:space="preserve">           PERFORM D30-FRMT-DATA-INI-PER    THRU D30-EXIT.</t>
  </si>
  <si>
    <t xml:space="preserve">                 END-IF                                                 </t>
  </si>
  <si>
    <t>PJG#1**      MOVE RU-REGISTO-CTT(5:9)      TO CODBAR-MATRICULA (5:9)</t>
  </si>
  <si>
    <t xml:space="preserve">              'PGOU001A' USING  AUX-LEN, CODBAR-CLIENTE</t>
  </si>
  <si>
    <t xml:space="preserve">           MOVE BGOW0027-TIPO-REGISTO   TO W400-REF-TIPO-REGISTO</t>
  </si>
  <si>
    <t xml:space="preserve">                  NY5BAU01-DUE-DATE(1:4) DELIMITED BY SIZE</t>
  </si>
  <si>
    <t xml:space="preserve">              ELSE                                                      </t>
  </si>
  <si>
    <t xml:space="preserve">           MOVE BGOW0027-TIPO-CARTA     TO W400-REF-TIPO-CARTA</t>
  </si>
  <si>
    <t xml:space="preserve">                 STRING WAUX-PROCESS-DAY ' de '  WAUX-DESCR-MES</t>
  </si>
  <si>
    <t xml:space="preserve">              STRING RU-DT-SINISTRO(1:2) '-'</t>
  </si>
  <si>
    <t xml:space="preserve">      *** RETIRA UM DIA À DATA FIM DA APOLICE ***</t>
  </si>
  <si>
    <t xml:space="preserve">                                            INTO W800-DUE-DATE.</t>
  </si>
  <si>
    <t xml:space="preserve">                 IF NZ5B8U01-IND-REGIME EQUAL 'E'                       </t>
  </si>
  <si>
    <t>APUHL *=============================================================</t>
  </si>
  <si>
    <t>MJE#1      ADD 1 TO CONT-RECIBOS</t>
  </si>
  <si>
    <t xml:space="preserve">                    DELIMITED BY '  ' ' de '</t>
  </si>
  <si>
    <t xml:space="preserve">                     W400-PROCESS-MOUNTH(1:3) '-'</t>
  </si>
  <si>
    <t xml:space="preserve">           INITIALIZE W400-RESULT-DATA.</t>
  </si>
  <si>
    <t xml:space="preserve">                    SET W800-TYPE3            TO TRUE                   </t>
  </si>
  <si>
    <t>APUHL *    MOVE LENGTH OF RU-COD-POSTALC TO AUX-LEN</t>
  </si>
  <si>
    <t>MJE#1      IF CONT-RECIBOS &gt; 132</t>
  </si>
  <si>
    <t xml:space="preserve">                    DELIMITED BY SIZE WAUX-PROCESS-YEAR</t>
  </si>
  <si>
    <t xml:space="preserve">                     RU-DT-SINISTRO(7:4) '.' DELIMITED BY SIZE</t>
  </si>
  <si>
    <t xml:space="preserve">           IF NY5BAU01-NOVO-NEG NOT EQUAL 'S'</t>
  </si>
  <si>
    <t xml:space="preserve">                    MOVE '1032'               TO CODBAR-IDENTIF-DOCUM   </t>
  </si>
  <si>
    <t>APUHL *    CALL</t>
  </si>
  <si>
    <t>MJE#1          DISPLAY 'CONT-RECIBOS SUPERIOR A 132 RECIBOS'</t>
  </si>
  <si>
    <t xml:space="preserve">                    DELIMITED BY SIZE</t>
  </si>
  <si>
    <t xml:space="preserve">                                       INTO X002BNCT09-O-DT-SINISTRO</t>
  </si>
  <si>
    <t xml:space="preserve">           MOVE NZ44CU01-POLICY-EXPIRY-DATE(1:2) TO W400-DATA-CALC(7:2)</t>
  </si>
  <si>
    <t xml:space="preserve">              IF NY5BAU01-IND-REGIME EQUAL 'G'</t>
  </si>
  <si>
    <t xml:space="preserve">                    MOVE W400-AUX-CANCEL-DATE TO W800-CANCEL-DATE       </t>
  </si>
  <si>
    <t xml:space="preserve">           PERFORM P290-GRAVAR-REGISTO  THRU P290-GRAVAR-REGISTO-EX</t>
  </si>
  <si>
    <t>APUHL *       'PGOU001A' USING  AUX-LEN, RU-COD-POSTALC</t>
  </si>
  <si>
    <t>MJE#1          DISPLAY  'APOLICE-GRUPO ' BGOW0027-APOLICE-GRUPO</t>
  </si>
  <si>
    <t xml:space="preserve">                    INTO X080BNCHIP-PROCESS-DATE</t>
  </si>
  <si>
    <t xml:space="preserve">           MOVE NZ44CU01-POLICY-EXPIRY-DATE(3:2) TO W400-DATA-CALC(5:2)</t>
  </si>
  <si>
    <t xml:space="preserve">                 SET W800-TIPO1               TO TRUE</t>
  </si>
  <si>
    <t>APUHL *    END-CALL</t>
  </si>
  <si>
    <t>MJE#1          DISPLAY  'CERTIF-IND    ' BGOW0027-CERTIF-INDIV</t>
  </si>
  <si>
    <t xml:space="preserve">           MOVE NZ44CU01-POLICY-EXPIRY-DATE(5:4) TO W400-DATA-CALC(1:4)</t>
  </si>
  <si>
    <t xml:space="preserve">                 MOVE '1027'                  TO CODBAR-IDENTIF-DOCUM</t>
  </si>
  <si>
    <t>APUHL *    MOVE LENGTH OF RU-COD-POSTALM TO AUX-LEN</t>
  </si>
  <si>
    <t>MJE#1          PERFORM FIM-ANORMAL THRU FIM-ANORMAL-EX</t>
  </si>
  <si>
    <t>MJE#1      END-IF</t>
  </si>
  <si>
    <t xml:space="preserve">                 STRING 'Lisboa, '</t>
  </si>
  <si>
    <t xml:space="preserve">           MOVE RU-VALOR-RESULTANTE      TO X002BNCT09-O-PREMIO</t>
  </si>
  <si>
    <t xml:space="preserve">           COMPUTE W400-RESULT-DATA = FUNCTION DATE-OF-INTEGER</t>
  </si>
  <si>
    <t xml:space="preserve">                 SET W800-TIPO2               TO TRUE</t>
  </si>
  <si>
    <t>APUHL *       'PGOU001A' USING  AUX-LEN, RU-COD-POSTALM</t>
  </si>
  <si>
    <t xml:space="preserve">                    WAUX-PROCESS-DAY ' de '  WAUX-DESCR-MES</t>
  </si>
  <si>
    <t xml:space="preserve">                                            X002BNCT09-O-VLR-A-RECEBER.</t>
  </si>
  <si>
    <t xml:space="preserve">              (FUNCTION INTEGER-OF-DATE (W400-DATA-CALC) - 1)</t>
  </si>
  <si>
    <t xml:space="preserve">                 MOVE '1028'                  TO CODBAR-IDENTIF-DOCUM</t>
  </si>
  <si>
    <t xml:space="preserve">           MOVE W400-TOT-AMOUNT-EUR           TO W400-TOT-DIV-EUR.      </t>
  </si>
  <si>
    <t xml:space="preserve">           IF W400-CONT-AREA-RECIBO = 1</t>
  </si>
  <si>
    <t xml:space="preserve">           MOVE W400-TOT-DIV-EUR              TO W800-TOTAL-AMOUNT-EURO.</t>
  </si>
  <si>
    <t xml:space="preserve">       P110-PREENCHE-CODBARB.</t>
  </si>
  <si>
    <t>APUHL *</t>
  </si>
  <si>
    <t xml:space="preserve">              MOVE BGOW0027-NUM-RECIBO       TO W400-REF-RECIBO</t>
  </si>
  <si>
    <t xml:space="preserve">           IF RU-AG-NOME EQUAL SPACES</t>
  </si>
  <si>
    <t xml:space="preserve">           MOVE W400-RESULT-DATA(1:4)</t>
  </si>
  <si>
    <t>APUHL *    MOVE LENGTH OF CODBAR-COD-POSTALC   TO AUX-LEN</t>
  </si>
  <si>
    <t xml:space="preserve">              MOVE BGOW0027-DT-INIC-RECIBO   TO W400-REF-DT-INIC-REC</t>
  </si>
  <si>
    <t xml:space="preserve">              MOVE SPACES                TO X002BNCT09-O-AG-NOME</t>
  </si>
  <si>
    <t xml:space="preserve">                                    TO NZ44CU01-POLICY-EXPIRY-DATE(5:4)</t>
  </si>
  <si>
    <t xml:space="preserve">              SET W800-TIPO3                  TO TRUE</t>
  </si>
  <si>
    <t xml:space="preserve">           MOVE NZ5B8U01-LETTER-NUMBER        TO W800-LETTER-NUMBER-1.  </t>
  </si>
  <si>
    <t xml:space="preserve">           COMPUTE CONTADOR-VIDA-RISCO = CONTADOR-VIDA-RISCO + 3</t>
  </si>
  <si>
    <t xml:space="preserve">              MOVE BGOW0027-DT-TERMO-RECIBO  TO W400-REF-DT-TERM-REC</t>
  </si>
  <si>
    <t xml:space="preserve">                    INTO X080BNENTI-PROCESS-DATE</t>
  </si>
  <si>
    <t xml:space="preserve">              MOVE SPACES                TO X002BNCT09-O-AG-MORADA1</t>
  </si>
  <si>
    <t xml:space="preserve">           MOVE W400-RESULT-DATA(5:2)</t>
  </si>
  <si>
    <t xml:space="preserve">              MOVE '1029'                     TO CODBAR-IDENTIF-DOCUM</t>
  </si>
  <si>
    <t>APUHL *       'PGOU001A' USING  AUX-LEN, CODBAR-COD-POSTALC</t>
  </si>
  <si>
    <t xml:space="preserve">              MOVE BGOW0027-VALOR-RECIBO     TO W400-REF-VLR-REC</t>
  </si>
  <si>
    <t xml:space="preserve">              MOVE SPACES                TO X002BNCT09-O-AG-MORADA2</t>
  </si>
  <si>
    <t xml:space="preserve">                                    TO NZ44CU01-POLICY-EXPIRY-DATE(3:2)</t>
  </si>
  <si>
    <t xml:space="preserve">           PERFORM T11-ESCREVE-CLIENTE      THRU T11-EXIT.              </t>
  </si>
  <si>
    <t xml:space="preserve">              MOVE 2                         TO W400-CONT-AREA-RECIBO</t>
  </si>
  <si>
    <t xml:space="preserve">              MOVE SPACES                TO X002BNCT09-O-AG-MORADA3</t>
  </si>
  <si>
    <t xml:space="preserve">           MOVE W400-RESULT-DATA(7:2)</t>
  </si>
  <si>
    <t>APUHL *    MOVE LENGTH OF CODBAR-COD-POSTALM   TO AUX-LEN</t>
  </si>
  <si>
    <t xml:space="preserve">              MOVE SPACES                TO X002BNCT09-O-AG-MORADA4</t>
  </si>
  <si>
    <t xml:space="preserve">                                    TO NZ44CU01-POLICY-EXPIRY-DATE(1:2)</t>
  </si>
  <si>
    <t xml:space="preserve">      *** CODIGOS DE AGRUPAMENTO ***</t>
  </si>
  <si>
    <t xml:space="preserve">       T10-EXIT.                                                        </t>
  </si>
  <si>
    <t xml:space="preserve">              MOVE W400-REF-RECIBO           TO X002BNREC-O-REC-1</t>
  </si>
  <si>
    <t>APUHL *       'PGOU001A' USING  AUX-LEN, CODBAR-COD-POSTALM</t>
  </si>
  <si>
    <t xml:space="preserve">              MOVE RU-AG-NOME            TO X002BNCT09-O-AG-NOME</t>
  </si>
  <si>
    <t xml:space="preserve">      *** FORMATA DATA FIM DO PERIODO ***</t>
  </si>
  <si>
    <t xml:space="preserve">                 W400-REF-DT-INIC-REC   (1:4) DELIMITED BY SIZE</t>
  </si>
  <si>
    <t xml:space="preserve">              MOVE RU-AG-MORADA1         TO BGOW0008-MORADA1</t>
  </si>
  <si>
    <t xml:space="preserve">           PERFORM D40-FRMT-DATA-FIM-PER    THRU D40-EXIT.</t>
  </si>
  <si>
    <t xml:space="preserve">                 '/'  DELIMITED BY SIZE</t>
  </si>
  <si>
    <t xml:space="preserve">                    INTO X080BNCTAD-PROCESS-DATE</t>
  </si>
  <si>
    <t xml:space="preserve">              MOVE RU-AG-MORADA2         TO BGOW0008-MORADA2</t>
  </si>
  <si>
    <t xml:space="preserve">       T11-EXIT.</t>
  </si>
  <si>
    <t xml:space="preserve">       T11-ESCREVE-CLIENTE SECTION.                                     </t>
  </si>
  <si>
    <t xml:space="preserve">                 W400-REF-DT-INIC-REC   (6:2) DELIMITED BY SIZE</t>
  </si>
  <si>
    <t xml:space="preserve">              MOVE RU-AG-MORADA3         TO BGOW0008-MORADA3</t>
  </si>
  <si>
    <t xml:space="preserve">              MOVE RU-AG-MORADA4         TO BGOW0008-MORADA4</t>
  </si>
  <si>
    <t xml:space="preserve">      *  ESCREVE LAYOUTS PARA CARTA AO CLIENTE                      *   </t>
  </si>
  <si>
    <t xml:space="preserve">                 W400-REF-DT-INIC-REC   (9:2) DELIMITED BY SIZE</t>
  </si>
  <si>
    <t xml:space="preserve">              MOVE RU-COD-POSTALM        TO BGOW0008-CPOSTAL</t>
  </si>
  <si>
    <t xml:space="preserve">                 INTO  X002BNREC-O-DT-INIC-1</t>
  </si>
  <si>
    <t xml:space="preserve">       P2011-PROC-ISSUE-DATE-EX.</t>
  </si>
  <si>
    <t xml:space="preserve">              MOVE RU-AG-TNUM-PORTA      TO BGOW0008-TNUM-PORTA</t>
  </si>
  <si>
    <t xml:space="preserve">       T12-TRATA-REG2 SECTION.</t>
  </si>
  <si>
    <t xml:space="preserve">       T11-START.                                                       </t>
  </si>
  <si>
    <t xml:space="preserve">             MOVE '1001'     TO CODBAR-IDENTIF-DOCUM</t>
  </si>
  <si>
    <t xml:space="preserve">              MOVE RU-AG-NUM-PORTA       TO BGOW0008-NUM-PORTA</t>
  </si>
  <si>
    <t xml:space="preserve">       T30-FORMAT-REG3 SECTION.</t>
  </si>
  <si>
    <t xml:space="preserve">           ADD 1                              TO CODBAR-NSEQ-DOC.       </t>
  </si>
  <si>
    <t xml:space="preserve">             MOVE SPACES     TO CODBAR-APOLICE</t>
  </si>
  <si>
    <t xml:space="preserve">      *  TRATA OS CAMPOS DO REGISTO TIPO 2                          *</t>
  </si>
  <si>
    <t xml:space="preserve">           MOVE ZEROS                         TO CODBAR-NLIN-DOC.       </t>
  </si>
  <si>
    <t xml:space="preserve">             MOVE SPACES     TO CODBAR-PRODUTO</t>
  </si>
  <si>
    <t xml:space="preserve">                 W400-REF-DT-TERM-REC   (1:4) DELIMITED BY SIZE</t>
  </si>
  <si>
    <t xml:space="preserve">              CALL 'PYOXAU04'            USING BGOW0008-AREA</t>
  </si>
  <si>
    <t xml:space="preserve">      *  FORMATA DADOS DO REGISTO TIPO 3                            *</t>
  </si>
  <si>
    <t xml:space="preserve">       P2013-REPRINT.</t>
  </si>
  <si>
    <t xml:space="preserve">       T12-START.</t>
  </si>
  <si>
    <t xml:space="preserve">           MOVE 'F_P_SELECT'                  TO W800-CAB-LAYOUT.       </t>
  </si>
  <si>
    <t xml:space="preserve">                 W400-REF-DT-TERM-REC   (6:2) DELIMITED BY SIZE</t>
  </si>
  <si>
    <t xml:space="preserve">              MOVE BGOW0008-MORADA1      TO X002BNCT09-O-AG-MORADA1</t>
  </si>
  <si>
    <t xml:space="preserve">       T30-START.</t>
  </si>
  <si>
    <t xml:space="preserve">           ADD 1                              TO W500-COUNT.</t>
  </si>
  <si>
    <t xml:space="preserve">           MOVE '00000'                       TO CODBAR-COD-INSERT.     </t>
  </si>
  <si>
    <t xml:space="preserve">             IF RU-DOC-ID = '001' OR RU-DOC-ID = '   '</t>
  </si>
  <si>
    <t xml:space="preserve">           IF NOT NZ5PDU01-1-VIA</t>
  </si>
  <si>
    <t xml:space="preserve">              MOVE BGOW0008-MORADA2      TO X002BNCT09-O-AG-MORADA2</t>
  </si>
  <si>
    <t xml:space="preserve">           MOVE SPACES                        TO W800-APOLPROD</t>
  </si>
  <si>
    <t xml:space="preserve">           MOVE ZEROS                         TO W400-QZOLEN.           </t>
  </si>
  <si>
    <t xml:space="preserve">               SET CODBAR-AG2-DC-CARTA   TO TRUE</t>
  </si>
  <si>
    <t xml:space="preserve">                 W400-REF-DT-TERM-REC   (9:2) DELIMITED BY SIZE</t>
  </si>
  <si>
    <t xml:space="preserve">              MOVE SPACES         TO  WAUX-DESCR-MES</t>
  </si>
  <si>
    <t xml:space="preserve">              MOVE BGOW0008-MORADA3      TO X002BNCT09-O-AG-MORADA3</t>
  </si>
  <si>
    <t xml:space="preserve">                                                 W800-VARIAVEL.</t>
  </si>
  <si>
    <t xml:space="preserve">           MOVE NY5BAU01-INVOICE-NUMBER(W400-IND)</t>
  </si>
  <si>
    <t xml:space="preserve">           PERFORM X20-WRITE-QZOUTPUT       THRU X20-EXIT.              </t>
  </si>
  <si>
    <t xml:space="preserve">                 INTO  X002BNREC-O-DT-TERM-1</t>
  </si>
  <si>
    <t xml:space="preserve">              SEARCH ALL WAUX-TAB-MESS  AT END GO TO FIM-ANORMAL</t>
  </si>
  <si>
    <t xml:space="preserve">              MOVE BGOW0008-MORADA4      TO X002BNCT09-O-AG-MORADA4</t>
  </si>
  <si>
    <t xml:space="preserve">                                          TO W400-INVOICE-NR(W500-COUNT)</t>
  </si>
  <si>
    <t xml:space="preserve">               SET CODBAR-AG2-COND-PAR   TO TRUE</t>
  </si>
  <si>
    <t xml:space="preserve">                 WHEN WAUX-TAB-MES(INDICE) = WAUX-TSMES</t>
  </si>
  <si>
    <t xml:space="preserve">           SEARCH ALL W400-ELEMTAB</t>
  </si>
  <si>
    <t xml:space="preserve">              MOVE W400-REF-VLR-REC          TO X002BNREC-O-VLR-REC-1</t>
  </si>
  <si>
    <t xml:space="preserve">                    MOVE WAUX-TAB-DESCR-MES(INDICE) TO WAUX-DESCR-MES</t>
  </si>
  <si>
    <t xml:space="preserve">           MOVE NY5BAU01-INVOICE-START-DATE(W400-IND)(6:2)</t>
  </si>
  <si>
    <t xml:space="preserve">               WHEN CODBAR-FIDMUNDIAL                                   </t>
  </si>
  <si>
    <t xml:space="preserve">             MOVE 'X009'     TO CODBAR-COD-DOC</t>
  </si>
  <si>
    <t xml:space="preserve">              MOVE BGOW0027-NUM-RECIBO       TO X002BNREC-O-REC-2</t>
  </si>
  <si>
    <t xml:space="preserve">           IF RU-OBJECTO-SEGURO EQUAL SPACES</t>
  </si>
  <si>
    <t xml:space="preserve">                  IF (W500-GUARDA-PROD-CODE(1:2) EQUAL 'AU') OR</t>
  </si>
  <si>
    <t xml:space="preserve">               WHEN CODBAR-IMPERIO                                      </t>
  </si>
  <si>
    <t xml:space="preserve">              STRING WAUX-TSDIA  '-'</t>
  </si>
  <si>
    <t xml:space="preserve">              MOVE SPACES                TO X002BNCT09-O-LT-OBJECTO-SEG</t>
  </si>
  <si>
    <t xml:space="preserve">                     (W500-GUARDA-PROD-CODE(1:3) EQUAL 'FAU')</t>
  </si>
  <si>
    <t xml:space="preserve">               WHEN CODBAR-ICI                                          </t>
  </si>
  <si>
    <t xml:space="preserve">                 BGOW0027-DT-INIC-RECIBO (1:4) DELIMITED BY SIZE</t>
  </si>
  <si>
    <t xml:space="preserve">                     WAUX-DESCR-MES(1:3) '-'</t>
  </si>
  <si>
    <t xml:space="preserve">              MOVE SPACES                TO X002BNCT09-O-VR-OBJECTO-SEG</t>
  </si>
  <si>
    <t xml:space="preserve">                     STRING NZ44CU01-POLICY-NUMBER DELIMITED BY SPACE</t>
  </si>
  <si>
    <t xml:space="preserve">                  MOVE 'X041BNLOG1'           TO W800-CAB-LAYOUT        </t>
  </si>
  <si>
    <t xml:space="preserve">                     WAUX-TSANO</t>
  </si>
  <si>
    <t xml:space="preserve">              MOVE SPACES             TO X002BNCT09-O-VR-OBJECTO-SEG-CX</t>
  </si>
  <si>
    <t xml:space="preserve">                            ' - ' DELIMITED BY SIZE</t>
  </si>
  <si>
    <t xml:space="preserve">           STRING NY5BAU01-INVOICE-START-DATE(W400-IND)(9:2) '-'</t>
  </si>
  <si>
    <t xml:space="preserve">               WHEN CODBAR-VD-OK                                        </t>
  </si>
  <si>
    <t xml:space="preserve">                 BGOW0027-DT-INIC-RECIBO (6:2) DELIMITED BY SIZE</t>
  </si>
  <si>
    <t xml:space="preserve">                     DELIMITED BY SIZE INTO X080BNCHIP-DATE</t>
  </si>
  <si>
    <t xml:space="preserve">                            'Seguro Automóvel' DELIMITED BY SIZE</t>
  </si>
  <si>
    <t xml:space="preserve">                  MOVE 'X041BNLOG4'           TO W800-CAB-LAYOUT        </t>
  </si>
  <si>
    <t xml:space="preserve">              MOVE 'Objecto Seguro:'     TO X002BNCT09-O-LT-OBJECTO-SEG</t>
  </si>
  <si>
    <t xml:space="preserve">                                            INTO W800-APOLPROD</t>
  </si>
  <si>
    <t xml:space="preserve">                  NY5BAU01-INVOICE-START-DATE(W400-IND)(1:4)</t>
  </si>
  <si>
    <t xml:space="preserve">               WHEN CODBAR-VD-SONAE                                     </t>
  </si>
  <si>
    <t xml:space="preserve">                 BGOW0027-DT-INIC-RECIBO (9:2) DELIMITED BY SIZE</t>
  </si>
  <si>
    <t xml:space="preserve">              MOVE '____________________'     TO X080BNCHIP-TRACO</t>
  </si>
  <si>
    <t xml:space="preserve">              MOVE RU-OBJECTO-SEGURO     TO X002BNCT09-O-VR-OBJECTO-SEG</t>
  </si>
  <si>
    <t xml:space="preserve">                     END-STRING</t>
  </si>
  <si>
    <t xml:space="preserve">                          DELIMITED BY SIZE INTO W400-START-DATE.</t>
  </si>
  <si>
    <t xml:space="preserve">                  MOVE 'X041BNLOG5'           TO W800-CAB-LAYOUT        </t>
  </si>
  <si>
    <t xml:space="preserve">                 INTO  X002BNREC-O-DT-INIC-2</t>
  </si>
  <si>
    <t xml:space="preserve">              MOVE '2ª VIA'                   TO X080BNCHIP-DESCRICAO</t>
  </si>
  <si>
    <t xml:space="preserve">              IF RU-O-COGEN33</t>
  </si>
  <si>
    <t xml:space="preserve">                     IF NZ44CU01-VEH-REG-NUMBER GREATER SPACES</t>
  </si>
  <si>
    <t xml:space="preserve">               WHEN OTHER                                               </t>
  </si>
  <si>
    <t xml:space="preserve">              MOVE 'EMITIDA EM '              TO X080BNCHIP-EMISSAO-DATE</t>
  </si>
  <si>
    <t xml:space="preserve">                 MOVE RU-VEIC-NUMERO     TO</t>
  </si>
  <si>
    <t xml:space="preserve">                        STRING 'Risco Seguro - ' DELIMITED BY SIZE</t>
  </si>
  <si>
    <t xml:space="preserve">      *** RETIRA UM DIA A DATA FIM DO PERIODO ***</t>
  </si>
  <si>
    <t xml:space="preserve">                  MOVE SPACES                 TO W800-CAB-LAYOUT        </t>
  </si>
  <si>
    <t xml:space="preserve">  *****                             X002BNCT09-O-VR-OBJECTO-SEG-CX(1:41)</t>
  </si>
  <si>
    <t xml:space="preserve">                               NZ44CU01-VEH-REG-NUMBER DELIMITED BY SIZE</t>
  </si>
  <si>
    <t xml:space="preserve">                 BGOW0027-DT-TERMO-RECIBO (1:4) DELIMITED BY SIZE</t>
  </si>
  <si>
    <t xml:space="preserve">              MOVE SPACES                  TO X080BNCHIP-TRACO</t>
  </si>
  <si>
    <t xml:space="preserve">                                    X002BNCT09-O-VR-OBJECTO-SEG-CX(1:40)</t>
  </si>
  <si>
    <t xml:space="preserve">                                            INTO W800-VARIAVEL</t>
  </si>
  <si>
    <t xml:space="preserve">           MOVE SPACES                        TO CODBAR-COD-INSERT.     </t>
  </si>
  <si>
    <t xml:space="preserve">                                              X080BNCHIP-DESCRICAO</t>
  </si>
  <si>
    <t xml:space="preserve">                 MOVE RU-VEIC-MARCA      TO</t>
  </si>
  <si>
    <t xml:space="preserve">                        END-STRING</t>
  </si>
  <si>
    <t xml:space="preserve">           MOVE NY5BAU01-INVOICE-END-DATE(W400-IND)(1:4)</t>
  </si>
  <si>
    <t xml:space="preserve">                 BGOW0027-DT-TERMO-RECIBO (6:2) DELIMITED BY SIZE</t>
  </si>
  <si>
    <t xml:space="preserve">                                              X080BNCHIP-EMISSAO-DATE</t>
  </si>
  <si>
    <t xml:space="preserve">  *****                            X002BNCT09-O-VR-OBJECTO-SEG-CX(42:39)</t>
  </si>
  <si>
    <t xml:space="preserve">                                              TO W400-DATA-CALC(1:4).</t>
  </si>
  <si>
    <t xml:space="preserve">                                              X080BNCHIP-DATE</t>
  </si>
  <si>
    <t xml:space="preserve">                                   X002BNCT09-O-VR-OBJECTO-SEG-CX(41:40)</t>
  </si>
  <si>
    <t xml:space="preserve">           MOVE NY5BAU01-INVOICE-END-DATE(W400-IND)(6:2)</t>
  </si>
  <si>
    <t xml:space="preserve">                 BGOW0027-DT-TERMO-RECIBO (9:2) DELIMITED BY SIZE</t>
  </si>
  <si>
    <t xml:space="preserve">                 MOVE RU-VEIC-EXTRA      TO</t>
  </si>
  <si>
    <t xml:space="preserve">                               'SEM MATRÍCULA' DELIMITED BY SIZE</t>
  </si>
  <si>
    <t xml:space="preserve">                                              TO W400-DATA-CALC(5:2).</t>
  </si>
  <si>
    <t xml:space="preserve">           STRING 'X041BNCTD' W800-CLIENT-TYPE                          </t>
  </si>
  <si>
    <t xml:space="preserve">           MOVE 'B_P_SELECT'            TO NOME-O-LAYOUT</t>
  </si>
  <si>
    <t xml:space="preserve">                 INTO  X002BNREC-O-DT-TERM-2</t>
  </si>
  <si>
    <t xml:space="preserve">                                   X002BNCT09-O-VR-OBJECTO-SEG-CX(81:40)</t>
  </si>
  <si>
    <t xml:space="preserve">           MOVE NY5BAU01-INVOICE-END-DATE(W400-IND)(9:2)</t>
  </si>
  <si>
    <t xml:space="preserve">                          DELIMITED BY SIZE INTO W800-CAB-LAYOUT.       </t>
  </si>
  <si>
    <t xml:space="preserve">       P2013-REPRINT-EX.</t>
  </si>
  <si>
    <t xml:space="preserve">                                              TO W400-DATA-CALC(7:2).</t>
  </si>
  <si>
    <t xml:space="preserve">           MOVE W800-OUTPUT-CLIENTE           TO W800-RESTO.            </t>
  </si>
  <si>
    <t xml:space="preserve">              MOVE BGOW0027-VALOR-RECIBO     TO X002BNREC-O-VLR-REC-2</t>
  </si>
  <si>
    <t xml:space="preserve">                 MOVE RU-OBJECTO-SEGURO  TO</t>
  </si>
  <si>
    <t xml:space="preserve">           MOVE LENGTH OF W800-OUTPUT-CLIENTE TO W400-QZOLEN.           </t>
  </si>
  <si>
    <t xml:space="preserve">              MOVE 1                         TO W400-CONT-AREA-RECIBO</t>
  </si>
  <si>
    <t xml:space="preserve">                                    X002BNCT09-O-VR-OBJECTO-SEG-CX(1:41)</t>
  </si>
  <si>
    <t xml:space="preserve">                     IF NZ44CU01-CARTA-ENT1</t>
  </si>
  <si>
    <t xml:space="preserve">           MOVE 'Y' TO ESCREVE-COSTAS</t>
  </si>
  <si>
    <t xml:space="preserve">              MOVE 'X002BNREC'           TO NOME-O-LAYOUT</t>
  </si>
  <si>
    <t xml:space="preserve">                                   X002BNCT09-O-VR-OBJECTO-SEG-CX(41:79)</t>
  </si>
  <si>
    <t xml:space="preserve">                        MOVE 'L'              TO W800-LETTER-CLIENT-L</t>
  </si>
  <si>
    <t xml:space="preserve">              (FUNCTION INTEGER-OF-DATE (W400-DATA-CALC) - 1).</t>
  </si>
  <si>
    <t xml:space="preserve">       P2020-CLIENT-DATA.</t>
  </si>
  <si>
    <t xml:space="preserve">       T11-EXIT.                                                        </t>
  </si>
  <si>
    <t xml:space="preserve">       P110-PREENCHE-CODBARB-EX.</t>
  </si>
  <si>
    <t xml:space="preserve">                        IF NZ44CU01-CARTA-ENT2</t>
  </si>
  <si>
    <t xml:space="preserve">           MOVE W400-RESULT-DATA(5:2)         TO W400-MOUNTH.</t>
  </si>
  <si>
    <t>PJG#1**            SET CODBAR-VIDA    TO TRUE</t>
  </si>
  <si>
    <t xml:space="preserve">       TRATA-DADOS-RECIBOS-EX.</t>
  </si>
  <si>
    <t xml:space="preserve">                           MOVE 'A'           TO W800-LETTER-CLIENT-L</t>
  </si>
  <si>
    <t xml:space="preserve">      *** TRATAMENTO DA DATA DE ANUIDADE ***</t>
  </si>
  <si>
    <t xml:space="preserve">                        END-IF</t>
  </si>
  <si>
    <t xml:space="preserve">       P110-PREENCHE-CODBARF.</t>
  </si>
  <si>
    <t xml:space="preserve">       TRATA-ULTIMO-RECIBO.</t>
  </si>
  <si>
    <t xml:space="preserve">                 MOVE NZ5PDU01-CLIENT-NAME        TO X080BNCAB1-CL-NOME</t>
  </si>
  <si>
    <t xml:space="preserve">           STRING W400-RESULT-DATA(7:2) '-'</t>
  </si>
  <si>
    <t xml:space="preserve">       T20-AGENT-BASIC-DATA SECTION.                                    </t>
  </si>
  <si>
    <t xml:space="preserve">           MOVE W400-REF-RECIBO           TO X002BNREC-O-REC-1</t>
  </si>
  <si>
    <t xml:space="preserve">                                           X080BNCTAD-NOME-CLIENTE</t>
  </si>
  <si>
    <t xml:space="preserve">                  ELSE</t>
  </si>
  <si>
    <t xml:space="preserve">             WHEN MES(INDICE) EQUAL RU-DT-INICIO(4:2)</t>
  </si>
  <si>
    <t xml:space="preserve">                  W400-RESULT-DATA(1:4)</t>
  </si>
  <si>
    <t xml:space="preserve">      *  TRATA O REGISTO TIPO: AGENT-BASIC-DATA                     *   </t>
  </si>
  <si>
    <t xml:space="preserve">             W400-REF-DT-INIC-REC (1:4) DELIMITED BY SIZE</t>
  </si>
  <si>
    <t>PJG#1            MOVE NZ5PDU01-CLIENT-ADDRESS     TO BGOW0008-MORADA1</t>
  </si>
  <si>
    <t xml:space="preserve">                          DELIMITED BY SIZE INTO W400-END-DATE.</t>
  </si>
  <si>
    <t xml:space="preserve">             '/'  DELIMITED BY SIZE</t>
  </si>
  <si>
    <t>PJG#1            MOVE NZ5PDU01-CLIENT-ADDRESS-2   TO BGOW0008-MORADA2</t>
  </si>
  <si>
    <t xml:space="preserve">                            'Seguro de Transportes' DELIMITED BY SIZE</t>
  </si>
  <si>
    <t xml:space="preserve">       T20-START.                                                       </t>
  </si>
  <si>
    <t xml:space="preserve">             W400-REF-DT-INIC-REC (6:2) DELIMITED BY SIZE</t>
  </si>
  <si>
    <t>PJG#1            MOVE NZ5PDU01-CLIENT-CITY        TO BGOW0008-MORADA3</t>
  </si>
  <si>
    <t xml:space="preserve">           STRING W400-START-DATE ' a ' W400-END-DATE</t>
  </si>
  <si>
    <t xml:space="preserve">           STRING W800-CLIENT-NOME       W800-POLICY-NUMBER             </t>
  </si>
  <si>
    <t>PJG#1            MOVE NZ5PDU01-CLIENT-POST-DESCR  TO BGOW0008-MORADA4</t>
  </si>
  <si>
    <t xml:space="preserve">              MOVE '#ERRO#'              TO W400-PROCESS-MOUNTH1</t>
  </si>
  <si>
    <t xml:space="preserve">                   DELIMITED BY SIZE INTO W400-DATA-INI-FIM(W500-COUNT).</t>
  </si>
  <si>
    <t xml:space="preserve">                  W800-DATA-DOC          W800-IDENTIFICA-DOC            </t>
  </si>
  <si>
    <t xml:space="preserve">             W400-REF-DT-INIC-REC (9:2) DELIMITED BY SIZE</t>
  </si>
  <si>
    <t>PJG#1            MOVE NZ5PDU01-CLIENT-POST-CODE   TO BGOW0008-CPOSTAL</t>
  </si>
  <si>
    <t xml:space="preserve">             WHEN MES(INDICE) EQUAL RU-DT-FIM(4:2)</t>
  </si>
  <si>
    <t xml:space="preserve">                  W800-PRODUCT-CODE-DESC W800-LETTER-NUMBER-1           </t>
  </si>
  <si>
    <t xml:space="preserve">             INTO  X002BNREC-O-DT-INIC-1</t>
  </si>
  <si>
    <t>PJG#1            MOVE NZ5PDU01-CLIENT-NUM-TYPE    TO BGOW0008-TNUM-PORTA</t>
  </si>
  <si>
    <t xml:space="preserve">                MOVE DESCRITIVO(INDICE)  TO W400-PROCESS-MOUNTH1</t>
  </si>
  <si>
    <t xml:space="preserve">                        MOVE 'M'              TO W800-LETTER-CLIENT-L</t>
  </si>
  <si>
    <t xml:space="preserve">           IF NY5BAU01-INVOICE-AMOUNT(W400-IND) NOT NUMERIC</t>
  </si>
  <si>
    <t xml:space="preserve">                  W800-PERIODO-1         W800-CANCEL-DATE               </t>
  </si>
  <si>
    <t>PJG#1            MOVE NZ5PDU01-CLIENT-NUM         TO BGOW0008-NUM-PORTA</t>
  </si>
  <si>
    <t xml:space="preserve">              MOVE ZEROS               TO W400-INVOICE-VLR(W500-COUNT)</t>
  </si>
  <si>
    <t xml:space="preserve">                  W800-PREMIUM-AMOUNT    W800-INTEREST-AMOUNT           </t>
  </si>
  <si>
    <t xml:space="preserve">                  W800-PENALTY-AMOUNT    W800-TOTAL-AMOUNT-EURO         </t>
  </si>
  <si>
    <t xml:space="preserve">             W400-REF-DT-TERM-REC (1:4) DELIMITED BY SIZE</t>
  </si>
  <si>
    <t>PJG#1            CALL 'PYOXAU04' USING BGOW0008-AREA</t>
  </si>
  <si>
    <t xml:space="preserve">           STRING RU-DT-INICIO(1:2) '-'</t>
  </si>
  <si>
    <t xml:space="preserve">                           MOVE 'B'           TO W800-LETTER-CLIENT-L</t>
  </si>
  <si>
    <t xml:space="preserve">              MOVE NY5BAU01-INVOICE-AMOUNT(W400-IND)</t>
  </si>
  <si>
    <t xml:space="preserve">                  W800-INTEREST-PERIOD   W800-PENALTY-PERIOD            </t>
  </si>
  <si>
    <t xml:space="preserve">                                       TO W400-INVOICE-VLR(W500-COUNT)</t>
  </si>
  <si>
    <t xml:space="preserve">                  W800-PENALTY-PERCENT                                  </t>
  </si>
  <si>
    <t xml:space="preserve">             W400-REF-DT-TERM-REC (6:2) DELIMITED BY SIZE</t>
  </si>
  <si>
    <t xml:space="preserve">                 MOVE BGOW0008-MORADA1      TO X080BNCAB1-CL-MORADA1</t>
  </si>
  <si>
    <t xml:space="preserve">                  RU-DT-INICIO(7:4) ' a '</t>
  </si>
  <si>
    <t xml:space="preserve">                          DELIMITED BY SIZE INTO W800-GENERAL-DATA.     </t>
  </si>
  <si>
    <t xml:space="preserve">                 MOVE BGOW0008-MORADA2      TO X080BNCAB1-CL-MORADA2</t>
  </si>
  <si>
    <t xml:space="preserve">                  RU-DT-FIM(1:2) '-'</t>
  </si>
  <si>
    <t xml:space="preserve">             W400-REF-DT-TERM-REC (9:2) DELIMITED BY SIZE</t>
  </si>
  <si>
    <t xml:space="preserve">                 MOVE BGOW0008-MORADA3      TO X080BNCAB1-CL-MORADA3</t>
  </si>
  <si>
    <t xml:space="preserve">                  W400-PROCESS-MOUNTH1(1:3) '-'</t>
  </si>
  <si>
    <t xml:space="preserve">             WHEN W400-COD-PROD(INDEX1) EQUAL W500-GUARDA-PROD-CODE</t>
  </si>
  <si>
    <t xml:space="preserve">       T12-EXIT.</t>
  </si>
  <si>
    <t xml:space="preserve">             INTO  X002BNREC-O-DT-TERM-1</t>
  </si>
  <si>
    <t xml:space="preserve">                 MOVE BGOW0008-MORADA4      TO X080BNCAB1-CL-MORADA4</t>
  </si>
  <si>
    <t xml:space="preserve">                  RU-DT-FIM(7:4) '.' DELIMITED BY SIZE</t>
  </si>
  <si>
    <t xml:space="preserve">                STRING NZ44CU01-POLICY-NUMBER DELIMITED BY SPACE</t>
  </si>
  <si>
    <t xml:space="preserve">              SET W800-TYPE4                  TO TRUE                   </t>
  </si>
  <si>
    <t xml:space="preserve">                 MOVE BGOW0008-CBARRAS   TO X080BNCAB1-CL-ROYAL-MAIL-4S</t>
  </si>
  <si>
    <t xml:space="preserve">                                       INTO X002BNCT09-O-ANUIDADE.</t>
  </si>
  <si>
    <t xml:space="preserve">                       ' - ' DELIMITED BY SIZE</t>
  </si>
  <si>
    <t xml:space="preserve">              MOVE '1035'                     TO CODBAR-IDENTIF-DOCUM   </t>
  </si>
  <si>
    <t xml:space="preserve">           MOVE W400-REF-VLR-REC          TO X002BNREC-O-VLR-REC-1</t>
  </si>
  <si>
    <t xml:space="preserve">                       W400-DESCR-PROD(INDEX1) DELIMITED BY SIZE</t>
  </si>
  <si>
    <t xml:space="preserve">           MOVE SPACES                    TO X002BNREC-O-REC-2</t>
  </si>
  <si>
    <t xml:space="preserve">                 STRING NZ5PDU01-CLIENT-POST-CODE(1:4)</t>
  </si>
  <si>
    <t xml:space="preserve">      *** TRATAMENTO DA DATA DO PERIODO DO RECIBO ***</t>
  </si>
  <si>
    <t xml:space="preserve">       T13-TRATA-REG3 SECTION.</t>
  </si>
  <si>
    <t xml:space="preserve">              SET W800-TYPE5                  TO TRUE                   </t>
  </si>
  <si>
    <t xml:space="preserve">           MOVE SPACES                    TO X002BNREC-O-DT-INIC-2</t>
  </si>
  <si>
    <t xml:space="preserve">                        NZ5PDU01-CLIENT-POST-CODE(6:3)</t>
  </si>
  <si>
    <t xml:space="preserve">              MOVE '1036'                     TO CODBAR-IDENTIF-DOCUM   </t>
  </si>
  <si>
    <t xml:space="preserve">                                             X002BNREC-O-DT-TERM-2</t>
  </si>
  <si>
    <t xml:space="preserve">                        DELIMITED BY SIZE   INTO CODBAR-COD-POSTALC</t>
  </si>
  <si>
    <t xml:space="preserve">                IF NZ44CU01-VEH-REG-NUMBER GREATER SPACES</t>
  </si>
  <si>
    <t xml:space="preserve">      *  TRATA OS CAMPOS DO REGISTO TIPO 3                          *</t>
  </si>
  <si>
    <t xml:space="preserve">           MOVE ZEROS                     TO X002BNREC-O-VLR-REC-2</t>
  </si>
  <si>
    <t xml:space="preserve">             WHEN MES(INDICE) EQUAL RU-DT-INICIO-RECIBO(4:2)</t>
  </si>
  <si>
    <t xml:space="preserve">                   STRING 'Contrato de Locação nº:  ' DELIMITED BY SIZE</t>
  </si>
  <si>
    <t xml:space="preserve">           MOVE 1                         TO W400-CONT-AREA-RECIBO</t>
  </si>
  <si>
    <t xml:space="preserve">                          NZ44CU01-VEH-REG-NUMBER DELIMITED BY SIZE</t>
  </si>
  <si>
    <t xml:space="preserve">       T13-START.</t>
  </si>
  <si>
    <t xml:space="preserve">           MOVE NZ5B8U01-AGENT-NAME           TO W800-AGENT-NOME        </t>
  </si>
  <si>
    <t xml:space="preserve">           MOVE 'X002BNREC'               TO NOME-O-LAYOUT</t>
  </si>
  <si>
    <t xml:space="preserve">           INITIALIZE W800-PRINT-VEICULOS.</t>
  </si>
  <si>
    <t xml:space="preserve">                                                 W800-CRT-NOME.         </t>
  </si>
  <si>
    <t xml:space="preserve">           SET CODBAR-AG1-GERAL      TO TRUE</t>
  </si>
  <si>
    <t xml:space="preserve">           PERFORM WRITE-QZOUTPUT         THRU WRITE-QZOUTPUT-EX.</t>
  </si>
  <si>
    <t xml:space="preserve">                  MOVE NZ5PDU01-CLIENT-NAME   TO X080BNENTI-TOMADOR</t>
  </si>
  <si>
    <t xml:space="preserve">           MOVE ZEROS                         TO W400-FLD.</t>
  </si>
  <si>
    <t>#11   *   Faz assim porque o NIF vem no registo tipo B - Dados Cliente</t>
  </si>
  <si>
    <t xml:space="preserve">           MOVE NZ5B8U01-AGENT-ADDRESS        TO BGOW0008-MORADA1.      </t>
  </si>
  <si>
    <t xml:space="preserve">           MOVE 'X006'     TO CODBAR-COD-DOC</t>
  </si>
  <si>
    <t>#11   *   Nesta altura ainda não sabe se o Risco Seguro está preenchido</t>
  </si>
  <si>
    <t xml:space="preserve">             WHEN MES(INDICE) EQUAL RU-DT-FIM-RECIBO(4:2)</t>
  </si>
  <si>
    <t xml:space="preserve">                IF NZ44CU01-CARTA-ENT1</t>
  </si>
  <si>
    <t xml:space="preserve">           MOVE SPACES                        TO W800-CHIP-TITULO1</t>
  </si>
  <si>
    <t xml:space="preserve">           MOVE NZ5B8U01-AGENT-ADDRESS-2      TO BGOW0008-MORADA2.      </t>
  </si>
  <si>
    <t xml:space="preserve">       TRATA-ULTIMO-RECIBO-EX.</t>
  </si>
  <si>
    <t>#11               IF NZ5PDU01-FISCAL-NUMBER NOT = SPACES</t>
  </si>
  <si>
    <t xml:space="preserve">                   MOVE 'M'                   TO W800-LETTER-CLIENT-L</t>
  </si>
  <si>
    <t xml:space="preserve">                                                 W800-CHIP-TITULO2.</t>
  </si>
  <si>
    <t xml:space="preserve">           MOVE NZ5B8U01-AGENT-CITY           TO BGOW0008-MORADA3.      </t>
  </si>
  <si>
    <t xml:space="preserve">                       SET CODBAR-IMPERIO    TO TRUE</t>
  </si>
  <si>
    <t>#11                  IF X080BNENTI-OBJECTO-DESC = SPACES</t>
  </si>
  <si>
    <t xml:space="preserve">           MOVE NZ5B8U01-AGENT-POST-DESCR     TO BGOW0008-MORADA4.      </t>
  </si>
  <si>
    <t>#11                     STRING 'NIF:  ' NZ5PDU01-FISCAL-NUMBER</t>
  </si>
  <si>
    <t xml:space="preserve">                   IF NZ44CU01-CARTA-ENT2</t>
  </si>
  <si>
    <t xml:space="preserve">           MOVE CODBAR-COMP-MARCA             TO W800-CHIP-COMP-MARC.</t>
  </si>
  <si>
    <t xml:space="preserve">           MOVE NZ5B8U01-AGENT-POST-CODE      TO BGOW0008-CPOSTAL.      </t>
  </si>
  <si>
    <t xml:space="preserve">      *    MOVE CC-CODBAR-NPAG-DOC TO CODBAR-NPAG-DOC</t>
  </si>
  <si>
    <t>#11                       DELIMITED BY SIZE INTO X080BNENTI-OBJECTO-DESC</t>
  </si>
  <si>
    <t xml:space="preserve">           STRING RU-DT-INICIO-RECIBO(1:2) '-'</t>
  </si>
  <si>
    <t xml:space="preserve">                      MOVE 'B'                TO W800-LETTER-CLIENT-L</t>
  </si>
  <si>
    <t xml:space="preserve">           MOVE NZ5B8U01-AGENT-NUM-TYPE       TO BGOW0008-TNUM-PORTA.   </t>
  </si>
  <si>
    <t xml:space="preserve">           MOVE '1009' TO CODBAR-IDENTIF-DOCUM</t>
  </si>
  <si>
    <t>#11                     END-STRING</t>
  </si>
  <si>
    <t xml:space="preserve">           MOVE NZ5B8U01-AGENT-NUM            TO BGOW0008-NUM-PORTA.    </t>
  </si>
  <si>
    <t>#11                     MOVE SPACES           TO X080BNENTI-NIF-LINE</t>
  </si>
  <si>
    <t xml:space="preserve">                  RU-DT-INICIO-RECIBO(7:4) ' a '</t>
  </si>
  <si>
    <t xml:space="preserve">           MOVE NY5BAU01-CRED-POST-CODE(1:4)  TO CODBAR-COD-POSTALC(1:4)</t>
  </si>
  <si>
    <t>#11                  ELSE</t>
  </si>
  <si>
    <t xml:space="preserve">                  RU-DT-FIM-RECIBO(1:2) '-'</t>
  </si>
  <si>
    <t xml:space="preserve">           MOVE NY5BAU01-CRED-POST-CODE(6:3)  TO CODBAR-COD-POSTALC(5:3)</t>
  </si>
  <si>
    <t xml:space="preserve">       WRITE-QZOUTPUT.</t>
  </si>
  <si>
    <t>#11                     MOVE 'NIF:  '         TO X080BNENTI-NIF-LIT</t>
  </si>
  <si>
    <t xml:space="preserve">           MOVE SPACES      TO CODBAR-COD-INSERT</t>
  </si>
  <si>
    <t>#11                     MOVE NZ5PDU01-FISCAL-NUMBER TO X080BNENTI-NIF</t>
  </si>
  <si>
    <t xml:space="preserve">                  RU-DT-FIM-RECIBO(7:4) '.' DELIMITED BY SIZE</t>
  </si>
  <si>
    <t xml:space="preserve">           IF NZ44CU01-CARTA-ENT1 OR NZ44CU01-CARTA-ENT2</t>
  </si>
  <si>
    <t xml:space="preserve">           MOVE NY5BAU01-CREDITOR-NUMBER      TO CODBAR-CLIENTE.</t>
  </si>
  <si>
    <t xml:space="preserve">           MOVE BGOW0008-MORADA1              TO W800-AGENT-MORADA1     </t>
  </si>
  <si>
    <t>#11                  END-IF</t>
  </si>
  <si>
    <t xml:space="preserve">                                       INTO X002BNCT09-O-PERIODO-REC.</t>
  </si>
  <si>
    <t xml:space="preserve">              PERFORM T31-FORMAT-LETTER-LEASING THRU T31-EXIT</t>
  </si>
  <si>
    <t xml:space="preserve">                                                 W800-CRT-MORADA1.      </t>
  </si>
  <si>
    <t xml:space="preserve">              WHEN NOME-O-LAYOUT EQUAL 'B_P_SELECT'</t>
  </si>
  <si>
    <t>#11               ELSE</t>
  </si>
  <si>
    <t xml:space="preserve">           MOVE BGOW0008-MORADA2              TO W800-AGENT-MORADA2     </t>
  </si>
  <si>
    <t xml:space="preserve">                 MOVE LENGTH OF LB-P-SELECT-O TO LINHALEN</t>
  </si>
  <si>
    <t>#11                  MOVE SPACES              TO X080BNENTI-NIF-LINE</t>
  </si>
  <si>
    <t xml:space="preserve">      *** ENDERECAMENTO DO TOMADOR DE SEGURO PARA O DESTACAVEL ***</t>
  </si>
  <si>
    <t xml:space="preserve">              MOVE 'REGISTOCTT'               TO W800-CAB-LAYOUT</t>
  </si>
  <si>
    <t xml:space="preserve">              'PGOU001A' USING W400-AUXLEN, CODBAR-CLIENTE</t>
  </si>
  <si>
    <t xml:space="preserve">                                                 W800-CRT-MORADA2.      </t>
  </si>
  <si>
    <t xml:space="preserve">              WHEN NOME-O-LAYOUT EQUAL 'X002BNPOS1'</t>
  </si>
  <si>
    <t>#11               END-IF</t>
  </si>
  <si>
    <t xml:space="preserve">      *** DA CARTA ESTORNO (SOMENTE PARA FM E IB)              ***</t>
  </si>
  <si>
    <t xml:space="preserve">              MOVE W800-HEADER-LETTER-LEASING TO W800-RESTO</t>
  </si>
  <si>
    <t xml:space="preserve">           MOVE BGOW0008-MORADA3              TO W800-AGENT-MORADA3     </t>
  </si>
  <si>
    <t xml:space="preserve">                 MOVE LENGTH OF LX002BNPOS1-O TO LINHALEN</t>
  </si>
  <si>
    <t xml:space="preserve">           MOVE RU-NOME                  TO X002BNCT09-O-TM-NOME.</t>
  </si>
  <si>
    <t xml:space="preserve">              MOVE LENGTH OF W800-HEADER-LETTER-LEASING</t>
  </si>
  <si>
    <t xml:space="preserve">                                                 W800-CRT-MORADA3.      </t>
  </si>
  <si>
    <t xml:space="preserve">              WHEN NOME-O-LAYOUT EQUAL 'X002BNPOS2'</t>
  </si>
  <si>
    <t xml:space="preserve">           MOVE RU-MORADA1               TO BGOW0008-MORADA1.</t>
  </si>
  <si>
    <t xml:space="preserve">                                              TO W400-QZOLEN</t>
  </si>
  <si>
    <t xml:space="preserve">           MOVE NY5BAU01-CREDITOR-NAME        TO W800-CHIP-NOME.</t>
  </si>
  <si>
    <t xml:space="preserve">           MOVE BGOW0008-MORADA4              TO W800-AGENT-MORADA4     </t>
  </si>
  <si>
    <t xml:space="preserve">                 MOVE LENGTH OF LX002BNPOS2-O TO LINHALEN</t>
  </si>
  <si>
    <t xml:space="preserve">                  PERFORM P2024-CHIP-TOMADOR THRU P2024-CHIP-TOMADOR-EX</t>
  </si>
  <si>
    <t xml:space="preserve">           MOVE RU-MORADA2               TO BGOW0008-MORADA2.</t>
  </si>
  <si>
    <t xml:space="preserve">              PERFORM X30-WRITE-REG-QUEBRA  THRU X30-EXIT</t>
  </si>
  <si>
    <t xml:space="preserve">                                                 W800-CRT-MORADA4.      </t>
  </si>
  <si>
    <t xml:space="preserve">              WHEN NOME-O-LAYOUT EQUAL 'X002BNLAY1'</t>
  </si>
  <si>
    <t xml:space="preserve">           MOVE RU-MORADA3               TO BGOW0008-MORADA3.</t>
  </si>
  <si>
    <t xml:space="preserve">              PERFORM X20-WRITE-QZOUTPUT    THRU X20-EXIT</t>
  </si>
  <si>
    <t xml:space="preserve">           MOVE NY5BAU01-CREDITOR-ADDRESS-1   TO BGOW0008-MORADA1.</t>
  </si>
  <si>
    <t xml:space="preserve">           MOVE BGOW0008-CBARRAS              TO W800-AGENT-ROYALMAIL   </t>
  </si>
  <si>
    <t xml:space="preserve">                 MOVE LENGTH OF LX002BNLAY1-O TO LINHALEN</t>
  </si>
  <si>
    <t xml:space="preserve">           MOVE RU-MORADA4               TO BGOW0008-MORADA4.</t>
  </si>
  <si>
    <t xml:space="preserve">           MOVE NY5BAU01-CREDITOR-ADDRESS-2   TO BGOW0008-MORADA2.</t>
  </si>
  <si>
    <t xml:space="preserve">                                                 W800-ROYAL-MAIL-4S.    </t>
  </si>
  <si>
    <t xml:space="preserve">              WHEN NOME-O-LAYOUT EQUAL 'X002BNLAY2'</t>
  </si>
  <si>
    <t xml:space="preserve">       P2020-CLIENT-DATA-EX.</t>
  </si>
  <si>
    <t xml:space="preserve">           MOVE RU-COD-POSTALM           TO BGOW0008-CPOSTAL.</t>
  </si>
  <si>
    <t xml:space="preserve">              STRING 'X007BNENT' W800-LETTER-CLIENT-L</t>
  </si>
  <si>
    <t xml:space="preserve">           MOVE NY5BAU01-CREDITOR-CITY        TO BGOW0008-MORADA3.</t>
  </si>
  <si>
    <t xml:space="preserve">                 MOVE LENGTH OF LX002BNLAY2-O TO LINHALEN</t>
  </si>
  <si>
    <t xml:space="preserve">           MOVE RU-TNUM-PORTA            TO BGOW0008-TNUM-PORTA.</t>
  </si>
  <si>
    <t xml:space="preserve">                 DELIMITED BY SIZE          INTO W800-CAB-LAYOUT</t>
  </si>
  <si>
    <t xml:space="preserve">           MOVE NY5BAU01-CRED-POST-CODE-DESCR TO BGOW0008-MORADA4.</t>
  </si>
  <si>
    <t xml:space="preserve">           MOVE NZ5B8U01-AGENT-POST-CODE(1:4) TO CODBAR-COD-POSTALM(1:4)</t>
  </si>
  <si>
    <t xml:space="preserve">              WHEN NOME-O-LAYOUT EQUAL 'X002BNLOG1'</t>
  </si>
  <si>
    <t xml:space="preserve">           MOVE RU-NUM-PORTA             TO BGOW0008-NUM-PORTA.</t>
  </si>
  <si>
    <t xml:space="preserve">              MOVE W800-OUTPUT-LETTER-LEASING TO W800-RESTO</t>
  </si>
  <si>
    <t xml:space="preserve">           MOVE NY5BAU01-CRED-POST-CODE       TO BGOW0008-CPOSTAL.</t>
  </si>
  <si>
    <t xml:space="preserve">           MOVE NZ5B8U01-AGENT-POST-CODE(6:3) TO CODBAR-COD-POSTALM(5:3)</t>
  </si>
  <si>
    <t xml:space="preserve">                 MOVE LENGTH OF LX002BNLOG1-O TO LINHALEN</t>
  </si>
  <si>
    <t xml:space="preserve">              MOVE LENGTH OF W800-OUTPUT-LETTER-LEASING</t>
  </si>
  <si>
    <t xml:space="preserve">           MOVE NY5BAU01-CRED-NUM-TYPE        TO BGOW0008-TNUM-PORTA.</t>
  </si>
  <si>
    <t xml:space="preserve">              WHEN NOME-O-LAYOUT EQUAL 'X002BNLOG2'</t>
  </si>
  <si>
    <t xml:space="preserve">       P2024-CHIP-TOMADOR.</t>
  </si>
  <si>
    <t xml:space="preserve">           CALL 'PYOXAU04'               USING BGOW0008-AREA.</t>
  </si>
  <si>
    <t xml:space="preserve">           MOVE NY5BAU01-CRED-NUM             TO BGOW0008-NUM-PORTA.</t>
  </si>
  <si>
    <t xml:space="preserve">           MOVE NZ5B8U01-AGENT                TO CODBAR-MEDIADOR        </t>
  </si>
  <si>
    <t xml:space="preserve">                 MOVE LENGTH OF LX002BNLOG2-O TO LINHALEN</t>
  </si>
  <si>
    <t xml:space="preserve">                                                 W800-AGENT-NUMBER.     </t>
  </si>
  <si>
    <t xml:space="preserve">              WHEN NOME-O-LAYOUT EQUAL 'REGISTOCTT'</t>
  </si>
  <si>
    <t xml:space="preserve">           IF NZ5PDU01-CLIENT-NAME GREATER SPACES</t>
  </si>
  <si>
    <t xml:space="preserve">           MOVE BGOW0008-MORADA1         TO X002BNCT09-O-TM-MORADA1.</t>
  </si>
  <si>
    <t xml:space="preserve">           CALL 'PYOXAU04'                 USING BGOW0008-AREA.</t>
  </si>
  <si>
    <t xml:space="preserve">           MOVE LENGTH OF CODBAR-MEDIADOR     TO W400-AUXLEN.           </t>
  </si>
  <si>
    <t xml:space="preserve">                 MOVE LENGTH OF LX002BNCAB1-O TO LINHALEN</t>
  </si>
  <si>
    <t xml:space="preserve">              ADD 1                        TO XX</t>
  </si>
  <si>
    <t xml:space="preserve">           MOVE BGOW0008-MORADA2         TO X002BNCT09-O-TM-MORADA2.</t>
  </si>
  <si>
    <t xml:space="preserve">              GO TO T30-EXIT</t>
  </si>
  <si>
    <t xml:space="preserve">              WHEN NOME-O-LAYOUT EQUAL 'X002BNASSG'</t>
  </si>
  <si>
    <t>#09   *       MOVE 'Tomador:   '           TO X080-CHIP-FLD(XX)(1:11)</t>
  </si>
  <si>
    <t xml:space="preserve">           MOVE BGOW0008-MORADA3         TO X002BNCT09-O-TM-MORADA3.</t>
  </si>
  <si>
    <t xml:space="preserve">           MOVE BGOW0008-MORADA1              TO W800-CHIP-MORADA1.</t>
  </si>
  <si>
    <t xml:space="preserve">              'PGOU001A' USING W400-AUXLEN, CODBAR-MEDIADOR             </t>
  </si>
  <si>
    <t xml:space="preserve">                 MOVE LENGTH OF LX002BNASSG-O TO LINHALEN</t>
  </si>
  <si>
    <t>#09   *       MOVE NZ5PDU01-CLIENT-NAME    TO X080-CHIP-FLD(XX)(12:59)</t>
  </si>
  <si>
    <t xml:space="preserve">           MOVE BGOW0008-MORADA4         TO X002BNCT09-O-TM-MORADA4.</t>
  </si>
  <si>
    <t xml:space="preserve">           MOVE BGOW0008-MORADA2              TO W800-CHIP-MORADA2.</t>
  </si>
  <si>
    <t xml:space="preserve">              WHEN NOME-O-LAYOUT EQUAL 'X002BNDCVG'</t>
  </si>
  <si>
    <t>#09           MOVE 'Tomador: '             TO X080-CHIP-FLD(XX)(1:9)</t>
  </si>
  <si>
    <t xml:space="preserve">           IF NZ44CU01-VEH-REG-NUMBER EQUAL SPACES</t>
  </si>
  <si>
    <t xml:space="preserve">           MOVE BGOW0008-MORADA3              TO W800-CHIP-MORADA3.</t>
  </si>
  <si>
    <t xml:space="preserve">                 MOVE LENGTH OF LX002BNDCVG-O TO LINHALEN</t>
  </si>
  <si>
    <t>#09           MOVE NZ5PDU01-CLIENT-NAME    TO X080-CHIP-FLD(XX)(10:61)</t>
  </si>
  <si>
    <t xml:space="preserve">      *** MULTICARE: FRASES PARA MULTICARE ESTORNO S/AGENTE ***</t>
  </si>
  <si>
    <t xml:space="preserve">              MOVE 'SEM MATRÍCULA'            TO W400-VEH-REG-NR</t>
  </si>
  <si>
    <t xml:space="preserve">           MOVE BGOW0008-MORADA4              TO W800-CHIP-MORADA4.</t>
  </si>
  <si>
    <t xml:space="preserve">       T20-EXIT.                                                        </t>
  </si>
  <si>
    <t xml:space="preserve">              WHEN NOME-O-LAYOUT EQUAL 'X002BNASSI'</t>
  </si>
  <si>
    <t xml:space="preserve">           IF RU-C-MULTICARE</t>
  </si>
  <si>
    <t xml:space="preserve">                                                 W800-VEH-REG-NUMBER</t>
  </si>
  <si>
    <t xml:space="preserve">                  SET CODBAR-VIDA    TO TRUE</t>
  </si>
  <si>
    <t xml:space="preserve">                 MOVE LENGTH OF LX002BNASSI-O TO LINHALEN</t>
  </si>
  <si>
    <t xml:space="preserve">              IF RU-NIB EQUAL SPACES</t>
  </si>
  <si>
    <t xml:space="preserve">           MOVE SPACES                        TO W800-CHIP-ROYAL-MAIL-4S</t>
  </si>
  <si>
    <t xml:space="preserve">              WHEN NOME-O-LAYOUT EQUAL 'X002BNDCVI'</t>
  </si>
  <si>
    <t xml:space="preserve">           IF NZ5PDU01-CLIENT-ADDRESS GREATER SPACES</t>
  </si>
  <si>
    <t xml:space="preserve">                 STRING 'O valor acima indicado será em breve '</t>
  </si>
  <si>
    <t xml:space="preserve">              MOVE NZ44CU01-VEH-REG-NUMBER    TO W400-VEH-REG-NR</t>
  </si>
  <si>
    <t xml:space="preserve">           MOVE BGOW0008-CPOSTAL              TO W800-CHIP-CPOSTAL</t>
  </si>
  <si>
    <t xml:space="preserve">                 MOVE LENGTH OF LX002BNDCVI-O TO LINHALEN</t>
  </si>
  <si>
    <t xml:space="preserve">                        'disponibilizado através de envio de Cheque.'</t>
  </si>
  <si>
    <t xml:space="preserve">       T21-ESCREVE-AGENTE SECTION.                                      </t>
  </si>
  <si>
    <t xml:space="preserve">              WHEN NOME-O-LAYOUT EQUAL 'X002BNTXT'</t>
  </si>
  <si>
    <t>#09   *       MOVE SPACES                  TO X080-CHIP-FLD(XX)(1:20)</t>
  </si>
  <si>
    <t xml:space="preserve">                        DELIMITED BY SIZE INTO X002BNCT09-O-TEXTO1</t>
  </si>
  <si>
    <t xml:space="preserve">           MOVE CODBAR-COD-DOC        TO W800-CHIP-IDENTIFICA-DOC (1:5)</t>
  </si>
  <si>
    <t xml:space="preserve">                 MOVE LENGTH OF LX002BNTXT-O TO LINHALEN</t>
  </si>
  <si>
    <t>#09   *       MOVE NZ5PDU01-CLIENT-ADDRESS TO X080-CHIP-FLD(XX)(21:49)</t>
  </si>
  <si>
    <t xml:space="preserve">           MOVE W400-DATA-TIMESTAMP   TO W800-CHIP-IDENTIFICA-DOC (6:19)</t>
  </si>
  <si>
    <t xml:space="preserve">      *  ESCREVE LAYOUTS PARA CARTA AO AGENTE                       *   </t>
  </si>
  <si>
    <t xml:space="preserve">              WHEN NOME-O-LAYOUT EQUAL 'X002BNREC'</t>
  </si>
  <si>
    <t>#09           MOVE SPACES                  TO X080-CHIP-FLD(XX)(1:18)</t>
  </si>
  <si>
    <t xml:space="preserve">           IF NZ44CU01-CANC-REQ-COMPANY</t>
  </si>
  <si>
    <t xml:space="preserve">                 MOVE LENGTH OF LX002BNREC-O TO LINHALEN</t>
  </si>
  <si>
    <t>#09           MOVE NZ5PDU01-CLIENT-ADDRESS TO X080-CHIP-FLD(XX)(19:51)</t>
  </si>
  <si>
    <t xml:space="preserve">                 STRING 'O valor acima indicado será transferido '</t>
  </si>
  <si>
    <t xml:space="preserve">              MOVE W600-INIC-COMP             TO W800-CANC-REASON</t>
  </si>
  <si>
    <t xml:space="preserve">           MOVE SPACES                        TO W400-UAR-DETAIL.</t>
  </si>
  <si>
    <t xml:space="preserve">       T21-START.                                                       </t>
  </si>
  <si>
    <t xml:space="preserve">              WHEN NOME-O-LAYOUT EQUAL 'X002BNBENG'</t>
  </si>
  <si>
    <t xml:space="preserve">                        'para a conta bancária '</t>
  </si>
  <si>
    <t xml:space="preserve">      *** SE NOVO CAMPO VEM PREENCHIDO, SENAO FAZ METODO ANTIGO ***</t>
  </si>
  <si>
    <t xml:space="preserve">                 MOVE LENGTH OF LX002BNBENG-O TO LINHALEN</t>
  </si>
  <si>
    <t xml:space="preserve">                        RU-NIB(1:4)  ' '</t>
  </si>
  <si>
    <t xml:space="preserve">              IF NZ44CU01-CANC-REQ-CLIENT</t>
  </si>
  <si>
    <t xml:space="preserve">           IF NY5BAU01-UAR-DETAIL NOT EQUAL SPACES</t>
  </si>
  <si>
    <t xml:space="preserve">              WHEN NOME-O-LAYOUT EQUAL 'X002BNBENI'</t>
  </si>
  <si>
    <t xml:space="preserve">           IF NZ5PDU01-CLIENT-ADDRESS-2 GREATER SPACES</t>
  </si>
  <si>
    <t xml:space="preserve">                        RU-NIB(5:4)  ' '</t>
  </si>
  <si>
    <t xml:space="preserve">                 MOVE W600-INIC-CLI           TO W800-CANC-REASON</t>
  </si>
  <si>
    <t xml:space="preserve">              MOVE NY5BAU01-UAR-DETAIL        TO W400-UAR-DETAIL</t>
  </si>
  <si>
    <t xml:space="preserve">                 MOVE LENGTH OF LX002BNBENI-O TO LINHALEN</t>
  </si>
  <si>
    <t xml:space="preserve">                        RU-NIB(9:11) ' '</t>
  </si>
  <si>
    <t xml:space="preserve">              WHEN NOME-O-LAYOUT EQUAL 'X002BNDAT'</t>
  </si>
  <si>
    <t>GO1949*                 RU-NIB(20:2) '.' DELIMITED BY SIZE</t>
  </si>
  <si>
    <t xml:space="preserve">                 MOVE NZ44CU01-CANC-LAP-REASON-DESC</t>
  </si>
  <si>
    <t xml:space="preserve">      *   *** FORMATA A DESCRICAO DO VEICULO ***</t>
  </si>
  <si>
    <t xml:space="preserve">                 MOVE LENGTH OF LX002BNDAT-O TO LINHALEN</t>
  </si>
  <si>
    <t>#09   *       MOVE NZ5PDU01-CLIENT-ADDRESS-2 TO X080-CHIP-FLD(XX)(21:49)</t>
  </si>
  <si>
    <t>GO1949                  RU-NIB(20:2) ','</t>
  </si>
  <si>
    <t xml:space="preserve">                                              TO W800-CANC-REASON</t>
  </si>
  <si>
    <t xml:space="preserve">              MOVE NY5BAU01-VEHICLE-MAKE      TO W500-VEHICLE-MAKE</t>
  </si>
  <si>
    <t xml:space="preserve">              WHEN NOME-O-LAYOUT EQUAL 'F_P_SELECT'</t>
  </si>
  <si>
    <t>GO1949                  ' salvo se existir qualquer valor em'</t>
  </si>
  <si>
    <t xml:space="preserve">              MOVE NY5BAU01-VEHICLE-MODEL     TO W500-VEHICLE-MODEL</t>
  </si>
  <si>
    <t xml:space="preserve">                 MOVE '00000'                 TO CODBAR-COD-INSERT</t>
  </si>
  <si>
    <t>#09           MOVE NZ5PDU01-CLIENT-ADDRESS-2 TO X080-CHIP-FLD(XX)(19:51)</t>
  </si>
  <si>
    <t>GO1949                  DELIMITED BY SIZE INTO X002BNCT09-O-TEXTO1</t>
  </si>
  <si>
    <t xml:space="preserve">              MOVE NY5BAU01-VEHICLE-VERSION   TO W500-VEHICLE-EXTRA</t>
  </si>
  <si>
    <t xml:space="preserve">                 MOVE LENGTH OF LF-P-SELECT-O TO LINHALEN</t>
  </si>
  <si>
    <t>GO1949           STRING 'dívida à Companhia, caso em que este '</t>
  </si>
  <si>
    <t xml:space="preserve">           COMPUTE W400-NCD-PERCENT = 100,00 - NZ44CU01-NCD-PERCENT.</t>
  </si>
  <si>
    <t xml:space="preserve">              CALL 'PY4RBB0'               USING W500-PARAM-AUX</t>
  </si>
  <si>
    <t xml:space="preserve">           WRITE RQZOUTPUT FROM WORK-O-BGOW0014</t>
  </si>
  <si>
    <t xml:space="preserve">           IF NZ5PDU01-CLIENT-CITY GREATER SPACES</t>
  </si>
  <si>
    <t>GO1949                 'montante é retido para a respectiva liquidação.'</t>
  </si>
  <si>
    <t>GO1949                  DELIMITED BY SIZE INTO X002BNCT09-O-TEXTO2</t>
  </si>
  <si>
    <t xml:space="preserve">           IF W400-NCD-PERCENT EQUAL ZEROS</t>
  </si>
  <si>
    <t xml:space="preserve">              MOVE W500-DESCRIPTION           TO W400-UAR-DETAIL</t>
  </si>
  <si>
    <t xml:space="preserve">              DISPLAY 'PGOC421: ERRO WRITE DO QZOUTPUT. FS=' FSQZOUTPUT</t>
  </si>
  <si>
    <t>GO1949           END-STRING</t>
  </si>
  <si>
    <t xml:space="preserve">              MOVE W600-NOT-ALL               TO W800-TEXT-SITUATION</t>
  </si>
  <si>
    <t>#09   *       MOVE NZ5PDU01-CLIENT-CITY    TO X080-CHIP-FLD(XX)(21:49)</t>
  </si>
  <si>
    <t xml:space="preserve">              IF W400-NCD-PERCENT GREATER ZEROS</t>
  </si>
  <si>
    <t xml:space="preserve">           IF W400-UAR-DETAIL GREATER SPACES</t>
  </si>
  <si>
    <t xml:space="preserve">           ADD  1 TO CODBAR-NLIN-DOC</t>
  </si>
  <si>
    <t>#09           MOVE NZ5PDU01-CLIENT-CITY    TO X080-CHIP-FLD(XX)(19:51)</t>
  </si>
  <si>
    <t xml:space="preserve">                 MOVE W600-BONUS              TO W800-TEXT-SITUATION</t>
  </si>
  <si>
    <t xml:space="preserve">              ADD 1                           TO W400-FLD</t>
  </si>
  <si>
    <t xml:space="preserve">           INITIALIZE WORK-O-BGOW0014-VARIAVEIS.</t>
  </si>
  <si>
    <t xml:space="preserve">      *** SE DATA DE SINISTRO DIFERENTE DE ESPAÇOS                  ***</t>
  </si>
  <si>
    <t xml:space="preserve">              STRING 'Risco/Objeto Seguro/Outras Referências: '</t>
  </si>
  <si>
    <t xml:space="preserve">       WRITE-QZOUTPUT-EX.</t>
  </si>
  <si>
    <t xml:space="preserve">      ***   ESCREVE A CARTA DE PERDA TOTAL (C33)                    ***</t>
  </si>
  <si>
    <t xml:space="preserve">                 MOVE W600-NO-BONUS           TO W800-TEXT-SITUATION</t>
  </si>
  <si>
    <t xml:space="preserve">                     W400-UAR-DETAIL DELIMITED BY SIZE</t>
  </si>
  <si>
    <t xml:space="preserve">           IF NZ5PDU01-CLIENT-POST-DESCR GREATER SPACES</t>
  </si>
  <si>
    <t xml:space="preserve">      *** SENAO                                                     ***</t>
  </si>
  <si>
    <t xml:space="preserve">      ***   CONFORME O VALOR RESULTANTE, A COMPANHIA E SE POSSUI OU ***</t>
  </si>
  <si>
    <t xml:space="preserve">      * ROTINA PARA FORMATAR A PARTE DO CÓDIGO DE BARRAS</t>
  </si>
  <si>
    <t xml:space="preserve">      ***   NAO MEDIADOR IRA ESCREVER DETERMINADA CARTA (C33 e C44) ***</t>
  </si>
  <si>
    <t>#09   *      MOVE NZ5PDU01-CLIENT-POST-DESCR TO X080-CHIP-FLD(XX)(21:39)</t>
  </si>
  <si>
    <t xml:space="preserve">           PERFORM P235-CRT-CDC1-CCAG-CAVR THRU</t>
  </si>
  <si>
    <t xml:space="preserve">           MOVE NZ44CU01-TRAN-AMOUNT          TO W400-TRAN-AMOUNT.</t>
  </si>
  <si>
    <t xml:space="preserve">           IF NY5BAU01-VEHICLE-REG-NUMBER GREATER SPACES</t>
  </si>
  <si>
    <t xml:space="preserve">       FORMATA-BGOW0001.</t>
  </si>
  <si>
    <t xml:space="preserve">                                            P235-CRT-CDC1-CCAG-CAVR-EX</t>
  </si>
  <si>
    <t xml:space="preserve">           MOVE W400-TRAN-AMOUNT              TO W400-TOT-DIV-EUR.</t>
  </si>
  <si>
    <t>#09          MOVE NZ5PDU01-CLIENT-POST-DESCR TO X080-CHIP-FLD(XX)(19:41)</t>
  </si>
  <si>
    <t xml:space="preserve">           PERFORM P290-GRAVAR-REGISTO THRU P290-GRAVAR-REGISTO-EX.</t>
  </si>
  <si>
    <t xml:space="preserve">           MOVE W400-TOT-DIV-EUR              TO W400-TOT-AMOUNT-EUR.</t>
  </si>
  <si>
    <t xml:space="preserve">              STRING 'Matrícula: '</t>
  </si>
  <si>
    <t xml:space="preserve">      * CARTA 1 E 2 VAI PARA O MOVIMENTO REGISTADO</t>
  </si>
  <si>
    <t xml:space="preserve">                     NY5BAU01-VEHICLE-REG-NUMBER DELIMITED BY SIZE</t>
  </si>
  <si>
    <t xml:space="preserve">           STRING 'X041BNCTD' W800-AGENT-TYPE                           </t>
  </si>
  <si>
    <t>MJE#2      EVALUATE TRUE</t>
  </si>
  <si>
    <t>PJG#1  T10-EXIT.</t>
  </si>
  <si>
    <t xml:space="preserve">           IF W400-TRAN-AMOUNT GREATER ZEROS</t>
  </si>
  <si>
    <t>MJE#2       WHEN BGOW0027-TIPO-CARTA-1</t>
  </si>
  <si>
    <t xml:space="preserve">           IF NZ5PDU01-FISCAL-NUMBER GREATER SPACES</t>
  </si>
  <si>
    <t xml:space="preserve">              IF W400-TRAN-AMOUNT LESS OR EQUAL 2,00</t>
  </si>
  <si>
    <t xml:space="preserve">           MOVE W800-OUTPUT-AGENTE            TO W800-RESTO.            </t>
  </si>
  <si>
    <t>MJE#2          SET CODBAR-REGISTADA  TO TRUE</t>
  </si>
  <si>
    <t xml:space="preserve">                 MOVE ZEROS                   TO W400-TRAN-AMOUNT</t>
  </si>
  <si>
    <t xml:space="preserve">           MOVE LENGTH OF W800-OUTPUT-AGENTE  TO W400-QZOLEN.           </t>
  </si>
  <si>
    <t>MJE#2       WHEN BGOW0027-TIPO-CARTA-2</t>
  </si>
  <si>
    <t>#09   *       MOVE 'NIF:  '                TO X080-CHIP-FLD(XX)(1:6)</t>
  </si>
  <si>
    <t xml:space="preserve">                 MOVE '***************'       TO W800-TRAN-AMOUNT-EUR</t>
  </si>
  <si>
    <t xml:space="preserve">           MOVE SPACES                        TO W800-CHIP-REGISTO-CTT</t>
  </si>
  <si>
    <t>#09   *       MOVE NZ5PDU01-FISCAL-NUMBER  TO X080-CHIP-FLD(XX)(7:9)</t>
  </si>
  <si>
    <t xml:space="preserve">                                                 W800-CHIP-NUMERO-CTT</t>
  </si>
  <si>
    <t>MJE#2 * CARTA 3 E 4 VAI PARA O MOVIMENTO OCASIONAL</t>
  </si>
  <si>
    <t>#09           MOVE 'NIF: '                 TO X080-CHIP-FLD(XX)(1:5)</t>
  </si>
  <si>
    <t xml:space="preserve">                 STRING W400-TOT-AMOUNT-EUR     ' EUR'</t>
  </si>
  <si>
    <t xml:space="preserve">                                                 W800-CHIP-ADERENTE</t>
  </si>
  <si>
    <t xml:space="preserve">           MOVE 'X041BNPOS1'                  TO W800-CAB-LAYOUT.       </t>
  </si>
  <si>
    <t>MJE#2       WHEN BGOW0027-TIPO-CARTA-3</t>
  </si>
  <si>
    <t>#09           MOVE NZ5PDU01-FISCAL-NUMBER  TO X080-CHIP-FLD(XX)(6:9)</t>
  </si>
  <si>
    <t xml:space="preserve">       P290-GRAVAR-REGISTO.</t>
  </si>
  <si>
    <t xml:space="preserve">                        DELIMITED BY SIZE   INTO W800-TRAN-AMOUNT-EUR</t>
  </si>
  <si>
    <t xml:space="preserve">                                                 W800-CHIP-BALCAO</t>
  </si>
  <si>
    <t>MJE#2          SET CODBAR-EXPEDIR    TO TRUE</t>
  </si>
  <si>
    <t xml:space="preserve">                                                 W800-CHIP-TEXTO-LIVRE.</t>
  </si>
  <si>
    <t>MJE#2       WHEN BGOW0027-TIPO-CARTA-4</t>
  </si>
  <si>
    <t xml:space="preserve">       P2024-CHIP-TOMADOR-ex.</t>
  </si>
  <si>
    <t xml:space="preserve">              MOVE '***************'          TO W800-TRAN-AMOUNT-EUR</t>
  </si>
  <si>
    <t xml:space="preserve">       T13-EXIT.</t>
  </si>
  <si>
    <t>MJE#2      END-EVALUATE</t>
  </si>
  <si>
    <t xml:space="preserve">           MOVE NOME-O-LAYOUT           TO REF-NOME-O-LAYOUT</t>
  </si>
  <si>
    <t xml:space="preserve">       T21-EXIT.                                                        </t>
  </si>
  <si>
    <t xml:space="preserve">           SET  CODBAR-F048-NOVO       TO TRUE</t>
  </si>
  <si>
    <t xml:space="preserve">           MOVE LENGTH OF LB-P-SELECT-O TO QZOLEN</t>
  </si>
  <si>
    <t xml:space="preserve">      *** FORMATA A DATA DE ANULACAO ***</t>
  </si>
  <si>
    <t xml:space="preserve">           SET  CODBAR-ORIG-DCO        TO TRUE</t>
  </si>
  <si>
    <t xml:space="preserve">       P2030-AGENT-DATA.</t>
  </si>
  <si>
    <t xml:space="preserve">           PERFORM D20-FRMT-DATA-ANUL       THRU D20-EXIT.</t>
  </si>
  <si>
    <t xml:space="preserve">       T20-ESCREVE-CHIP SECTION.</t>
  </si>
  <si>
    <t xml:space="preserve">           MOVE  REF-NOME-O-LAYOUT      TO NOME-O-LAYOUT</t>
  </si>
  <si>
    <t xml:space="preserve">           STRING NZ44CU01-CANC-REV-EFF-DATE(1:2) '-'</t>
  </si>
  <si>
    <t xml:space="preserve">       T30-NOTICE-LIST-DATA SECTION.                                    </t>
  </si>
  <si>
    <t xml:space="preserve">           MOVE 'S'                               TO WAUX-TEM-AGENTE</t>
  </si>
  <si>
    <t xml:space="preserve">           IF NOME-O-LAYOUT = 'X002BNCT13' OR 'X002BNCT14' OR</t>
  </si>
  <si>
    <t xml:space="preserve">      *  ESCREVE A CARTA CHIP                                       *</t>
  </si>
  <si>
    <t xml:space="preserve">              WHEN '001'</t>
  </si>
  <si>
    <t xml:space="preserve">                              'X002BNCT15' OR 'X002BNCT16'</t>
  </si>
  <si>
    <t xml:space="preserve">                  NZ44CU01-CANC-REV-EFF-DATE(5:4)</t>
  </si>
  <si>
    <t xml:space="preserve">      *  TRATA O REGISTO TIPO: NOTICE-LIST-DATA                     *   </t>
  </si>
  <si>
    <t xml:space="preserve">                 SET CODBAR-VD-OK      TO TRUE</t>
  </si>
  <si>
    <t xml:space="preserve">              MOVE 'X002BNCB13'            TO NOME-O-LAYOUT</t>
  </si>
  <si>
    <t xml:space="preserve">                  DELIMITED BY SIZE         INTO W800-CAN-EFF-DATE.</t>
  </si>
  <si>
    <t xml:space="preserve">       T20-START.</t>
  </si>
  <si>
    <t xml:space="preserve">                  SET CODBAR-ONLINE TO TRUE</t>
  </si>
  <si>
    <t xml:space="preserve">                 MOVE NZ5PDU01-AGENT-NAME         TO X080BNCAB1-MD-NOME</t>
  </si>
  <si>
    <t xml:space="preserve">              MOVE LENGTH OF LX002BNCB13-O TO QZOLEN</t>
  </si>
  <si>
    <t xml:space="preserve">       T30-START.                                                       </t>
  </si>
  <si>
    <t xml:space="preserve">      *** ESCREVE CERTIFICADO DE TARIFACAO ***</t>
  </si>
  <si>
    <t xml:space="preserve">           MOVE ZEROS                         TO CODBAR-NLIN-DOC.</t>
  </si>
  <si>
    <t xml:space="preserve">           IF NZ5B8U01-NOTICE-NUMBER(1) NOT EQUAL SPACES                </t>
  </si>
  <si>
    <t>PJG#1            MOVE NZ5PDU01-AGENT-ADDRESS      TO BGOW0008-MORADA1</t>
  </si>
  <si>
    <t xml:space="preserve">           MOVE 'X007BNNCDC'                  TO W800-CAB-LAYOUT.</t>
  </si>
  <si>
    <t>PJG#1            MOVE NZ5PDU01-AGENT-ADDRESS-2    TO BGOW0008-MORADA2</t>
  </si>
  <si>
    <t xml:space="preserve">       P290-GRAVAR-REGISTO-EX.</t>
  </si>
  <si>
    <t xml:space="preserve">           MOVE W800-OUTPUT-NCD               TO W800-RESTO.</t>
  </si>
  <si>
    <t xml:space="preserve">           MOVE 'F_P_SELECT'                  TO W800-CAB-LAYOUT.</t>
  </si>
  <si>
    <t xml:space="preserve">              IF NZ5B8U01-TIPO-IMPRESSAO NOT EQUAL 'I'                  </t>
  </si>
  <si>
    <t>PJG#1            MOVE NZ5PDU01-AGENT-CITY         TO BGOW0008-MORADA3</t>
  </si>
  <si>
    <t xml:space="preserve">           MOVE LENGTH OF W800-OUTPUT-NCD     TO W400-QZOLEN.</t>
  </si>
  <si>
    <t xml:space="preserve">           MOVE '00000'                       TO CODBAR-COD-INSERT.</t>
  </si>
  <si>
    <t xml:space="preserve">                 MOVE CODBAR                  TO W400-CODBAR            </t>
  </si>
  <si>
    <t>PJG#1            MOVE NZ5PDU01-AGENT-POST-DESCR   TO BGOW0008-MORADA4</t>
  </si>
  <si>
    <t xml:space="preserve">           PERFORM X30-WRITE-REG-QUEBRA     THRU X30-EXIT.</t>
  </si>
  <si>
    <t xml:space="preserve">           MOVE ZEROS                         TO W400-QZOLEN.</t>
  </si>
  <si>
    <t xml:space="preserve">                 PERFORM T32-CARTA-CORTESIA THRU T32-EXIT               </t>
  </si>
  <si>
    <t xml:space="preserve">              WHEN '005'</t>
  </si>
  <si>
    <t>PJG#1            MOVE NZ5PDU01-AGENT-POST-CODE    TO BGOW0008-CPOSTAL</t>
  </si>
  <si>
    <t xml:space="preserve">       P291-GRAVAR-REGISTO.</t>
  </si>
  <si>
    <t xml:space="preserve">           PERFORM X20-WRITE-QZOUTPUT       THRU X20-EXIT.</t>
  </si>
  <si>
    <t xml:space="preserve">                 MOVE W400-CODBAR             TO CODBAR                 </t>
  </si>
  <si>
    <t xml:space="preserve">                 SET CODBAR-VD-SONAE   TO TRUE</t>
  </si>
  <si>
    <t>PJG#1            MOVE NZ5PDU01-AGENT-NUM-TYPE     TO BGOW0008-TNUM-PORTA</t>
  </si>
  <si>
    <t xml:space="preserve">                 ADD 1                        TO CODBAR-NSEQ-DOC        </t>
  </si>
  <si>
    <t xml:space="preserve">      *    SET CODBAR-AG2-COND-PAR   TO TRUE</t>
  </si>
  <si>
    <t>PJG#1            MOVE NZ5PDU01-AGENT-NUM          TO BGOW0008-NUM-PORTA</t>
  </si>
  <si>
    <t xml:space="preserve">           COMPUTE CC-CODBAR-NLIN-DOC = CC-CODBAR-NLIN-DOC + 1</t>
  </si>
  <si>
    <t xml:space="preserve">       T30-EXIT.</t>
  </si>
  <si>
    <t xml:space="preserve">           MOVE 'X009'     TO CODBAR-COD-DOC</t>
  </si>
  <si>
    <t xml:space="preserve">                 SET CODBAR-MULTICARE  TO TRUE</t>
  </si>
  <si>
    <t xml:space="preserve">           MOVE CC-CODBAR-NLIN-DOC    TO CODBAR-NLIN-DOC</t>
  </si>
  <si>
    <t xml:space="preserve">               WHEN CODBAR-FIDMUNDIAL</t>
  </si>
  <si>
    <t xml:space="preserve">           WRITE RQZOUTPUT       FROM WORK-O-BGOW0014</t>
  </si>
  <si>
    <t xml:space="preserve">               WHEN CODBAR-IMPERIO</t>
  </si>
  <si>
    <t xml:space="preserve">              PERFORM T21-ESCREVE-AGENTE    THRU T21-EXIT               </t>
  </si>
  <si>
    <t xml:space="preserve">               WHEN CODBAR-ICI</t>
  </si>
  <si>
    <t xml:space="preserve">           MOVE SPACES                        TO WCODBAR-COD-POSTALC</t>
  </si>
  <si>
    <t xml:space="preserve">                 MOVE BGOW0008-MORADA1     TO X080BNCAB1-MD-MORADA1</t>
  </si>
  <si>
    <t xml:space="preserve">              DISPLAY 'PGOC011A: ERRO WRITE QZOUTPUT ' FSQZOUTPUT</t>
  </si>
  <si>
    <t xml:space="preserve">       T31-FORMAT-LETTER-LEASING SECTION.</t>
  </si>
  <si>
    <t xml:space="preserve">                  MOVE 'X002BNLOG1'           TO W800-CAB-LAYOUT</t>
  </si>
  <si>
    <t xml:space="preserve">              PERFORM VARYING W400-IND FROM 1 BY 1                      </t>
  </si>
  <si>
    <t xml:space="preserve">           MOVE BGOW0027-COD-POSTAL(1:4)      TO WCODBAR-COD-POSTALC1</t>
  </si>
  <si>
    <t xml:space="preserve">                 MOVE BGOW0008-MORADA2     TO X080BNCAB1-MD-MORADA2</t>
  </si>
  <si>
    <t xml:space="preserve">               WHEN CODBAR-VD-OK</t>
  </si>
  <si>
    <t xml:space="preserve">                UNTIL W400-IND &gt; 10                                     </t>
  </si>
  <si>
    <t xml:space="preserve">           MOVE BGOW0027-COD-POSTAL(6:3)      TO WCODBAR-COD-POSTALC2</t>
  </si>
  <si>
    <t xml:space="preserve">                 MOVE BGOW0008-MORADA3     TO X080BNCAB1-MD-MORADA3</t>
  </si>
  <si>
    <t xml:space="preserve">      *  FORMATA DADOS DA CARTA LEASING                             *</t>
  </si>
  <si>
    <t xml:space="preserve">                  MOVE 'X002BNLOG4'           TO W800-CAB-LAYOUT</t>
  </si>
  <si>
    <t xml:space="preserve">           IF WCODBAR-COD-POSTALC NOT =  SPACES</t>
  </si>
  <si>
    <t xml:space="preserve">                 MOVE BGOW0008-MORADA4     TO X080BNCAB1-MD-MORADA4</t>
  </si>
  <si>
    <t xml:space="preserve">               WHEN CODBAR-VD-SONAE</t>
  </si>
  <si>
    <t xml:space="preserve">                 MOVE NZ5B8U01-NOTICE-NUMBER(W400-IND)                  </t>
  </si>
  <si>
    <t xml:space="preserve">              IF WCODBAR-COD-POSTALC1 = '0000' OR</t>
  </si>
  <si>
    <t xml:space="preserve">                 MOVE BGOW0008-CBARRAS   TO X080BNCAB1-MD-ROYAL-MAIL-4S</t>
  </si>
  <si>
    <t xml:space="preserve">       P291-GRAVAR-REGISTO-EX.</t>
  </si>
  <si>
    <t xml:space="preserve">       T31-START.</t>
  </si>
  <si>
    <t xml:space="preserve">                  MOVE 'X002BNLOG5'           TO W800-CAB-LAYOUT</t>
  </si>
  <si>
    <t xml:space="preserve">                                              TO W800-NOTICE-NUMBER     </t>
  </si>
  <si>
    <t xml:space="preserve">                                        '8888' OR</t>
  </si>
  <si>
    <t xml:space="preserve">           MOVE SPACES                        TO W800-HD-ENT-TITULO1</t>
  </si>
  <si>
    <t xml:space="preserve">                 IF NZ5B8U01-START-DATE(W400-IND) NOT EQUAL SPACES      </t>
  </si>
  <si>
    <t xml:space="preserve">                                        '9999'</t>
  </si>
  <si>
    <t xml:space="preserve">                 STRING NZ5PDU01-AGENT-POST-CODE(1:4)</t>
  </si>
  <si>
    <t xml:space="preserve">                                                 W800-HD-ENT-TITULO2.</t>
  </si>
  <si>
    <t xml:space="preserve">                  MOVE SPACES                 TO W800-CAB-LAYOUT</t>
  </si>
  <si>
    <t xml:space="preserve">      *        *** FORMATA DATAS DO PERIODO 2 ***                       </t>
  </si>
  <si>
    <t xml:space="preserve">                 MOVE ZEROS  TO WCODBAR-COD-POSTALC</t>
  </si>
  <si>
    <t xml:space="preserve">                        NZ5PDU01-AGENT-POST-CODE(6:3)</t>
  </si>
  <si>
    <t xml:space="preserve">                    MOVE NZ5B8U01-START-DATE(W400-IND)(6:2)             </t>
  </si>
  <si>
    <t xml:space="preserve">                        DELIMITED BY SIZE   INTO WAUX-GUARDA-CPOSTALM</t>
  </si>
  <si>
    <t xml:space="preserve">           MOVE CODBAR-COMP-MARCA             TO W800-HD-ENT-COMP-MARC.</t>
  </si>
  <si>
    <t xml:space="preserve">           MOVE SPACES                        TO CODBAR-COD-INSERT.</t>
  </si>
  <si>
    <t xml:space="preserve">                 IF WCODBAR-COD-POSTALC2 = SPACES</t>
  </si>
  <si>
    <t>PJG#1 *    MOVE 1642     TO LINOUT-LEN.</t>
  </si>
  <si>
    <t xml:space="preserve">                    PERFORM D20-FRMT-DATA   THRU D20-EXIT               </t>
  </si>
  <si>
    <t xml:space="preserve">                    MOVE ZEROS TO WCODBAR-COD-POSTALC2</t>
  </si>
  <si>
    <t>PJG#1      MOVE 1655     TO LINOUT-LEN.</t>
  </si>
  <si>
    <t xml:space="preserve">           MOVE NZ44CU01-L-ADDRESSEE          TO W800-HD-ENT-NOME.</t>
  </si>
  <si>
    <t xml:space="preserve">                    STRING NZ5B8U01-START-DATE(W400-IND)(9:2) '-'       </t>
  </si>
  <si>
    <t xml:space="preserve">                           W400-MOUNTH-DESC(1:3) '-'                    </t>
  </si>
  <si>
    <t xml:space="preserve">       P2030-AGENT-DATA-EX.</t>
  </si>
  <si>
    <t xml:space="preserve">           MOVE NZ44CU01-L-ADDRESS-LINE-1     TO BGOW0008-MORADA1</t>
  </si>
  <si>
    <t xml:space="preserve">           IF W500-COUNT GREATER 30</t>
  </si>
  <si>
    <t xml:space="preserve">                           NZ5B8U01-START-DATE(W400-IND)(1:4)           </t>
  </si>
  <si>
    <t xml:space="preserve">           MOVE NZ44CU01-L-ADDRESS-LINE-2     TO BGOW0008-MORADA2</t>
  </si>
  <si>
    <t xml:space="preserve">              MOVE 'e nas pagina(s) seguinte(s):'</t>
  </si>
  <si>
    <t xml:space="preserve">                          DELIMITED BY SIZE INTO W400-START-DATE        </t>
  </si>
  <si>
    <t xml:space="preserve">           MOVE WCODBAR-COD-POSTALC           TO CODBAR-COD-POSTALC</t>
  </si>
  <si>
    <t xml:space="preserve">           MOVE NZ44CU01-L-ADDRESS-LINE-3     TO BGOW0008-MORADA3</t>
  </si>
  <si>
    <t xml:space="preserve">                                              TO W800-MORE-NOTICE-TEXT</t>
  </si>
  <si>
    <t xml:space="preserve">           MOVE BGOW0027-ENTIDADE             TO CODBAR-CLIENTE</t>
  </si>
  <si>
    <t xml:space="preserve">           MOVE NZ44CU01-L-ADDRESS-LINE-4     TO BGOW0008-MORADA4</t>
  </si>
  <si>
    <t xml:space="preserve">              MOVE 'Pagina: 1/2'              TO W800-PAGINA</t>
  </si>
  <si>
    <t xml:space="preserve">                    MOVE NZ5B8U01-END-DATE(W400-IND)(6:2)               </t>
  </si>
  <si>
    <t xml:space="preserve">       P2040-PAYMENT-DATA.</t>
  </si>
  <si>
    <t xml:space="preserve">           MOVE NZ44CU01-L-POST-CODE          TO BGOW0008-CPOSTAL</t>
  </si>
  <si>
    <t xml:space="preserve">           MOVE NZ44CU01-L-NUM-TYPE           TO BGOW0008-TNUM-PORTA</t>
  </si>
  <si>
    <t xml:space="preserve">              MOVE ':'                        TO W800-MORE-NOTICE-TEXT</t>
  </si>
  <si>
    <t xml:space="preserve">           MOVE NZ44CU01-L-NUM                TO BGOW0008-NUM-PORTA</t>
  </si>
  <si>
    <t xml:space="preserve">              MOVE SPACES                     TO W800-PAGINA</t>
  </si>
  <si>
    <t xml:space="preserve">                    STRING NZ5B8U01-END-DATE(W400-IND)(9:2) '-'         </t>
  </si>
  <si>
    <t xml:space="preserve">           MOVE BGOW0027-APOLICE-GRUPO        TO CODBAR-APOLICE</t>
  </si>
  <si>
    <t xml:space="preserve">            MOVE LENGTH OF CODBAR-APOLICE     TO AUX-LEN</t>
  </si>
  <si>
    <t xml:space="preserve">                 MOVE NZ5PDU01-I-REGM-D122  TO WAUX-GUARDA-REGIME</t>
  </si>
  <si>
    <t xml:space="preserve">       TRATA-PYOXAU03-BOLD.</t>
  </si>
  <si>
    <t xml:space="preserve">                           NZ5B8U01-END-DATE(W400-IND)(1:4)             </t>
  </si>
  <si>
    <t xml:space="preserve">            CALL 'PGOU001A' USING AUX-LEN, CODBAR-APOLICE</t>
  </si>
  <si>
    <t>#13   ***        Trata o IBAN e o SWIFT lidos no registo tipo A, porque</t>
  </si>
  <si>
    <t xml:space="preserve">           MOVE 'H41081' TO FONTE.</t>
  </si>
  <si>
    <t xml:space="preserve">           IF CODBAR-ONLINE</t>
  </si>
  <si>
    <t xml:space="preserve">                          DELIMITED BY SIZE INTO W400-END-DATE          </t>
  </si>
  <si>
    <t>#13   ***        o NIB vem neste registo tipo D.</t>
  </si>
  <si>
    <t xml:space="preserve">           MOVE BGOW0008-MORADA1              TO W800-HD-ENT-MORADA1.</t>
  </si>
  <si>
    <t xml:space="preserve">              MOVE 'X002BNCAB1'               TO W800-CAB-LAYOUT</t>
  </si>
  <si>
    <t xml:space="preserve">   #13*          IF NZ5PDU01-N-NIB NOT EQUAL SPACES</t>
  </si>
  <si>
    <t xml:space="preserve">           MOVE BGOW0008-MORADA2              TO W800-HD-ENT-MORADA2.</t>
  </si>
  <si>
    <t xml:space="preserve">                    STRING W400-START-DATE ' a ' W400-END-DATE          </t>
  </si>
  <si>
    <t xml:space="preserve">           SET CODBAR-AG2-GERAL9              TO TRUE</t>
  </si>
  <si>
    <t xml:space="preserve">   #13*            ADD 1                     TO XX</t>
  </si>
  <si>
    <t xml:space="preserve">           MOVE BGOW0008-MORADA3              TO W800-HD-ENT-MORADA3.</t>
  </si>
  <si>
    <t xml:space="preserve">                          DELIMITED BY SIZE INTO W800-PERIODO-2         </t>
  </si>
  <si>
    <t xml:space="preserve">           MOVE 'X002'                        TO CODBAR-COD-DOC</t>
  </si>
  <si>
    <t xml:space="preserve">   #13*            MOVE SPACES               TO X080-CHIP-FLD(XX)</t>
  </si>
  <si>
    <t xml:space="preserve">           MOVE BGOW0008-MORADA4              TO W800-HD-ENT-MORADA4.</t>
  </si>
  <si>
    <t xml:space="preserve">                 ELSE                                                   </t>
  </si>
  <si>
    <t xml:space="preserve">           MOVE '1301'                        TO CODBAR-IDENTIF-DOCUM</t>
  </si>
  <si>
    <t>#09   *            MOVE 'NIB:  '             TO X080-CHIP-FLD(XX)(1:6)</t>
  </si>
  <si>
    <t xml:space="preserve">           MOVE W800-CHIP-LETTER              TO W800-RESTO.</t>
  </si>
  <si>
    <t xml:space="preserve">                    MOVE SPACES               TO W800-PERIODO-2         </t>
  </si>
  <si>
    <t xml:space="preserve">           MOVE 'PGOC421A'                    TO CODBAR-PROGRAMA</t>
  </si>
  <si>
    <t>#09   *            MOVE NZ5PDU01-N-NIB(1:4)  TO X080-CHIP-FLD(XX)(7:4)</t>
  </si>
  <si>
    <t xml:space="preserve">           MOVE LENGTH OF W800-CHIP-LETTER    TO W400-QZOLEN.</t>
  </si>
  <si>
    <t xml:space="preserve">           MOVE SPACES                        TO CODBAR-F048-COND-GER</t>
  </si>
  <si>
    <t>#09   *            MOVE NZ5PDU01-N-NIB(5:4)  TO X080-CHIP-FLD(XX)(12:4)</t>
  </si>
  <si>
    <t xml:space="preserve">              MOVE BGOW0008-CBARRAS         TO W800-HD-ENT-ROYAL-MAIL-4S</t>
  </si>
  <si>
    <t xml:space="preserve">                 MOVE NZ5B8U01-AMOUNT(W400-IND)                         </t>
  </si>
  <si>
    <t xml:space="preserve">           MOVE BGOW0027-CERTIF-INDIV         TO CODBAR-ADERENTE</t>
  </si>
  <si>
    <t>#09   *                                         X080BNCAB1-COD-BALCAO</t>
  </si>
  <si>
    <t xml:space="preserve">                                              TO W800-AMOUNT            </t>
  </si>
  <si>
    <t>#09   *            MOVE NZ5PDU01-N-NIB(9:11) TO X080-CHIP-FLD(XX)(17:11)</t>
  </si>
  <si>
    <t xml:space="preserve">       TRATA-PYOXAU03-BOLD-EX.</t>
  </si>
  <si>
    <t xml:space="preserve">              MOVE SPACES                   TO W800-HD-ENT-ROYAL-MAIL-4S</t>
  </si>
  <si>
    <t xml:space="preserve">           STRING 'X002BNCHP' W800-TIPO-OVERLAY</t>
  </si>
  <si>
    <t>#09   *            MOVE NZ5PDU01-N-NIB(20:2) TO X080-CHIP-FLD(XX)(29:2)</t>
  </si>
  <si>
    <t xml:space="preserve">                          DELIMITED BY SIZE INTO W800-CAB-LAYOUT</t>
  </si>
  <si>
    <t xml:space="preserve">                 PERFORM T31-ESCREVE-LISTA  THRU T31-EXIT               </t>
  </si>
  <si>
    <t xml:space="preserve">           IF BGOW0027-DATA-ENVIO = SPACES</t>
  </si>
  <si>
    <t>#09#13*            MOVE 'NIB: '              TO X080-CHIP-FLD(XX)(1:5)</t>
  </si>
  <si>
    <t xml:space="preserve">           MOVE W800-PRINT-RECORD             TO W800-RESTO.</t>
  </si>
  <si>
    <t xml:space="preserve">              END-PERFORM                                               </t>
  </si>
  <si>
    <t xml:space="preserve">              MOVE FUNCTION CURRENT-DATE(01:08) TO W400-DT-ENV-2</t>
  </si>
  <si>
    <t>#09#13*            MOVE NZ5PDU01-N-NIB(1:4)  TO X080-CHIP-FLD(XX)(6:4)</t>
  </si>
  <si>
    <t xml:space="preserve">           MOVE BGOW0008-CPOSTAL              TO W800-HD-ENT-CPOSTAL.</t>
  </si>
  <si>
    <t xml:space="preserve">           MOVE LENGTH OF W800-PRINT-RECORD   TO W400-QZOLEN.</t>
  </si>
  <si>
    <t>#09#13*            MOVE NZ5PDU01-N-NIB(5:4)  TO X080-CHIP-FLD(XX)(11:4)</t>
  </si>
  <si>
    <t xml:space="preserve">           DISPLAY 'PGOC011A: PROGRAMA COM ERRO - ANALISAR MENSAGENS'</t>
  </si>
  <si>
    <t xml:space="preserve">           MOVE CODBAR-COD-DOC      TO W800-HD-ENT-IDENTIFICA-DOC (1:5)</t>
  </si>
  <si>
    <t xml:space="preserve">              MOVE BGOW0027-DATA-ENVIO    TO W400-DT-ENV-1</t>
  </si>
  <si>
    <t>#09#13*                                         X080BNCAB1-COD-BALCAO</t>
  </si>
  <si>
    <t xml:space="preserve">           MOVE W400-DATA-TIMESTAMP TO W800-HD-ENT-IDENTIFICA-DOC (6:19)</t>
  </si>
  <si>
    <t xml:space="preserve">       T30-EXIT.                                                        </t>
  </si>
  <si>
    <t xml:space="preserve">              MOVE W400-DD-ENV-1          TO W400-DD-ENV-2</t>
  </si>
  <si>
    <t>#09#13*            MOVE NZ5PDU01-N-NIB(9:11) TO X080-CHIP-FLD(XX)(16:11)</t>
  </si>
  <si>
    <t xml:space="preserve">           MOVE SPACES                        TO W800-HD-ENT-REGISTO-CTT</t>
  </si>
  <si>
    <t xml:space="preserve">           PERFORM T21-WRITE-NOTICE-LIST    THRU T21-EXIT</t>
  </si>
  <si>
    <t xml:space="preserve">              MOVE W400-MM-ENV-1          TO W400-MM-ENV-2</t>
  </si>
  <si>
    <t>#09#13*            MOVE NZ5PDU01-N-NIB(20:2) TO X080-CHIP-FLD(XX)(28:2)</t>
  </si>
  <si>
    <t xml:space="preserve">                                                 W800-HD-ENT-NUMERO-CTT.</t>
  </si>
  <si>
    <t xml:space="preserve">           VARYING W400-T FROM 1 BY 1</t>
  </si>
  <si>
    <t xml:space="preserve">              MOVE W400-AA-ENV-1          TO W400-AA-ENV-2</t>
  </si>
  <si>
    <t xml:space="preserve">   #13*          END-IF</t>
  </si>
  <si>
    <t xml:space="preserve">             UNTIL W400-T GREATER W500-COUNT</t>
  </si>
  <si>
    <t xml:space="preserve">      *          SET CODBAR-AG2-DC-CARTA   TO TRUE</t>
  </si>
  <si>
    <t>#13              MOVE SPACES                  TO W800-IBAN W800-SWIFT</t>
  </si>
  <si>
    <t xml:space="preserve">           MOVE NZ44CU01-POLICY-NUMBER        TO W800-LEASING-POLICY-NR</t>
  </si>
  <si>
    <t xml:space="preserve">                OR W400-INVOICE-NR(W400-T) EQUAL LOW-VALUES OR SPACES.</t>
  </si>
  <si>
    <t xml:space="preserve">       T31-ESCREVE-LISTA SECTION.                                       </t>
  </si>
  <si>
    <t xml:space="preserve">                 MOVE '1008'   TO CODBAR-IDENTIF-DOCUM</t>
  </si>
  <si>
    <t>#13              IF WAUX-IBAN NOT = SPACES</t>
  </si>
  <si>
    <t xml:space="preserve">                                                 W800-HD-ENT-APOLICE.</t>
  </si>
  <si>
    <t>#13                 MOVE WAUX-IBAN            TO W800-IBAN</t>
  </si>
  <si>
    <t xml:space="preserve">           IF W500-COUNT NOT GREATER 30</t>
  </si>
  <si>
    <t xml:space="preserve">      *  ESCREVE LAYOUTS PARA LISTA DO AGENTE                       *   </t>
  </si>
  <si>
    <t xml:space="preserve">                 IF RU-DOC-ID = '003' OR RU-DOC-ID = '   '</t>
  </si>
  <si>
    <t xml:space="preserve">             AT END</t>
  </si>
  <si>
    <t>#13                 MOVE WAUX-SWIFT           TO W800-SWIFT</t>
  </si>
  <si>
    <t xml:space="preserve">           MOVE SPACES                        TO W800-HD-ENT-ADERENTE</t>
  </si>
  <si>
    <t xml:space="preserve">              MOVE 'B_P_SELECT'               TO W800-CAB-LAYOUT</t>
  </si>
  <si>
    <t xml:space="preserve">                 DISPLAY 'ERRO NA BUSCA DE DATA'</t>
  </si>
  <si>
    <t>#13 ? *             IF WAUX-SWIFT NOT = SPACES</t>
  </si>
  <si>
    <t xml:space="preserve">                                                 W800-HD-ENT-BALCAO.</t>
  </si>
  <si>
    <t xml:space="preserve">              MOVE '00000'                    TO CODBAR-COD-INSERT</t>
  </si>
  <si>
    <t xml:space="preserve">       T31-START.                                                       </t>
  </si>
  <si>
    <t>#13 ? *                MOVE WAUX-SWIFT        TO W800-SWIFT</t>
  </si>
  <si>
    <t xml:space="preserve">              MOVE ZEROS                      TO W400-QZOLEN</t>
  </si>
  <si>
    <t xml:space="preserve">           MOVE 'X041BNLSTA'                  TO W800-CAB-LAYOUT.       </t>
  </si>
  <si>
    <t xml:space="preserve">             WHEN W400-NUM-MOUNTH(INDICE) EQUAL W400-DT-ENV-2(05:02)</t>
  </si>
  <si>
    <t>#13 ? *             ELSE</t>
  </si>
  <si>
    <t xml:space="preserve">           MOVE W800-OUTPUT-NOTICE            TO W800-RESTO.            </t>
  </si>
  <si>
    <t xml:space="preserve">             STRING W400-DT-ENV-2(07:02) DELIMITED BY SIZE</t>
  </si>
  <si>
    <t>#13 ? *                IF NZ5PDU01-N-NIB NOT = SPACES</t>
  </si>
  <si>
    <t xml:space="preserve">           PERFORM D20-FRMT-DATA-ANUL       THRU D20-EXIT</t>
  </si>
  <si>
    <t xml:space="preserve">           MOVE LENGTH OF W800-OUTPUT-NOTICE  TO W400-QZOLEN.           </t>
  </si>
  <si>
    <t xml:space="preserve">                  ' de ' DELIMITED BY SIZE</t>
  </si>
  <si>
    <t>#13 ? *                   MOVE NZ5PDU01-N-NIB TO BGOW0031-NIB</t>
  </si>
  <si>
    <t xml:space="preserve">                  W400-DESCRIPTION(INDICE) DELIMITED BY SPACES</t>
  </si>
  <si>
    <t>#13 ? *                   CALL 'PYOXAU09'     USING PYOXAU09-COMM</t>
  </si>
  <si>
    <t xml:space="preserve">           IF W500-COUNT GREATER 191</t>
  </si>
  <si>
    <t>#13 ? *                   IF BGOW0031-RETCODE = SPACES</t>
  </si>
  <si>
    <t xml:space="preserve">              DISPLAY 'ATINGIU LIMITE DE ESCRITA DE RECIBOS!'</t>
  </si>
  <si>
    <t xml:space="preserve">       T31-EXIT.                                                        </t>
  </si>
  <si>
    <t xml:space="preserve">                  W400-DT-ENV-2(01:04) DELIMITED BY SIZE</t>
  </si>
  <si>
    <t>#13 ? *                      MOVE BGOW0031-BIC-PART TO W800-SWIFT</t>
  </si>
  <si>
    <t xml:space="preserve">                  DELIMITED BY SIZE</t>
  </si>
  <si>
    <t xml:space="preserve">                                       INTO W400-PROCESS-DATE</t>
  </si>
  <si>
    <t>#13 ? *                   END-IF</t>
  </si>
  <si>
    <t xml:space="preserve">             INTO W800-LEASING-CAN-EFF-DATE.</t>
  </si>
  <si>
    <t>#13 ? *                END-IF</t>
  </si>
  <si>
    <t>#13 ? *             END-IF</t>
  </si>
  <si>
    <t xml:space="preserve">           INITIALIZE W400-PRINT-INVOICE.</t>
  </si>
  <si>
    <t xml:space="preserve">       T32-CARTA-CORTESIA SECTION.                                      </t>
  </si>
  <si>
    <t>#13              ELSE</t>
  </si>
  <si>
    <t xml:space="preserve">              MOVE 'SEM MATRÍCULA'            TO W800-LEASING-VEH-REG-NR</t>
  </si>
  <si>
    <t xml:space="preserve">           MOVE ZEROS                         TO W500-COUNT.</t>
  </si>
  <si>
    <t>#13                 IF NZ5PDU01-N-NIB NOT = SPACES</t>
  </si>
  <si>
    <t xml:space="preserve">      *  ESCREVE LAYOUTS PARA CARTA CORTESIA AO MEDIADOR            *   </t>
  </si>
  <si>
    <t xml:space="preserve">           MOVE CODBAR-TIMESTAMP(07:02)       TO W-AUX-TSDIA</t>
  </si>
  <si>
    <t>#13                    MOVE NZ5PDU01-N-NIB    TO BGOW0031-NIB</t>
  </si>
  <si>
    <t xml:space="preserve">              MOVE NZ44CU01-VEH-REG-NUMBER    TO W800-LEASING-VEH-REG-NR</t>
  </si>
  <si>
    <t xml:space="preserve">       T20-EXIT.</t>
  </si>
  <si>
    <t xml:space="preserve">           MOVE CODBAR-TIMESTAMP(05:02)       TO W-AUX-TSMES</t>
  </si>
  <si>
    <t>#13                    CALL 'PYOXAU09'        USING PYOXAU09-COMM</t>
  </si>
  <si>
    <t xml:space="preserve">       T32-START.                                                       </t>
  </si>
  <si>
    <t xml:space="preserve">           MOVE CODBAR-TIMESTAMP(01:04)       TO W-AUX-TSANO</t>
  </si>
  <si>
    <t>#13                    IF BGOW0031-RETCODE = SPACES</t>
  </si>
  <si>
    <t xml:space="preserve">           SET CODBAR-AG1-NE-CARTA            TO TRUE.                  </t>
  </si>
  <si>
    <t xml:space="preserve">           MOVE CODBAR-TIMESTAMP(09:02)       TO W-AUX-TSHH</t>
  </si>
  <si>
    <t>#13                       MOVE BGOW0031-IBAN  TO W800-IBAN</t>
  </si>
  <si>
    <t xml:space="preserve">           MOVE SPACES                      TO W800-HD-ENT-TEXTO-LIVRE.</t>
  </si>
  <si>
    <t xml:space="preserve">           SET CODBAR-AG2-NE-CARTA            TO TRUE.                  </t>
  </si>
  <si>
    <t xml:space="preserve">           MOVE CODBAR-TIMESTAMP(11:02)       TO W-AUX-TSMM</t>
  </si>
  <si>
    <t>#13                       MOVE BGOW0031-BIC-PART TO W800-SWIFT</t>
  </si>
  <si>
    <t xml:space="preserve">       T21-WRITE-NOTICE-LIST SECTION.</t>
  </si>
  <si>
    <t xml:space="preserve">           MOVE 'X003'                        TO CODBAR-COD-DOC.        </t>
  </si>
  <si>
    <t xml:space="preserve">           MOVE CODBAR-TIMESTAMP(13:02)       TO W-AUX-TSSS.</t>
  </si>
  <si>
    <t>#13                    ELSE</t>
  </si>
  <si>
    <t xml:space="preserve">       T31-EXIT.</t>
  </si>
  <si>
    <t xml:space="preserve">           MOVE '1001'                        TO CODBAR-IDENTIF-DOCUM.  </t>
  </si>
  <si>
    <t xml:space="preserve">       FORMATA-BGOW0001-EX. EXIT.</t>
  </si>
  <si>
    <t>#13                       IF WAUX-SWIFT NOT = SPACES</t>
  </si>
  <si>
    <t xml:space="preserve">      *  ESCREVE A LISTA DE RECIBOS DA CARTA CHIP                   *</t>
  </si>
  <si>
    <t xml:space="preserve">           MOVE SPACES                        TO CODBAR-COD-POSTALC     </t>
  </si>
  <si>
    <t>#13                          MOVE WAUX-SWIFT  TO W800-SWIFT</t>
  </si>
  <si>
    <t xml:space="preserve">                                                 CODBAR-CLIENTE         </t>
  </si>
  <si>
    <t>#13                       END-IF</t>
  </si>
  <si>
    <t xml:space="preserve">       T21-START.</t>
  </si>
  <si>
    <t xml:space="preserve">                                                 CODBAR-PRODUTO         </t>
  </si>
  <si>
    <t>#13                    END-IF</t>
  </si>
  <si>
    <t xml:space="preserve">       T40-FORMAT-REG4 SECTION.</t>
  </si>
  <si>
    <t xml:space="preserve">           EVALUATE W400-T</t>
  </si>
  <si>
    <t>#13                 END-IF</t>
  </si>
  <si>
    <t xml:space="preserve">              WHEN 1</t>
  </si>
  <si>
    <t xml:space="preserve">           DISPLAY 'PGOC421A: PROGRAMA COM ERRO - ANALISAR MENSAGENS'</t>
  </si>
  <si>
    <t>#13              END-IF</t>
  </si>
  <si>
    <t xml:space="preserve">      *  FORMATA DADOS DO REGISTO TIPO 4                            *</t>
  </si>
  <si>
    <t xml:space="preserve">                 SET W100-LISTA-ESQ           TO TRUE</t>
  </si>
  <si>
    <t xml:space="preserve">           CALL 'ILBOABN0' USING CAMPO-DUMP.</t>
  </si>
  <si>
    <t>#13   ***     Aqui verifica se o IBAN ou o SWIFT estão preenchidos,</t>
  </si>
  <si>
    <t xml:space="preserve">       FIM-ANORMAL-EX.</t>
  </si>
  <si>
    <t>#13   ***     para construir linha no papel.</t>
  </si>
  <si>
    <t xml:space="preserve">       T40-START.</t>
  </si>
  <si>
    <t xml:space="preserve">                 MOVE 'X002BNPOS3'            TO W800-CAB-LAYOUT</t>
  </si>
  <si>
    <t>#13              IF W800-IBAN NOT = SPACES OR W800-SWIFT NOT = SPACES</t>
  </si>
  <si>
    <t xml:space="preserve">           MOVE W400-VEH-REG-NR               TO W800-VEH-REG-NUMBER.</t>
  </si>
  <si>
    <t xml:space="preserve">                 MOVE SPACES                  TO CODBAR-COD-INSERT</t>
  </si>
  <si>
    <t>#13                 ADD 1                     TO XX</t>
  </si>
  <si>
    <t xml:space="preserve">           MOVE SPACES                        TO W800-OCCURRENCE-NUMBER.</t>
  </si>
  <si>
    <t xml:space="preserve">                 MOVE ZEROS                   TO W400-QZOLEN</t>
  </si>
  <si>
    <t>#13                 MOVE SPACES               TO X080-CHIP-FLD(XX)</t>
  </si>
  <si>
    <t xml:space="preserve">                 PERFORM X20-WRITE-QZOUTPUT THRU X20-EXIT</t>
  </si>
  <si>
    <t>#13   ***           Verifica se é um IBAN português, senão move espaços</t>
  </si>
  <si>
    <t xml:space="preserve">              WHEN 16</t>
  </si>
  <si>
    <t>#13                 IF W800-IBAN(1:4) = 'PT50'</t>
  </si>
  <si>
    <t xml:space="preserve">           IF NZ44CU01-OCCURRENCE-NUMBER(1) EQUAL SPACES</t>
  </si>
  <si>
    <t xml:space="preserve">                 SET W100-LISTA-DIR           TO TRUE</t>
  </si>
  <si>
    <t>#13                    MOVE W800-IBAN(9:4)    TO X080BNCAB1-COD-BALCAO</t>
  </si>
  <si>
    <t xml:space="preserve">              MOVE W600-FORMAT-HEADER-NO      TO W800-OCCUR-TEXT</t>
  </si>
  <si>
    <t>#13                 ELSE</t>
  </si>
  <si>
    <t xml:space="preserve">              MOVE SPACES                     TO W800-OCCURRENCE-TABLE</t>
  </si>
  <si>
    <t xml:space="preserve">                 MOVE 'X002BNPOS4'            TO W800-CAB-LAYOUT</t>
  </si>
  <si>
    <t>#13                    MOVE SPACES            TO X080BNCAB1-COD-BALCAO</t>
  </si>
  <si>
    <t xml:space="preserve">              PERFORM VARYING W400-IND FROM 1 BY 1</t>
  </si>
  <si>
    <t>#13                 STRING 'IBAN: ' W800-IBAN '  BIC SWIFT: ' W800-SWIFT</t>
  </si>
  <si>
    <t xml:space="preserve">                 UNTIL W400-IND GREATER 6</t>
  </si>
  <si>
    <t xml:space="preserve">                  MOVE 'X001BNLOG7'           TO W800-CAB-LAYOUT        </t>
  </si>
  <si>
    <t>#13                       DELIMITED BY SIZE INTO X080-CHIP-FLD(XX)</t>
  </si>
  <si>
    <t xml:space="preserve">                    OR NZ44CU01-OCCURRENCE-NUMBER(W400-IND)</t>
  </si>
  <si>
    <t xml:space="preserve">              WHEN 31</t>
  </si>
  <si>
    <t>#13                 END-STRING</t>
  </si>
  <si>
    <t xml:space="preserve">                                                       EQUAL SPACES</t>
  </si>
  <si>
    <t xml:space="preserve">                 MOVE 'B_P_SELECT'            TO W800-CAB-LAYOUT</t>
  </si>
  <si>
    <t xml:space="preserve">                  MOVE NZ44CU01-DATE-OCCURRED(W400-IND)</t>
  </si>
  <si>
    <t xml:space="preserve">                                              TO W400-OCCUR-DATE</t>
  </si>
  <si>
    <t>APUHL *==============================================================</t>
  </si>
  <si>
    <t xml:space="preserve">                 EVALUATE NZ5PDU01-I-REGM-D122</t>
  </si>
  <si>
    <t xml:space="preserve">                  MOVE W400-OCCUR-DATE     TO W800-OCCUR-DATE(W400-IND)</t>
  </si>
  <si>
    <t xml:space="preserve">                    WHEN 'E'</t>
  </si>
  <si>
    <t xml:space="preserve">                  MOVE W400-IND               TO W800-OCCUR-NUMBER</t>
  </si>
  <si>
    <t xml:space="preserve">                       MOVE 'E'               TO WAUX-GUARDA-REGIME</t>
  </si>
  <si>
    <t xml:space="preserve">              END-PERFORM</t>
  </si>
  <si>
    <t xml:space="preserve">                 MOVE 'X002BNBACK'            TO W800-CAB-LAYOUT</t>
  </si>
  <si>
    <t xml:space="preserve">           MOVE CODBAR-COMP-MARCA             TO W800-COMP-MARC.        </t>
  </si>
  <si>
    <t xml:space="preserve">                       MOVE 'G'               TO WAUX-GUARDA-REGIME</t>
  </si>
  <si>
    <t xml:space="preserve">           MOVE CODBAR-COD-DOC          TO W800-LT-IDENTIFICA-DOC(1:5)  </t>
  </si>
  <si>
    <t xml:space="preserve">      *** COMPLETA CERTIFICADO TARIFACAO COM NR OCORRENCIAS ***</t>
  </si>
  <si>
    <t xml:space="preserve">           MOVE W400-DATA-TIMESTAMP     TO W800-LT-IDENTIFICA-DOC(6:19) </t>
  </si>
  <si>
    <t xml:space="preserve">                 STRING NZ5PDU01-Z-INIC-PAG-RCIB DELIMITED BY SIZE</t>
  </si>
  <si>
    <t xml:space="preserve">           MOVE 'X007BNNCD1'                  TO W800-CAB-LAYOUT.</t>
  </si>
  <si>
    <t xml:space="preserve">           MOVE 'X001BNCAB1'                  TO W800-CAB-LAYOUT.       </t>
  </si>
  <si>
    <t xml:space="preserve">                    ' a ' NZ5PDU01-Z-LIM-PAG-RCIB DELIMITED BY SIZE</t>
  </si>
  <si>
    <t xml:space="preserve">           MOVE W800-OCCURRENCE-NUMBER        TO W800-RESTO.</t>
  </si>
  <si>
    <t xml:space="preserve">           MOVE W800-OUTPUT-CRT-AGT           TO W800-RESTO.            </t>
  </si>
  <si>
    <t xml:space="preserve">                   INTO X080BNCTAD-PERIODO-1</t>
  </si>
  <si>
    <t xml:space="preserve">           MOVE LENGTH OF W800-OCCURRENCE-NUMBER</t>
  </si>
  <si>
    <t xml:space="preserve">           MOVE LENGTH OF W800-OUTPUT-CRT-AGT TO W400-QZOLEN.           </t>
  </si>
  <si>
    <t xml:space="preserve">                                              TO W400-QZOLEN.</t>
  </si>
  <si>
    <t xml:space="preserve">                 MOVE 'X002BNPOS5'            TO W800-CAB-LAYOUT</t>
  </si>
  <si>
    <t>APUHL *#06 MOVE LENGTH OF CODBAR-COD-POSTALC  TO AUX-LEN</t>
  </si>
  <si>
    <t xml:space="preserve">                 MOVE NZ5PDU01-M-RECIBO       TO WAUX-VALOR-AMOUNT</t>
  </si>
  <si>
    <t>APUHL *#06 CALL</t>
  </si>
  <si>
    <t xml:space="preserve">                                                 X080BNCTAD-VALOR-AMOUNT</t>
  </si>
  <si>
    <t xml:space="preserve">           MOVE W800-DATA-DOC(9:23)           TO W800-DATADODIA.        </t>
  </si>
  <si>
    <t>APUHL *#06    'PGOU001A' USING  AUX-LEN, CODBAR-COD-POSTALC</t>
  </si>
  <si>
    <t xml:space="preserve">                 MOVE NZ5PDU01-PENALTY        TO WAUX-PENALTY-AMOUNT</t>
  </si>
  <si>
    <t xml:space="preserve">      *** COMPLETA CERTIFICADO TARIFACAO COM DATAS OCORRENCIAS ***</t>
  </si>
  <si>
    <t>APUHL *#06 END-CALL</t>
  </si>
  <si>
    <t xml:space="preserve">                                               X080BNCTAD-PENALTY-AMOUNT</t>
  </si>
  <si>
    <t xml:space="preserve">           MOVE 'X007BNNCD2'                  TO W800-CAB-LAYOUT.</t>
  </si>
  <si>
    <t xml:space="preserve">              WHEN 111</t>
  </si>
  <si>
    <t xml:space="preserve">              WHEN CODBAR-FIDMUNDIAL                                    </t>
  </si>
  <si>
    <t xml:space="preserve">                 COMPUTE WAUX-TOTAL-AMOUNT = WAUX-VALOR-AMOUNT +</t>
  </si>
  <si>
    <t xml:space="preserve">           MOVE W800-OCCURRENCE-TABLE         TO W800-RESTO.</t>
  </si>
  <si>
    <t xml:space="preserve">#01           WHEN CODBAR-IMPERIO                                       </t>
  </si>
  <si>
    <t xml:space="preserve">                                             WAUX-PENALTY-AMOUNT</t>
  </si>
  <si>
    <t xml:space="preserve">           MOVE LENGTH OF W800-OCCURRENCE-TABLE</t>
  </si>
  <si>
    <t xml:space="preserve">#01           WHEN CODBAR-ICI                                           </t>
  </si>
  <si>
    <t xml:space="preserve">                 MOVE WAUX-TOTAL-AMOUNT       TO X080BNCTAD-TOTAL-AMOUNT</t>
  </si>
  <si>
    <t xml:space="preserve">                 MOVE 'X002BNPOS6'            TO W800-CAB-LAYOUT</t>
  </si>
  <si>
    <t xml:space="preserve">                 MOVE 'X001BNCM01'            TO W800-CAB-LAYOUT        </t>
  </si>
  <si>
    <t xml:space="preserve">#01   *       WHEN CODBAR-IMPERIO                                       </t>
  </si>
  <si>
    <t xml:space="preserve">#01   *       WHEN CODBAR-ICI                                           </t>
  </si>
  <si>
    <t xml:space="preserve">       P2040-PAYMENT-DATA-EX.</t>
  </si>
  <si>
    <t xml:space="preserve">       T40-EXIT.</t>
  </si>
  <si>
    <t xml:space="preserve">#01   *          MOVE 'X001BNCM02'            TO W800-CAB-LAYOUT        </t>
  </si>
  <si>
    <t xml:space="preserve">           MOVE W800-OUTPUT-DATA              TO W800-RESTO.            </t>
  </si>
  <si>
    <t xml:space="preserve">       P2050-OBJECTO-DATA.</t>
  </si>
  <si>
    <t xml:space="preserve">           MOVE W400-INVOICE-NR(W400-T)       TO W800-INVOICE-NR.</t>
  </si>
  <si>
    <t xml:space="preserve">           MOVE LENGTH OF W800-OUTPUT-DATA    TO W400-QZOLEN.           </t>
  </si>
  <si>
    <t xml:space="preserve">       T50-FORMAT-REG5 SECTION.</t>
  </si>
  <si>
    <t xml:space="preserve">           MOVE W400-DATA-INI-FIM(W400-T)     TO W800-START-END-DATE.</t>
  </si>
  <si>
    <t xml:space="preserve">       P110-PREENCHE-CODBARF-EX.</t>
  </si>
  <si>
    <t xml:space="preserve">           MOVE W400-INVOICE-VLR(W400-T)      TO W800-INVOICE-VLR.</t>
  </si>
  <si>
    <t xml:space="preserve">      *  FORMATA DADOS DO REGISTO TIPO 5                            *</t>
  </si>
  <si>
    <t xml:space="preserve">       T32-EXIT.                                                        </t>
  </si>
  <si>
    <t xml:space="preserve">           STRING 'X002BNLST' W100-LISTA</t>
  </si>
  <si>
    <t>#11   *   E o Risco Seguro vem preenchido no registo E - Dados Objecto</t>
  </si>
  <si>
    <t xml:space="preserve">       T50-START.</t>
  </si>
  <si>
    <t xml:space="preserve">                          DELIMITED BY SIZE INTO W800-CAB-LAYOUT.</t>
  </si>
  <si>
    <t>#11              IF X080BNENTI-OBJECTO-DESC NOT = SPACES</t>
  </si>
  <si>
    <t xml:space="preserve">           MOVE W800-PRINT-INVOICE            TO W800-RESTO.</t>
  </si>
  <si>
    <t>#11                 MOVE X080BNENTI-OBJECTO-DESC TO X080BNENTI-NIF-LINE</t>
  </si>
  <si>
    <t xml:space="preserve">      *** NOTA: O REC-TYPE 5 VEM SEMPRE NA FRENTE DO 4 NO FICHEIRO ***</t>
  </si>
  <si>
    <t xml:space="preserve">           MOVE LENGTH OF W800-PRINT-INVOICE  TO W400-QZOLEN.</t>
  </si>
  <si>
    <t>#11              END-IF</t>
  </si>
  <si>
    <t xml:space="preserve">      ***       PORQUE O REC-TYPE-5 = '4' E REC-TYPE-4 = '5'       ***</t>
  </si>
  <si>
    <t xml:space="preserve">       X10-READ-QZINPUT SECTION.                                        </t>
  </si>
  <si>
    <t xml:space="preserve">              MOVE 'X009BNLOG4'            TO NOME-O-LAYOUT</t>
  </si>
  <si>
    <t xml:space="preserve">                 MOVE SPACES                  TO X080BNENTI-OBJECTO-DESC</t>
  </si>
  <si>
    <t xml:space="preserve">           MOVE NZ44CU01-T-LICENSE-NUMBER-25  TO W400-VEH-REG-NR.</t>
  </si>
  <si>
    <t xml:space="preserve">              PERFORM P290-GRAVAR-REGISTO  THRU P290-GRAVAR-REGISTO-EX</t>
  </si>
  <si>
    <t xml:space="preserve">              MOVE LENGTH OF LX009BNLOG4-O TO QZOLEN</t>
  </si>
  <si>
    <t xml:space="preserve">                 STRING 'Risco Seguro: '</t>
  </si>
  <si>
    <t xml:space="preserve">       T21-EXIT.</t>
  </si>
  <si>
    <t xml:space="preserve">      *  LEITURA DO FICHEIRO DE INPUT                               *   </t>
  </si>
  <si>
    <t xml:space="preserve">                        NZ5PDU01-X-LVRE-1(1:25) DELIMITED BY '  '</t>
  </si>
  <si>
    <t xml:space="preserve">       T50-EXIT.</t>
  </si>
  <si>
    <t xml:space="preserve">                        '  -  '</t>
  </si>
  <si>
    <t xml:space="preserve">       X10-START.                                                       </t>
  </si>
  <si>
    <t xml:space="preserve">           IF RU-M-FIDELIDADEMUNDIAL OR RU-M-FMLEVE</t>
  </si>
  <si>
    <t xml:space="preserve">                        NZ5PDU01-X-LVRE-1(26:15) DELIMITED BY '  '</t>
  </si>
  <si>
    <t xml:space="preserve">           INITIALIZE WORK-INPUT.                                       </t>
  </si>
  <si>
    <t xml:space="preserve">           IF RU-M-FIDELIDADEMUNDIAL</t>
  </si>
  <si>
    <t xml:space="preserve">                        INTO X080BNENTI-OBJECTO-DESC</t>
  </si>
  <si>
    <t xml:space="preserve">              MOVE LENGTH OF LX002BNLOG1-O TO QZOLEN</t>
  </si>
  <si>
    <t xml:space="preserve">              MOVE 'X009BNLOG1'            TO NOME-O-LAYOUT</t>
  </si>
  <si>
    <t xml:space="preserve">           READ QZINPUT.                                                </t>
  </si>
  <si>
    <t xml:space="preserve">              MOVE LENGTH OF LX009BNLOG1-O TO QZOLEN</t>
  </si>
  <si>
    <t xml:space="preserve">       P00-TRATA-PARM SECTION.</t>
  </si>
  <si>
    <t xml:space="preserve">           IF W400-ST-QZINPUT-OK                                        </t>
  </si>
  <si>
    <t xml:space="preserve">       P2050-OBJECTO-DATA-EX.</t>
  </si>
  <si>
    <t xml:space="preserve">              COMPUTE W500-REG-LIDOS = W500-REG-LIDOS + 1               </t>
  </si>
  <si>
    <t xml:space="preserve">           IF RU-M-FMLEVE</t>
  </si>
  <si>
    <t xml:space="preserve">       P00-START.</t>
  </si>
  <si>
    <t xml:space="preserve">           INITIALIZE WORK-INPUT.</t>
  </si>
  <si>
    <t xml:space="preserve">              MOVE QZINPUT-RECORD             TO NZ5B8U01-PRINT-RECORD  </t>
  </si>
  <si>
    <t xml:space="preserve">              MOVE 'X009BNLOGD'            TO NOME-O-LAYOUT</t>
  </si>
  <si>
    <t xml:space="preserve">       P2060-LISTA-DATA.</t>
  </si>
  <si>
    <t xml:space="preserve">              MOVE LENGTH OF LX009BNLOGD-O TO QZOLEN</t>
  </si>
  <si>
    <t xml:space="preserve">           READ QZINPUT.</t>
  </si>
  <si>
    <t xml:space="preserve">AQUI          IF NZ5B8U01-NOTICE-BASIC-DATA                             </t>
  </si>
  <si>
    <t xml:space="preserve">           MOVE 'S'                           TO WAUX-TEM-LISTA</t>
  </si>
  <si>
    <t xml:space="preserve">                 PERFORM D10-VALIDA-PARM    THRU D10-EXIT               </t>
  </si>
  <si>
    <t xml:space="preserve">AQUI          END-IF                                                    </t>
  </si>
  <si>
    <t xml:space="preserve">           IF RU-M-IMPERIOBONANCA OR RU-M-IBLEVE</t>
  </si>
  <si>
    <t xml:space="preserve">              IF NOT W400-ST-QZINPUT-FIM                                </t>
  </si>
  <si>
    <t xml:space="preserve">              MOVE LENGTH OF LX002BNLOG2-O TO QZOLEN</t>
  </si>
  <si>
    <t xml:space="preserve">              MOVE 'X009BNLOG5'            TO NOME-O-LAYOUT</t>
  </si>
  <si>
    <t xml:space="preserve">                 PERFORM P2063-LISTA        THRU P2063-LISTA-EX</t>
  </si>
  <si>
    <t xml:space="preserve">              MOVE QZINPUT-SORT-KEY           TO NY5BAU01-SORT-KEY</t>
  </si>
  <si>
    <t xml:space="preserve">                 DISPLAY 'ERRO READ &lt;FICH QZINPUT&gt;..: ' W400-ST-QZINPUT </t>
  </si>
  <si>
    <t xml:space="preserve">              MOVE LENGTH OF LX009BNLOG5-O TO QZOLEN</t>
  </si>
  <si>
    <t xml:space="preserve">                 VARYING S FROM 1 BY 1</t>
  </si>
  <si>
    <t xml:space="preserve">                 PERFORM Z10-CALL-ABEND                                 </t>
  </si>
  <si>
    <t xml:space="preserve">                   UNTIL NZ5PDU01-INVOICE-NUMBER(S) EQUAL SPACES</t>
  </si>
  <si>
    <t xml:space="preserve">                     MOVE QZINPUT-DADOS       TO NY5BAU01-LINE-1</t>
  </si>
  <si>
    <t xml:space="preserve">           IF RU-SEG-VIA</t>
  </si>
  <si>
    <t xml:space="preserve">              MOVE '2ª VIA'                TO X002BNCAB1-O-TITULO2</t>
  </si>
  <si>
    <t xml:space="preserve">           IF RU-M-IMPERIOBONANCA</t>
  </si>
  <si>
    <t xml:space="preserve">       P2060-LISTA-DATA-EX.</t>
  </si>
  <si>
    <t xml:space="preserve">                     MOVE QZINPUT-DADOS       TO NY5BAU01-LINE-2</t>
  </si>
  <si>
    <t xml:space="preserve">       X10-EXIT.                                                        </t>
  </si>
  <si>
    <t xml:space="preserve">              MOVE 'X009BNLOG2'            TO NOME-O-LAYOUT</t>
  </si>
  <si>
    <t xml:space="preserve">              MOVE LENGTH OF LX009BNLOG2-O TO QZOLEN</t>
  </si>
  <si>
    <t xml:space="preserve">                     MOVE QZINPUT-DADOS       TO NY5BAU01-LINE-3</t>
  </si>
  <si>
    <t xml:space="preserve">       P2063-LISTA.</t>
  </si>
  <si>
    <t xml:space="preserve">       X20-WRITE-QZOUTPUT SECTION.                                      </t>
  </si>
  <si>
    <t xml:space="preserve">           COMPUTE GL = GL + 1</t>
  </si>
  <si>
    <t xml:space="preserve">              PERFORM D10-VALIDA-PARM       THRU D10-EXIT</t>
  </si>
  <si>
    <t xml:space="preserve">           IF RU-M-IBLEVE</t>
  </si>
  <si>
    <t xml:space="preserve">           MOVE NZ5PDU01-INVOICE-NUMBER(S)    TO W400-INVOICE-NUMBER(GL)</t>
  </si>
  <si>
    <t xml:space="preserve">      *  ESCREVE FICHEIRO DE OUTPUT                                 *   </t>
  </si>
  <si>
    <t xml:space="preserve">              MOVE 'X009BNLOGE'            TO NOME-O-LAYOUT</t>
  </si>
  <si>
    <t xml:space="preserve">              IF NOT W400-ST-QZINPUT-FIM</t>
  </si>
  <si>
    <t xml:space="preserve">           MOVE ZEROS TO BGOW0008-CPOSTAL</t>
  </si>
  <si>
    <t xml:space="preserve">              MOVE LENGTH OF LX009BNLOGE-O TO QZOLEN</t>
  </si>
  <si>
    <t xml:space="preserve">           MOVE NZ5PDU01-INVOICE-END-DATE(S)(1:4) TO WAUX-DATA-CALC(1:4)</t>
  </si>
  <si>
    <t xml:space="preserve">                 DISPLAY 'ERRO READ &lt;FICH QZINPUT&gt;..: ' W400-ST-QZINPUT</t>
  </si>
  <si>
    <t xml:space="preserve">       X20-START.                                                       </t>
  </si>
  <si>
    <t xml:space="preserve">           IF   RU-COD-POSTALM EQUAL TO SPACES</t>
  </si>
  <si>
    <t xml:space="preserve">           MOVE NZ5PDU01-INVOICE-END-DATE(S)(6:2) TO WAUX-DATA-CALC(5:2)</t>
  </si>
  <si>
    <t xml:space="preserve">                 PERFORM Z10-CALL-ABEND</t>
  </si>
  <si>
    <t xml:space="preserve">           COMPUTE CODBAR-NLIN-DOC = CODBAR-NLIN-DOC + 1.               </t>
  </si>
  <si>
    <t xml:space="preserve">              MOVE RU-COD-POSTALC(3:4) TO BGOW0008-CPOSTAL(1:4)</t>
  </si>
  <si>
    <t xml:space="preserve">           MOVE NZ5PDU01-INVOICE-END-DATE(S)(9:2) TO WAUX-DATA-CALC(7:2)</t>
  </si>
  <si>
    <t xml:space="preserve">              MOVE ZERO                TO BGOW0008-CPOSTAL(5:1)</t>
  </si>
  <si>
    <t xml:space="preserve">           WRITE QZOUTPUT-RECORD            FROM W800-OUTPUT-AREA.      </t>
  </si>
  <si>
    <t xml:space="preserve">              MOVE RU-COD-POSTALC(7:3) TO BGOW0008-CPOSTAL(6:3)</t>
  </si>
  <si>
    <t>PJG#2      IF WAUX-MHS EQUAL 'N'</t>
  </si>
  <si>
    <t>FLCM1      IF RU-M-CXPOUPANCA</t>
  </si>
  <si>
    <t>PJG#3         COMPUTE WAUX-RESULT-DATA = FUNCTION DATE-OF-INTEGER</t>
  </si>
  <si>
    <t xml:space="preserve">              IF   RU-COD-POSTALC EQUAL TO SPACES</t>
  </si>
  <si>
    <t>FLCM1         MOVE 'X009BNLOG9'            TO NOME-O-LAYOUT</t>
  </si>
  <si>
    <t>PJG#3            (FUNCTION INTEGER-OF-DATE (WAUX-DATA-CALC) - 1)</t>
  </si>
  <si>
    <t xml:space="preserve">              DISPLAY 'ERRO WRITE &lt;FICH QZOUTPUT&gt;..: ' W400-ST-QZOUTPUT </t>
  </si>
  <si>
    <t xml:space="preserve">                 MOVE RU-COD-POSTALM(3:4) TO BGOW0008-CPOSTAL(1:4)</t>
  </si>
  <si>
    <t>FLCM1         MOVE LENGTH OF LX009BNLOG9-O TO QZOLEN</t>
  </si>
  <si>
    <t>PJG#2      ELSE</t>
  </si>
  <si>
    <t xml:space="preserve">                 MOVE ZERO                TO BGOW0008-CPOSTAL(5:1)</t>
  </si>
  <si>
    <t>FLCM1         PERFORM P290-GRAVAR-REGISTO  THRU P290-GRAVAR-REGISTO-EX</t>
  </si>
  <si>
    <t>PJG#3         MOVE WAUX-DATA-CALC             TO WAUX-RESULT-DATA</t>
  </si>
  <si>
    <t xml:space="preserve">                 MOVE RU-COD-POSTALM(7:3) TO BGOW0008-CPOSTAL(6:3)</t>
  </si>
  <si>
    <t>FLCM1      END-IF</t>
  </si>
  <si>
    <t>PJG#2      END-IF</t>
  </si>
  <si>
    <t xml:space="preserve">              COMPUTE W500-REG-ESCRI = W500-REG-ESCRI + 1               </t>
  </si>
  <si>
    <t xml:space="preserve">                 MOVE RU-COD-POSTALC(3:4) TO BGOW0008-CPOSTAL(1:4)</t>
  </si>
  <si>
    <t>FLCM1      IF RU-M-CPLEVE</t>
  </si>
  <si>
    <t>PJG#3      MOVE WAUX-RESULT-DATA(1:4)</t>
  </si>
  <si>
    <t>FLCM1         MOVE 'X009BNLOGF'            TO NOME-O-LAYOUT</t>
  </si>
  <si>
    <t xml:space="preserve">                              TO NZ5PDU01-INVOICE-END-DATE(GL)(1:4)</t>
  </si>
  <si>
    <t xml:space="preserve">       X20-EXIT.                                                        </t>
  </si>
  <si>
    <t xml:space="preserve">                 MOVE RU-COD-POSTALC(7:3) TO BGOW0008-CPOSTAL(6:3)</t>
  </si>
  <si>
    <t>FLCM1         MOVE LENGTH OF LX009BNLOGF-O TO QZOLEN</t>
  </si>
  <si>
    <t>PJG#3      MOVE WAUX-RESULT-DATA(5:2)</t>
  </si>
  <si>
    <t xml:space="preserve">                              TO NZ5PDU01-INVOICE-END-DATE(GL)(6:2)</t>
  </si>
  <si>
    <t xml:space="preserve">           COMPUTE CODBAR-NLIN-DOC = CODBAR-NLIN-DOC + 1.</t>
  </si>
  <si>
    <t>PJG#3      MOVE WAUX-RESULT-DATA(7:2)</t>
  </si>
  <si>
    <t xml:space="preserve">       P00-EXIT.</t>
  </si>
  <si>
    <t xml:space="preserve">                              TO NZ5PDU01-INVOICE-END-DATE(GL)(9:2)</t>
  </si>
  <si>
    <t xml:space="preserve">           WRITE QZOUTPUT-RECORD            FROM W800-OUTPUT-AREA.</t>
  </si>
  <si>
    <t xml:space="preserve">      *    verifica layout de CP,CERT ou EXTR</t>
  </si>
  <si>
    <t xml:space="preserve">       Z10-CALL-ABEND SECTION.                                          </t>
  </si>
  <si>
    <t xml:space="preserve">      *  THIS SECTION CALLS THE ABEND ROUTINE                       *   </t>
  </si>
  <si>
    <t xml:space="preserve">              WHEN WAUX-TAB-MES(INDICE) =</t>
  </si>
  <si>
    <t xml:space="preserve">              MOVE '2ª VIA'                TO X009BNCAB1-O-TITULO2</t>
  </si>
  <si>
    <t xml:space="preserve">                   NZ5PDU01-INVOICE-START-DATE(S)(6:2)</t>
  </si>
  <si>
    <t xml:space="preserve">       Z10-START.                                                       </t>
  </si>
  <si>
    <t xml:space="preserve">                MOVE WAUX-TAB-DESCR-MES(INDICE) TO WAUX-DESCR-MES</t>
  </si>
  <si>
    <t xml:space="preserve">           DISPLAY 'VAI SAIR POR ABEND &lt;ANALISAR MENSAGENS&gt;'.           </t>
  </si>
  <si>
    <t xml:space="preserve">           SET W100-ERROR-OCCURRED            TO TRUE.                  </t>
  </si>
  <si>
    <t xml:space="preserve">           MOVE RU-NOME             TO X009BNCAB1-O-NOME</t>
  </si>
  <si>
    <t xml:space="preserve">           STRING NZ5PDU01-INVOICE-START-DATE(S)(9:2) '-'</t>
  </si>
  <si>
    <t xml:space="preserve">                  WAUX-DESCR-MES(1:3) '-'</t>
  </si>
  <si>
    <t xml:space="preserve">           INITIALIZE NZ44CU01-PRINT-RECORD.</t>
  </si>
  <si>
    <t xml:space="preserve">           CALL 'ILBOABN0'                 USING W500-COMP-CODE.        </t>
  </si>
  <si>
    <t xml:space="preserve">                  NZ5PDU01-INVOICE-START-DATE(S)(1:4)</t>
  </si>
  <si>
    <t xml:space="preserve">           MOVE RU-DT-CARTA-EMISSAO TO X002BNCAB1-O-DATA</t>
  </si>
  <si>
    <t xml:space="preserve">                  DELIMITED BY SIZE INTO W400-AUX-START-DATE</t>
  </si>
  <si>
    <t xml:space="preserve">           READ QZINPUT                     INTO NZ44CU01-PRINT-RECORD</t>
  </si>
  <si>
    <t xml:space="preserve">       Z10-EXIT.                                                        </t>
  </si>
  <si>
    <t xml:space="preserve">              AT END SET W400-ST-QZINPUT-FIM  TO TRUE.</t>
  </si>
  <si>
    <t xml:space="preserve">           MOVE RU-COD-DOC-ORIGEM   TO WS-COD-DOC-ORIGEM</t>
  </si>
  <si>
    <t xml:space="preserve">           MOVE WS-IDENTIFICA-DOC   TO X002BNCAB1-O-IDENTIFICA-DOC</t>
  </si>
  <si>
    <t xml:space="preserve">           MOVE ZEROS               TO BGOW0008-CPOSTAL</t>
  </si>
  <si>
    <t xml:space="preserve">           IF RU-COD-DOC-ORIGEM = 'Med_Semest' OR</t>
  </si>
  <si>
    <t xml:space="preserve">              IF NZ44CU01-RECORD-TYPE-1 OR</t>
  </si>
  <si>
    <t xml:space="preserve">              RU-COD-DOC-ORIGEM = 'Med_Mensal'</t>
  </si>
  <si>
    <t xml:space="preserve">                 NZ44CU01-RECORD-TYPE-2 OR</t>
  </si>
  <si>
    <t xml:space="preserve">      *** AREA DE TRATAMENTO DO PARM ***                                </t>
  </si>
  <si>
    <t xml:space="preserve">              MOVE RU-NR-MEDIADOR TO X002BNCAB1-O-TITULO2</t>
  </si>
  <si>
    <t xml:space="preserve">                   NZ5PDU01-INVOICE-END-DATE(S)(6:2)</t>
  </si>
  <si>
    <t xml:space="preserve">                 NZ44CU01-RECORD-TYPE-3 OR</t>
  </si>
  <si>
    <t xml:space="preserve">           COPY BGOP0017.                                               </t>
  </si>
  <si>
    <t xml:space="preserve">                 NZ44CU01-RECORD-TYPE-4 OR</t>
  </si>
  <si>
    <t xml:space="preserve">              MOVE RU-TITULO-DOC1      TO X002BNCAB1-O-TITULO1</t>
  </si>
  <si>
    <t xml:space="preserve">                 NZ44CU01-RECORD-TYPE-5</t>
  </si>
  <si>
    <t xml:space="preserve">              MOVE RU-TITULO-DOC2      TO X002BNCAB1-O-TITULO2</t>
  </si>
  <si>
    <t xml:space="preserve">           STRING NZ5PDU01-INVOICE-END-DATE(S)(9:2) '-'</t>
  </si>
  <si>
    <t xml:space="preserve">                 COMPUTE W500-REG-LIDOS = W500-REG-LIDOS + 1</t>
  </si>
  <si>
    <t xml:space="preserve">                  NZ5PDU01-INVOICE-END-DATE(S)(1:4)</t>
  </si>
  <si>
    <t xml:space="preserve">                 PERFORM X10-READ-QZINPUT   THRU X10-EXIT</t>
  </si>
  <si>
    <t xml:space="preserve">           CALL 'ILBOABN0'                 USING W500-COMP-CODE.</t>
  </si>
  <si>
    <t xml:space="preserve">      *    carta registada</t>
  </si>
  <si>
    <t xml:space="preserve">                  DELIMITED BY SIZE INTO W400-AUX-END-DATE</t>
  </si>
  <si>
    <t xml:space="preserve">                   UNTIL NZ44CU01-RECORD-TYPE-1</t>
  </si>
  <si>
    <t xml:space="preserve">           IF RU-REGISTADA</t>
  </si>
  <si>
    <t xml:space="preserve">                      OR W400-ST-QZINPUT-FIM</t>
  </si>
  <si>
    <t>PJG#1**      MOVE RU-NOME             TO X002BNCAB1-O-NOME</t>
  </si>
  <si>
    <t>PJG#1**      MOVE RU-NOME             TO WAUX-X012-O-NOME</t>
  </si>
  <si>
    <t xml:space="preserve">           STRING W400-AUX-START-DATE ' a '</t>
  </si>
  <si>
    <t>PJG#1**      MOVE BGOW0008-CPOSTAL    TO WAUX-X012-O-CPOSTAL</t>
  </si>
  <si>
    <t xml:space="preserve">                  W400-AUX-END-DATE</t>
  </si>
  <si>
    <t>PJG#1        MOVE BGOW0008-CPOSTAL    TO X002BNCAB1-O-CPOSTAL</t>
  </si>
  <si>
    <t xml:space="preserve">                  DELIMITED BY SIZE INTO W400-START-END-DATE(GL)</t>
  </si>
  <si>
    <t>PJG#1**      MOVE BGOW0008-MORADA1    TO X002BNCAB1-O-MORADA1</t>
  </si>
  <si>
    <t xml:space="preserve">      *** AREA DE TRATAMENTO DO PARM ***</t>
  </si>
  <si>
    <t>PJG#1**      MOVE BGOW0008-MORADA1    TO WAUX-X012-O-MORADA1</t>
  </si>
  <si>
    <t xml:space="preserve">           COPY BGOP0017.</t>
  </si>
  <si>
    <t>PJG#1**      MOVE BGOW0008-MORADA2    TO X002BNCAB1-O-MORADA2</t>
  </si>
  <si>
    <t xml:space="preserve">           IF NZ5PDU01-INVOICE-AMOUNT(S) NOT NUMERIC</t>
  </si>
  <si>
    <t>PJG#1**      MOVE BGOW0008-MORADA2    TO WAUX-X012-O-MORADA2</t>
  </si>
  <si>
    <t xml:space="preserve">              MOVE ZEROS                      TO W400-INVOICE-AMOUNT(GL)</t>
  </si>
  <si>
    <t>PJG#1**      MOVE BGOW0008-MORADA3    TO X002BNCAB1-O-MORADA3</t>
  </si>
  <si>
    <t>PJG#1**      MOVE BGOW0008-MORADA3    TO WAUX-X012-O-MORADA3</t>
  </si>
  <si>
    <t xml:space="preserve">              MOVE NZ5PDU01-INVOICE-AMOUNT(S) TO W400-INVOICE-AMOUNT(GL)</t>
  </si>
  <si>
    <t>PJG#1**      MOVE BGOW0008-MORADA4    TO X002BNCAB1-O-MORADA4</t>
  </si>
  <si>
    <t xml:space="preserve">           MOVE BGOW0008-MORADA1    TO X009BNCAB1-O-MORADA1</t>
  </si>
  <si>
    <t>PJG#1**      MOVE BGOW0008-MORADA4    TO WAUX-X012-O-MORADA4</t>
  </si>
  <si>
    <t xml:space="preserve">           MOVE BGOW0008-MORADA2    TO X009BNCAB1-O-MORADA2</t>
  </si>
  <si>
    <t>PJG#1**      MOVE BGOW0008-CBARRAS    TO X002BNCAB1-O-ROYAL-MAIL-4S</t>
  </si>
  <si>
    <t xml:space="preserve">           MOVE BGOW0008-MORADA3    TO X009BNCAB1-O-MORADA3</t>
  </si>
  <si>
    <t xml:space="preserve">       P2063-LISTA-EX.</t>
  </si>
  <si>
    <t>PJG#1**      MOVE RU-DT-CARTA-EMISSAO TO X002BNCAB1-O-DATA</t>
  </si>
  <si>
    <t xml:space="preserve">           MOVE BGOW0008-MORADA4    TO X009BNCAB1-O-MORADA4</t>
  </si>
  <si>
    <t>PJG#1**      MOVE CODBAR-COMP-MARCA   TO X002BNCAB1-O-COMP-MARC</t>
  </si>
  <si>
    <t xml:space="preserve">           MOVE BGOW0008-CBARRAS    TO X009BNCAB1-O-ROYAL-MAIL-4S</t>
  </si>
  <si>
    <t xml:space="preserve">      *  ESCREVE FICHEIRO DE OUTPUT (QZOUTPUT)                      *</t>
  </si>
  <si>
    <t>PJG#1**      MOVE CODBAR-COMP-MARCA   TO WAUX-X012-O-MARCA</t>
  </si>
  <si>
    <t xml:space="preserve">       P2070-CREDOR-DATA.</t>
  </si>
  <si>
    <t>PJG#1**      MOVE WS-IDENTIFICA-DOC   TO X002BNCAB1-O-IDENTIFICA-DOC</t>
  </si>
  <si>
    <t xml:space="preserve">           MOVE CODBAR-COMP-MARCA   TO X009BNCAB1-O-COMP-MARC</t>
  </si>
  <si>
    <t xml:space="preserve">             MOVE RU-TITULO-DOC1      TO X002BNCAB1-O-TITULO1</t>
  </si>
  <si>
    <t xml:space="preserve">             MOVE RU-TITULO-DOC2      TO X002BNCAB1-O-TITULO2</t>
  </si>
  <si>
    <t xml:space="preserve">           MOVE WS-IDENTIFICA-DOC   TO X009BNCAB1-O-IDENTIFICA-DOC</t>
  </si>
  <si>
    <t>PJG#1**      MOVE RU-REGISTO-CTT      TO X002BNCAB1-O-REGISTO-CTT</t>
  </si>
  <si>
    <t xml:space="preserve">           MOVE WS-IDENTIFICA-DOC   TO IDENTIFICA-DOC-AUX</t>
  </si>
  <si>
    <t xml:space="preserve">                 MOVE NZ5PDU01-CREDOR-NAME        TO X080BNCAB1-CL-NOME</t>
  </si>
  <si>
    <t>PJG#1**      MOVE RU-REGISTO-CTT(1:17) TO WAUX-X012-O-REGISTO-CTT</t>
  </si>
  <si>
    <t xml:space="preserve">           MOVE SPACES              TO PRODUTO-AUX</t>
  </si>
  <si>
    <t>PJG#1        MOVE SPACES              TO X002BNCAB1-O-REGISTO-CTT</t>
  </si>
  <si>
    <t xml:space="preserve">           IF RU-DOC-ID = '002' OR RU-DOC-ID = '003' OR</t>
  </si>
  <si>
    <t>PJG#1            MOVE NZ5PDU01-CREDOR-ADDRESS     TO BGOW0008-MORADA1</t>
  </si>
  <si>
    <t>PJG#1        MOVE SPACES              TO X002BNCAB1-O-NUMERO-CTT</t>
  </si>
  <si>
    <t xml:space="preserve">              RU-DOC-ID = '005' OR RU-DOC-ID = '004'</t>
  </si>
  <si>
    <t>PJG#1            MOVE NZ5PDU01-CREDOR-ADDRESS-2   TO BGOW0008-MORADA2</t>
  </si>
  <si>
    <t>PJG#1        MOVE SPACES              TO X002BNCAB1-O-BALCAO</t>
  </si>
  <si>
    <t xml:space="preserve">             MOVE SPACES              TO X009BNCAB1-O-TITULO1</t>
  </si>
  <si>
    <t>PJG#1            MOVE NZ5PDU01-CREDOR-CITY        TO BGOW0008-MORADA3</t>
  </si>
  <si>
    <t>PJG#1        MOVE RU-NR-APOLICE       TO X002BNCAB1-O-APOLICE</t>
  </si>
  <si>
    <t xml:space="preserve">             MOVE RU-TITULO-DOC1      TO PRODUTO-AUX</t>
  </si>
  <si>
    <t>PJG#1            MOVE NZ5PDU01-CREDOR-POST-DESCR  TO BGOW0008-MORADA4</t>
  </si>
  <si>
    <t xml:space="preserve">             MOVE RU-ADERENTE         TO X002BNCAB1-O-ADERENTE</t>
  </si>
  <si>
    <t xml:space="preserve">             MOVE SPACES              TO X009BNCAB1-O-TITULO2</t>
  </si>
  <si>
    <t>PJG#1            MOVE NZ5PDU01-CREDOR-POST-CODE   TO BGOW0008-CPOSTAL</t>
  </si>
  <si>
    <t>PJG#1        MOVE SPACES                      TO X002BNCAB1-O-JANELA</t>
  </si>
  <si>
    <t>PJG#1            MOVE NZ5PDU01-CREDOR-NUM-TYPE    TO BGOW0008-TNUM-PORTA</t>
  </si>
  <si>
    <t>PJG#1        STRING CODBAR-PRODUTO(01:02) DELIMITED BY SIZE</t>
  </si>
  <si>
    <t xml:space="preserve">             MOVE RU-TITULO-DOC1      TO X009BNCAB1-O-TITULO1</t>
  </si>
  <si>
    <t>PJG#1            MOVE NZ5PDU01-CREDOR-NUM         TO BGOW0008-NUM-PORTA</t>
  </si>
  <si>
    <t>PJG#1               '/' DELIMITED BY SIZE</t>
  </si>
  <si>
    <t>PJG#1               CODBAR-APOLICE(09:08) DELIMITED BY SIZE</t>
  </si>
  <si>
    <t xml:space="preserve">             MOVE RU-TITULO-DOC2      TO X009BNCAB1-O-TITULO2</t>
  </si>
  <si>
    <t>PJG#1               '-' DELIMITED BY SIZE</t>
  </si>
  <si>
    <t>PJG#1               RU-ADERENTE DELIMITED BY SIZE</t>
  </si>
  <si>
    <t xml:space="preserve">           MOVE 'X009BNCAB1'        TO NOME-O-LAYOUT</t>
  </si>
  <si>
    <t xml:space="preserve">           MOVE LENGTH OF LX009BNCAB1-O TO QZOLEN</t>
  </si>
  <si>
    <t xml:space="preserve">       X30-WRITE-REG-QUEBRA SECTION.</t>
  </si>
  <si>
    <t>PJG#1        END-STRING</t>
  </si>
  <si>
    <t>PJG#1**      MOVE 'X002BNCABR'        TO NOME-O-LAYOUT</t>
  </si>
  <si>
    <t xml:space="preserve">      *  ESCREVE REGISTO DE QUEBRA DE PAGEFORMAT (F_P_SELECT)       *</t>
  </si>
  <si>
    <t>PJG#1        MOVE 'REGISTOCTT'        TO NOME-O-LAYOUT</t>
  </si>
  <si>
    <t xml:space="preserve">                 MOVE BGOW0008-CBARRAS  TO X080BNCAB1-CL-ROYAL-MAIL-4S</t>
  </si>
  <si>
    <t xml:space="preserve">             MOVE LENGTH OF LX002BNCAB1-O TO QZOLEN</t>
  </si>
  <si>
    <t xml:space="preserve">       X30-START.</t>
  </si>
  <si>
    <t xml:space="preserve">             PERFORM P290-GRAVAR-REGISTO  THRU P290-GRAVAR-REGISTO-EX</t>
  </si>
  <si>
    <t xml:space="preserve">                 STRING NZ5PDU01-CREDOR-POST-CODE(1:4)</t>
  </si>
  <si>
    <t xml:space="preserve">           EVALUATE W800-CAB-LAYOUT</t>
  </si>
  <si>
    <t xml:space="preserve">                        NZ5PDU01-CREDOR-POST-CODE(6:3)</t>
  </si>
  <si>
    <t xml:space="preserve">               WHEN 'REGISTOCTT'</t>
  </si>
  <si>
    <t xml:space="preserve">      *    não registada</t>
  </si>
  <si>
    <t xml:space="preserve">       P221-PREENCHE-GERAL-CRTMED.</t>
  </si>
  <si>
    <t xml:space="preserve">               WHEN 'X007BNNCDC'</t>
  </si>
  <si>
    <t xml:space="preserve">             MOVE 'X002BNCAB1'        TO NOME-O-LAYOUT</t>
  </si>
  <si>
    <t xml:space="preserve">                  ADD 1                       TO CODBAR-NSEQ-DOC</t>
  </si>
  <si>
    <t xml:space="preserve">                  MOVE ZEROS                  TO CODBAR-NLIN-DOC</t>
  </si>
  <si>
    <t xml:space="preserve">              MOVE 'X001BNLOG4'            TO NOME-O-LAYOUT</t>
  </si>
  <si>
    <t xml:space="preserve">                  MOVE W800-OUTPUT-AREA       TO W900-TEMP-RECORD</t>
  </si>
  <si>
    <t xml:space="preserve">                  MOVE W400-QZOLEN            TO W900-TEMP-QZLEN</t>
  </si>
  <si>
    <t xml:space="preserve">      *    preenche assunto</t>
  </si>
  <si>
    <t xml:space="preserve">                  MOVE 'F_P_SELECT'           TO W800-OUTPUT-AREA(1:10)</t>
  </si>
  <si>
    <t xml:space="preserve">                  MOVE '00000'                TO CODBAR-COD-INSERT</t>
  </si>
  <si>
    <t xml:space="preserve">           MOVE RU-ASSUNTO1         TO X002BNASST-O-ASSUNTO1</t>
  </si>
  <si>
    <t xml:space="preserve">                  MOVE ZEROS                  TO W400-QZOLEN</t>
  </si>
  <si>
    <t xml:space="preserve">           MOVE RU-ASSUNTO2         TO X002BNASST-O-ASSUNTO2</t>
  </si>
  <si>
    <t xml:space="preserve">              MOVE 'X001BNLOG7'            TO NOME-O-LAYOUT</t>
  </si>
  <si>
    <t xml:space="preserve">                  PERFORM X20-WRITE-QZOUTPUT THRU X20-EXIT</t>
  </si>
  <si>
    <t xml:space="preserve">           MOVE RU-ASSUNTO3         TO X002BNASST-O-ASSUNTO3</t>
  </si>
  <si>
    <t xml:space="preserve">           MOVE 'X002BNASST'        TO NOME-O-LAYOUT</t>
  </si>
  <si>
    <t xml:space="preserve">                  EVALUATE TRUE</t>
  </si>
  <si>
    <t xml:space="preserve">           MOVE LENGTH OF LX002BNASST-O TO QZOLEN</t>
  </si>
  <si>
    <t xml:space="preserve">                      WHEN CODBAR-VD-OK</t>
  </si>
  <si>
    <t xml:space="preserve">                         MOVE 'X007BNLOG4'    TO W800-OUTPUT-AREA(1:10)</t>
  </si>
  <si>
    <t>FLCM1      IF RU-M-CXPOUPANCA        OR RU-M-CPLEVE</t>
  </si>
  <si>
    <t xml:space="preserve">                      WHEN CODBAR-VD-SONAE</t>
  </si>
  <si>
    <t>FLCM1         MOVE 'X001BNLOGG'            TO NOME-O-LAYOUT</t>
  </si>
  <si>
    <t xml:space="preserve">                 MOVE BGOW0008-MORADA1    TO X080BNCAB1-CL-MORADA1</t>
  </si>
  <si>
    <t xml:space="preserve">                         MOVE 'X007BNLOG5'    TO W800-OUTPUT-AREA(1:10)</t>
  </si>
  <si>
    <t xml:space="preserve">                 MOVE BGOW0008-MORADA2    TO X080BNCAB1-CL-MORADA2</t>
  </si>
  <si>
    <t xml:space="preserve">                      WHEN CODBAR-FIDMUNDIAL</t>
  </si>
  <si>
    <t xml:space="preserve">                 MOVE BGOW0008-MORADA3    TO X080BNCAB1-CL-MORADA3</t>
  </si>
  <si>
    <t xml:space="preserve">                         MOVE 'X007BNLOG1'    TO W800-OUTPUT-AREA(1:10)</t>
  </si>
  <si>
    <t xml:space="preserve">                 MOVE BGOW0008-MORADA4    TO X080BNCAB1-CL-MORADA4</t>
  </si>
  <si>
    <t xml:space="preserve">                      WHEN CODBAR-IMPERIO</t>
  </si>
  <si>
    <t xml:space="preserve">                         MOVE 'X007BNLOG2'    TO W800-OUTPUT-AREA(1:10)</t>
  </si>
  <si>
    <t xml:space="preserve">                      WHEN CODBAR-ICI</t>
  </si>
  <si>
    <t xml:space="preserve">              MOVE 'X001BNLOG5'            TO NOME-O-LAYOUT</t>
  </si>
  <si>
    <t xml:space="preserve">                         MOVE 'X007BNLOG3'    TO W800-OUTPUT-AREA(1:10)</t>
  </si>
  <si>
    <t xml:space="preserve">                      WHEN OTHER</t>
  </si>
  <si>
    <t xml:space="preserve">                         MOVE SPACES          TO W800-OUTPUT-AREA(1:10)</t>
  </si>
  <si>
    <t xml:space="preserve">                  END-EVALUATE</t>
  </si>
  <si>
    <t xml:space="preserve">                  MOVE SPACES                 TO CODBAR-COD-INSERT</t>
  </si>
  <si>
    <t xml:space="preserve">              MOVE 'X001BNLOG8'            TO NOME-O-LAYOUT</t>
  </si>
  <si>
    <t xml:space="preserve">       P2070-CREDOR-DATA-EX.</t>
  </si>
  <si>
    <t xml:space="preserve">                  IF CODBAR-IDENTIF-DOCUM EQUAL '0401'</t>
  </si>
  <si>
    <t xml:space="preserve">       P2080-WRITE-DOC.</t>
  </si>
  <si>
    <t xml:space="preserve">                     EVALUATE TRUE</t>
  </si>
  <si>
    <t xml:space="preserve">                         WHEN CODBAR-VD-OK</t>
  </si>
  <si>
    <t xml:space="preserve">           MOVE RU-NOME             TO X009BNCAB2-O-NOME</t>
  </si>
  <si>
    <t xml:space="preserve">           PERFORM P2089-WRITE-CAB  THRU P2089-WRITE-CAB-EX</t>
  </si>
  <si>
    <t xml:space="preserve">                         WHEN CODBAR-VD-SONAE</t>
  </si>
  <si>
    <t xml:space="preserve">                            MOVE 'X007BNASS3' TO W800-OUTPUT-AREA(1:10)</t>
  </si>
  <si>
    <t xml:space="preserve">                         WHEN CODBAR-FIDMUNDIAL</t>
  </si>
  <si>
    <t xml:space="preserve">      * Tratamento de escrita da carta CHIP (Regime Geral e Especial)</t>
  </si>
  <si>
    <t xml:space="preserve">                            MOVE 'X007BNASS1' TO W800-OUTPUT-AREA(1:10)</t>
  </si>
  <si>
    <t xml:space="preserve">                         WHEN CODBAR-IMPERIO</t>
  </si>
  <si>
    <t xml:space="preserve">                IF WAUX-CON</t>
  </si>
  <si>
    <t xml:space="preserve">                         WHEN CODBAR-ICI</t>
  </si>
  <si>
    <t xml:space="preserve">                   IF WAUX-GUARDA-REGIME EQUAL 'G'</t>
  </si>
  <si>
    <t xml:space="preserve">                            MOVE 'X007BNASS2' TO W800-OUTPUT-AREA(1:10)</t>
  </si>
  <si>
    <t>#09   *               MOVE 'X080BNCHG0'  TO NOME-LAYOUT</t>
  </si>
  <si>
    <t xml:space="preserve">                         WHEN OTHER</t>
  </si>
  <si>
    <t>#09                   MOVE 'X080BNCHG3'  TO NOME-LAYOUT</t>
  </si>
  <si>
    <t xml:space="preserve">                            MOVE SPACES       TO W800-OUTPUT-AREA(1:10)</t>
  </si>
  <si>
    <t xml:space="preserve">                     END-EVALUATE</t>
  </si>
  <si>
    <t>#09   *               MOVE 'X080BNCHE1'  TO NOME-LAYOUT</t>
  </si>
  <si>
    <t xml:space="preserve">                     MOVE ZEROS               TO W400-QZOLEN</t>
  </si>
  <si>
    <t>#09                   MOVE 'X080BNCHE4'  TO NOME-LAYOUT</t>
  </si>
  <si>
    <t xml:space="preserve">                     PERFORM X20-WRITE-QZOUTPUT THRU X20-EXIT</t>
  </si>
  <si>
    <t xml:space="preserve">           MOVE RU-NOME             TO X002BNCAB2-O-NOME</t>
  </si>
  <si>
    <t>#09   *            MOVE 'X080BNCHG2'     TO NOME-LAYOUT</t>
  </si>
  <si>
    <t xml:space="preserve">                  MOVE W900-TEMP-QZLEN        TO W400-QZOLEN</t>
  </si>
  <si>
    <t>#09                MOVE 'X080BNCHG5'     TO NOME-LAYOUT</t>
  </si>
  <si>
    <t xml:space="preserve">                  MOVE W900-TEMP-RECORD       TO W800-OUTPUT-AREA</t>
  </si>
  <si>
    <t xml:space="preserve">                     ADD 2                    TO CODBAR-NLIN-DOC</t>
  </si>
  <si>
    <t xml:space="preserve">                MOVE '     '             TO CODBAR-COD-INSERT</t>
  </si>
  <si>
    <t xml:space="preserve">                ADD  1                   TO CODBAR-NLIN-DOC</t>
  </si>
  <si>
    <t xml:space="preserve">                     ADD 1                    TO CODBAR-NLIN-DOC</t>
  </si>
  <si>
    <t xml:space="preserve">                MOVE 832                 TO QZOLEN</t>
  </si>
  <si>
    <t xml:space="preserve">                MOVE WAUX-AREA-OUTPUT    TO REG-PARTE-FIXA</t>
  </si>
  <si>
    <t xml:space="preserve">                MOVE LX080BNCHIP         TO REG-PARTE-VARIAVEL</t>
  </si>
  <si>
    <t xml:space="preserve">                PERFORM P9000-GRAVA-OUTPUT   THRU P9000-GRAVA-OUTPUT-EX</t>
  </si>
  <si>
    <t xml:space="preserve">       X30-EXIT.</t>
  </si>
  <si>
    <t xml:space="preserve">                PERFORM P2090-WRITE-LIST THRU P2090-WRITE-LIST-EX</t>
  </si>
  <si>
    <t xml:space="preserve">                ADD 1 TO WAUX-REG-GRAVS-CHIP</t>
  </si>
  <si>
    <t xml:space="preserve">           MOVE BGOW0008-MORADA1    TO X009BNCAB2-O-MORADA1</t>
  </si>
  <si>
    <t xml:space="preserve">      * Tratamento de escrita da carta CTAD</t>
  </si>
  <si>
    <t xml:space="preserve">           MOVE BGOW0008-MORADA2    TO X009BNCAB2-O-MORADA2</t>
  </si>
  <si>
    <t xml:space="preserve">           MOVE BGOW0008-MORADA3    TO X009BNCAB2-O-MORADA3</t>
  </si>
  <si>
    <t>PJG#3            IF WAUX-C-TIPO-CTAD EQUAL 'P'</t>
  </si>
  <si>
    <t xml:space="preserve">           MOVE BGOW0008-MORADA4    TO X009BNCAB2-O-MORADA4</t>
  </si>
  <si>
    <t>PJG#3               EVALUATE TRUE</t>
  </si>
  <si>
    <t xml:space="preserve">           MOVE BGOW0008-CBARRAS    TO X009BNCAB2-O-ROYAL-MAIL-4S</t>
  </si>
  <si>
    <t>PJG#3                   WHEN CODBAR-FIDMUNDIAL</t>
  </si>
  <si>
    <t>PJG#3                   WHEN CODBAR-IMPERIO</t>
  </si>
  <si>
    <t xml:space="preserve">           MOVE CODBAR-COMP-MARCA   TO X009BNCAB2-O-COMP-MARC</t>
  </si>
  <si>
    <t>PJG#3                   WHEN CODBAR-ICI</t>
  </si>
  <si>
    <t xml:space="preserve">           MOVE 'X003'              TO X009BNCAB2-O-IDENTIFICA-DOC(1:4)</t>
  </si>
  <si>
    <t>PJG#3                      MOVE 'X080BNCTP '  TO NOME-LAYOUT</t>
  </si>
  <si>
    <t xml:space="preserve">           MOVE WAUX-DATA-TIMESTAMP</t>
  </si>
  <si>
    <t xml:space="preserve">                        WHEN CODBAR-MULTICARE</t>
  </si>
  <si>
    <t xml:space="preserve">                               TO X009BNCAB2-O-IDENTIFICA-DOC(6:19)</t>
  </si>
  <si>
    <t xml:space="preserve">                           MOVE 'X080BNCTP2'  TO NOME-LAYOUT</t>
  </si>
  <si>
    <t xml:space="preserve">           MOVE 'X001BNCAB1'        TO NOME-O-LAYOUT</t>
  </si>
  <si>
    <t>PJG#3               END-EVALUATE</t>
  </si>
  <si>
    <t xml:space="preserve">           MOVE LENGTH OF LX009BNCAB2-O TO QZOLEN</t>
  </si>
  <si>
    <t>PJG#3            ELSE</t>
  </si>
  <si>
    <t xml:space="preserve">           MOVE BGOW0008-MORADA1    TO X002BNCAB2-O-MORADA1</t>
  </si>
  <si>
    <t xml:space="preserve">                    IF WAUX-GUARDA-REGIME EQUAL 'E'</t>
  </si>
  <si>
    <t xml:space="preserve">           MOVE BGOW0008-MORADA2    TO X002BNCAB2-O-MORADA2</t>
  </si>
  <si>
    <t xml:space="preserve">                       EVALUATE WAUX-GUARDA-TIPOREC</t>
  </si>
  <si>
    <t xml:space="preserve">           MOVE BGOW0008-MORADA3    TO X002BNCAB2-O-MORADA3</t>
  </si>
  <si>
    <t xml:space="preserve">       P221-PREENCHE-GERAL-CRTMED-EX.</t>
  </si>
  <si>
    <t xml:space="preserve">                          WHEN 'CE'</t>
  </si>
  <si>
    <t xml:space="preserve">           MOVE BGOW0008-MORADA4    TO X002BNCAB2-O-MORADA4</t>
  </si>
  <si>
    <t xml:space="preserve">                             MOVE 'X080BNCT4' TO NOME-LAYOUT</t>
  </si>
  <si>
    <t xml:space="preserve">           MOVE BGOW0008-CBARRAS    TO X002BNCAB2-O-ROYAL-MAIL-4S</t>
  </si>
  <si>
    <t xml:space="preserve">                          WHEN 'CP'</t>
  </si>
  <si>
    <t xml:space="preserve">       P240-PREENCHE-FINAL-CARTA.</t>
  </si>
  <si>
    <t xml:space="preserve">                             MOVE 'X080BNCT3' TO NOME-LAYOUT</t>
  </si>
  <si>
    <t xml:space="preserve">           MOVE CODBAR-COMP-MARCA   TO X002BNCAB2-O-COMP-MARC</t>
  </si>
  <si>
    <t xml:space="preserve">      *    verifica assinatura</t>
  </si>
  <si>
    <t xml:space="preserve">           MOVE 'X003'              TO X002BNCAB2-O-IDENTIFICA-DOC(1:4)</t>
  </si>
  <si>
    <t xml:space="preserve">           IF RU-FERNANDES</t>
  </si>
  <si>
    <t xml:space="preserve">                             IF CODBAR-FIDMUNDIAL OR</t>
  </si>
  <si>
    <t xml:space="preserve">              MOVE 'X009BNAS02'            TO NOME-O-LAYOUT</t>
  </si>
  <si>
    <t xml:space="preserve">                                CODBAR-IMPERIO    OR CODBAR-ICI</t>
  </si>
  <si>
    <t xml:space="preserve">                               TO X002BNCAB2-O-IDENTIFICA-DOC(6:19)</t>
  </si>
  <si>
    <t xml:space="preserve">              MOVE LENGTH OF LX009BNAS02-O TO QZOLEN</t>
  </si>
  <si>
    <t xml:space="preserve">                                MOVE 'X080BNCTL' TO NOME-LAYOUT</t>
  </si>
  <si>
    <t xml:space="preserve">                             END-IF</t>
  </si>
  <si>
    <t xml:space="preserve">           MOVE LENGTH OF LX002BNCAB2-O TO QZOLEN</t>
  </si>
  <si>
    <t xml:space="preserve">                             IF CODBAR-MULTICARE</t>
  </si>
  <si>
    <t xml:space="preserve">                                MOVE 'X080BNCTLM' TO NOME-LAYOUT</t>
  </si>
  <si>
    <t xml:space="preserve">           IF RU-HELENA</t>
  </si>
  <si>
    <t xml:space="preserve">              MOVE 'X009BNAS09'            TO NOME-O-LAYOUT</t>
  </si>
  <si>
    <t xml:space="preserve">              MOVE LENGTH OF LX009BNAS09-O TO QZOLEN</t>
  </si>
  <si>
    <t xml:space="preserve">                       IF CODBAR-FIDMUNDIAL OR</t>
  </si>
  <si>
    <t xml:space="preserve">                          CODBAR-IMPERIO    OR CODBAR-ICI</t>
  </si>
  <si>
    <t xml:space="preserve">                          MOVE 'X080BNCTL'  TO NOME-LAYOUT</t>
  </si>
  <si>
    <t xml:space="preserve">           IF RU-HELENA1</t>
  </si>
  <si>
    <t xml:space="preserve">              MOVE 'X002BNAS02'            TO NOME-O-LAYOUT</t>
  </si>
  <si>
    <t xml:space="preserve">              MOVE 'X009BNAS9A'            TO NOME-O-LAYOUT</t>
  </si>
  <si>
    <t xml:space="preserve">                       IF CODBAR-MULTICARE</t>
  </si>
  <si>
    <t xml:space="preserve">              MOVE LENGTH OF LX002BNAS02-O TO QZOLEN</t>
  </si>
  <si>
    <t xml:space="preserve">              MOVE LENGTH OF LX009BNAS9A-O TO QZOLEN</t>
  </si>
  <si>
    <t xml:space="preserve">                          MOVE 'X080BNCTLM'  TO NOME-LAYOUT</t>
  </si>
  <si>
    <t>PJG#3            END-IF</t>
  </si>
  <si>
    <t xml:space="preserve">           IF RU-HELENA2</t>
  </si>
  <si>
    <t xml:space="preserve">              MOVE 'X002BNAS09'            TO NOME-O-LAYOUT</t>
  </si>
  <si>
    <t xml:space="preserve">              MOVE 'X009BNAS9B'            TO NOME-O-LAYOUT</t>
  </si>
  <si>
    <t xml:space="preserve">                 MOVE '     '             TO CODBAR-COD-INSERT</t>
  </si>
  <si>
    <t xml:space="preserve">              MOVE LENGTH OF LX002BNAS09-O TO QZOLEN</t>
  </si>
  <si>
    <t xml:space="preserve">              MOVE LENGTH OF LX009BNAS9B-O TO QZOLEN</t>
  </si>
  <si>
    <t xml:space="preserve">                 ADD  1                   TO CODBAR-NLIN-DOC</t>
  </si>
  <si>
    <t xml:space="preserve">                 MOVE 458                 TO QZOLEN</t>
  </si>
  <si>
    <t xml:space="preserve">                 MOVE WAUX-AREA-OUTPUT    TO REG-PARTE-FIXA</t>
  </si>
  <si>
    <t xml:space="preserve">                 MOVE LX080BNCTAD         TO REG-PARTE-VARIAVEL</t>
  </si>
  <si>
    <t xml:space="preserve">           IF RU-RITA</t>
  </si>
  <si>
    <t xml:space="preserve">                 PERFORM P9000-GRAVA-OUTPUT THRU P9000-GRAVA-OUTPUT-EX</t>
  </si>
  <si>
    <t xml:space="preserve">              MOVE 'X002BNAS9A'            TO NOME-O-LAYOUT</t>
  </si>
  <si>
    <t xml:space="preserve">              MOVE 'X009BNAS08'            TO NOME-O-LAYOUT</t>
  </si>
  <si>
    <t xml:space="preserve">              MOVE LENGTH OF LX002BNAS9A-O TO QZOLEN</t>
  </si>
  <si>
    <t xml:space="preserve">                 IF WAUX-TEM-AGENTE  EQUAL 'S' AND</t>
  </si>
  <si>
    <t xml:space="preserve">                    WAUX-TEM-LISTA   EQUAL 'S'</t>
  </si>
  <si>
    <t xml:space="preserve">                    MOVE 'S'         TO WAUX-FAZ-CARTA-AGENTE</t>
  </si>
  <si>
    <t xml:space="preserve">                    PERFORM P2089-WRITE-CAB  THRU P2089-WRITE-CAB-EX</t>
  </si>
  <si>
    <t xml:space="preserve">           IF RU-CADMIN</t>
  </si>
  <si>
    <t xml:space="preserve">              MOVE 'X002BNAS9B'            TO NOME-O-LAYOUT</t>
  </si>
  <si>
    <t xml:space="preserve">              MOVE 'X009BNAS01'            TO NOME-O-LAYOUT</t>
  </si>
  <si>
    <t xml:space="preserve">              MOVE LENGTH OF LX002BNAS9B-O TO QZOLEN</t>
  </si>
  <si>
    <t xml:space="preserve">              MOVE LENGTH OF LX009BNAS01-O TO QZOLEN</t>
  </si>
  <si>
    <t xml:space="preserve">                             MOVE 'X080BNCT0' TO NOME-LAYOUT</t>
  </si>
  <si>
    <t xml:space="preserve">                             MOVE 'X080BNCT1' TO NOME-LAYOUT</t>
  </si>
  <si>
    <t xml:space="preserve">           IF RU-CADMIN1</t>
  </si>
  <si>
    <t xml:space="preserve">              MOVE 'X002BNAS08'            TO NOME-O-LAYOUT</t>
  </si>
  <si>
    <t xml:space="preserve">              MOVE 'X009BNAS1A'            TO NOME-O-LAYOUT</t>
  </si>
  <si>
    <t xml:space="preserve">              MOVE LENGTH OF LX009BNAS1A-O TO QZOLEN</t>
  </si>
  <si>
    <t xml:space="preserve">                       MOVE 'X080BNCT1'       TO NOME-LAYOUT</t>
  </si>
  <si>
    <t xml:space="preserve">           IF RU-BRIART</t>
  </si>
  <si>
    <t xml:space="preserve">              MOVE 'X002BNAS01'            TO NOME-O-LAYOUT</t>
  </si>
  <si>
    <t xml:space="preserve">              MOVE 'X009BNASBA'            TO NOME-O-LAYOUT</t>
  </si>
  <si>
    <t xml:space="preserve">                    MOVE '     '             TO CODBAR-COD-INSERT</t>
  </si>
  <si>
    <t xml:space="preserve">              MOVE LENGTH OF LX002BNAS01-O TO QZOLEN</t>
  </si>
  <si>
    <t xml:space="preserve">              MOVE LENGTH OF LX009BNASBA-O TO QZOLEN</t>
  </si>
  <si>
    <t xml:space="preserve">                    ADD  1                   TO CODBAR-NLIN-DOC</t>
  </si>
  <si>
    <t xml:space="preserve">                    MOVE 458                 TO QZOLEN</t>
  </si>
  <si>
    <t xml:space="preserve">                    MOVE WAUX-AREA-OUTPUT    TO REG-PARTE-FIXA</t>
  </si>
  <si>
    <t xml:space="preserve">                    MOVE LX080BNCTAD         TO REG-PARTE-VARIAVEL</t>
  </si>
  <si>
    <t xml:space="preserve">           IF RU-ARTUR</t>
  </si>
  <si>
    <t xml:space="preserve">           IF RU-BRICORD</t>
  </si>
  <si>
    <t xml:space="preserve">                    PERFORM P9000-GRAVA-OUTPUT THRU</t>
  </si>
  <si>
    <t xml:space="preserve">              MOVE 'X002BNAS07'            TO NOME-O-LAYOUT</t>
  </si>
  <si>
    <t xml:space="preserve">                            P9000-GRAVA-OUTPUT-EX</t>
  </si>
  <si>
    <t xml:space="preserve">              MOVE LENGTH OF LX002BNAS07-O TO QZOLEN</t>
  </si>
  <si>
    <t xml:space="preserve">                    PERFORM P2090-WRITE-LIST THRU P2090-WRITE-LIST-EX</t>
  </si>
  <si>
    <t xml:space="preserve">                 ADD 1 TO WAUX-REG-GRAVS-CTAD</t>
  </si>
  <si>
    <t xml:space="preserve">           IF RU-ARTUR1</t>
  </si>
  <si>
    <t xml:space="preserve">           IF RU-BRISANTOS</t>
  </si>
  <si>
    <t xml:space="preserve">      * Tratamento de escrita da carta ENTI</t>
  </si>
  <si>
    <t xml:space="preserve">              MOVE 'X002BNAS7A'            TO NOME-O-LAYOUT</t>
  </si>
  <si>
    <t xml:space="preserve">              MOVE 'X009BNASBF'            TO NOME-O-LAYOUT</t>
  </si>
  <si>
    <t xml:space="preserve">              MOVE LENGTH OF LX002BNAS7A-O TO QZOLEN</t>
  </si>
  <si>
    <t xml:space="preserve">              MOVE LENGTH OF LX009BNASBF-O TO QZOLEN</t>
  </si>
  <si>
    <t>#11   *         MOVE 'X080BNENTI'        TO NOME-LAYOUT</t>
  </si>
  <si>
    <t>#11             MOVE 'X080BNENT1'        TO NOME-LAYOUT</t>
  </si>
  <si>
    <t xml:space="preserve">           IF RU-CORDEIRO</t>
  </si>
  <si>
    <t>#11   *         MOVE 389                 TO QZOLEN</t>
  </si>
  <si>
    <t xml:space="preserve">              MOVE 'X009BNAS07'            TO NOME-O-LAYOUT</t>
  </si>
  <si>
    <t>#11             MOVE 432                 TO QZOLEN</t>
  </si>
  <si>
    <t xml:space="preserve">              MOVE LENGTH OF LX009BNAS07-O TO QZOLEN</t>
  </si>
  <si>
    <t xml:space="preserve">                MOVE LX080BNENTI         TO REG-PARTE-VARIAVEL</t>
  </si>
  <si>
    <t xml:space="preserve">                PERFORM P9000-GRAVA-OUTPUT THRU P9000-GRAVA-OUTPUT-EX</t>
  </si>
  <si>
    <t xml:space="preserve">                ADD 1 TO WAUX-REG-GRAVS-ENTI</t>
  </si>
  <si>
    <t xml:space="preserve">           IF RU-CORDEIRO1</t>
  </si>
  <si>
    <t xml:space="preserve">              MOVE 'X009BNAS7A'            TO NOME-O-LAYOUT</t>
  </si>
  <si>
    <t xml:space="preserve">              MOVE LENGTH OF LX009BNAS7A-O TO QZOLEN</t>
  </si>
  <si>
    <t xml:space="preserve">           INITIALIZE WAUX-AREA-OUTPUT LX080BNCAB1 LX080BNCHIP</t>
  </si>
  <si>
    <t xml:space="preserve">                           LX080BNLIST LX080BNENTI LX080BNCTAD</t>
  </si>
  <si>
    <t xml:space="preserve">           IF RU-FFSANTOS</t>
  </si>
  <si>
    <t xml:space="preserve">              MOVE 'X002BNAS12'            TO NOME-O-LAYOUT</t>
  </si>
  <si>
    <t xml:space="preserve">       P2080-WRITE-DOC-EX.</t>
  </si>
  <si>
    <t xml:space="preserve">              MOVE LENGTH OF LX002BNAS12-O TO QZOLEN</t>
  </si>
  <si>
    <t xml:space="preserve">       P2089-WRITE-CAB.</t>
  </si>
  <si>
    <t xml:space="preserve">           IF RU-FFSANTOS1</t>
  </si>
  <si>
    <t xml:space="preserve">      *    Grava F_P_SELECT</t>
  </si>
  <si>
    <t xml:space="preserve">              MOVE 'X002BNAS13'            TO NOME-O-LAYOUT</t>
  </si>
  <si>
    <t xml:space="preserve">           IF NZ5PDU01-DOCUMENT-CODE EQUAL 'CTAD'</t>
  </si>
  <si>
    <t xml:space="preserve">              MOVE LENGTH OF LX002BNAS13-O TO QZOLEN</t>
  </si>
  <si>
    <t xml:space="preserve">              IF WAUX-FAZ-CARTA-AGENTE EQUAL 'S'</t>
  </si>
  <si>
    <t xml:space="preserve">                 MOVE WAUX-GUARDA-CPOSTALM  TO CODBAR-COD-POSTALC</t>
  </si>
  <si>
    <t xml:space="preserve">                 MOVE SPACES                TO CODBAR-CLIENTE</t>
  </si>
  <si>
    <t xml:space="preserve">           IF RU-EUGENIA</t>
  </si>
  <si>
    <t xml:space="preserve">              MOVE 'X009BNAS12'            TO NOME-O-LAYOUT</t>
  </si>
  <si>
    <t xml:space="preserve">              MOVE 'X002BNAS10'            TO NOME-O-LAYOUT</t>
  </si>
  <si>
    <t xml:space="preserve">              MOVE LENGTH OF LX009BNAS12-O TO QZOLEN</t>
  </si>
  <si>
    <t xml:space="preserve">           MOVE 'F_P_SELECT'          TO NOME-LAYOUT</t>
  </si>
  <si>
    <t xml:space="preserve">              MOVE LENGTH OF LX002BNAS10-O TO QZOLEN</t>
  </si>
  <si>
    <t xml:space="preserve">           MOVE '00000'               TO CODBAR-COD-INSERT</t>
  </si>
  <si>
    <t xml:space="preserve">           ADD  1                     TO WAUX-NSEQ-DOC</t>
  </si>
  <si>
    <t xml:space="preserve">           MOVE WAUX-NSEQ-DOC         TO CODBAR-NSEQ-DOC</t>
  </si>
  <si>
    <t xml:space="preserve">           MOVE 1                     TO CODBAR-NLIN-DOC</t>
  </si>
  <si>
    <t xml:space="preserve">           IF RU-BRISSOS</t>
  </si>
  <si>
    <t xml:space="preserve">              MOVE 'X009BNAS13'            TO NOME-O-LAYOUT</t>
  </si>
  <si>
    <t xml:space="preserve">           MOVE 1                     TO CODBAR-NPAG-DOC</t>
  </si>
  <si>
    <t xml:space="preserve">              MOVE 'X002BNAS11'            TO NOME-O-LAYOUT</t>
  </si>
  <si>
    <t xml:space="preserve">              MOVE LENGTH OF LX009BNAS13-O TO QZOLEN</t>
  </si>
  <si>
    <t xml:space="preserve">           MOVE WAUX-AREA-OUTPUT      TO REG-PARTE-FIXA</t>
  </si>
  <si>
    <t xml:space="preserve">              MOVE LENGTH OF LX002BNAS11-O TO QZOLEN</t>
  </si>
  <si>
    <t xml:space="preserve">           MOVE 210                   TO QZOLEN</t>
  </si>
  <si>
    <t xml:space="preserve">           PERFORM P9000-GRAVA-OUTPUT THRU P9000-GRAVA-OUTPUT-EX.</t>
  </si>
  <si>
    <t xml:space="preserve">      *    Grava X080BNLOG1, X080BNLOG2 e X080BNLOG3.</t>
  </si>
  <si>
    <t>PJG#1**    IF RU-REGISTADA AND RU-COD-DOC-ORIGEM NOT = 'Carta25   '</t>
  </si>
  <si>
    <t xml:space="preserve">              MOVE 'X009BNAS10'            TO NOME-O-LAYOUT</t>
  </si>
  <si>
    <t xml:space="preserve">           IF CODBAR-FIDMUNDIAL</t>
  </si>
  <si>
    <t>PJG#1**      PERFORM P260-PREENCHE-GUIA-CTT</t>
  </si>
  <si>
    <t xml:space="preserve">              MOVE LENGTH OF LX009BNAS10-O TO QZOLEN</t>
  </si>
  <si>
    <t xml:space="preserve">              MOVE 'X080BNLOG1'      TO NOME-LAYOUT</t>
  </si>
  <si>
    <t>PJG#1**         THRU P260-PREENCHE-GUIA-CTT</t>
  </si>
  <si>
    <t xml:space="preserve">           IF CODBAR-IMPERIO</t>
  </si>
  <si>
    <t xml:space="preserve">              MOVE 'X080BNLOG2'      TO NOME-LAYOUT</t>
  </si>
  <si>
    <t xml:space="preserve">       P240-PREENCHE-FINAL-CARTA-EX.</t>
  </si>
  <si>
    <t xml:space="preserve">              MOVE 'X009BNAS11'            TO NOME-O-LAYOUT</t>
  </si>
  <si>
    <t xml:space="preserve">           IF CODBAR-MULTICARE</t>
  </si>
  <si>
    <t xml:space="preserve">              MOVE LENGTH OF LX009BNAS11-O TO QZOLEN</t>
  </si>
  <si>
    <t xml:space="preserve">              MOVE 'X080BNLOG3'      TO NOME-LAYOUT</t>
  </si>
  <si>
    <t>PJG#1**P260-PREENCHE-GUIA-CTT.</t>
  </si>
  <si>
    <t xml:space="preserve">           MOVE '     '               TO CODBAR-COD-INSERT</t>
  </si>
  <si>
    <t xml:space="preserve">      * Verifica se tem IPC's</t>
  </si>
  <si>
    <t xml:space="preserve">           ADD  1                     TO CODBAR-NLIN-DOC</t>
  </si>
  <si>
    <t xml:space="preserve">      * IPC da CAIXA POUPANÇA</t>
  </si>
  <si>
    <t xml:space="preserve">           IF RU-COD-DOC-ORIGEM = 'ICR5540F'</t>
  </si>
  <si>
    <t xml:space="preserve">              PERFORM P110-PREENCHE-CODBARF THRU</t>
  </si>
  <si>
    <t xml:space="preserve">                      P110-PREENCHE-CODBARF-EX</t>
  </si>
  <si>
    <t xml:space="preserve">      *    Grava X080BNCAB1 com dados do cliente ou do mediador</t>
  </si>
  <si>
    <t xml:space="preserve">              PERFORM E110-ESCREVE-LOGMEN THRU</t>
  </si>
  <si>
    <t xml:space="preserve">           MOVE 'X080BNCAB1'          TO NOME-LAYOUT</t>
  </si>
  <si>
    <t xml:space="preserve">                      E110-ESCREVE-LOGMEN-EX</t>
  </si>
  <si>
    <t xml:space="preserve">              MOVE 'X009BNICPE'            TO NOME-O-LAYOUT</t>
  </si>
  <si>
    <t xml:space="preserve">           MOVE CODBAR-COMP-MARCA     TO X080BNCAB1-COMP-MARC</t>
  </si>
  <si>
    <t xml:space="preserve">              MOVE LENGTH OF LX009BNICPE-O TO QZOLEN</t>
  </si>
  <si>
    <t xml:space="preserve">           MOVE CODBAR-COD-DOC        TO</t>
  </si>
  <si>
    <t xml:space="preserve">                X080BNCAB1-LT-IDENTIFICA-DOC(1:5)</t>
  </si>
  <si>
    <t xml:space="preserve">              PERFORM P110-PREENCHE-CODBARB THRU</t>
  </si>
  <si>
    <t xml:space="preserve">           MOVE WAUX-DATA-TIMESTAMP   TO</t>
  </si>
  <si>
    <t xml:space="preserve">                      P110-PREENCHE-CODBARB-EX</t>
  </si>
  <si>
    <t xml:space="preserve">                X080BNCAB1-LT-IDENTIFICA-DOC(6:19)</t>
  </si>
  <si>
    <t xml:space="preserve">              MOVE 'X009BNICPF'            TO NOME-O-LAYOUT</t>
  </si>
  <si>
    <t xml:space="preserve">              MOVE LENGTH OF LX009BNICPF-O TO QZOLEN</t>
  </si>
  <si>
    <t xml:space="preserve">           MOVE 462                   TO QZOLEN</t>
  </si>
  <si>
    <t xml:space="preserve">                 MOVE X080BNCAB1-DADOS-MEDIAD-AUX TO</t>
  </si>
  <si>
    <t xml:space="preserve">                      X080BNCAB1-DADOS-ENDERECO</t>
  </si>
  <si>
    <t>PJG#1**       MOVE RU-NR-APOLICE            TO CODBAR-APOLICE</t>
  </si>
  <si>
    <t xml:space="preserve">              MOVE 'X009BNICPG'            TO NOME-O-LAYOUT</t>
  </si>
  <si>
    <t xml:space="preserve">                 MOVE X080BNCAB1-DADOS-CLIENTE-AUX TO</t>
  </si>
  <si>
    <t xml:space="preserve">              MOVE LENGTH OF LX009BNICPG-O TO QZOLEN</t>
  </si>
  <si>
    <t xml:space="preserve">              MOVE X080BNCAB1-DADOS-CLIENTE-AUX TO</t>
  </si>
  <si>
    <t>PJG#1**       MOVE CODBAR-APOLICE           TO X012BNCR00-O-APOLICE</t>
  </si>
  <si>
    <t xml:space="preserve">              MOVE 'X009BNICPH'            TO NOME-O-LAYOUT</t>
  </si>
  <si>
    <t xml:space="preserve">                   X080BNCAB1-DADOS-ENDERECO</t>
  </si>
  <si>
    <t xml:space="preserve">      *       MOVE LENGTH OF X012BNCR00-O-APOLICE TO WAUX-LEN</t>
  </si>
  <si>
    <t xml:space="preserve">              MOVE LENGTH OF LX009BNICPH-O TO QZOLEN</t>
  </si>
  <si>
    <t xml:space="preserve">      *       CALL</t>
  </si>
  <si>
    <t xml:space="preserve">           MOVE LX080BNCAB1           TO REG-PARTE-VARIAVEL</t>
  </si>
  <si>
    <t xml:space="preserve">      *         'PGOU001A' USING  WAUX-LEN, X012BNCR00-O-APOLICE</t>
  </si>
  <si>
    <t xml:space="preserve">      *       END-CALL</t>
  </si>
  <si>
    <t xml:space="preserve">           IF RU-COD-DOC-ORIGEM = 'ICR7301F'</t>
  </si>
  <si>
    <t xml:space="preserve">      *       MOVE WAUX-X012-O-MEDIADOR      TO CODBAR-MEDIADOR</t>
  </si>
  <si>
    <t xml:space="preserve">       P2089-WRITE-CAB-EX.</t>
  </si>
  <si>
    <t xml:space="preserve">      *       MOVE LENGTH OF CODBAR-MEDIADOR TO WAUX-LEN</t>
  </si>
  <si>
    <t xml:space="preserve">      *          'PGOU001A' USING  WAUX-LEN, CODBAR-MEDIADOR</t>
  </si>
  <si>
    <t xml:space="preserve">       P2090-WRITE-LIST.</t>
  </si>
  <si>
    <t>#09   *          IF NOME-LAYOUT  EQUAL  'X080BNCHG2'</t>
  </si>
  <si>
    <t>#09              IF NOME-LAYOUT  EQUAL  'X080BNCHG5'</t>
  </si>
  <si>
    <t>#09   *             MOVE 'X080BNPOS3'           TO NOME-LAYOUT</t>
  </si>
  <si>
    <t>PJG#1**       MOVE WAUX-X012-O-REGISTO-CTT(5:9) TO</t>
  </si>
  <si>
    <t>#09                 MOVE 'X080BNPOS5'           TO NOME-LAYOUT</t>
  </si>
  <si>
    <t>PJG#1**            CODBAR-MATRICULA (5:9)</t>
  </si>
  <si>
    <t>#09   *             MOVE 'X080BNPOS2'           TO NOME-LAYOUT</t>
  </si>
  <si>
    <t>#09                 MOVE 'X080BNPOS4'           TO NOME-LAYOUT</t>
  </si>
  <si>
    <t xml:space="preserve">                 ADD  1                         TO CODBAR-NLIN-DOC</t>
  </si>
  <si>
    <t xml:space="preserve">                 MOVE '     '                   TO CODBAR-COD-INSERT</t>
  </si>
  <si>
    <t>PJG#1**       PERFORM P290-GRAVAR-REGISTO THRU P290-GRAVAR-REGISTO-EX</t>
  </si>
  <si>
    <t xml:space="preserve">                 MOVE 210                       TO QZOLEN</t>
  </si>
  <si>
    <t xml:space="preserve">                 MOVE WAUX-AREA-OUTPUT          TO REG-PARTE-FIXA</t>
  </si>
  <si>
    <t>PJG#1**P260-PREENCHE-GUIA-CTT-EX.</t>
  </si>
  <si>
    <t xml:space="preserve">                 PERFORM VARYING T FROM 1 BY 1</t>
  </si>
  <si>
    <t xml:space="preserve">                   UNTIL T GREATER 9 OR W400-INVOICE-NUMBER(T)</t>
  </si>
  <si>
    <t xml:space="preserve">                   EQUAL LOW-VALUES OR SPACES</t>
  </si>
  <si>
    <t xml:space="preserve">                     MOVE W400-INVOICE-NUMBER(T) TO</t>
  </si>
  <si>
    <t xml:space="preserve">                          X080BNLIST-INVOICE-NUM</t>
  </si>
  <si>
    <t xml:space="preserve">                     MOVE W400-START-END-DATE(T) TO</t>
  </si>
  <si>
    <t xml:space="preserve">           IF RU-COD-DOC-ORIGEM = 'ICR2802F'</t>
  </si>
  <si>
    <t xml:space="preserve">                          X080BNLIST-START-END-DATE</t>
  </si>
  <si>
    <t xml:space="preserve">           ADD 1 TO                   REG-ESCRITOS</t>
  </si>
  <si>
    <t xml:space="preserve">                     MOVE W400-INVOICE-AMOUNT(T) TO</t>
  </si>
  <si>
    <t xml:space="preserve">                          X080BNLIST-INVOICE-AMOUNT</t>
  </si>
  <si>
    <t xml:space="preserve">                     MOVE 'X080BNCHLR'           TO NOME-LAYOUT</t>
  </si>
  <si>
    <t xml:space="preserve">              DISPLAY 'PGOC023A: ERRO WRITE QZOUTPUT ' FSQZOUTPUT</t>
  </si>
  <si>
    <t xml:space="preserve">                     MOVE '     '                TO CODBAR-COD-INSERT</t>
  </si>
  <si>
    <t xml:space="preserve">                     ADD  1                      TO CODBAR-NLIN-DOC</t>
  </si>
  <si>
    <t xml:space="preserve">                     MOVE 260                    TO QZOLEN</t>
  </si>
  <si>
    <t xml:space="preserve">              MOVE 'X009BNICPT'            TO NOME-O-LAYOUT</t>
  </si>
  <si>
    <t xml:space="preserve">                     MOVE WAUX-AREA-OUTPUT       TO REG-PARTE-FIXA</t>
  </si>
  <si>
    <t xml:space="preserve">              MOVE LENGTH OF LX009BNICPT-O TO QZOLEN</t>
  </si>
  <si>
    <t xml:space="preserve">                     MOVE LX080BNLIST            TO REG-PARTE-VARIAVEL</t>
  </si>
  <si>
    <t xml:space="preserve">                     PERFORM P9000-GRAVA-OUTPUT  THRU</t>
  </si>
  <si>
    <t xml:space="preserve">                             P9000-GRAVA-OUTPUT-EX</t>
  </si>
  <si>
    <t xml:space="preserve">                 END-PERFORM</t>
  </si>
  <si>
    <t xml:space="preserve">       P300-PREENCHE-CORPO-CARTA.</t>
  </si>
  <si>
    <t xml:space="preserve">              MOVE 'X009BNICPU'            TO NOME-O-LAYOUT</t>
  </si>
  <si>
    <t xml:space="preserve">      * Cartas GIS</t>
  </si>
  <si>
    <t xml:space="preserve">              MOVE LENGTH OF LX009BNICPU-O TO QZOLEN</t>
  </si>
  <si>
    <t xml:space="preserve">                 MOVE 'X080BNPOS1'              TO NOME-LAYOUT</t>
  </si>
  <si>
    <t xml:space="preserve">           IF RU-TIPO-HEADER01</t>
  </si>
  <si>
    <t xml:space="preserve">             INITIALIZE WORK-O-BGOW0014</t>
  </si>
  <si>
    <t xml:space="preserve">             PERFORM P101-LEITURA THRU P101-LEITURA-EXIT</t>
  </si>
  <si>
    <t xml:space="preserve">             COMPUTE WQZCOPY-TPAG-DOC = WQZCOPY-TPAG-DOC - 1</t>
  </si>
  <si>
    <t xml:space="preserve">             IF RU-COD-DOC-ORIGEM  = 'Med_Semest' OR</t>
  </si>
  <si>
    <t xml:space="preserve">              MOVE 'X009BNICPV'            TO NOME-O-LAYOUT</t>
  </si>
  <si>
    <t xml:space="preserve">                RU-COD-DOC-ORIGEM  = 'Med_Mensal' OR</t>
  </si>
  <si>
    <t xml:space="preserve">              MOVE LENGTH OF LX009BNICPV-O TO QZOLEN</t>
  </si>
  <si>
    <t xml:space="preserve">      **</t>
  </si>
  <si>
    <t xml:space="preserve">                RU-COD-DOC-ORIGEM  = 'S_EF_894  ' OR</t>
  </si>
  <si>
    <t xml:space="preserve">                    WHEN (GL LESS 18)</t>
  </si>
  <si>
    <t>PUHL  *         RU-COD-DOC-ORIGEM  = 'Carta26   '</t>
  </si>
  <si>
    <t xml:space="preserve">                       PERFORM P2099-WRITE-DETALHE THRU</t>
  </si>
  <si>
    <t>PUHL            RU-COD-DOC-ORIGEM  = 'Carta26   ' OR</t>
  </si>
  <si>
    <t xml:space="preserve">                        P2099-WRITE-DETALHE-EX</t>
  </si>
  <si>
    <t>PUHL            RU-COD-DOC-ORIGEM  = 'Carta28   '</t>
  </si>
  <si>
    <t xml:space="preserve">              MOVE 'X009BNICPW'            TO NOME-O-LAYOUT</t>
  </si>
  <si>
    <t xml:space="preserve">                        VARYING LL FROM 1 BY 1</t>
  </si>
  <si>
    <t xml:space="preserve">                COMPUTE WQZCOPY-TPAG-DOC = WQZCOPY-TPAG-DOC - 5</t>
  </si>
  <si>
    <t xml:space="preserve">              MOVE LENGTH OF LX009BNICPW-O TO QZOLEN</t>
  </si>
  <si>
    <t xml:space="preserve">                          UNTIL LL GREATER 17 OR W400-INVOICE-NUMBER(LL)</t>
  </si>
  <si>
    <t xml:space="preserve">                DIVIDE WQZCOPY-TPAG-DOC    BY 52</t>
  </si>
  <si>
    <t xml:space="preserve">                          EQUAL LOW-VALUES OR SPACES</t>
  </si>
  <si>
    <t xml:space="preserve">                  GIVING QUOCIENTE-TPAG</t>
  </si>
  <si>
    <t xml:space="preserve">                  REMAINDER RESTO-TPAG</t>
  </si>
  <si>
    <t xml:space="preserve">           IF RU-COD-DOC-ORIGEM = 'ICR2803F'</t>
  </si>
  <si>
    <t xml:space="preserve">                    WHEN (GL GREATER 17) AND (GL LESS 23)</t>
  </si>
  <si>
    <t xml:space="preserve">                END-DIVIDE</t>
  </si>
  <si>
    <t xml:space="preserve">                IF RU-COD-DOC-ORIGEM  = 'Med_Cob   ' OR</t>
  </si>
  <si>
    <t xml:space="preserve">                   RU-COD-DOC-ORIGEM  = 'MedCobFA  '</t>
  </si>
  <si>
    <t xml:space="preserve">                          UNTIL LL GREATER 15</t>
  </si>
  <si>
    <t xml:space="preserve">                   COMPUTE WQZCOPY-TPAG-DOC = WQZCOPY-TPAG-DOC - 6</t>
  </si>
  <si>
    <t xml:space="preserve">                   DIVIDE WQZCOPY-TPAG-DOC BY 50</t>
  </si>
  <si>
    <t xml:space="preserve">                       MOVE 'F_P_SELECT'   TO NOME-LAYOUT</t>
  </si>
  <si>
    <t xml:space="preserve">                     GIVING QUOCIENTE-TPAG</t>
  </si>
  <si>
    <t xml:space="preserve">                       MOVE '00000'          TO CODBAR-COD-INSERT</t>
  </si>
  <si>
    <t xml:space="preserve">                     REMAINDER RESTO-TPAG</t>
  </si>
  <si>
    <t xml:space="preserve">              MOVE 'X009BNICPO'            TO NOME-O-LAYOUT</t>
  </si>
  <si>
    <t xml:space="preserve">                       ADD 1                 TO CODBAR-NLIN-DOC</t>
  </si>
  <si>
    <t xml:space="preserve">                   END-DIVIDE</t>
  </si>
  <si>
    <t xml:space="preserve">              MOVE LENGTH OF LX009BNICPO-O TO QZOLEN</t>
  </si>
  <si>
    <t xml:space="preserve">                       MOVE 2                TO CODBAR-NPAG-DOC</t>
  </si>
  <si>
    <t xml:space="preserve">                       MOVE WAUX-AREA-OUTPUT TO REG-PARTE-FIXA</t>
  </si>
  <si>
    <t xml:space="preserve">                       MOVE 210              TO QZOLEN</t>
  </si>
  <si>
    <t xml:space="preserve">             IF RESTO-TPAG = 0</t>
  </si>
  <si>
    <t xml:space="preserve">                       PERFORM P9000-GRAVA-OUTPUT THRU</t>
  </si>
  <si>
    <t xml:space="preserve">                COMPUTE QUOCIENTE-TPAG = QUOCIENTE-TPAG + 1</t>
  </si>
  <si>
    <t xml:space="preserve">              MOVE 'X009BNICPP'            TO NOME-O-LAYOUT</t>
  </si>
  <si>
    <t xml:space="preserve">                               P9000-GRAVA-OUTPUT-EX</t>
  </si>
  <si>
    <t xml:space="preserve">              MOVE LENGTH OF LX009BNICPP-O TO QZOLEN</t>
  </si>
  <si>
    <t xml:space="preserve">                COMPUTE QUOCIENTE-TPAG = QUOCIENTE-TPAG + 2</t>
  </si>
  <si>
    <t xml:space="preserve">                       MOVE 'F080BNCONT'    TO NOME-LAYOUT</t>
  </si>
  <si>
    <t xml:space="preserve">                       MOVE '     '         TO CODBAR-COD-INSERT</t>
  </si>
  <si>
    <t xml:space="preserve">                       ADD 1                TO CODBAR-NLIN-DOC</t>
  </si>
  <si>
    <t xml:space="preserve">             IF RU-NR-MEDIADOR NOT = SPACES AND</t>
  </si>
  <si>
    <t xml:space="preserve">                RU-COD-POSTALM NOT = SPACES</t>
  </si>
  <si>
    <t xml:space="preserve">               PERFORM P400-PREENCHE-CARTAMED</t>
  </si>
  <si>
    <t xml:space="preserve">                  THRU P400-PREENCHE-CARTAMED-EX</t>
  </si>
  <si>
    <t xml:space="preserve">              MOVE 'X009BNICPQ'            TO NOME-O-LAYOUT</t>
  </si>
  <si>
    <t xml:space="preserve">              MOVE LENGTH OF LX009BNICPQ-O TO QZOLEN</t>
  </si>
  <si>
    <t xml:space="preserve">                       MOVE 'F080BNPOSA'   TO NOME-LAYOUT</t>
  </si>
  <si>
    <t xml:space="preserve">             MOVE 'N' TO CARTA-MEDIADOR</t>
  </si>
  <si>
    <t xml:space="preserve">             PERFORM P110-PREENCHE-CODBAR</t>
  </si>
  <si>
    <t xml:space="preserve">                THRU P110-PREENCHE-CODBAR-EX</t>
  </si>
  <si>
    <t xml:space="preserve">             PERFORM P220-PREENCHE-GERAL-CARTA</t>
  </si>
  <si>
    <t xml:space="preserve">              MOVE 'X009BNICPR'            TO NOME-O-LAYOUT</t>
  </si>
  <si>
    <t xml:space="preserve">                THRU P220-PREENCHE-GERAL-CARTA-EX</t>
  </si>
  <si>
    <t xml:space="preserve">              MOVE LENGTH OF LX009BNICPR-O TO QZOLEN</t>
  </si>
  <si>
    <t xml:space="preserve">           IF RU-FIM-DOCUMENTO AND RU-COD-DOC-ORIGEM NOT = 'ElClinico '</t>
  </si>
  <si>
    <t xml:space="preserve">             AND RU-COD-DOC-ORIGEM NOT = 'S_EF_894  '</t>
  </si>
  <si>
    <t xml:space="preserve">           IF RU-COD-DOC-ORIGEM = 'XCR2851F'</t>
  </si>
  <si>
    <t xml:space="preserve">             AND RU-COD-DOC-ORIGEM NOT = 'Med_Cob   '</t>
  </si>
  <si>
    <t xml:space="preserve">                         P2099-WRITE-DETALHE-EX</t>
  </si>
  <si>
    <t xml:space="preserve">             AND RU-COD-DOC-ORIGEM NOT = 'MedCobFA  '</t>
  </si>
  <si>
    <t xml:space="preserve">                         VARYING LL FROM 16 BY 1 UNTIL LL</t>
  </si>
  <si>
    <t xml:space="preserve">             AND RU-COD-DOC-ORIGEM NOT = 'Med_Semest'</t>
  </si>
  <si>
    <t xml:space="preserve">                           GREATER 22 OR W400-INVOICE-NUMBER(LL)</t>
  </si>
  <si>
    <t xml:space="preserve">             AND RU-COD-DOC-ORIGEM NOT = 'Med_Mensal'</t>
  </si>
  <si>
    <t xml:space="preserve">                           EQUAL LOW-VALUES OR SPACES</t>
  </si>
  <si>
    <t xml:space="preserve">             AND RU-COD-DOC-ORIGEM NOT = 'Carta25   '</t>
  </si>
  <si>
    <t xml:space="preserve">             AND RU-COD-DOC-ORIGEM NOT = 'Carta26   '</t>
  </si>
  <si>
    <t>PUHL         AND RU-COD-DOC-ORIGEM NOT = 'Carta28   '</t>
  </si>
  <si>
    <t xml:space="preserve">              MOVE 'X009BNICPJ'            TO NOME-O-LAYOUT</t>
  </si>
  <si>
    <t xml:space="preserve">              MOVE LENGTH OF LX009BNICPJ-O TO QZOLEN</t>
  </si>
  <si>
    <t xml:space="preserve">             PERFORM P240-PREENCHE-FINAL-CARTA</t>
  </si>
  <si>
    <t xml:space="preserve">                         VARYING LL FROM 1 BY 1 UNTIL LL</t>
  </si>
  <si>
    <t xml:space="preserve">                THRU P240-PREENCHE-FINAL-CARTA-EX</t>
  </si>
  <si>
    <t xml:space="preserve">                           GREATER 17</t>
  </si>
  <si>
    <t xml:space="preserve">              MOVE 'X009BNICPK'            TO NOME-O-LAYOUT</t>
  </si>
  <si>
    <t>PJG#1**    IF RU-FIM-DOCUMENTO AND RU-COD-DOC-ORIGEM = 'Carta25   '</t>
  </si>
  <si>
    <t xml:space="preserve">              MOVE LENGTH OF LX009BNICPK-O TO QZOLEN</t>
  </si>
  <si>
    <t>PJG#1**    END-IF.</t>
  </si>
  <si>
    <t xml:space="preserve">           IF RU-FIM-DOCUMENTO AND (</t>
  </si>
  <si>
    <t xml:space="preserve">              RU-COD-DOC-ORIGEM  = 'S_EF_894  '</t>
  </si>
  <si>
    <t xml:space="preserve">              OR RU-COD-DOC-ORIGEM  = 'Carta26   '</t>
  </si>
  <si>
    <t>PUHL          OR RU-COD-DOC-ORIGEM  = 'Carta28   '</t>
  </si>
  <si>
    <t xml:space="preserve">              OR RU-COD-DOC-ORIGEM  = 'Med_Cob   '</t>
  </si>
  <si>
    <t xml:space="preserve">              MOVE 'X009BNICPL'            TO NOME-O-LAYOUT</t>
  </si>
  <si>
    <t xml:space="preserve">              OR RU-COD-DOC-ORIGEM  = 'MedCobFA  '</t>
  </si>
  <si>
    <t xml:space="preserve">              MOVE LENGTH OF LX009BNICPL-O TO QZOLEN</t>
  </si>
  <si>
    <t xml:space="preserve">              OR RU-COD-DOC-ORIGEM  = 'Med_Semest'</t>
  </si>
  <si>
    <t xml:space="preserve">              OR RU-COD-DOC-ORIGEM  = 'Med_Mensal') AND</t>
  </si>
  <si>
    <t xml:space="preserve">              NOT CONTINUA-MAPA-Y</t>
  </si>
  <si>
    <t xml:space="preserve">              MOVE 'X002BNGISE'     TO NOME-O-LAYOUT</t>
  </si>
  <si>
    <t xml:space="preserve">              MOVE 'X009BNICPM'            TO NOME-O-LAYOUT</t>
  </si>
  <si>
    <t xml:space="preserve">              MOVE CC-CODBAR-NPAG1-DOC TO CONTADOR-PAGINA</t>
  </si>
  <si>
    <t xml:space="preserve">              MOVE LENGTH OF LX009BNICPM-O TO QZOLEN</t>
  </si>
  <si>
    <t xml:space="preserve">              PERFORM P500-CALCULA-PAG THRU</t>
  </si>
  <si>
    <t xml:space="preserve">                      P500-CALCULA-PAG-EX</t>
  </si>
  <si>
    <t xml:space="preserve">              MOVE LENGTH OF LX002BNGISE-O TO QZOLEN</t>
  </si>
  <si>
    <t xml:space="preserve">              PERFORM P290-GRAVAR-REGISTO  THRU</t>
  </si>
  <si>
    <t xml:space="preserve">                      P290-GRAVAR-REGISTO-EX</t>
  </si>
  <si>
    <t xml:space="preserve">           IF RU-TIPO-DETALHE</t>
  </si>
  <si>
    <t xml:space="preserve">       E110-ESCREVE-LOGMEN.</t>
  </si>
  <si>
    <t xml:space="preserve">                 WHEN RU-TL-SAUDACAO</t>
  </si>
  <si>
    <t xml:space="preserve">                      MOVE 'X002BNGIS1'     TO NOME-O-LAYOUT</t>
  </si>
  <si>
    <t xml:space="preserve">                      MOVE LENGTH OF LX002BNGIS1-O TO QZOLEN</t>
  </si>
  <si>
    <t xml:space="preserve">                      PERFORM P290-GRAVAR-REGISTO  THRU</t>
  </si>
  <si>
    <t xml:space="preserve">                         VARYING LL FROM 18 BY 1 UNTIL LL</t>
  </si>
  <si>
    <t xml:space="preserve">                           GREATER 75 OR W400-INVOICE-NUMBER(LL)</t>
  </si>
  <si>
    <t xml:space="preserve">                 WHEN RU-TL-ESPACOS</t>
  </si>
  <si>
    <t xml:space="preserve">                      MOVE 'X002BNGIS2'     TO NOME-O-LAYOUT</t>
  </si>
  <si>
    <t xml:space="preserve">                      MOVE LENGTH OF LX002BNGIS2-O TO QZOLEN</t>
  </si>
  <si>
    <t xml:space="preserve">       P2090-WRITE-LIST-EX.</t>
  </si>
  <si>
    <t xml:space="preserve">                 WHEN RU-TL-CORRENTE</t>
  </si>
  <si>
    <t xml:space="preserve">       P2099-WRITE-DETALHE.</t>
  </si>
  <si>
    <t xml:space="preserve">                   IF RU-TL-NORM</t>
  </si>
  <si>
    <t xml:space="preserve">                      MOVE 'X002BNGIS3' TO NOME-O-LAYOUT</t>
  </si>
  <si>
    <t xml:space="preserve">           MOVE W400-INVOICE-NUMBER(LL) TO X080BNLIST-INVOICE-NUM</t>
  </si>
  <si>
    <t xml:space="preserve">                      MOVE LENGTH OF LX002BNGIS3-O TO QZOLEN</t>
  </si>
  <si>
    <t xml:space="preserve">           MOVE W400-START-END-DATE(LL) TO X080BNLIST-START-END-DATE</t>
  </si>
  <si>
    <t xml:space="preserve">           MOVE W400-INVOICE-AMOUNT(LL) TO X080BNLIST-INVOICE-AMOUNT</t>
  </si>
  <si>
    <t xml:space="preserve">                   IF RU-TL-INDENT-NORM</t>
  </si>
  <si>
    <t>FLCM1         PERFORM P290-GRAVAR-REGISTO  THRU</t>
  </si>
  <si>
    <t xml:space="preserve">                      MOVE 'X002BNGIS4'     TO NOME-O-LAYOUT</t>
  </si>
  <si>
    <t>FLCM1                 P290-GRAVAR-REGISTO-EX</t>
  </si>
  <si>
    <t xml:space="preserve">           MOVE 'X080BNCTLR'            TO NOME-LAYOUT</t>
  </si>
  <si>
    <t xml:space="preserve">                      MOVE LENGTH OF LX002BNGIS4-O TO QZOLEN</t>
  </si>
  <si>
    <t xml:space="preserve">           MOVE '     '                 TO CODBAR-COD-INSERT</t>
  </si>
  <si>
    <t xml:space="preserve">           ADD  1                       TO CODBAR-NLIN-DOC</t>
  </si>
  <si>
    <t xml:space="preserve">                   IF RU-TL-BOLD</t>
  </si>
  <si>
    <t xml:space="preserve">           MOVE 260                     TO QZOLEN</t>
  </si>
  <si>
    <t xml:space="preserve">                      MOVE 'X002BNGIS5'     TO NOME-O-LAYOUT</t>
  </si>
  <si>
    <t xml:space="preserve">           MOVE WAUX-AREA-OUTPUT        TO REG-PARTE-FIXA</t>
  </si>
  <si>
    <t xml:space="preserve">                      MOVE LENGTH OF LX002BNGIS5-O TO QZOLEN</t>
  </si>
  <si>
    <t xml:space="preserve">           MOVE LX080BNLIST             TO REG-PARTE-VARIAVEL</t>
  </si>
  <si>
    <t xml:space="preserve">           PERFORM P9000-GRAVA-OUTPUT   THRU P9000-GRAVA-OUTPUT-EX.</t>
  </si>
  <si>
    <t xml:space="preserve">                   IF RU-TL-INDENT-BOLD</t>
  </si>
  <si>
    <t xml:space="preserve">                      MOVE 'X002BNGIS6'     TO NOME-O-LAYOUT</t>
  </si>
  <si>
    <t xml:space="preserve">       P2099-WRITE-DETALHE-EX.</t>
  </si>
  <si>
    <t xml:space="preserve">                      MOVE LENGTH OF LX002BNGIS6-O TO QZOLEN</t>
  </si>
  <si>
    <t xml:space="preserve">                   MOVE RU-LINHA-GIS     TO LININ</t>
  </si>
  <si>
    <t xml:space="preserve">       P9000-GRAVA-OUTPUT.</t>
  </si>
  <si>
    <t xml:space="preserve">                   MOVE LENGTH OF RU-LINHA-GIS TO LININ-LEN</t>
  </si>
  <si>
    <t xml:space="preserve">                   PERFORM TRATA-PYOXAU03 THRU TRATA-PYOXAU03-EX</t>
  </si>
  <si>
    <t xml:space="preserve">           WRITE RQZOUTPUT</t>
  </si>
  <si>
    <t xml:space="preserve">                   UNTIL FSPYOXAU03 EQUAL 'SV'</t>
  </si>
  <si>
    <t xml:space="preserve">                   MOVE SPACES       TO FSPYOXAU03</t>
  </si>
  <si>
    <t xml:space="preserve">              DISPLAY 'PGOA405: ERRO WRITE QZOUTPUT. FS=' FSQZOUTPUT</t>
  </si>
  <si>
    <t xml:space="preserve">                   MOVE SPACES       TO LININ</t>
  </si>
  <si>
    <t xml:space="preserve">                 WHEN RU-TL-TITULO</t>
  </si>
  <si>
    <t xml:space="preserve">                   MOVE 'X002BNGISJ'     TO NOME-O-LAYOUT</t>
  </si>
  <si>
    <t xml:space="preserve">       P9000-GRAVA-OUTPUT-EX.</t>
  </si>
  <si>
    <t xml:space="preserve">                   MOVE LENGTH OF LX002BNGISJ-O TO QZOLEN</t>
  </si>
  <si>
    <t xml:space="preserve">       E110-ESCREVE-LOGMEN-EX.</t>
  </si>
  <si>
    <t xml:space="preserve">              DISPLAY 'PGOA405: ERRO CLOSE QZTEMP. FS=' FSQZINPUT</t>
  </si>
  <si>
    <t xml:space="preserve">                 WHEN RU-TL-RISCO</t>
  </si>
  <si>
    <t xml:space="preserve">                      ADD 1 TO CONTADOR-VIDA-RISCO</t>
  </si>
  <si>
    <t xml:space="preserve">                      MOVE 'X002BNGIS7'     TO NOME-O-LAYOUT</t>
  </si>
  <si>
    <t xml:space="preserve">                      MOVE LENGTH OF LX002BNGIS7-O TO QZOLEN</t>
  </si>
  <si>
    <t xml:space="preserve">           WRITE RQZOUTPUT       FROM WORK-O-BGOW0020</t>
  </si>
  <si>
    <t xml:space="preserve">              DISPLAY 'PGOA405: ERRO CLOSE QZOUTPUT. FS=' FSQZOUTPUT</t>
  </si>
  <si>
    <t xml:space="preserve"> AQUI      IF RU-TIPO-DETALHE</t>
  </si>
  <si>
    <t xml:space="preserve">                 WHEN RU-TL-TESOURA</t>
  </si>
  <si>
    <t xml:space="preserve">             ADD 1 TO                   CONTADOR-VIDA-RISCO</t>
  </si>
  <si>
    <t xml:space="preserve">                      MOVE 'X002BNGIS8'     TO NOME-O-LAYOUT</t>
  </si>
  <si>
    <t xml:space="preserve">                      MOVE LENGTH OF LX002BNGIS8-O TO QZOLEN</t>
  </si>
  <si>
    <t xml:space="preserve">              DISPLAY 'PGOC038A: ERRO WRITE QZOUTPUT ' FSQZOUTPUT</t>
  </si>
  <si>
    <t xml:space="preserve">                 WHEN RU-TL-TES-TRAC-COMP</t>
  </si>
  <si>
    <t xml:space="preserve">           INITIALIZE WORK-O-BGOW0020-VARIAVEIS</t>
  </si>
  <si>
    <t xml:space="preserve">           DISPLAY 'PGOA405: PROGRAMA COM ERRO - ANALISAR MENSAGENS'</t>
  </si>
  <si>
    <t xml:space="preserve">                      IF RU-COD-DOC-ORIGEM  = 'Carta25   '</t>
  </si>
  <si>
    <t xml:space="preserve">           CALL 'ILBOABN0' USING WAUX-CAMPO-DUMP</t>
  </si>
  <si>
    <t xml:space="preserve">                        MOVE 'X002BNGISH'     TO NOME-O-LAYOUT</t>
  </si>
  <si>
    <t xml:space="preserve">                      ELSE</t>
  </si>
  <si>
    <t xml:space="preserve">                        MOVE 'X002BNGISG'     TO NOME-O-LAYOUT</t>
  </si>
  <si>
    <t>PJG#4 *</t>
  </si>
  <si>
    <t xml:space="preserve">                      END-IF</t>
  </si>
  <si>
    <t>PJG#4  P00-TRATA-PARM.</t>
  </si>
  <si>
    <t xml:space="preserve">                      MOVE LENGTH OF LX002BNGISG-O TO QZOLEN</t>
  </si>
  <si>
    <t>PJG#4 ***************************************************************</t>
  </si>
  <si>
    <t>PJG#4 *  VERIFICA SE TRATA LAYOUT OU FICHEIRO, PERANTE O PARM       *</t>
  </si>
  <si>
    <t xml:space="preserve">           IF RU-TIPO-HEADERMM</t>
  </si>
  <si>
    <t>PJG#4  P00-START.</t>
  </si>
  <si>
    <t xml:space="preserve">                 WHEN RU-TL-TES-TRAC-MEDICIL</t>
  </si>
  <si>
    <t xml:space="preserve">             MOVE 'N' TO ESCREVE-COSTAS</t>
  </si>
  <si>
    <t>PJG#4      SET W100-NO-LAYOUT                 TO TRUE.</t>
  </si>
  <si>
    <t xml:space="preserve">                      MOVE 'X002BNGISF'     TO NOME-O-LAYOUT</t>
  </si>
  <si>
    <t xml:space="preserve">             MOVE +0 TO INDL</t>
  </si>
  <si>
    <t>PJG#4      EVALUATE TRUE</t>
  </si>
  <si>
    <t xml:space="preserve">                      MOVE LENGTH OF LX002BNGISF-O TO QZOLEN</t>
  </si>
  <si>
    <t xml:space="preserve">                        LININ-LEN</t>
  </si>
  <si>
    <t>PJG#4          WHEN W400-TRATA-COMP-MARCA EQUAL '111001' AND</t>
  </si>
  <si>
    <t xml:space="preserve">             INITIALIZE WORK-O-BGOW0020</t>
  </si>
  <si>
    <t>PJG#4               BGOW0017-LAYOUTS-111001</t>
  </si>
  <si>
    <t>PJG#4          WHEN W400-TRATA-COMP-MARCA EQUAL '111005' AND</t>
  </si>
  <si>
    <t>PJG#4               BGOW0017-LAYOUTS-111005</t>
  </si>
  <si>
    <t xml:space="preserve">                 WHEN RU-TL-TRACEJADO</t>
  </si>
  <si>
    <t>FLCM         IF (RU-COD-DOC-ORIGEM = 'ICP5218F  ' OR</t>
  </si>
  <si>
    <t>PJG#4          WHEN W400-TRATA-COMP-MARCA EQUAL '128002' AND</t>
  </si>
  <si>
    <t>FLCM            RU-COD-DOC-ORIGEM = 'XCP5218F  ') AND</t>
  </si>
  <si>
    <t>PJG#4               BGOW0017-LAYOUTS-128002</t>
  </si>
  <si>
    <t xml:space="preserve">                      MOVE 'X002BNGIS9'     TO NOME-O-LAYOUT</t>
  </si>
  <si>
    <t>FLCM            WQZCOPY-TPAG-DOC &lt;= 56</t>
  </si>
  <si>
    <t>PJG#4          WHEN W400-TRATA-COMP-MARCA EQUAL '138003' AND</t>
  </si>
  <si>
    <t xml:space="preserve">                      MOVE LENGTH OF LX002BNGIS9-O TO QZOLEN</t>
  </si>
  <si>
    <t>FLCM           DIVIDE WQZCOPY-TPAG-DOC    BY 56</t>
  </si>
  <si>
    <t>PJG#4               BGOW0017-LAYOUTS-138003</t>
  </si>
  <si>
    <t>FLCM             GIVING QUOCIENTE-TPAG</t>
  </si>
  <si>
    <t>PJG#4          WHEN W400-TRATA-COMP-MARCA EQUAL '138004' AND</t>
  </si>
  <si>
    <t xml:space="preserve">                              P290-GRAVAR-REGISTO-EX</t>
  </si>
  <si>
    <t>FLCM             REMAINDER RESTO-TPAG</t>
  </si>
  <si>
    <t>PJG#4               BGOW0017-LAYOUTS-138004</t>
  </si>
  <si>
    <t xml:space="preserve">                      MOVE CC-CODBAR-NPAG1-DOC TO CONTADOR-PAGINA</t>
  </si>
  <si>
    <t>FLCM           END-DIVIDE</t>
  </si>
  <si>
    <t>PJG#4          WHEN W400-TRATA-COMP-MARCA EQUAL '148006' AND</t>
  </si>
  <si>
    <t xml:space="preserve">                      IF CONTADOR-VIDA-RISCO &gt;= 55</t>
  </si>
  <si>
    <t>FLCM         ELSE</t>
  </si>
  <si>
    <t>PJG#4               BGOW0017-LAYOUTS-148006</t>
  </si>
  <si>
    <t xml:space="preserve">                         MOVE 'X002BNGISE'     TO NOME-O-LAYOUT</t>
  </si>
  <si>
    <t>FLCM           IF (RU-COD-DOC-ORIGEM = 'ICP3400F  '</t>
  </si>
  <si>
    <t>PJG#4             SET W100-TRATA-LAYOUT       TO TRUE</t>
  </si>
  <si>
    <t xml:space="preserve">                         MOVE CC-CODBAR-NPAG1-DOC TO CONTADOR-PAGINA</t>
  </si>
  <si>
    <t>FLCM           OR RU-COD-DOC-ORIGEM = 'XCP3400F  ')</t>
  </si>
  <si>
    <t xml:space="preserve">                         PERFORM P500-CALCULA-PAG THRU</t>
  </si>
  <si>
    <t>FLCM             DIVIDE WQZCOPY-TPAG-DOC    BY 52</t>
  </si>
  <si>
    <t xml:space="preserve">                                 P500-CALCULA-PAG-EX</t>
  </si>
  <si>
    <t>FLCM               GIVING QUOCIENTE-TPAG</t>
  </si>
  <si>
    <t>PJG#4      SET W100-NO-FICH                   TO TRUE.</t>
  </si>
  <si>
    <t xml:space="preserve">                         MOVE LENGTH OF LX002BNGISE-O TO QZOLEN</t>
  </si>
  <si>
    <t>FLCM               REMAINDER RESTO-TPAG</t>
  </si>
  <si>
    <t xml:space="preserve">                         PERFORM P290-GRAVAR-REGISTO  THRU</t>
  </si>
  <si>
    <t>FLCM             END-DIVIDE</t>
  </si>
  <si>
    <t xml:space="preserve">                                 P290-GRAVAR-REGISTO-EX</t>
  </si>
  <si>
    <t>PJG#4               BGOW0017-FFLAT-111001</t>
  </si>
  <si>
    <t xml:space="preserve">                 DIVIDE WQZCOPY-TPAG-DOC    BY 47</t>
  </si>
  <si>
    <t>PJG#1**                  INITIALIZE CONTADOR-MAPA</t>
  </si>
  <si>
    <t xml:space="preserve">                   GIVING QUOCIENTE-TPAG</t>
  </si>
  <si>
    <t>PJG#4               BGOW0017-FFLAT-111005</t>
  </si>
  <si>
    <t xml:space="preserve">                         SET CONTINUA-MAPA-Y TO TRUE</t>
  </si>
  <si>
    <t xml:space="preserve">                   REMAINDER RESTO-TPAG</t>
  </si>
  <si>
    <t xml:space="preserve">                 END-DIVIDE</t>
  </si>
  <si>
    <t>PJG#4               BGOW0017-FFLAT-128002</t>
  </si>
  <si>
    <t xml:space="preserve">                 WHEN RU-TL-TESOURA-COM-TR</t>
  </si>
  <si>
    <t>PJG#4               BGOW0017-FFLAT-138003</t>
  </si>
  <si>
    <t xml:space="preserve">                      MOVE 'X002BNGISA'     TO NOME-O-LAYOUT</t>
  </si>
  <si>
    <t xml:space="preserve">             IF (RU-COD-DOC-ORIGEM = 'ICRS37AF  '</t>
  </si>
  <si>
    <t xml:space="preserve">                      MOVE LENGTH OF LX002BNGISA-O TO QZOLEN</t>
  </si>
  <si>
    <t xml:space="preserve">             OR RU-COD-DOC-ORIGEM = 'XCRS37AF  ')</t>
  </si>
  <si>
    <t>PJG#4               BGOW0017-FFLAT-138004</t>
  </si>
  <si>
    <t xml:space="preserve">               IF RESTO-TPAG = 0</t>
  </si>
  <si>
    <t xml:space="preserve">                  COMPUTE QUOCIENTE-TPAG = QUOCIENTE-TPAG + 2</t>
  </si>
  <si>
    <t>PJG#4               BGOW0017-FFLAT-148006</t>
  </si>
  <si>
    <t>PJG#4             SET W100-TRATA-FICH         TO TRUE</t>
  </si>
  <si>
    <t xml:space="preserve">                 WHEN RU-TL-CUMPRIMENTOS</t>
  </si>
  <si>
    <t xml:space="preserve">                      MOVE 'X002BNGISB'     TO NOME-O-LAYOUT</t>
  </si>
  <si>
    <t xml:space="preserve">                      MOVE LENGTH OF LX002BNGISB-O TO QZOLEN</t>
  </si>
  <si>
    <t>PJG#4  P00-EXIT.</t>
  </si>
  <si>
    <t>PJG#4      EXIT.</t>
  </si>
  <si>
    <t xml:space="preserve">                  COMPUTE QUOCIENTE-TPAG = QUOCIENTE-TPAG + 0</t>
  </si>
  <si>
    <t xml:space="preserve">                      IF RU-COD-DOC-ORIGEM = 'ElClinico '</t>
  </si>
  <si>
    <t>PJG#4 *** AREA DE TRATAMENTO DO PARM ***</t>
  </si>
  <si>
    <t xml:space="preserve">                      OR RU-COD-DOC-ORIGEM = 'Carta25   '</t>
  </si>
  <si>
    <t xml:space="preserve">                  COMPUTE QUOCIENTE-TPAG = QUOCIENTE-TPAG + 1</t>
  </si>
  <si>
    <t>PJG#4      COPY BGOP0017.</t>
  </si>
  <si>
    <t xml:space="preserve">                         PERFORM P240-PREENCHE-FINAL-CARTA</t>
  </si>
  <si>
    <t xml:space="preserve">                            THRU P240-PREENCHE-FINAL-CARTA-EX</t>
  </si>
  <si>
    <t xml:space="preserve">             IF RU-NR-MEDIADOR NOT = SPACES</t>
  </si>
  <si>
    <t xml:space="preserve">                      IF RU-COD-DOC-ORIGEM = 'S_EF_894  '</t>
  </si>
  <si>
    <t>PUHL  *               IF RU-COD-DOC-ORIGEM = 'Carta26   '</t>
  </si>
  <si>
    <t xml:space="preserve">           IF RU-TIPO-HEADER03</t>
  </si>
  <si>
    <t>PUHL                  IF RU-COD-DOC-ORIGEM = 'Carta26   ' OR</t>
  </si>
  <si>
    <t>PUHL                     RU-COD-DOC-ORIGEM = 'Carta28   '</t>
  </si>
  <si>
    <t xml:space="preserve">             MOVE RU-DT-CARTA-EMISSAO  TO X009BNASST-O-DATA</t>
  </si>
  <si>
    <t xml:space="preserve">             MOVE RU-ASSUNTO1          TO X009BNASST-O-ASSUNTO1</t>
  </si>
  <si>
    <t xml:space="preserve">             MOVE RU-ASSUNTO2          TO X009BNASST-O-ASSUNTO2</t>
  </si>
  <si>
    <t xml:space="preserve">             MOVE RU-ASSUNTO3          TO X009BNASST-O-ASSUNTO3</t>
  </si>
  <si>
    <t xml:space="preserve">             MOVE 'X009BNASST'         TO NOME-O-LAYOUT</t>
  </si>
  <si>
    <t xml:space="preserve">             MOVE LENGTH OF LX009BNASST-O TO QZOLEN</t>
  </si>
  <si>
    <t xml:space="preserve">             PERFORM P290-GRAVAR-REGISTO  THRU</t>
  </si>
  <si>
    <t xml:space="preserve">             P290-GRAVAR-REGISTO-EX</t>
  </si>
  <si>
    <t xml:space="preserve">             MOVE 'X009BNGISP'        TO NOME-O-LAYOUT</t>
  </si>
  <si>
    <t xml:space="preserve">             MOVE LENGTH OF LX009BNGISP-O TO QZOLEN</t>
  </si>
  <si>
    <t xml:space="preserve">                      IF RU-COD-DOC-ORIGEM = 'Med_Semest'</t>
  </si>
  <si>
    <t xml:space="preserve">           IF RU-TIPO-HEADER04 OR RU-TIPO-HEADER05</t>
  </si>
  <si>
    <t xml:space="preserve">             MOVE 'X009BNGISL'        TO NOME-O-LAYOUT</t>
  </si>
  <si>
    <t xml:space="preserve">             MOVE LENGTH OF LX009BNGISL-O TO QZOLEN</t>
  </si>
  <si>
    <t xml:space="preserve">             IF RU-DOC-ID = '002' OR RU-DOC-ID = '005'</t>
  </si>
  <si>
    <t xml:space="preserve">                MOVE RU-NIF              TO X009BNCPS1-O-NIF</t>
  </si>
  <si>
    <t xml:space="preserve">                MOVE RU-NATUREZA         TO X009BNCPS1-O-NATUREZA</t>
  </si>
  <si>
    <t xml:space="preserve">                MOVE RU-DT-EMISSAO       TO X009BNCPS1-O-DT-EMISSAO</t>
  </si>
  <si>
    <t xml:space="preserve">                      IF RU-COD-DOC-ORIGEM = 'Med_Mensal'</t>
  </si>
  <si>
    <t xml:space="preserve">                MOVE RU-DT-EMISSAO       TO DT-EMISSAO-AUX</t>
  </si>
  <si>
    <t xml:space="preserve">                MOVE RU-NR-APOLICE(1:2)  TO CPS1-RAMO</t>
  </si>
  <si>
    <t xml:space="preserve">                MOVE RU-NR-APOLICE(3:8)  TO CPS1-APOLICE</t>
  </si>
  <si>
    <t xml:space="preserve">                MOVE '/'                 TO CPS1-BARRA</t>
  </si>
  <si>
    <t xml:space="preserve">                STRING</t>
  </si>
  <si>
    <t xml:space="preserve">                  CPS1-RAMO DELIMITED BY SPACES</t>
  </si>
  <si>
    <t xml:space="preserve">                  CPS1-BARRA DELIMITED BY SPACES</t>
  </si>
  <si>
    <t xml:space="preserve">                  CPS1-APOLICE DELIMITED BY SPACES</t>
  </si>
  <si>
    <t xml:space="preserve">                  INTO X009BNCPS1-O-APOLICE</t>
  </si>
  <si>
    <t xml:space="preserve">                MOVE PRODUTO-AUX         TO X009BNCPS1-O-PRODUTO</t>
  </si>
  <si>
    <t xml:space="preserve">                      IF RU-COD-DOC-ORIGEM = 'Med_Cob   '</t>
  </si>
  <si>
    <t xml:space="preserve">                MOVE CODBAR-CLIENTE      TO X009BNCPS1-O-NR-CLIENTE</t>
  </si>
  <si>
    <t xml:space="preserve">                MOVE RU-DT-ANIVERSARIA   TO X009BNCPS1-O-DT-ANIVERSARIA</t>
  </si>
  <si>
    <t xml:space="preserve">                MOVE CC-CODBAR-NPAG1-DOC TO CONTADOR-PAGINA</t>
  </si>
  <si>
    <t xml:space="preserve">                PERFORM P500-CALCULA-PAG THRU</t>
  </si>
  <si>
    <t xml:space="preserve">                        P500-CALCULA-PAG-EX</t>
  </si>
  <si>
    <t xml:space="preserve">                IF RU-DOC-ID = '002'</t>
  </si>
  <si>
    <t xml:space="preserve">                  MOVE PRODUTO-AUX         TO X009BNCPS1-O-PRODUTO</t>
  </si>
  <si>
    <t xml:space="preserve">                  MOVE 'X009BNCPS1'            TO NOME-O-LAYOUT</t>
  </si>
  <si>
    <t xml:space="preserve">                  MOVE LENGTH OF LX009BNCPS1-O TO QZOLEN</t>
  </si>
  <si>
    <t xml:space="preserve">                IF RU-DOC-ID = '005'</t>
  </si>
  <si>
    <t xml:space="preserve">                      IF RU-COD-DOC-ORIGEM = 'MedCobFA  '</t>
  </si>
  <si>
    <t xml:space="preserve">                  MOVE 'X009BNEXS1'            TO NOME-O-LAYOUT</t>
  </si>
  <si>
    <t xml:space="preserve">                PERFORM P290-GRAVAR-REGISTO  THRU P290-GRAVAR-REGISTO-EX</t>
  </si>
  <si>
    <t xml:space="preserve">               IF RU-O-PAXUS</t>
  </si>
  <si>
    <t xml:space="preserve">                 MOVE RU-NR-APOLICE(1:8) TO X009BNCRT1-O-APOLICE</t>
  </si>
  <si>
    <t xml:space="preserve">                 MOVE RU-NR-APOLICE(1:2)  TO CPS1-RAMO</t>
  </si>
  <si>
    <t xml:space="preserve">                 WHEN RU-TL-LINHA-FIXA</t>
  </si>
  <si>
    <t xml:space="preserve">                 MOVE RU-NR-APOLICE(3:8)  TO CPS1-APOLICE</t>
  </si>
  <si>
    <t xml:space="preserve">                 MOVE '/'                 TO CPS1-BARRA</t>
  </si>
  <si>
    <t xml:space="preserve">                   IF RU-COD-DOC-ORIGEM NOT = 'Med_Semest' AND</t>
  </si>
  <si>
    <t xml:space="preserve">                      RU-COD-DOC-ORIGEM NOT = 'Med_Mensal' AND</t>
  </si>
  <si>
    <t xml:space="preserve">                   CPS1-RAMO DELIMITED BY SPACES</t>
  </si>
  <si>
    <t xml:space="preserve">                      RU-COD-DOC-ORIGEM NOT = 'MedCobFA  ' AND</t>
  </si>
  <si>
    <t xml:space="preserve">                   CPS1-BARRA DELIMITED BY SPACES</t>
  </si>
  <si>
    <t xml:space="preserve">                      RU-COD-DOC-ORIGEM NOT = 'Med_Cob   ' AND</t>
  </si>
  <si>
    <t xml:space="preserve">                   CPS1-APOLICE DELIMITED BY SPACES</t>
  </si>
  <si>
    <t xml:space="preserve">                      RU-COD-DOC-ORIGEM NOT = 'S_EF_894  ' AND</t>
  </si>
  <si>
    <t xml:space="preserve">                   INTO X009BNCRT1-O-APOLICE</t>
  </si>
  <si>
    <t>PUHL  *               RU-COD-DOC-ORIGEM NOT = 'Carta26   '</t>
  </si>
  <si>
    <t>PUHL                  RU-COD-DOC-ORIGEM NOT = 'Carta26   ' AND</t>
  </si>
  <si>
    <t>PUHL                  RU-COD-DOC-ORIGEM NOT = 'Carta28   '</t>
  </si>
  <si>
    <t xml:space="preserve">      *        MOVE CODBAR-APOLICE(9:8) TO X009BNCRT1-O-APOLICE</t>
  </si>
  <si>
    <t xml:space="preserve">                      MOVE RU-LINHA-GIS     TO X002BNGISC-O-LINHA-FIXA</t>
  </si>
  <si>
    <t xml:space="preserve">               MOVE RU-DT-EMISSAO       TO X009BNCRT1-O-DT-EMISSAO</t>
  </si>
  <si>
    <t xml:space="preserve">                      MOVE 'X002BNGISC'     TO NOME-O-LAYOUT</t>
  </si>
  <si>
    <t xml:space="preserve">               MOVE RU-DT-EMISSAO       TO DT-EMISSAO-AUX</t>
  </si>
  <si>
    <t xml:space="preserve">                      MOVE LENGTH OF LX002BNGISC-O TO QZOLEN</t>
  </si>
  <si>
    <t xml:space="preserve">               MOVE PRODUTO-AUX         TO X009BNCRT1-O-PRODUTO</t>
  </si>
  <si>
    <t xml:space="preserve">               MOVE RU-NIF              TO X009BNCRT1-O-NIF</t>
  </si>
  <si>
    <t xml:space="preserve">                      IF RU-COD-DOC-ORIGEM  = 'Med_Semest' OR</t>
  </si>
  <si>
    <t xml:space="preserve">               MOVE CODBAR-CLIENTE      TO X009BNCRT1-O-NR-CLIENTE</t>
  </si>
  <si>
    <t xml:space="preserve">                         RU-COD-DOC-ORIGEM  = 'Med_Mensal' OR</t>
  </si>
  <si>
    <t xml:space="preserve">               MOVE ZEROS  TO NADERENTE-AUX</t>
  </si>
  <si>
    <t xml:space="preserve">                         RU-COD-DOC-ORIGEM  = 'S_EF_894  ' OR</t>
  </si>
  <si>
    <t xml:space="preserve">               MOVE SPACES TO NADERENTE-AUX1</t>
  </si>
  <si>
    <t>PUHL  *                  RU-COD-DOC-ORIGEM  = 'Carta26   '</t>
  </si>
  <si>
    <t xml:space="preserve">               MOVE LENGTH OF RU-ADERENTE TO AUX-LEN</t>
  </si>
  <si>
    <t>PUHL                     RU-COD-DOC-ORIGEM  = 'Carta26   ' OR</t>
  </si>
  <si>
    <t xml:space="preserve">               CALL</t>
  </si>
  <si>
    <t>PUHL                     RU-COD-DOC-ORIGEM  = 'Carta28   '</t>
  </si>
  <si>
    <t xml:space="preserve">                 'PGOU001A' USING  AUX-LEN, RU-ADERENTE</t>
  </si>
  <si>
    <t xml:space="preserve">                        ADD 1 TO CONTADOR-VIDA-RISCO</t>
  </si>
  <si>
    <t xml:space="preserve">               END-CALL</t>
  </si>
  <si>
    <t xml:space="preserve">                        IF CONTADOR-VIDA-RISCO = 2</t>
  </si>
  <si>
    <t xml:space="preserve">               MOVE     RU-ADERENTE    TO NADERENTE-AUX</t>
  </si>
  <si>
    <t xml:space="preserve">                          MOVE RU-LINHA-GIS TO LINHA1-CABECALHO</t>
  </si>
  <si>
    <t xml:space="preserve">               PERFORM</t>
  </si>
  <si>
    <t xml:space="preserve">                  VARYING INDX FROM 1 BY 1 UNTIL INDX GREATER 8</t>
  </si>
  <si>
    <t xml:space="preserve">                        IF CONTADOR-VIDA-RISCO = 3</t>
  </si>
  <si>
    <t xml:space="preserve">                  IF NADERENTE-AUX(INDX:1) NOT EQUAL ZERO</t>
  </si>
  <si>
    <t xml:space="preserve">                          MOVE RU-LINHA-GIS TO LINHA2-CABECALHO</t>
  </si>
  <si>
    <t xml:space="preserve">                     MOVE NADERENTE-AUX(INDX:9 - INDX) TO</t>
  </si>
  <si>
    <t xml:space="preserve">                          NADERENTE-AUX1(1:9 - INDX)</t>
  </si>
  <si>
    <t xml:space="preserve">                        IF CONTADOR-VIDA-RISCO = 4</t>
  </si>
  <si>
    <t xml:space="preserve">                     MOVE +8 TO INDX</t>
  </si>
  <si>
    <t xml:space="preserve">                          MOVE RU-LINHA-GIS TO LINHA3-CABECALHO</t>
  </si>
  <si>
    <t xml:space="preserve">               END-PERFORM</t>
  </si>
  <si>
    <t xml:space="preserve">               MOVE     NADERENTE-AUX1 TO X009BNCRT1-O-NCERTIFICADO</t>
  </si>
  <si>
    <t xml:space="preserve">                      IF RU-COD-DOC-ORIGEM  = 'Med_Cob   ' OR</t>
  </si>
  <si>
    <t xml:space="preserve">               MOVE     RU-NEMPREGADO  TO X009BNCRT1-O-NEMPREGADO</t>
  </si>
  <si>
    <t xml:space="preserve">                         RU-COD-DOC-ORIGEM  = 'MedCobFA  '</t>
  </si>
  <si>
    <t xml:space="preserve">               MOVE CC-CODBAR-NPAG1-DOC TO CONTADOR-PAGINA</t>
  </si>
  <si>
    <t xml:space="preserve">               PERFORM P500-CALCULA-PAG THRU</t>
  </si>
  <si>
    <t xml:space="preserve">                       P500-CALCULA-PAG-EX</t>
  </si>
  <si>
    <t xml:space="preserve">               MOVE 'X009BNCRT1'            TO NOME-O-LAYOUT</t>
  </si>
  <si>
    <t xml:space="preserve">               MOVE LENGTH OF LX009BNCRT1-O TO QZOLEN</t>
  </si>
  <si>
    <t xml:space="preserve">               PERFORM P290-GRAVAR-REGISTO  THRU P290-GRAVAR-REGISTO-EX</t>
  </si>
  <si>
    <t xml:space="preserve">           IF RU-FIM-DOCUMENTO AND RU-COD-DOC-ORIGEM NOT = 'ICRS030F  '</t>
  </si>
  <si>
    <t xml:space="preserve">             AND RU-COD-DOC-ORIGEM NOT = 'ICRS031F  '</t>
  </si>
  <si>
    <t xml:space="preserve">                        IF CONTADOR-VIDA-RISCO = 5</t>
  </si>
  <si>
    <t xml:space="preserve">             AND RU-COD-DOC-ORIGEM NOT = 'ICRS032F  '</t>
  </si>
  <si>
    <t xml:space="preserve">                          MOVE RU-LINHA-GIS TO LINHA4-CABECALHO</t>
  </si>
  <si>
    <t xml:space="preserve">             AND RU-COD-DOC-ORIGEM NOT = 'ICRS033F  '</t>
  </si>
  <si>
    <t xml:space="preserve">             AND RU-COD-DOC-ORIGEM NOT = 'XCRS030F  '</t>
  </si>
  <si>
    <t xml:space="preserve">             AND RU-COD-DOC-ORIGEM NOT = 'XCRS031F  '</t>
  </si>
  <si>
    <t xml:space="preserve">                      IF CONTINUA-MAPA-Y</t>
  </si>
  <si>
    <t xml:space="preserve">             AND RU-COD-DOC-ORIGEM NOT = 'XCRS032F  '</t>
  </si>
  <si>
    <t xml:space="preserve">                        ADD 1 TO CONTADOR-PAGINA</t>
  </si>
  <si>
    <t xml:space="preserve">             AND RU-COD-DOC-ORIGEM NOT = 'XCRS033F  '</t>
  </si>
  <si>
    <t xml:space="preserve">                        PERFORM P510-ESCREVE-CABECALHO THRU</t>
  </si>
  <si>
    <t xml:space="preserve">             AND RU-COD-DOC-ORIGEM NOT = 'ICRS034F  '</t>
  </si>
  <si>
    <t xml:space="preserve">                                P510-ESCREVE-CABECALHO-EX</t>
  </si>
  <si>
    <t xml:space="preserve">             AND RU-COD-DOC-ORIGEM NOT = 'ICRS035F  '</t>
  </si>
  <si>
    <t xml:space="preserve">             AND RU-COD-DOC-ORIGEM NOT = 'ICRS37AF  '</t>
  </si>
  <si>
    <t xml:space="preserve">                      MOVE RU-LINHA-GIS     TO X002BNGISD-O-LINHA-FIXA</t>
  </si>
  <si>
    <t xml:space="preserve">             AND RU-COD-DOC-ORIGEM NOT = 'XCRS37AF  '</t>
  </si>
  <si>
    <t xml:space="preserve">                      MOVE 'X002BNGISD'     TO NOME-O-LAYOUT</t>
  </si>
  <si>
    <t xml:space="preserve">             AND RU-COD-DOC-ORIGEM NOT = 'XCRS034F  '</t>
  </si>
  <si>
    <t xml:space="preserve">                      MOVE LENGTH OF LX002BNGISD-O TO QZOLEN</t>
  </si>
  <si>
    <t xml:space="preserve">             AND RU-COD-DOC-ORIGEM NOT = 'XCRS035F  '</t>
  </si>
  <si>
    <t xml:space="preserve">                   PERFORM P290-GRAVAR-REGISTO  THRU</t>
  </si>
  <si>
    <t xml:space="preserve">             AND RU-COD-DOC-ORIGEM NOT = 'ICRS23AF  '</t>
  </si>
  <si>
    <t xml:space="preserve">                   P290-GRAVAR-REGISTO-EX</t>
  </si>
  <si>
    <t xml:space="preserve">                   MOVE 'N' TO CONTINUA-MAPA</t>
  </si>
  <si>
    <t xml:space="preserve">                 WHEN RU-TL-VERSO</t>
  </si>
  <si>
    <t xml:space="preserve">           IF RU-FIM-DOCUMENTO AND</t>
  </si>
  <si>
    <t xml:space="preserve">                      COMPUTE CC-CODBAR-NPAG-DOC =</t>
  </si>
  <si>
    <t xml:space="preserve">             (RU-COD-DOC-ORIGEM  = 'ICRS37AF  ' OR</t>
  </si>
  <si>
    <t xml:space="preserve">                              CC-CODBAR-NPAG-DOC + 1</t>
  </si>
  <si>
    <t xml:space="preserve">              RU-COD-DOC-ORIGEM  = 'XCRS37AF  ')</t>
  </si>
  <si>
    <t xml:space="preserve">                      COMPUTE CC-CODBAR-NPAG1-DOC =</t>
  </si>
  <si>
    <t xml:space="preserve">              AND NOT CONTINUA-MAPA-Y</t>
  </si>
  <si>
    <t xml:space="preserve">                              CC-CODBAR-NPAG1-DOC + 1</t>
  </si>
  <si>
    <t xml:space="preserve">              MOVE 'X009BNGISE'     TO NOME-O-LAYOUT</t>
  </si>
  <si>
    <t xml:space="preserve">                      MOVE CC-CODBAR-NPAG-DOC    TO CODBAR-NPAG-DOC</t>
  </si>
  <si>
    <t xml:space="preserve">                      MOVE 'F_P_SELECT'            TO NOME-O-LAYOUT</t>
  </si>
  <si>
    <t xml:space="preserve">              PERFORM P520-CALCULA-PAG THRU</t>
  </si>
  <si>
    <t xml:space="preserve">                      MOVE ALL '0'                 TO CODBAR-COD-INSERT</t>
  </si>
  <si>
    <t xml:space="preserve">                      P520-CALCULA-PAG-EX</t>
  </si>
  <si>
    <t xml:space="preserve">                      MOVE LENGTH OF LF-P-SELECT-O TO QZOLEN</t>
  </si>
  <si>
    <t xml:space="preserve">              MOVE LENGTH OF LX009BNGISE-O TO QZOLEN</t>
  </si>
  <si>
    <t xml:space="preserve">                      MOVE SPACES                  TO CODBAR-COD-INSERT</t>
  </si>
  <si>
    <t xml:space="preserve">              MOVE 'Y' TO ESCREVE-COSTAS</t>
  </si>
  <si>
    <t xml:space="preserve">                      IF RU-M-OKTELESEGURO</t>
  </si>
  <si>
    <t xml:space="preserve">                         MOVE 'X002BNLOG4'            TO NOME-O-LAYOUT</t>
  </si>
  <si>
    <t xml:space="preserve">                         MOVE LENGTH OF LX002BNLOG4-O TO QZOLEN</t>
  </si>
  <si>
    <t xml:space="preserve">              MOVE 'N' TO CONTINUA-MAPA</t>
  </si>
  <si>
    <t xml:space="preserve">                         P290-GRAVAR-REGISTO-EX</t>
  </si>
  <si>
    <t xml:space="preserve">              IF ESCREVE-COSTAS-Y</t>
  </si>
  <si>
    <t xml:space="preserve">                IF CONTADOR-VIDA-RISCO &gt;= 58</t>
  </si>
  <si>
    <t xml:space="preserve">                   MOVE 'X009BN0025'     TO NOME-O-LAYOUT</t>
  </si>
  <si>
    <t xml:space="preserve">                      IF RU-M-FIDELIDADEMUNDIAL</t>
  </si>
  <si>
    <t xml:space="preserve">                   MOVE LENGTH OF LX009BN0025-O TO QZOLEN</t>
  </si>
  <si>
    <t xml:space="preserve">                         MOVE 'X002BNLOG1'            TO NOME-O-LAYOUT</t>
  </si>
  <si>
    <t xml:space="preserve">                         MOVE LENGTH OF LX002BNLOG1-O TO QZOLEN</t>
  </si>
  <si>
    <t xml:space="preserve">                   MOVE 'X009BNAS00'     TO NOME-O-LAYOUT</t>
  </si>
  <si>
    <t xml:space="preserve">                   MOVE LENGTH OF LX009BNAS00-O TO QZOLEN</t>
  </si>
  <si>
    <t xml:space="preserve">                      IF RU-M-CONTINENTE</t>
  </si>
  <si>
    <t xml:space="preserve">                         MOVE 'X002BNLOG5'            TO NOME-O-LAYOUT</t>
  </si>
  <si>
    <t xml:space="preserve">                         MOVE LENGTH OF LX002BNLOG5-O TO QZOLEN</t>
  </si>
  <si>
    <t xml:space="preserve">                   PERFORM P510-ESCREVE-CABECALHO THRU</t>
  </si>
  <si>
    <t xml:space="preserve">                           P510-ESCREVE-CABECALHO-EX</t>
  </si>
  <si>
    <t xml:space="preserve">                   INITIALIZE CONTADOR-MAPA</t>
  </si>
  <si>
    <t xml:space="preserve">                   SET CONTINUA-MAPA-Y TO TRUE</t>
  </si>
  <si>
    <t xml:space="preserve">                      IF RU-M-IMPERIOBONANCA</t>
  </si>
  <si>
    <t xml:space="preserve">                         MOVE 'X002BNLOG2'            TO NOME-O-LAYOUT</t>
  </si>
  <si>
    <t xml:space="preserve">                         MOVE LENGTH OF LX002BNLOG2-O TO QZOLEN</t>
  </si>
  <si>
    <t xml:space="preserve">                IF CONTADOR-VIDA-RISCO &gt;= 49 AND WQZCOPY-TPAG-DOC&gt;47</t>
  </si>
  <si>
    <t xml:space="preserve">                      MOVE 'X002BNGISP'            TO NOME-O-LAYOUT</t>
  </si>
  <si>
    <t xml:space="preserve">                      MOVE LENGTH OF LX002BNGISP-O TO QZOLEN</t>
  </si>
  <si>
    <t xml:space="preserve">                      MOVE 'N' TO CONTINUA-MAPA</t>
  </si>
  <si>
    <t xml:space="preserve">       P300-PREENCHE-CORPO-CARTA-EX.</t>
  </si>
  <si>
    <t xml:space="preserve">       P400-PREENCHE-CARTAMED.</t>
  </si>
  <si>
    <t xml:space="preserve">           SET CARTA-MEDIADOR-Y TO TRUE</t>
  </si>
  <si>
    <t xml:space="preserve">           PERFORM P110-PREENCHE-CODBAR</t>
  </si>
  <si>
    <t xml:space="preserve">              THRU P110-PREENCHE-CODBAR-EX</t>
  </si>
  <si>
    <t xml:space="preserve">           PERFORM P221-PREENCHE-GERAL-CRTMED</t>
  </si>
  <si>
    <t xml:space="preserve">              THRU P221-PREENCHE-GERAL-CRTMED-EX</t>
  </si>
  <si>
    <t xml:space="preserve">                      MOVE 'X009BNGIS1'     TO NOME-O-LAYOUT</t>
  </si>
  <si>
    <t xml:space="preserve">                      MOVE LENGTH OF LX009BNGIS1-O TO QZOLEN</t>
  </si>
  <si>
    <t xml:space="preserve">             MOVE RU-DT-CARTA-EMISSAO(9:23) TO X002BNCM01-O-DATADODIA</t>
  </si>
  <si>
    <t xml:space="preserve">             MOVE 'X001BNCM01'            TO NOME-O-LAYOUT</t>
  </si>
  <si>
    <t xml:space="preserve">             MOVE LENGTH OF LX002BNCM01-O TO QZOLEN</t>
  </si>
  <si>
    <t xml:space="preserve">                        MOVE 'N' TO CABECALHO</t>
  </si>
  <si>
    <t xml:space="preserve">      * para o caso de haver uma linha titulo sem nada em baixo</t>
  </si>
  <si>
    <t xml:space="preserve">             MOVE RU-DT-CARTA-EMISSAO(9:23) TO X002BNCM02-O-DATADODIA</t>
  </si>
  <si>
    <t xml:space="preserve">      *               IF CABECALHO-Y</t>
  </si>
  <si>
    <t>#06   *      MOVE 'X001BNCM02'            TO NOME-O-LAYOUT</t>
  </si>
  <si>
    <t xml:space="preserve">      *                 MOVE LINHA-CABECALHO</t>
  </si>
  <si>
    <t>#06          MOVE 'X001BNCM01'            TO NOME-O-LAYOUT</t>
  </si>
  <si>
    <t xml:space="preserve">      *                 TO X009BNGISD-O-LINHA-FIXA</t>
  </si>
  <si>
    <t xml:space="preserve">             MOVE LENGTH OF LX002BNCM02-O TO QZOLEN</t>
  </si>
  <si>
    <t xml:space="preserve">      *                 MOVE 'X009BNGISD'     TO NOME-O-LAYOUT</t>
  </si>
  <si>
    <t xml:space="preserve">      *                 MOVE LENGTH OF LX009BNGISD-O TO QZOLEN</t>
  </si>
  <si>
    <t xml:space="preserve">      *                 PERFORM P290-GRAVAR-REGISTO  THRU</t>
  </si>
  <si>
    <t xml:space="preserve">           PERFORM P290-GRAVAR-REGISTO  THRU P290-GRAVAR-REGISTO-EX.</t>
  </si>
  <si>
    <t xml:space="preserve">      *                 P290-GRAVAR-REGISTO-EX</t>
  </si>
  <si>
    <t xml:space="preserve">      *                 MOVE 'N' TO CABECALHO</t>
  </si>
  <si>
    <t xml:space="preserve">       P400-PREENCHE-CARTAMED-EX.</t>
  </si>
  <si>
    <t xml:space="preserve">      *               END-IF</t>
  </si>
  <si>
    <t xml:space="preserve">                      IF CABECALHO-1-Y</t>
  </si>
  <si>
    <t xml:space="preserve">                        COMPUTE CONTADOR-VIDA-RISCO =</t>
  </si>
  <si>
    <t xml:space="preserve">       P500-CALCULA-PAG.</t>
  </si>
  <si>
    <t xml:space="preserve">                                CONTADOR-VIDA-RISCO - 1</t>
  </si>
  <si>
    <t xml:space="preserve">                        MOVE LINHA1-CABECALHO</t>
  </si>
  <si>
    <t xml:space="preserve">             MOVE SPACES TO NUM-TOT-PAGINAS</t>
  </si>
  <si>
    <t xml:space="preserve">                        TO X009BNGISD-O-LINHA-FIXA</t>
  </si>
  <si>
    <t xml:space="preserve">             MOVE SPACES TO NUM-DE-PAGINAS</t>
  </si>
  <si>
    <t xml:space="preserve">                        MOVE 'X009BNGISD'     TO NOME-O-LAYOUT</t>
  </si>
  <si>
    <t xml:space="preserve">             PERFORM</t>
  </si>
  <si>
    <t xml:space="preserve">                        MOVE LENGTH OF LX009BNGISD-O TO QZOLEN</t>
  </si>
  <si>
    <t xml:space="preserve">                VARYING INDX FROM 1 BY 1 UNTIL INDX GREATER 7</t>
  </si>
  <si>
    <t xml:space="preserve">                        PERFORM P290-GRAVAR-REGISTO  THRU</t>
  </si>
  <si>
    <t xml:space="preserve">                IF QUOCIENTE-TPAG(INDX:1) NOT EQUAL ZERO</t>
  </si>
  <si>
    <t xml:space="preserve">                        P290-GRAVAR-REGISTO-EX</t>
  </si>
  <si>
    <t xml:space="preserve">                   MOVE QUOCIENTE-TPAG(INDX:8 - INDX) TO</t>
  </si>
  <si>
    <t xml:space="preserve">                        MOVE 'N' TO CABECALHO-1</t>
  </si>
  <si>
    <t xml:space="preserve">                        NUM-TOT-PAGINAS(1:8 - INDX)</t>
  </si>
  <si>
    <t xml:space="preserve">                        MOVE SPACES TO LINHA1-CABECALHO</t>
  </si>
  <si>
    <t xml:space="preserve">                   MOVE +7 TO INDX</t>
  </si>
  <si>
    <t xml:space="preserve">                      IF CABECALHO-2-Y</t>
  </si>
  <si>
    <t xml:space="preserve">             END-PERFORM</t>
  </si>
  <si>
    <t xml:space="preserve">                        MOVE LINHA2-CABECALHO</t>
  </si>
  <si>
    <t xml:space="preserve">                IF CONTADOR-PAGINA(INDX:1) NOT EQUAL ZERO</t>
  </si>
  <si>
    <t xml:space="preserve">                   MOVE CONTADOR-PAGINA(INDX:8 - INDX) TO</t>
  </si>
  <si>
    <t xml:space="preserve">                        NUM-DE-PAGINAS(1:8 - INDX)</t>
  </si>
  <si>
    <t xml:space="preserve">                        MOVE 'N' TO CABECALHO-2</t>
  </si>
  <si>
    <t xml:space="preserve">                        MOVE SPACES TO LINHA2-CABECALHO</t>
  </si>
  <si>
    <t xml:space="preserve">               'Página ' DELIMITED BY SIZE</t>
  </si>
  <si>
    <t xml:space="preserve">                      IF CABECALHO-3-Y</t>
  </si>
  <si>
    <t xml:space="preserve">               NUM-DE-PAGINAS DELIMITED BY SPACES</t>
  </si>
  <si>
    <t xml:space="preserve">               ' de ' DELIMITED BY SIZE</t>
  </si>
  <si>
    <t xml:space="preserve">               NUM-TOT-PAGINAS DELIMITED BY SPACES</t>
  </si>
  <si>
    <t xml:space="preserve">                        MOVE LINHA3-CABECALHO</t>
  </si>
  <si>
    <t xml:space="preserve">               INTO X002BNGISE-O-PAGINA</t>
  </si>
  <si>
    <t xml:space="preserve">             END-STRING.</t>
  </si>
  <si>
    <t xml:space="preserve">       P500-CALCULA-PAG-EX.</t>
  </si>
  <si>
    <t xml:space="preserve">                        MOVE 'N' TO CABECALHO-3</t>
  </si>
  <si>
    <t xml:space="preserve">       P510-ESCREVE-CABECALHO.</t>
  </si>
  <si>
    <t xml:space="preserve">                        MOVE SPACES TO LINHA3-CABECALHO</t>
  </si>
  <si>
    <t xml:space="preserve">                      IF CABECALHO-4-Y</t>
  </si>
  <si>
    <t xml:space="preserve">             DIVIDE CONTADOR-PAGINA     BY 2</t>
  </si>
  <si>
    <t xml:space="preserve">               GIVING QUOCIENTE-F-B-SELECT</t>
  </si>
  <si>
    <t xml:space="preserve">               REMAINDER RESTO-F-B-SELECT</t>
  </si>
  <si>
    <t xml:space="preserve">                        MOVE LINHA4-CABECALHO</t>
  </si>
  <si>
    <t xml:space="preserve">             END-DIVIDE</t>
  </si>
  <si>
    <t xml:space="preserve">             IF RESTO-F-B-SELECT &gt; ZEROS</t>
  </si>
  <si>
    <t xml:space="preserve">                PERFORM P110-PREENCHE-CODBARB</t>
  </si>
  <si>
    <t xml:space="preserve">                   THRU P110-PREENCHE-CODBARB-EX</t>
  </si>
  <si>
    <t xml:space="preserve">                        MOVE 'N' TO CABECALHO-4</t>
  </si>
  <si>
    <t xml:space="preserve">                        MOVE SPACES TO LINHA4-CABECALHO</t>
  </si>
  <si>
    <t xml:space="preserve">             IF RESTO-F-B-SELECT = ZEROS</t>
  </si>
  <si>
    <t>AQUI  *               ADD 1 TO CONTADOR-VIDA-RISCO</t>
  </si>
  <si>
    <t xml:space="preserve">                PERFORM P110-PREENCHE-CODBARF</t>
  </si>
  <si>
    <t xml:space="preserve">                      MOVE 'X009BNGIS2'     TO NOME-O-LAYOUT</t>
  </si>
  <si>
    <t xml:space="preserve">                   THRU P110-PREENCHE-CODBARF-EX</t>
  </si>
  <si>
    <t xml:space="preserve">                      MOVE LENGTH OF LX009BNGIS2-O TO QZOLEN</t>
  </si>
  <si>
    <t xml:space="preserve">               IF RU-M-FIDELIDADEMUNDIAL OR RU-M-FMLEVE</t>
  </si>
  <si>
    <t xml:space="preserve">                  MOVE 'X002BNLOG1'            TO NOME-O-LAYOUT</t>
  </si>
  <si>
    <t xml:space="preserve">      *               MOVE 'N' TO CABECALHO-1</t>
  </si>
  <si>
    <t xml:space="preserve">                  MOVE LENGTH OF LX002BNLOG1-O TO QZOLEN</t>
  </si>
  <si>
    <t xml:space="preserve">      *                           CABECALHO-2</t>
  </si>
  <si>
    <t xml:space="preserve">                  PERFORM P290-GRAVAR-REGISTO  THRU</t>
  </si>
  <si>
    <t xml:space="preserve">      *                           CABECALHO-3</t>
  </si>
  <si>
    <t xml:space="preserve">                          P290-GRAVAR-REGISTO-EX</t>
  </si>
  <si>
    <t xml:space="preserve">                   MOVE 'N' TO CABECALHO</t>
  </si>
  <si>
    <t xml:space="preserve">                   IF CABECALHO-1-Y AND NOT CABECALHO-2-Y</t>
  </si>
  <si>
    <t xml:space="preserve">               IF RU-M-IMPERIOBONANCA OR RU-M-IBLEVE</t>
  </si>
  <si>
    <t xml:space="preserve">                     MOVE LINHA1-CABECALHO</t>
  </si>
  <si>
    <t xml:space="preserve">                  MOVE 'X002BNLOG2'            TO NOME-O-LAYOUT</t>
  </si>
  <si>
    <t xml:space="preserve">                     TO X009BNGISD-O-LINHA-FIXA</t>
  </si>
  <si>
    <t xml:space="preserve">                  MOVE LENGTH OF LX002BNLOG2-O TO QZOLEN</t>
  </si>
  <si>
    <t xml:space="preserve">                     MOVE 'X009BNGISD'     TO NOME-O-LAYOUT</t>
  </si>
  <si>
    <t xml:space="preserve">                     MOVE LENGTH OF LX009BNGISD-O TO QZOLEN</t>
  </si>
  <si>
    <t xml:space="preserve">                     PERFORM P290-GRAVAR-REGISTO  THRU</t>
  </si>
  <si>
    <t xml:space="preserve">                     P290-GRAVAR-REGISTO-EX</t>
  </si>
  <si>
    <t xml:space="preserve">                     MOVE 'N' TO CABECALHO-1</t>
  </si>
  <si>
    <t xml:space="preserve">                   IF CABECALHO-1-Y AND CABECALHO-2-Y AND NOT</t>
  </si>
  <si>
    <t xml:space="preserve">             MOVE 'X002BNGISP'     TO NOME-O-LAYOUT</t>
  </si>
  <si>
    <t xml:space="preserve">                      CABECALHO-3-Y</t>
  </si>
  <si>
    <t xml:space="preserve">             MOVE LENGTH OF LX002BNGISP-O TO QZOLEN</t>
  </si>
  <si>
    <t xml:space="preserve">             MOVE 'X002BNGIS7'     TO NOME-O-LAYOUT</t>
  </si>
  <si>
    <t xml:space="preserve">             MOVE LENGTH OF LX002BNGIS7-O TO QZOLEN</t>
  </si>
  <si>
    <t xml:space="preserve">                     MOVE LINHA2-CABECALHO</t>
  </si>
  <si>
    <t xml:space="preserve">             MOVE LINHA1-CABECALHO TO X002BNGISC-O-LINHA-FIXA</t>
  </si>
  <si>
    <t xml:space="preserve">             ADD 1 TO CONTADOR-VIDA-RISCO</t>
  </si>
  <si>
    <t xml:space="preserve">             MOVE 'X002BNGISD'     TO NOME-O-LAYOUT</t>
  </si>
  <si>
    <t xml:space="preserve">             MOVE LENGTH OF LX002BNGISC-O TO QZOLEN</t>
  </si>
  <si>
    <t xml:space="preserve">                     MOVE 'N' TO CABECALHO-1 CABECALHO-2</t>
  </si>
  <si>
    <t xml:space="preserve">                   IF CABECALHO-2-Y AND CABECALHO-3-Y</t>
  </si>
  <si>
    <t xml:space="preserve">             MOVE LINHA2-CABECALHO TO X002BNGISC-O-LINHA-FIXA</t>
  </si>
  <si>
    <t xml:space="preserve">                     MOVE LINHA3-CABECALHO</t>
  </si>
  <si>
    <t xml:space="preserve">             MOVE LINHA3-CABECALHO TO X002BNGISC-O-LINHA-FIXA</t>
  </si>
  <si>
    <t xml:space="preserve">                     MOVE 'N' TO CABECALHO-2 CABECALHO-3</t>
  </si>
  <si>
    <t xml:space="preserve">                   COMPUTE</t>
  </si>
  <si>
    <t xml:space="preserve">             IF RU-COD-DOC-ORIGEM  = 'Med_Cob   ' OR</t>
  </si>
  <si>
    <t xml:space="preserve">                      INDL = INDL + 1</t>
  </si>
  <si>
    <t xml:space="preserve">                RU-COD-DOC-ORIGEM  = 'MedCobFA  '</t>
  </si>
  <si>
    <t xml:space="preserve">                   END-COMPUTE</t>
  </si>
  <si>
    <t xml:space="preserve">               MOVE LINHA4-CABECALHO TO X002BNGISC-O-LINHA-FIXA</t>
  </si>
  <si>
    <t xml:space="preserve">                   IF INDL GREATER 5</t>
  </si>
  <si>
    <t xml:space="preserve">               ADD 1 TO CONTADOR-VIDA-RISCO</t>
  </si>
  <si>
    <t xml:space="preserve">                    DISPLAY 'PGOC038A:EXCEDE COMP.REGISTO FS=' FSQZINPUTT</t>
  </si>
  <si>
    <t xml:space="preserve">               MOVE 'X002BNGISD'     TO NOME-O-LAYOUT</t>
  </si>
  <si>
    <t xml:space="preserve">               MOVE LENGTH OF LX002BNGISD-O TO QZOLEN</t>
  </si>
  <si>
    <t xml:space="preserve">               PERFORM P290-GRAVAR-REGISTO  THRU</t>
  </si>
  <si>
    <t xml:space="preserve">                   INSPECT RU-LINHA-GIS REPLACING ALL X'77' BY X'9F'</t>
  </si>
  <si>
    <t xml:space="preserve">               P290-GRAVAR-REGISTO-EX</t>
  </si>
  <si>
    <t xml:space="preserve">                   MOVE RU-LINHA-GIS     TO LININ(INDL)</t>
  </si>
  <si>
    <t>aqui *             ADD 1 TO CONTADOR-VIDA-RISCO</t>
  </si>
  <si>
    <t xml:space="preserve">                      LININ-LEN = LININ-LEN + LENGTH OF RU-LINHA-GIS</t>
  </si>
  <si>
    <t xml:space="preserve">                 WHEN RU-TL-FINAL-CORRENTE</t>
  </si>
  <si>
    <t xml:space="preserve">       P510-ESCREVE-CABECALHO-EX.</t>
  </si>
  <si>
    <t xml:space="preserve">           IF RU-TL-INDENT-NORM OR RU-TL-INDENT-BOLD</t>
  </si>
  <si>
    <t xml:space="preserve">             MOVE 1540     TO LINOUT-LEN</t>
  </si>
  <si>
    <t xml:space="preserve">             MOVE 1580     TO LINOUT-LEN</t>
  </si>
  <si>
    <t xml:space="preserve">              MOVE LINOUT TO X002BNGIS3-O-LINHA-GIS</t>
  </si>
  <si>
    <t xml:space="preserve">              MOVE LENGTH OF LX002BNGIS3-O TO QZOLEN</t>
  </si>
  <si>
    <t xml:space="preserve">           DISPLAY 'PGOC023A: PROGRAMA COM ERRO - ANALISAR MENSAGENS'</t>
  </si>
  <si>
    <t xml:space="preserve">                   IF CABECALHO-3-Y AND NOT CABECALHO-2-Y AND</t>
  </si>
  <si>
    <t xml:space="preserve">                                        NOT CABECALHO-4-Y</t>
  </si>
  <si>
    <t xml:space="preserve">                     MOVE 'N' TO CABECALHO-3</t>
  </si>
  <si>
    <t xml:space="preserve">                   IF CABECALHO-2-Y AND NOT CABECALHO-1-Y AND</t>
  </si>
  <si>
    <t xml:space="preserve">                      NOT CABECALHO-4-Y AND NOT CABECALHO-3-Y</t>
  </si>
  <si>
    <t xml:space="preserve">                     MOVE 'N' TO CABECALHO-2</t>
  </si>
  <si>
    <t xml:space="preserve">                      MOVE 'X009BNGIS3' TO NOME-O-LAYOUT</t>
  </si>
  <si>
    <t xml:space="preserve">                      MOVE LENGTH OF LX009BNGIS3-O TO QZOLEN</t>
  </si>
  <si>
    <t xml:space="preserve">                      MOVE 'X009BNGIS4'     TO NOME-O-LAYOUT</t>
  </si>
  <si>
    <t xml:space="preserve">                      MOVE LENGTH OF LX009BNGIS4-O TO QZOLEN</t>
  </si>
  <si>
    <t xml:space="preserve">                      MOVE 'X009BNGIS5'     TO NOME-O-LAYOUT</t>
  </si>
  <si>
    <t xml:space="preserve">                      MOVE LENGTH OF LX009BNGIS5-O TO QZOLEN</t>
  </si>
  <si>
    <t xml:space="preserve">                      MOVE 'X009BNGIS6'     TO NOME-O-LAYOUT</t>
  </si>
  <si>
    <t xml:space="preserve">                      MOVE LENGTH OF LX009BNGIS6-O TO QZOLEN</t>
  </si>
  <si>
    <t xml:space="preserve">                   IF RU-TL-NORM-PEQ</t>
  </si>
  <si>
    <t xml:space="preserve">                      MOVE 'X009BNGIS0'     TO NOME-O-LAYOUT</t>
  </si>
  <si>
    <t xml:space="preserve">                   IF RU-TL-BOLD-PEQ</t>
  </si>
  <si>
    <t xml:space="preserve">                      MOVE 'X009BNGISA'     TO NOME-O-LAYOUT</t>
  </si>
  <si>
    <t xml:space="preserve">                   MOVE SPACES       TO LININ-GIS</t>
  </si>
  <si>
    <t xml:space="preserve">                   MOVE +0 TO INDL</t>
  </si>
  <si>
    <t xml:space="preserve">                              LININ-LEN</t>
  </si>
  <si>
    <t>AQUI***               ADD 1 TO CONTADOR-VIDA-RISCO</t>
  </si>
  <si>
    <t xml:space="preserve">                      MOVE 'X009BNGIS7'     TO NOME-O-LAYOUT</t>
  </si>
  <si>
    <t xml:space="preserve">                      MOVE LENGTH OF LX009BNGIS7-O TO QZOLEN</t>
  </si>
  <si>
    <t xml:space="preserve">                      MOVE 'X009BNGIS8'     TO NOME-O-LAYOUT</t>
  </si>
  <si>
    <t xml:space="preserve">                      MOVE LENGTH OF LX009BNGIS8-O TO QZOLEN</t>
  </si>
  <si>
    <t xml:space="preserve">                      MOVE 'X009BNGISG'     TO NOME-O-LAYOUT</t>
  </si>
  <si>
    <t xml:space="preserve">                      MOVE LENGTH OF LX009BNGISG-O TO QZOLEN</t>
  </si>
  <si>
    <t xml:space="preserve">                      MOVE 'X009BNGISF'     TO NOME-O-LAYOUT</t>
  </si>
  <si>
    <t xml:space="preserve">                      MOVE LENGTH OF LX009BNGISF-O TO QZOLEN</t>
  </si>
  <si>
    <t xml:space="preserve">                      MOVE 'X009BNGIS9'     TO NOME-O-LAYOUT</t>
  </si>
  <si>
    <t xml:space="preserve">                      MOVE LENGTH OF LX009BNGIS9-O TO QZOLEN</t>
  </si>
  <si>
    <t xml:space="preserve">                      MOVE LENGTH OF LX009BNGISA-O TO QZOLEN</t>
  </si>
  <si>
    <t xml:space="preserve">                      MOVE 'X009BNGISB'     TO NOME-O-LAYOUT</t>
  </si>
  <si>
    <t xml:space="preserve">                      MOVE LENGTH OF LX009BNGISB-O TO QZOLEN</t>
  </si>
  <si>
    <t xml:space="preserve">                      IF RU-COD-DOC-ORIGEM = 'ICRS030F  '</t>
  </si>
  <si>
    <t xml:space="preserve">                        OR RU-COD-DOC-ORIGEM = 'ICRS031F  '</t>
  </si>
  <si>
    <t xml:space="preserve">                        OR RU-COD-DOC-ORIGEM = 'ICRS032F  '</t>
  </si>
  <si>
    <t xml:space="preserve">                        OR RU-COD-DOC-ORIGEM = 'ICRS033F  '</t>
  </si>
  <si>
    <t xml:space="preserve">                        OR RU-COD-DOC-ORIGEM = 'XCRS030F  '</t>
  </si>
  <si>
    <t xml:space="preserve">                        OR RU-COD-DOC-ORIGEM = 'XCRS031F  '</t>
  </si>
  <si>
    <t xml:space="preserve">                        OR RU-COD-DOC-ORIGEM = 'XCRS032F  '</t>
  </si>
  <si>
    <t xml:space="preserve">                        OR RU-COD-DOC-ORIGEM = 'XCRS033F  '</t>
  </si>
  <si>
    <t xml:space="preserve">                        OR RU-COD-DOC-ORIGEM = 'ICRS034F  '</t>
  </si>
  <si>
    <t xml:space="preserve">                        OR RU-COD-DOC-ORIGEM = 'ICRS035F  '</t>
  </si>
  <si>
    <t xml:space="preserve">                        OR RU-COD-DOC-ORIGEM = 'XCRS034F  '</t>
  </si>
  <si>
    <t xml:space="preserve">                        OR RU-COD-DOC-ORIGEM = 'XCRS035F  '</t>
  </si>
  <si>
    <t xml:space="preserve">                        OR RU-COD-DOC-ORIGEM = 'ICRS23AF  '</t>
  </si>
  <si>
    <t xml:space="preserve">                        PERFORM P240-PREENCHE-FINAL-CARTA</t>
  </si>
  <si>
    <t xml:space="preserve">                        THRU P240-PREENCHE-FINAL-CARTA-EX</t>
  </si>
  <si>
    <t xml:space="preserve">                   IF CABECALHO-1-Y AND NOT CABECALHO-2-Y AND</t>
  </si>
  <si>
    <t xml:space="preserve">                      CONTADOR-VIDA-RISCO = 46</t>
  </si>
  <si>
    <t xml:space="preserve">      *              MOVE 'N' TO CABECALHO-1</t>
  </si>
  <si>
    <t xml:space="preserve">                   IF NOT CABECALHO-1-Y AND CABECALHO-2-Y AND</t>
  </si>
  <si>
    <t xml:space="preserve">                      NOT CABECALHO-3-Y AND</t>
  </si>
  <si>
    <t xml:space="preserve">                          CONTADOR-VIDA-RISCO = 47</t>
  </si>
  <si>
    <t xml:space="preserve">      *              MOVE 'N' TO CABECALHO-2</t>
  </si>
  <si>
    <t xml:space="preserve">                   IF NOT CABECALHO-1-Y AND NOT CABECALHO-2-Y AND</t>
  </si>
  <si>
    <t xml:space="preserve">                          CABECALHO-3-Y AND</t>
  </si>
  <si>
    <t xml:space="preserve">                          CONTADOR-VIDA-RISCO = 48</t>
  </si>
  <si>
    <t xml:space="preserve">      *              MOVE 'N' TO CABECALHO-3</t>
  </si>
  <si>
    <t xml:space="preserve">                   IF CABECALHO-1-Y AND CABECALHO-2-Y AND</t>
  </si>
  <si>
    <t xml:space="preserve">                      NOT CABECALHO-3-Y</t>
  </si>
  <si>
    <t xml:space="preserve">      *              MOVE 'N' TO CABECALHO-1 CABECALHO-2</t>
  </si>
  <si>
    <t>AQUI  *            ADD 1 TO CONTADOR-VIDA-RISCO</t>
  </si>
  <si>
    <t xml:space="preserve">                     MOVE RU-LINHA-GIS     TO X009BNGISC-O-LINHA-FIXA</t>
  </si>
  <si>
    <t xml:space="preserve">                     MOVE 'X009BNGISC'     TO NOME-O-LAYOUT</t>
  </si>
  <si>
    <t xml:space="preserve">                     MOVE LENGTH OF LX009BNGISC-O TO QZOLEN</t>
  </si>
  <si>
    <t xml:space="preserve">                     MOVE RU-LINHA-GIS     TO X009BNGISI-O-LINHA-FIXA</t>
  </si>
  <si>
    <t xml:space="preserve">                     MOVE 'X009BNGISI'     TO NOME-O-LAYOUT</t>
  </si>
  <si>
    <t xml:space="preserve">                     MOVE LENGTH OF LX009BNGISI-O TO QZOLEN</t>
  </si>
  <si>
    <t xml:space="preserve">                   IF RU-TL-FIXA-PEQ</t>
  </si>
  <si>
    <t xml:space="preserve">                      INSPECT RU-LINHA-GIS REPLACING ALL X'77' BY X'9F'</t>
  </si>
  <si>
    <t xml:space="preserve">                      MOVE RU-LINHA-GIS     TO X009BNGISC-O-LINHA-FIXA</t>
  </si>
  <si>
    <t xml:space="preserve">                      MOVE 'X009BNGISK'     TO NOME-O-LAYOUT</t>
  </si>
  <si>
    <t xml:space="preserve">                      MOVE LENGTH OF LX009BNGISC-O TO QZOLEN</t>
  </si>
  <si>
    <t xml:space="preserve">                   IF CONTADOR-VIDA-RISCO = 45</t>
  </si>
  <si>
    <t xml:space="preserve">                     SET CABECALHO-1-Y TO TRUE</t>
  </si>
  <si>
    <t xml:space="preserve">                     MOVE RU-LINHA-GIS TO LINHA1-CABECALHO</t>
  </si>
  <si>
    <t>AQUI *               ADD 1 TO CONTADOR-VIDA-RISCO</t>
  </si>
  <si>
    <t xml:space="preserve">                     IF CONTADOR-VIDA-RISCO = 46</t>
  </si>
  <si>
    <t xml:space="preserve">                       SET CABECALHO-2-Y TO TRUE</t>
  </si>
  <si>
    <t xml:space="preserve">                       MOVE RU-LINHA-GIS TO LINHA2-CABECALHO</t>
  </si>
  <si>
    <t>AQUI *                 ADD 1 TO CONTADOR-VIDA-RISCO</t>
  </si>
  <si>
    <t xml:space="preserve">                       IF CONTADOR-VIDA-RISCO = 47 AND CABECALHO-2-Y</t>
  </si>
  <si>
    <t xml:space="preserve">                         SET CABECALHO-3-Y TO TRUE</t>
  </si>
  <si>
    <t xml:space="preserve">                         MOVE RU-LINHA-GIS TO LINHA3-CABECALHO</t>
  </si>
  <si>
    <t>AQUI *                   ADD 1 TO CONTADOR-VIDA-RISCO</t>
  </si>
  <si>
    <t xml:space="preserve">                         IF CONTADOR-VIDA-RISCO &gt;= 48 AND</t>
  </si>
  <si>
    <t xml:space="preserve">                                                      CABECALHO-3-Y</t>
  </si>
  <si>
    <t xml:space="preserve">                           SET CABECALHO-4-Y TO TRUE</t>
  </si>
  <si>
    <t xml:space="preserve">                           MOVE RU-LINHA-GIS TO LINHA4-CABECALHO</t>
  </si>
  <si>
    <t>AQUI *                     ADD 1 TO CONTADOR-VIDA-RISCO</t>
  </si>
  <si>
    <t xml:space="preserve">                         ELSE</t>
  </si>
  <si>
    <t xml:space="preserve">                           SET CABECALHO-Y TO TRUE</t>
  </si>
  <si>
    <t xml:space="preserve">                           MOVE RU-LINHA-GIS TO LINHA-CABECALHO</t>
  </si>
  <si>
    <t xml:space="preserve">                           MOVE RU-LINHA-GIS</t>
  </si>
  <si>
    <t xml:space="preserve">                           TO X009BNGISD-O-LINHA-FIXA</t>
  </si>
  <si>
    <t xml:space="preserve">                           MOVE 'X009BNGISD'     TO NOME-O-LAYOUT</t>
  </si>
  <si>
    <t xml:space="preserve">                           MOVE LENGTH OF LX009BNGISD-O TO QZOLEN</t>
  </si>
  <si>
    <t>AQUI **                    ADD 1 TO CONTADOR-VIDA-RISCO</t>
  </si>
  <si>
    <t xml:space="preserve">                           PERFORM P290-GRAVAR-REGISTO  THRU</t>
  </si>
  <si>
    <t xml:space="preserve">                           P290-GRAVAR-REGISTO-EX</t>
  </si>
  <si>
    <t xml:space="preserve">                         END-IF</t>
  </si>
  <si>
    <t xml:space="preserve">                 WHEN RU-TL-VERSO AND</t>
  </si>
  <si>
    <t xml:space="preserve">                      (RU-COD-DOC-ORIGEM  = 'ICRS37AF  '  OR</t>
  </si>
  <si>
    <t xml:space="preserve">                      RU-COD-DOC-ORIGEM  = 'XCRS37AF  ')</t>
  </si>
  <si>
    <t xml:space="preserve">                      PERFORM P240-PREENCHE-FINAL-CARTA</t>
  </si>
  <si>
    <t xml:space="preserve">                         THRU P240-PREENCHE-FINAL-CARTA-EX</t>
  </si>
  <si>
    <t xml:space="preserve">                      PERFORM P520-CALCULA-PAG THRU</t>
  </si>
  <si>
    <t xml:space="preserve">                              P520-CALCULA-PAG-EX</t>
  </si>
  <si>
    <t xml:space="preserve">                      MOVE 'X009BNGISE'     TO NOME-O-LAYOUT</t>
  </si>
  <si>
    <t xml:space="preserve">                      MOVE LENGTH OF LX009BNGISE-O TO QZOLEN</t>
  </si>
  <si>
    <t xml:space="preserve">                         MOVE 'X009BNLOG4'            TO NOME-O-LAYOUT</t>
  </si>
  <si>
    <t xml:space="preserve">                         MOVE LENGTH OF LX009BNLOG4-O TO QZOLEN</t>
  </si>
  <si>
    <t xml:space="preserve">                         MOVE 'X009BNLOG1'            TO NOME-O-LAYOUT</t>
  </si>
  <si>
    <t xml:space="preserve">                         MOVE LENGTH OF LX009BNLOG1-O TO QZOLEN</t>
  </si>
  <si>
    <t>FLCM1                 IF RU-M-CXPOUPANCA</t>
  </si>
  <si>
    <t>FLCM1                    MOVE 'X009BNLOG9'            TO NOME-O-LAYOUT</t>
  </si>
  <si>
    <t>FLCM1                    MOVE LENGTH OF LX009BNLOG9-O TO QZOLEN</t>
  </si>
  <si>
    <t>FLCM1                    PERFORM P290-GRAVAR-REGISTO  THRU</t>
  </si>
  <si>
    <t>FLCM1                            P290-GRAVAR-REGISTO-EX</t>
  </si>
  <si>
    <t>FLCM1                 END-IF</t>
  </si>
  <si>
    <t xml:space="preserve">                         MOVE 'X009BNLOG5'            TO NOME-O-LAYOUT</t>
  </si>
  <si>
    <t xml:space="preserve">                         MOVE LENGTH OF LX009BNLOG5-O TO QZOLEN</t>
  </si>
  <si>
    <t xml:space="preserve">                         MOVE 'X009BNLOG2'            TO NOME-O-LAYOUT</t>
  </si>
  <si>
    <t xml:space="preserve">                         MOVE LENGTH OF LX009BNLOG2-O TO QZOLEN</t>
  </si>
  <si>
    <t xml:space="preserve">                      MOVE 'X009BNGISX'            TO NOME-O-LAYOUT</t>
  </si>
  <si>
    <t xml:space="preserve">                      MOVE LENGTH OF LX009BNGISP-O TO QZOLEN</t>
  </si>
  <si>
    <t xml:space="preserve">                      INITIALIZE CONTADOR-VIDA-RISCO</t>
  </si>
  <si>
    <t xml:space="preserve">                      (RU-COD-DOC-ORIGEM  NOT = 'ICRS37AF  '  OR</t>
  </si>
  <si>
    <t xml:space="preserve">                      RU-COD-DOC-ORIGEM  NOT = 'XCRS37AF  ')</t>
  </si>
  <si>
    <t xml:space="preserve">                      MOVE 'X009BN0025'     TO NOME-O-LAYOUT</t>
  </si>
  <si>
    <t xml:space="preserve">                      MOVE LENGTH OF LX009BN0025-O TO QZOLEN</t>
  </si>
  <si>
    <t xml:space="preserve">                      PERFORM P110-PREENCHE-CODBARB</t>
  </si>
  <si>
    <t xml:space="preserve">                      MOVE 'X009BN0024'     TO NOME-O-LAYOUT</t>
  </si>
  <si>
    <t xml:space="preserve">             MOVE W500-DATA-COMPLETA        TO X009BNCM01-O-DATADODIA</t>
  </si>
  <si>
    <t xml:space="preserve">             MOVE LENGTH OF LX009BNCM01-O TO QZOLEN</t>
  </si>
  <si>
    <t xml:space="preserve">             MOVE W500-DATA-COMPLETA        TO X009BNCM02-O-DATADODIA</t>
  </si>
  <si>
    <t>#07   *      MOVE 'X001BNCM02'            TO NOME-O-LAYOUT</t>
  </si>
  <si>
    <t>#07          MOVE 'X001BNCM01'            TO NOME-O-LAYOUT</t>
  </si>
  <si>
    <t xml:space="preserve">             MOVE LENGTH OF LX009BNCM02-O TO QZOLEN</t>
  </si>
  <si>
    <t>FLCM1      IF RU-M-CXPOUPANCA     OR RU-M-CPLEVE</t>
  </si>
  <si>
    <t>FLCM1        MOVE W500-DATA-COMPLETA        TO X009BNCM04-O-DATADODIA</t>
  </si>
  <si>
    <t>FLCM1        MOVE 'X001BNCM04'            TO NOME-O-LAYOUT</t>
  </si>
  <si>
    <t>FLCM1        MOVE LENGTH OF LX009BNCM04-O TO QZOLEN</t>
  </si>
  <si>
    <t xml:space="preserve">               IF CONTINUA-MAPA-Y</t>
  </si>
  <si>
    <t xml:space="preserve">                   NUM-DE-PAGINAS DELIMITED BY SPACES</t>
  </si>
  <si>
    <t xml:space="preserve">                   '/' DELIMITED BY SIZE</t>
  </si>
  <si>
    <t xml:space="preserve">                   NUM-TOT-PAGINAS DELIMITED BY SPACES</t>
  </si>
  <si>
    <t xml:space="preserve">                   INTO X009BNCPS2-O-PAGINA</t>
  </si>
  <si>
    <t xml:space="preserve">             IF RU-TIPO-HEADER04 OR RU-TIPO-HEADER05</t>
  </si>
  <si>
    <t xml:space="preserve">               STRING</t>
  </si>
  <si>
    <t xml:space="preserve">                 NUM-DE-PAGINAS DELIMITED BY SPACES</t>
  </si>
  <si>
    <t xml:space="preserve">                 '/' DELIMITED BY SIZE</t>
  </si>
  <si>
    <t xml:space="preserve">                 NUM-TOT-PAGINAS DELIMITED BY SPACES</t>
  </si>
  <si>
    <t xml:space="preserve">                 INTO X009BNCPS1-O-PAGINA</t>
  </si>
  <si>
    <t xml:space="preserve">               END-STRING</t>
  </si>
  <si>
    <t xml:space="preserve">                   INTO X009BNCRT2-O-PAGINA</t>
  </si>
  <si>
    <t xml:space="preserve">             IF RU-TIPO-HEADER02</t>
  </si>
  <si>
    <t xml:space="preserve">                 INTO X009BNCRT1-O-PAGINA</t>
  </si>
  <si>
    <t xml:space="preserve">             MOVE 'Y' TO CONTINUA-MAPA</t>
  </si>
  <si>
    <t xml:space="preserve">               IF RU-M-FIDELIDADEMUNDIAL</t>
  </si>
  <si>
    <t xml:space="preserve">                  MOVE 'X009BNLOG1'            TO NOME-O-LAYOUT</t>
  </si>
  <si>
    <t xml:space="preserve">                  MOVE LENGTH OF LX009BNLOG1-O TO QZOLEN</t>
  </si>
  <si>
    <t xml:space="preserve">               IF RU-M-FMLEVE</t>
  </si>
  <si>
    <t xml:space="preserve">                  MOVE 'X009BNLOGD'            TO NOME-O-LAYOUT</t>
  </si>
  <si>
    <t xml:space="preserve">                  MOVE LENGTH OF LX009BNLOGD-O TO QZOLEN</t>
  </si>
  <si>
    <t>FLCM1          IF RU-M-CXPOUPANCA</t>
  </si>
  <si>
    <t>FLCM1             MOVE 'X009BNLOG9'            TO NOME-O-LAYOUT</t>
  </si>
  <si>
    <t>FLCM1             MOVE LENGTH OF LX009BNLOG9-O TO QZOLEN</t>
  </si>
  <si>
    <t>FLCM1             PERFORM P290-GRAVAR-REGISTO  THRU</t>
  </si>
  <si>
    <t>FLCM1                     P290-GRAVAR-REGISTO-EX</t>
  </si>
  <si>
    <t>FLCM1          END-IF</t>
  </si>
  <si>
    <t>FLCM1          IF RU-M-CPLEVE</t>
  </si>
  <si>
    <t>FLCM1             MOVE 'X009BNLOGF'            TO NOME-O-LAYOUT</t>
  </si>
  <si>
    <t>FLCM1             MOVE LENGTH OF LX009BNLOGF-O TO QZOLEN</t>
  </si>
  <si>
    <t xml:space="preserve">               IF RU-M-IMPERIOBONANCA</t>
  </si>
  <si>
    <t xml:space="preserve">                  MOVE 'X009BNLOG2'            TO NOME-O-LAYOUT</t>
  </si>
  <si>
    <t xml:space="preserve">                  MOVE LENGTH OF LX009BNLOG2-O TO QZOLEN</t>
  </si>
  <si>
    <t xml:space="preserve">               IF RU-M-IBLEVE</t>
  </si>
  <si>
    <t xml:space="preserve">                  MOVE 'X009BNLOGE'            TO NOME-O-LAYOUT</t>
  </si>
  <si>
    <t xml:space="preserve">                  MOVE LENGTH OF LX009BNLOGE-O TO QZOLEN</t>
  </si>
  <si>
    <t xml:space="preserve">             MOVE 'X009BN0024'     TO NOME-O-LAYOUT</t>
  </si>
  <si>
    <t xml:space="preserve">             MOVE LENGTH OF LX009BN0024-O TO QZOLEN</t>
  </si>
  <si>
    <t xml:space="preserve">             MOVE DT-EMISSAO-AUX      TO X009BNCPS2-O-DT-EMISSAO</t>
  </si>
  <si>
    <t xml:space="preserve">             MOVE IDENTIFICA-DOC-AUX  TO X009BNCPS2-O-IDENTIFICA-DOC</t>
  </si>
  <si>
    <t xml:space="preserve">             MOVE RU-NR-APOLICE(1:2)  TO CPS1-RAMO</t>
  </si>
  <si>
    <t xml:space="preserve">             MOVE RU-NR-APOLICE(3:8)  TO CPS1-APOLICE</t>
  </si>
  <si>
    <t xml:space="preserve">             MOVE '/'                 TO CPS1-BARRA</t>
  </si>
  <si>
    <t xml:space="preserve">               CPS1-RAMO DELIMITED BY SIZE</t>
  </si>
  <si>
    <t xml:space="preserve">               CPS1-BARRA DELIMITED BY SIZE</t>
  </si>
  <si>
    <t xml:space="preserve">               CPS1-APOLICE DELIMITED BY SIZE</t>
  </si>
  <si>
    <t xml:space="preserve">               INTO X009BNCPS2-O-APOLICE</t>
  </si>
  <si>
    <t xml:space="preserve">             IF RU-O-PAXUS</t>
  </si>
  <si>
    <t xml:space="preserve">               MOVE RU-NR-APOLICE(1:8) TO X009BNCRT2-O-APOLICE</t>
  </si>
  <si>
    <t xml:space="preserve">                 CPS1-RAMO DELIMITED BY SIZE</t>
  </si>
  <si>
    <t xml:space="preserve">                 CPS1-BARRA DELIMITED BY SIZE</t>
  </si>
  <si>
    <t xml:space="preserve">                 CPS1-APOLICE DELIMITED BY SIZE</t>
  </si>
  <si>
    <t xml:space="preserve">                 INTO X009BNCRT2-O-APOLICE</t>
  </si>
  <si>
    <t xml:space="preserve">             MOVE CODBAR-CLIENTE      TO X009BNCPS2-O-NR-CLIENTE</t>
  </si>
  <si>
    <t xml:space="preserve">             MOVE CC-CODBAR-NPAG1-DOC TO CONTADOR-PAGINA</t>
  </si>
  <si>
    <t xml:space="preserve">             PERFORM P500-CALCULA-PAG THRU</t>
  </si>
  <si>
    <t xml:space="preserve">                     P500-CALCULA-PAG-EX</t>
  </si>
  <si>
    <t xml:space="preserve">             IF RU-DOC-ID = '002'</t>
  </si>
  <si>
    <t xml:space="preserve">               MOVE 'X009BNCPS2'     TO NOME-O-LAYOUT</t>
  </si>
  <si>
    <t xml:space="preserve">               MOVE LENGTH OF LX009BNCPS2-O TO QZOLEN</t>
  </si>
  <si>
    <t xml:space="preserve">               MOVE     NADERENTE-AUX1 TO X009BNCRT2-O-NCERTIFICADO</t>
  </si>
  <si>
    <t xml:space="preserve">               MOVE 'X009BNCRT2'     TO NOME-O-LAYOUT</t>
  </si>
  <si>
    <t xml:space="preserve">             IF RU-DOC-ID = '005'</t>
  </si>
  <si>
    <t xml:space="preserve">               MOVE 'X009BNEXS2'            TO NOME-O-LAYOUT</t>
  </si>
  <si>
    <t xml:space="preserve">             MOVE 'X009BNGISM'        TO NOME-O-LAYOUT</t>
  </si>
  <si>
    <t xml:space="preserve">             MOVE LENGTH OF LX009BNGISM-O TO QZOLEN</t>
  </si>
  <si>
    <t xml:space="preserve">             MOVE 'X009BNGIS2'     TO NOME-O-LAYOUT</t>
  </si>
  <si>
    <t xml:space="preserve">             MOVE LENGTH OF LX009BNGIS2-O TO QZOLEN</t>
  </si>
  <si>
    <t xml:space="preserve">               IF CABECALHO-Y AND NOT RU-TL-ESPACOS</t>
  </si>
  <si>
    <t xml:space="preserve">                 MOVE LINHA-CABECALHO TO X009BNGISC-O-LINHA-FIXA</t>
  </si>
  <si>
    <t xml:space="preserve">                 ADD 1 TO CONTADOR-VIDA-RISCO</t>
  </si>
  <si>
    <t xml:space="preserve">                 MOVE 'X009BNGISD'     TO NOME-O-LAYOUT</t>
  </si>
  <si>
    <t xml:space="preserve">                 MOVE LENGTH OF LX009BNGISC-O TO QZOLEN</t>
  </si>
  <si>
    <t xml:space="preserve">                 PERFORM P290-GRAVAR-REGISTO  THRU</t>
  </si>
  <si>
    <t xml:space="preserve">                 P290-GRAVAR-REGISTO-EX</t>
  </si>
  <si>
    <t xml:space="preserve">               IF CABECALHO-1-Y</t>
  </si>
  <si>
    <t xml:space="preserve">                 MOVE LINHA1-CABECALHO TO X009BNGISC-O-LINHA-FIXA</t>
  </si>
  <si>
    <t xml:space="preserve">               IF CABECALHO-2-Y</t>
  </si>
  <si>
    <t xml:space="preserve">                 MOVE LINHA2-CABECALHO TO X009BNGISC-O-LINHA-FIXA</t>
  </si>
  <si>
    <t xml:space="preserve">               IF CABECALHO-3-Y</t>
  </si>
  <si>
    <t xml:space="preserve">                 MOVE LINHA3-CABECALHO TO X009BNGISC-O-LINHA-FIXA</t>
  </si>
  <si>
    <t xml:space="preserve">               IF CABECALHO-4-Y</t>
  </si>
  <si>
    <t xml:space="preserve">                 MOVE LINHA4-CABECALHO TO X009BNGISC-O-LINHA-FIXA</t>
  </si>
  <si>
    <t xml:space="preserve">             MOVE SPACES TO LINHA1-CABECALHO</t>
  </si>
  <si>
    <t xml:space="preserve">             MOVE SPACES TO LINHA2-CABECALHO</t>
  </si>
  <si>
    <t xml:space="preserve">             MOVE SPACES TO LINHA3-CABECALHO</t>
  </si>
  <si>
    <t xml:space="preserve">             MOVE SPACES TO LINHA4-CABECALHO</t>
  </si>
  <si>
    <t xml:space="preserve">             MOVE 'N' TO CABECALHO-1 CABECALHO-2 CABECALHO-3</t>
  </si>
  <si>
    <t xml:space="preserve">                         CABECALHO-4</t>
  </si>
  <si>
    <t xml:space="preserve">       P520-CALCULA-PAG.</t>
  </si>
  <si>
    <t xml:space="preserve">               NUM-DE-PAGINAS  DELIMITED BY SPACES</t>
  </si>
  <si>
    <t xml:space="preserve">               INTO X009BNGISE-O-PAGINA</t>
  </si>
  <si>
    <t xml:space="preserve">       P520-CALCULA-PAG-EX.</t>
  </si>
  <si>
    <t xml:space="preserve">             IF RU-TL-NORM-PEQ OR RU-TL-BOLD-PEQ</t>
  </si>
  <si>
    <t xml:space="preserve">               MOVE 2450     TO LINOUT-LEN</t>
  </si>
  <si>
    <t xml:space="preserve">               MOVE 1580     TO LINOUT-LEN</t>
  </si>
  <si>
    <t xml:space="preserve">              MOVE LINOUT TO X009BNGIS3-O-LINHA-GIS</t>
  </si>
  <si>
    <t xml:space="preserve">              MOVE LENGTH OF LX009BNGIS3-O TO QZOLEN</t>
  </si>
  <si>
    <t>AQUI***       ADD 1 TO CONTADOR-VIDA-RISCO</t>
  </si>
  <si>
    <t xml:space="preserve">       TRATA1-PYOXAU03.</t>
  </si>
  <si>
    <t xml:space="preserve">              COMPUTE WPAGTOT = WPAGTOT + 1</t>
  </si>
  <si>
    <t xml:space="preserve">       TRATA1-PYOXAU03-EX.</t>
  </si>
  <si>
    <t xml:space="preserve">           DISPLAY 'PGOC038A: PROGRAMA COM ERRO - ANALISAR MENSAGENS'</t>
  </si>
  <si>
    <t>0401</t>
  </si>
  <si>
    <t>X041 / X003</t>
  </si>
  <si>
    <t>X006</t>
  </si>
  <si>
    <t>X009</t>
  </si>
  <si>
    <t>cod doc</t>
  </si>
  <si>
    <t>2040 / 0505</t>
  </si>
  <si>
    <t>agrup</t>
  </si>
  <si>
    <t>PFX003</t>
  </si>
  <si>
    <t>PFX009</t>
  </si>
  <si>
    <t>Pagedef</t>
  </si>
  <si>
    <t>chapao</t>
  </si>
  <si>
    <t>CHIP</t>
  </si>
  <si>
    <t>CDC1</t>
  </si>
  <si>
    <t>ENT1</t>
  </si>
  <si>
    <t>CTAD</t>
  </si>
  <si>
    <t>PC01</t>
  </si>
  <si>
    <t>ENTI</t>
  </si>
  <si>
    <t>ENT2</t>
  </si>
  <si>
    <t>Copybook</t>
  </si>
  <si>
    <t>Novo</t>
  </si>
  <si>
    <t>Descrição / Valores Possiveis / [Formato]</t>
  </si>
  <si>
    <t>Posição</t>
  </si>
  <si>
    <t>Tamanho</t>
  </si>
  <si>
    <t>Observações</t>
  </si>
  <si>
    <t xml:space="preserve">  07  :PREFIX:-COD-DOCUMENTO            PIC X(04).</t>
  </si>
  <si>
    <t>&lt;NEW&gt;</t>
  </si>
  <si>
    <t>Código de documento</t>
  </si>
  <si>
    <t>Obrigatório</t>
  </si>
  <si>
    <t xml:space="preserve">      88  :PREFIX:-DOC-CRT-CDC1             VALUE 'CDC1'.</t>
  </si>
  <si>
    <t xml:space="preserve">     'CDC1' - Carta de Cancelamento</t>
  </si>
  <si>
    <t xml:space="preserve">      88  :PREFIX:-DOC-CRT-ENTI             VALUE 'ENTI'.</t>
  </si>
  <si>
    <t xml:space="preserve">     'ENTI' - Carta de Cancelamento</t>
  </si>
  <si>
    <t xml:space="preserve">      88  :PREFIX:-DOC-CRT-CTAD             VALUE 'CTAD'.</t>
  </si>
  <si>
    <t xml:space="preserve">     'CTAD' - Carta de Cancelamento</t>
  </si>
  <si>
    <t xml:space="preserve">      88  :PREFIX:-DOC-CRT-CHIP             VALUE 'CHIP'.</t>
  </si>
  <si>
    <t xml:space="preserve">     'CHIP' - Carta de Cancelamento</t>
  </si>
  <si>
    <t xml:space="preserve">      88  :PREFIX:-DOC-CRT-PC01             VALUE 'PC01'.</t>
  </si>
  <si>
    <t xml:space="preserve">     'PC01' - Carta de Cancelamento</t>
  </si>
  <si>
    <t xml:space="preserve">  07  :PREFIX:-TIPO-REGISTO             PIC X(01).</t>
  </si>
  <si>
    <t>Tipo de registo</t>
  </si>
  <si>
    <t xml:space="preserve">      88  :PREFIX:-REG-TIPO1                VALUE '1'.</t>
  </si>
  <si>
    <t xml:space="preserve">     '1' - Carta de Cancelamento</t>
  </si>
  <si>
    <t xml:space="preserve">      88  :PREFIX:-REG-TIPO2                VALUE '2'.</t>
  </si>
  <si>
    <t xml:space="preserve">     '2' - Detalhe da Lista de Recibos</t>
  </si>
  <si>
    <t xml:space="preserve">      88  :PREFIX:-REG-TIPO3                VALUE '3'.</t>
  </si>
  <si>
    <t xml:space="preserve">     '3' - Footer Lista</t>
  </si>
  <si>
    <t xml:space="preserve">  07  :PREFIX:-TIPO-IMPRESSAO           PIC X(01).</t>
  </si>
  <si>
    <t>Tipo de impressão</t>
  </si>
  <si>
    <t>NZ5PDU01-TIPO-IMPRESSAO</t>
  </si>
  <si>
    <t>NZ44DU01-TIPO-IMPRESSAO</t>
  </si>
  <si>
    <t>:PREFIX:-TIPO-IMPRESSAO</t>
  </si>
  <si>
    <t>NZ44CU01-TIPO-IMP1</t>
  </si>
  <si>
    <t>NY5BAU01-TIPO-IMPRESSAO-1</t>
  </si>
  <si>
    <t>NZ5B8U01-TIPO-IMPRESSAO</t>
  </si>
  <si>
    <t>NY5D1U01-TIPO-IMPRESSAO</t>
  </si>
  <si>
    <t xml:space="preserve">      88  :PREFIX:-IMP-ONLINE               VALUE 'I'.</t>
  </si>
  <si>
    <t xml:space="preserve">     'I' - Impressão OnLine (Immediate)</t>
  </si>
  <si>
    <t xml:space="preserve">      88  :PREFIX:-IMP-BATCH                VALUE 'O'.</t>
  </si>
  <si>
    <t xml:space="preserve">     'O' - Impressão via batch (Overnight)</t>
  </si>
  <si>
    <t xml:space="preserve">  07  :PREFIX:-USERID                   PIC X(08).</t>
  </si>
  <si>
    <t>User Id da impressão OnLine</t>
  </si>
  <si>
    <t>Condicional</t>
  </si>
  <si>
    <t>:PREFIX:-USER-ID</t>
  </si>
  <si>
    <t xml:space="preserve">  07  :PREFIX:-COD-COMPANHIA            PIC X(03).</t>
  </si>
  <si>
    <t>Código de identificação da Companhia</t>
  </si>
  <si>
    <t>NZ5PDU01-C-COMP-SGRA</t>
  </si>
  <si>
    <t>NZ44DU01-COMPANY</t>
  </si>
  <si>
    <t>:PREFIX:-COD-COMPANHIA</t>
  </si>
  <si>
    <t>NZ44CU01-COMPANY-KEY</t>
  </si>
  <si>
    <t>BUSK410A-COD-COMPANHIA</t>
  </si>
  <si>
    <t xml:space="preserve">      88  :PREFIX:-COM-VIADIRECTA           VALUE '111'.</t>
  </si>
  <si>
    <t xml:space="preserve">     '111' - Via Directa</t>
  </si>
  <si>
    <t xml:space="preserve">      88  :PREFIX:-COM-FIDELIDADE           VALUE '128'.</t>
  </si>
  <si>
    <t xml:space="preserve">     '128' - Fidelidade</t>
  </si>
  <si>
    <t xml:space="preserve">      88  :PREFIX:-COM-IMPERIO              VALUE '138'.</t>
  </si>
  <si>
    <t xml:space="preserve">     '138' - Império</t>
  </si>
  <si>
    <t xml:space="preserve">      88  :PREFIX:-COM-MULTICARE            VALUE '148'.</t>
  </si>
  <si>
    <t xml:space="preserve">     '148' - Multicare</t>
  </si>
  <si>
    <t xml:space="preserve">  07  :PREFIX:-COD-MARCA                PIC X(03).</t>
  </si>
  <si>
    <t>Código de identificação da Marca</t>
  </si>
  <si>
    <t>NZ5PDU01-C-MARC-SGRA</t>
  </si>
  <si>
    <t>NZ44DU01-C-MARC-SGRA</t>
  </si>
  <si>
    <t>:PREFIX:-COD-MARCA</t>
  </si>
  <si>
    <t>NZ44CU01-COMPANY</t>
  </si>
  <si>
    <t>NY5BAU01-C-MARC-SGRA</t>
  </si>
  <si>
    <t>NZ5B8U01-C-MARC-SGRA</t>
  </si>
  <si>
    <t>NY5D1U01-C-MARC-SGRA</t>
  </si>
  <si>
    <t>BUSK410A-COD-MARCA</t>
  </si>
  <si>
    <t>BGOW0027-MARCA</t>
  </si>
  <si>
    <t xml:space="preserve">      88  :PREFIX:-MAR-OKTELESEGURO         VALUE '001'.</t>
  </si>
  <si>
    <t xml:space="preserve">     '001' - OK Teleseguro</t>
  </si>
  <si>
    <t xml:space="preserve">      88  :PREFIX:-MAR-FIDELIDADE           VALUE '002'.</t>
  </si>
  <si>
    <t xml:space="preserve">     '002' - Fidelidade</t>
  </si>
  <si>
    <t xml:space="preserve">      88  :PREFIX:-MAR-IMPERIO              VALUE '003'.</t>
  </si>
  <si>
    <t xml:space="preserve">     '003' - Imperio</t>
  </si>
  <si>
    <t xml:space="preserve">      88  :PREFIX:-MAR-ICI                  VALUE '004'.</t>
  </si>
  <si>
    <t xml:space="preserve">     '004' - ICI</t>
  </si>
  <si>
    <t xml:space="preserve">      88  :PREFIX:-MAR-SONAE                VALUE '005'.</t>
  </si>
  <si>
    <t xml:space="preserve">     '005' - Continente</t>
  </si>
  <si>
    <t xml:space="preserve">      88  :PREFIX:-MAR-MULTICARE            VALUE '006'.</t>
  </si>
  <si>
    <t xml:space="preserve">     '006' - Multicare</t>
  </si>
  <si>
    <t xml:space="preserve">  07  :PREFIX:-AUX-MARCA                PIC X(01).</t>
  </si>
  <si>
    <t>Opcional</t>
  </si>
  <si>
    <t xml:space="preserve">      88  :PREFIX:-MAR-LEVE                 VALUE 'L'.</t>
  </si>
  <si>
    <t xml:space="preserve">     'L' - Leve (Substitui 'L02' - FM Leve / 
                         'L03' - IB Leve, apenas para marca 002 ou 003)</t>
  </si>
  <si>
    <t xml:space="preserve">  07  :PREFIX:-NR-AGENTE                PIC X(10).</t>
  </si>
  <si>
    <t>Número do Mediador</t>
  </si>
  <si>
    <t>NZ5PDU01-C-CTA-ENT-AGT-CBRX</t>
  </si>
  <si>
    <t>NZ44DU01-AGENT-NUMBER</t>
  </si>
  <si>
    <t>:PREFIX:-NR-MEDIADOR</t>
  </si>
  <si>
    <t>NZ5B8U01-AGENT</t>
  </si>
  <si>
    <t>BUSK410A-NR-MEDIADOR</t>
  </si>
  <si>
    <t xml:space="preserve">  07  :PREFIX:-NR-CLIENTE               PIC X(10).</t>
  </si>
  <si>
    <t>Número do Cliente</t>
  </si>
  <si>
    <t>NZ5PDU01-C-TOMADOR</t>
  </si>
  <si>
    <t>NZ44DU01-CLIENT-REFERENCE</t>
  </si>
  <si>
    <t>:PREFIX:-NR-CLIENTE</t>
  </si>
  <si>
    <t>NZ44CU01-CLIENT-REFERENCE</t>
  </si>
  <si>
    <t>NZ5B8U01-CLIENT-REFERENCE</t>
  </si>
  <si>
    <t>NY5D1U01-CLIENT-NUMBER</t>
  </si>
  <si>
    <t>BUSK410A-NR-CLIENTE</t>
  </si>
  <si>
    <t>BGOW0027-ENTIDADE</t>
  </si>
  <si>
    <t xml:space="preserve">  07  :PREFIX:-NR-APOLICE               PIC X(16).</t>
  </si>
  <si>
    <t>Número da Apólice</t>
  </si>
  <si>
    <t>NZ5PDU01-IDENTIFIER</t>
  </si>
  <si>
    <t>NZ44DU01-POLICY-NUMBER</t>
  </si>
  <si>
    <t>:PREFIX:-NR-APOLICE</t>
  </si>
  <si>
    <t>NZ44CU01-POLICY-NUMBER</t>
  </si>
  <si>
    <t>NY5BAU01-POLICY-NUMBER</t>
  </si>
  <si>
    <t>NZ5B8U01-POLICY-NUMBER</t>
  </si>
  <si>
    <t>NY5D1U01-POLICY-NUMBER</t>
  </si>
  <si>
    <t>BUSK410A-NR-APOLICE</t>
  </si>
  <si>
    <t>BGOW0027-APOLICE-GRUPO</t>
  </si>
  <si>
    <t xml:space="preserve">  07  :PREFIX:-COD-ORIGEM               PIC X(03).</t>
  </si>
  <si>
    <t>Código de identificação do Sistema Origem</t>
  </si>
  <si>
    <t>NZ5PDU01-C-APL-ORIG</t>
  </si>
  <si>
    <t>:PREFIX:-COD-ORIGEM</t>
  </si>
  <si>
    <t xml:space="preserve">      88  :PREFIX:-ORI-COGEN22              VALUE 'CG2'.</t>
  </si>
  <si>
    <t xml:space="preserve">     'CG2' - Cogen 22</t>
  </si>
  <si>
    <t xml:space="preserve">      88  :PREFIX:-ORI-COGEN33              VALUE 'CGN'.</t>
  </si>
  <si>
    <t xml:space="preserve">     'CGN' - Cogen 33</t>
  </si>
  <si>
    <t xml:space="preserve">      88  :PREFIX:-ORI-GIS                  VALUE 'GIS'.</t>
  </si>
  <si>
    <t xml:space="preserve">     'GIS' - GIS</t>
  </si>
  <si>
    <t xml:space="preserve">      88  :PREFIX:-ORI-COLHEITAS            VALUE 'CLH'.</t>
  </si>
  <si>
    <t xml:space="preserve">     'CLH' - Colheitas (GIC)</t>
  </si>
  <si>
    <t xml:space="preserve">      88  :PREFIX:-ORI-MULTICARE            VALUE 'MHS'.</t>
  </si>
  <si>
    <t xml:space="preserve">     'MHS' - Multicare</t>
  </si>
  <si>
    <t xml:space="preserve">      88  :PREFIX:-ORI-SGF                  VALUE 'SGF'.</t>
  </si>
  <si>
    <t xml:space="preserve">     'SGF' - SGF</t>
  </si>
  <si>
    <t xml:space="preserve">  07  :PREFIX:-IND-FLYER                PIC X(01).</t>
  </si>
  <si>
    <t>Indicador de inclusão de Flyer (ex: "V" - Cobertura PVC)</t>
  </si>
  <si>
    <t>05  :PREFIX:-DADOS-DOCUMENTO            PIC X(2138).</t>
  </si>
  <si>
    <t>05  FILLER  REDEFINES  :PREFIX:-DADOS-DOCUMENTO.</t>
  </si>
  <si>
    <t xml:space="preserve">  07  :PREFIX:-DADOS-CARTA-CANC.</t>
  </si>
  <si>
    <t xml:space="preserve">    09  :PREFIX:-TIPO-DOCUMENTO         PIC X(01).</t>
  </si>
  <si>
    <t>Tipo de Documento</t>
  </si>
  <si>
    <t>NZ5PDU01-DOCUMENT-CODE
+ NZ5PDU01-C-TIPO-CTAD</t>
  </si>
  <si>
    <t xml:space="preserve"> :PREFIX:-TIPO-REG
+ :PREFIX:-FAZ-DOC-CANCEL</t>
  </si>
  <si>
    <t>NZ44CU01-TIPO-DE-CARTA</t>
  </si>
  <si>
    <t>NZ5B8U01-C-TIPO-CTAD</t>
  </si>
  <si>
    <t>BUSK410A-COD-CARTA</t>
  </si>
  <si>
    <t>BGOW0027-TIPO-CARTA</t>
  </si>
  <si>
    <t xml:space="preserve">        88  :PREFIX:-DOC-AGENTE             VALUE 'A'.</t>
  </si>
  <si>
    <t xml:space="preserve">     'A' - Documento para agente</t>
  </si>
  <si>
    <t xml:space="preserve">        88  :PREFIX:-DOC-CLIENTE            VALUE 'C'.</t>
  </si>
  <si>
    <t xml:space="preserve">     'C' - Documento para cliente</t>
  </si>
  <si>
    <t xml:space="preserve">        88  :PREFIX:-DOC-AMBOS              VALUE 'B'.</t>
  </si>
  <si>
    <t xml:space="preserve">     'B' - Documento para agente e cliente</t>
  </si>
  <si>
    <t xml:space="preserve">        88  :PREFIX:-DOC-CREDORH            VALUE 'H'.</t>
  </si>
  <si>
    <t xml:space="preserve">     'H' - Documento para Credor Hipotecário</t>
  </si>
  <si>
    <t xml:space="preserve">    09  :PREFIX:-NR-DOCUMENTO           PIC X(10).</t>
  </si>
  <si>
    <t>Número de documento</t>
  </si>
  <si>
    <t>NZ5PDU01-NOTICE</t>
  </si>
  <si>
    <t>NZ44DU01-REFERENCIA</t>
  </si>
  <si>
    <t>:PREFIX:-NR-DOCUMENTO</t>
  </si>
  <si>
    <t>NZ5B8U01-LETTER-NUMBER</t>
  </si>
  <si>
    <t xml:space="preserve">    09  :PREFIX:-TIPO-EMISSAO           PIC X(03).</t>
  </si>
  <si>
    <t>Espécie de Recibo</t>
  </si>
  <si>
    <t>NZ5PDU01-TIPO-RECIBO</t>
  </si>
  <si>
    <t>NY5BAU01-NOVO-NEG</t>
  </si>
  <si>
    <t xml:space="preserve">        88  :PREFIX:-EMI-NOVO-NEGOCIO       VALUE 'NB0'
                                            'NB1' 'NBS'.</t>
  </si>
  <si>
    <t xml:space="preserve">     'NB0', 'NB1', 'NBS' - Novo negócio</t>
  </si>
  <si>
    <t xml:space="preserve">        88  :PREFIX:-EMI-NB-ANUAL           VALUE 'NB0'.</t>
  </si>
  <si>
    <t xml:space="preserve">     'NB0' - Novo negócio: Anual</t>
  </si>
  <si>
    <t xml:space="preserve">        88  :PREFIX:-EMI-NB-1PREST          VALUE 'NB1'.</t>
  </si>
  <si>
    <t xml:space="preserve">     'NB1' - Novo negócio: 1ª Prestação</t>
  </si>
  <si>
    <t xml:space="preserve">        88  :PREFIX:-EMI-NB-SEGUINTES       VALUE 'NBS'.</t>
  </si>
  <si>
    <t xml:space="preserve">     'NBS' - Novo negócio: Prestações Seguintes</t>
  </si>
  <si>
    <t xml:space="preserve">        88  :PREFIX:-EMI-ALTERACAO          VALUE 'EN0'
                                            'EN1' 'ENS'.</t>
  </si>
  <si>
    <t xml:space="preserve">     'EN0', 'EN1', 'ENS' - Alteração</t>
  </si>
  <si>
    <t xml:space="preserve">        88  :PREFIX:-EMI-EN                 VALUE 'EN0'.</t>
  </si>
  <si>
    <t xml:space="preserve">     'EN0' - Alteração</t>
  </si>
  <si>
    <t xml:space="preserve">        88  :PREFIX:-EMI-EN-1TERMO          VALUE 'EN1'.</t>
  </si>
  <si>
    <t xml:space="preserve">     'EN1' - Alteração: 1ª Termo</t>
  </si>
  <si>
    <t xml:space="preserve">        88  :PREFIX:-EMI-EN-SEGUINTES       VALUE 'ENS'.</t>
  </si>
  <si>
    <t xml:space="preserve">     'ENS' - Alteração: Seguintes</t>
  </si>
  <si>
    <t xml:space="preserve">        88  :PREFIX:-EMI-RENOVACAO          VALUE 'RN0'
                                            'RN1' 'RNS'.</t>
  </si>
  <si>
    <t xml:space="preserve">     'RN0', 'RN1', 'RNS' - Renovação / Continuado</t>
  </si>
  <si>
    <t xml:space="preserve">        88  :PREFIX:-EMI-RN-ANUAL           VALUE 'RN0'.</t>
  </si>
  <si>
    <t xml:space="preserve">     'RN0' - Renovação: Anual</t>
  </si>
  <si>
    <t xml:space="preserve">        88  :PREFIX:-EMI-RN-1PREST          VALUE 'RN1'.</t>
  </si>
  <si>
    <t xml:space="preserve">     'RN1' - Renovação: 1ª Prestação</t>
  </si>
  <si>
    <t xml:space="preserve">        88  :PREFIX:-EMI-RN-SEGUINTES       VALUE 'RNS'.</t>
  </si>
  <si>
    <t xml:space="preserve">     'RNS' - Renovação: Prestações Seguintes</t>
  </si>
  <si>
    <t xml:space="preserve">        88  :PREFIX:-EMI-ACERTO-AC          VALUE 'AC0'.</t>
  </si>
  <si>
    <t xml:space="preserve">     'AC' - Acerto AC</t>
  </si>
  <si>
    <t xml:space="preserve">        88  :PREFIX:-EMI-ACERTO-RC          VALUE 'RC0'.</t>
  </si>
  <si>
    <t xml:space="preserve">     'RC' - Acerto RC</t>
  </si>
  <si>
    <t xml:space="preserve">        88  :PREFIX:-EMI-CANCELAMENTO       VALUE 'CN0'.</t>
  </si>
  <si>
    <t xml:space="preserve">     'CN' - Cancelamento</t>
  </si>
  <si>
    <t xml:space="preserve">    09  :PREFIX:-COD-MOEDA              PIC X(03).</t>
  </si>
  <si>
    <t>Código de moeda (ex: EUR)</t>
  </si>
  <si>
    <t>NZ5PDU01-C-MOED-ISO</t>
  </si>
  <si>
    <t>:PREFIX:-COD-MOEDA</t>
  </si>
  <si>
    <t xml:space="preserve">    09  :PREFIX:-COD-PRODUTO            PIC X(10).</t>
  </si>
  <si>
    <r>
      <t xml:space="preserve">Código de Produto </t>
    </r>
    <r>
      <rPr>
        <sz val="11"/>
        <color rgb="FFFF0000"/>
        <rFont val="Calibri"/>
        <family val="2"/>
        <scheme val="minor"/>
      </rPr>
      <t>[Garantir que no máximo vem 6 posições]</t>
    </r>
  </si>
  <si>
    <t>NZ5PDU01-PRODUCT-CODE</t>
  </si>
  <si>
    <t>NZ44DU01-PRODUCT-CODE</t>
  </si>
  <si>
    <t>:PREFIX:-COD-PRODUTO</t>
  </si>
  <si>
    <t>NZ44CU01-PRODUCT-CODE</t>
  </si>
  <si>
    <t>NY5BAU01-PRODUCT-CODE</t>
  </si>
  <si>
    <t>NZ5B8U01-PRODUCT-CODE</t>
  </si>
  <si>
    <t>NY5D1U01-PRODUCT-CODE</t>
  </si>
  <si>
    <t xml:space="preserve">    09  :PREFIX:-COD-RAMO               PIC X(10).</t>
  </si>
  <si>
    <r>
      <t xml:space="preserve">Código do Ramo SO </t>
    </r>
    <r>
      <rPr>
        <sz val="11"/>
        <color rgb="FFFF0000"/>
        <rFont val="Calibri"/>
        <family val="2"/>
        <scheme val="minor"/>
      </rPr>
      <t>[Garantir que no máximo vem 6 posições]</t>
    </r>
  </si>
  <si>
    <t>NZ5PDU01-RAMO-SO</t>
  </si>
  <si>
    <t>BUSK410A-COD-RAMO</t>
  </si>
  <si>
    <t>BGOW0027-RAMO</t>
  </si>
  <si>
    <t xml:space="preserve">        88  :PREFIX:-RAM-NVIDA              VALUE '0201  '</t>
  </si>
  <si>
    <t>Ramos não vida</t>
  </si>
  <si>
    <t xml:space="preserve">              '0205  ' '0210  ' '0301  ' '0305  ' '0310  '</t>
  </si>
  <si>
    <t xml:space="preserve">              '0350  ' '0351  ' '0353  ' '0354  ' '0355  '</t>
  </si>
  <si>
    <t xml:space="preserve">              '0356  ' '0357  ' '0358  ' '0360  ' '0370  '</t>
  </si>
  <si>
    <t xml:space="preserve">              '0380  ' '0390  ' '0401  ' '0405  ' '0501  '</t>
  </si>
  <si>
    <t xml:space="preserve">              '0510  ' '0515  ' '0520  ' '0601  ' '0701  '</t>
  </si>
  <si>
    <t xml:space="preserve">              '0705  ' '0905  ' '2001  ' '2010  ' '2101  '</t>
  </si>
  <si>
    <t xml:space="preserve">              '22000 ' '22002 ' '22003 ' '22004 ' '2201  '</t>
  </si>
  <si>
    <t xml:space="preserve">              '2210  ' '2211  ' '2215  ' '2220  ' '2250  '</t>
  </si>
  <si>
    <t xml:space="preserve">              '2301  ' '2401  ' '2402  ' '2501  ' '2601  '</t>
  </si>
  <si>
    <t xml:space="preserve">              '2605  ' '2705  ' '2801  ' '3102  ' '3109  '</t>
  </si>
  <si>
    <t xml:space="preserve">              '3150  ' '3201  ' '3205  ' '3210  ' '3215  '</t>
  </si>
  <si>
    <t xml:space="preserve">              '3301  ' '3401  ' '3405  ' '3410  ' '3420  '</t>
  </si>
  <si>
    <t xml:space="preserve">              '3425  ' '3430  ' '3501  ' '3505  ' '3601  '</t>
  </si>
  <si>
    <t xml:space="preserve">              '3605  ' '3625  ' '3801  ' '3901  '.</t>
  </si>
  <si>
    <r>
      <t xml:space="preserve">        88  :PREFIX:-RAM-</t>
    </r>
    <r>
      <rPr>
        <b/>
        <sz val="11"/>
        <color rgb="FFFF99FF"/>
        <rFont val="Courier New"/>
        <family val="3"/>
      </rPr>
      <t>N</t>
    </r>
    <r>
      <rPr>
        <sz val="11"/>
        <color theme="1"/>
        <rFont val="Courier New"/>
        <family val="3"/>
      </rPr>
      <t>VIDA-CLH           VALUE '22000 '</t>
    </r>
  </si>
  <si>
    <t>Ramos não vida: Colheitas</t>
  </si>
  <si>
    <t xml:space="preserve">              '22002 ' '22003 ' '22004 '.</t>
  </si>
  <si>
    <r>
      <t xml:space="preserve">        88  :PREFIX:-RAM-</t>
    </r>
    <r>
      <rPr>
        <b/>
        <sz val="11"/>
        <color rgb="FFFF99FF"/>
        <rFont val="Courier New"/>
        <family val="3"/>
      </rPr>
      <t>N</t>
    </r>
    <r>
      <rPr>
        <sz val="11"/>
        <color theme="1"/>
        <rFont val="Courier New"/>
        <family val="3"/>
      </rPr>
      <t>VIDA-MHS           VALUE '3102  '</t>
    </r>
  </si>
  <si>
    <t>Ramos não vida: Saúde</t>
  </si>
  <si>
    <t xml:space="preserve">              '3109  '.</t>
  </si>
  <si>
    <t xml:space="preserve">        88  ... Restantes niveis a definir!</t>
  </si>
  <si>
    <t xml:space="preserve">    09  :PREFIX:-DESCR-RAMO-PROD        PIC X(40).</t>
  </si>
  <si>
    <t>Descritivo do Ramo / Produto</t>
  </si>
  <si>
    <t>NZ5PDU01-RAMO-SO-DESCR
NZ5PDU01-PRODUCT-DESCR</t>
  </si>
  <si>
    <t>NZ44DU01-PRODUCT-CODE-DESC</t>
  </si>
  <si>
    <t>:PREFIX:-DESCR-PRODUTO</t>
  </si>
  <si>
    <t>NY5BAU01-PRODUCT-CODE-DESC</t>
  </si>
  <si>
    <t>NZ5B8U01-PRODUCT-CODE-DESC</t>
  </si>
  <si>
    <t>NY5D1U01-PRODUCT-CODE-DESC</t>
  </si>
  <si>
    <t>BUSK410A-DESCR-RAMO</t>
  </si>
  <si>
    <t xml:space="preserve">    09  :PREFIX:-COD-MOTIVO             PIC X(02).</t>
  </si>
  <si>
    <t>Código de Motivo Cancelamento</t>
  </si>
  <si>
    <t>NZ5PDU01-MOTIVO-CANC</t>
  </si>
  <si>
    <t>NZ44DU01-CANC-LAP-REASON</t>
  </si>
  <si>
    <t>:PREFIX:-MOTIVO-CANCEL</t>
  </si>
  <si>
    <t>NZ44CU01-CANC-REQUEST</t>
  </si>
  <si>
    <t xml:space="preserve">        88  ... niveis a definir!</t>
  </si>
  <si>
    <t xml:space="preserve">    09  :PREFIX:-DESCR-MOTIVO           PIC X(30).</t>
  </si>
  <si>
    <t>Descrição de Motivo Cancelamento</t>
  </si>
  <si>
    <t>NZ5PDU01-MOTIVO-CANC-DESCR</t>
  </si>
  <si>
    <t>:PREFIX:-DESCR-MOTIVO-CANCEL</t>
  </si>
  <si>
    <t>NZ44CU01-CANC-LAP-REASON-DESC</t>
  </si>
  <si>
    <t xml:space="preserve">    09  :PREFIX:-PG-DEBITO.</t>
  </si>
  <si>
    <t xml:space="preserve">      11  :PREFIX:-DEB-NOME-BANCO       PIC X(60).</t>
  </si>
  <si>
    <t>Nome do banco</t>
  </si>
  <si>
    <t xml:space="preserve">      11  :PREFIX:-DEB-IBAN             PIC X(34).</t>
  </si>
  <si>
    <t>IBAN (SEPA)</t>
  </si>
  <si>
    <t>NZ5PDU01-REFERENCIA-IBAN</t>
  </si>
  <si>
    <t>:PREFIX:-NIB</t>
  </si>
  <si>
    <t>NY5BAU01-CD-IBAN</t>
  </si>
  <si>
    <t>BUSK410A-CL-NIB</t>
  </si>
  <si>
    <t>BGOW0027-NIB-CONTRATO</t>
  </si>
  <si>
    <t xml:space="preserve">      11  :PREFIX:-DEB-SWIFT            PIC X(11).</t>
  </si>
  <si>
    <t>SWIFT (SEPA)</t>
  </si>
  <si>
    <t>NZ5PDU01-SWIFT</t>
  </si>
  <si>
    <t>NY5BAU01-CD-SWIFT</t>
  </si>
  <si>
    <t xml:space="preserve">    09  :PREFIX:-TOMADOR                PIC X(40).</t>
  </si>
  <si>
    <t>Tomador / Beneficiário</t>
  </si>
  <si>
    <t>BUSK410A-CL-NOME</t>
  </si>
  <si>
    <t>BGOW0027-BENEFICIARIO</t>
  </si>
  <si>
    <t xml:space="preserve">    09  :PREFIX:-NR-EMPRESTIMOS         PIC X(12).</t>
  </si>
  <si>
    <t>Número empréstimos</t>
  </si>
  <si>
    <t>BUSK410A-CL-EMPRESTIMO</t>
  </si>
  <si>
    <t xml:space="preserve">    09  :PREFIX:-REFERENCIA             PIC X(30).</t>
  </si>
  <si>
    <t>Referência</t>
  </si>
  <si>
    <t>BUSK410A-REFERENCIA</t>
  </si>
  <si>
    <t xml:space="preserve">  07  :PREFIX:-DADOS-CLIENTE.</t>
  </si>
  <si>
    <t xml:space="preserve">    09  :PREFIX:-CL-NOME                PIC X(40).</t>
  </si>
  <si>
    <t>Nome</t>
  </si>
  <si>
    <t>NZ5PDU01-CLIENT-NAME</t>
  </si>
  <si>
    <t>NZ44DU01-ADDRESSEE</t>
  </si>
  <si>
    <t>:PREFIX:-NOME</t>
  </si>
  <si>
    <t>NZ44CU01-CLIENT-NAME1</t>
  </si>
  <si>
    <t>NY5BAU01-ADDRESSEE-NAME</t>
  </si>
  <si>
    <t>NZ5B8U01-CLIENT-ADDRESSEE</t>
  </si>
  <si>
    <t>NY5D1U01-ADDRESSEE-NAME</t>
  </si>
  <si>
    <t>BUSK410A-NOME</t>
  </si>
  <si>
    <t>BGOW0027-ADDRESSEE</t>
  </si>
  <si>
    <t xml:space="preserve">    09  :PREFIX:-CL-LOCATION-REF        PIC X(04).</t>
  </si>
  <si>
    <t>Referência da morada</t>
  </si>
  <si>
    <t xml:space="preserve">    09  :PREFIX:-CL-MORADA1             PIC X(40).</t>
  </si>
  <si>
    <t>Dados de morada 1</t>
  </si>
  <si>
    <t>NZ5PDU01-CLIENT-ADDRESS</t>
  </si>
  <si>
    <t>NZ44DU01-ADDRESS1</t>
  </si>
  <si>
    <t>:PREFIX:-MORADA1</t>
  </si>
  <si>
    <t>NZ44CU01-ADDRESS-LINE-1</t>
  </si>
  <si>
    <t>NY5BAU01-ADDRESSEE-ADDRESS-1</t>
  </si>
  <si>
    <t>NZ5B8U01-CLIENT-ADDRESS</t>
  </si>
  <si>
    <t>NY5D1U01-ADDRESSEE-ADDRESS</t>
  </si>
  <si>
    <t>BUSK410A-MORADA1</t>
  </si>
  <si>
    <t>BGOW0027-ADDRESS1</t>
  </si>
  <si>
    <t xml:space="preserve">    09  :PREFIX:-CL-MORADA2             PIC X(40).</t>
  </si>
  <si>
    <t>Dados de morada 2</t>
  </si>
  <si>
    <t>NZ5PDU01-CLIENT-ADDRESS-2</t>
  </si>
  <si>
    <t>NZ44DU01-ADDRESS2</t>
  </si>
  <si>
    <t>:PREFIX:-MORADA2</t>
  </si>
  <si>
    <t>NZ44CU01-ADDRESS-LINE-2</t>
  </si>
  <si>
    <t>NY5BAU01-ADDRESSEE-ADDRESS-2</t>
  </si>
  <si>
    <t>NZ5B8U01-CLIENT-ADDRESS-2</t>
  </si>
  <si>
    <t>NY5D1U01-ADDRESSEE-ADDRESS-2</t>
  </si>
  <si>
    <t>BUSK410A-MORADA2</t>
  </si>
  <si>
    <t>BGOW0027-ADDRESS2</t>
  </si>
  <si>
    <t xml:space="preserve">    09  :PREFIX:-CL-LOCALIDADE          PIC X(40).</t>
  </si>
  <si>
    <t>Localidade</t>
  </si>
  <si>
    <t>NZ5PDU01-CLIENT-CITY</t>
  </si>
  <si>
    <t>NZ44DU01-TOWN-SUBURB</t>
  </si>
  <si>
    <t>:PREFIX:-MORADA3</t>
  </si>
  <si>
    <t>NZ44CU01-ADDRESS-LINE-3</t>
  </si>
  <si>
    <t>NY5BAU01-ADDRESSEE-CITY</t>
  </si>
  <si>
    <t>NZ5B8U01-CLIENT-CITY</t>
  </si>
  <si>
    <t>NY5D1U01-ADDRESSEE-CITY</t>
  </si>
  <si>
    <t>BUSK410A-MORADA3</t>
  </si>
  <si>
    <t>BGOW0027-ADDRESS3</t>
  </si>
  <si>
    <t xml:space="preserve">    09  :PREFIX:-CL-CPOSTAL             PIC X(09).</t>
  </si>
  <si>
    <t>Código postal (Se estrangeiro deverá vir a zeros) [9999-999]</t>
  </si>
  <si>
    <t>NZ5PDU01-CLIENT-POST-CODE</t>
  </si>
  <si>
    <t>NZ44DU01-PH-POST-CODE</t>
  </si>
  <si>
    <t>:PREFIX:-COD-POSTALC</t>
  </si>
  <si>
    <t>NZ44CU01-POST-CODE</t>
  </si>
  <si>
    <t>NZ5B8U01-CLIENT-POST-CODE</t>
  </si>
  <si>
    <t>NY5D1U01-POST-CODE</t>
  </si>
  <si>
    <t>BUSK410A-COD-POSTALC</t>
  </si>
  <si>
    <t>BGOW0027-COD-POSTAL</t>
  </si>
  <si>
    <t xml:space="preserve">    09  :PREFIX:-CL-CPOSTAL-DESC        PIC X(40).</t>
  </si>
  <si>
    <t>Descritivo do código postal</t>
  </si>
  <si>
    <t>NZ5PDU01-CLIENT-POST-DESCR</t>
  </si>
  <si>
    <t>NZ44DU01-POST-CODE-DESC</t>
  </si>
  <si>
    <t>:PREFIX:-MORADA4</t>
  </si>
  <si>
    <t>NZ44CU01-ADDRESS-LINE-4</t>
  </si>
  <si>
    <t>NY5BAU01-POST-CODE-DESCR</t>
  </si>
  <si>
    <t>NZ5B8U01-POST-CODE-DESCR</t>
  </si>
  <si>
    <t>NY5D1U01-POST-CODE-DESCR</t>
  </si>
  <si>
    <t>BUSK410A-MORADA4</t>
  </si>
  <si>
    <t>BGOW0027-ADDRESS4</t>
  </si>
  <si>
    <t xml:space="preserve">    09  :PREFIX:-CL-CPAIS               PIC X(03).</t>
  </si>
  <si>
    <t>Código do País (Se estrangeiro, diferente de 620)</t>
  </si>
  <si>
    <t xml:space="preserve">    09  :PREFIX:-CL-CPAIS-DESC          PIC X(40).</t>
  </si>
  <si>
    <t>Descritivo do País</t>
  </si>
  <si>
    <t xml:space="preserve">    09  :PREFIX:-CL-IDP                 PIC X(04).</t>
  </si>
  <si>
    <t>Identificação da Porta (no CBC)</t>
  </si>
  <si>
    <t>NZ5PDU01-CLIENT-NUM-TYPE
NZ5PDU01-CLIENT-NUM</t>
  </si>
  <si>
    <t>NZ44DU01-NUM-TYPE
NZ44DU01-NUM</t>
  </si>
  <si>
    <t>:PREFIX:-TNUM-PORTA
:PREFIX:-NUM-PORTA</t>
  </si>
  <si>
    <t>NZ44CU01-NUM-TYPE
NZ44CU01-NUM</t>
  </si>
  <si>
    <t>NY5BAU01-ADDRESSEE-NUM-TYPE
NY5BAU01-ADDRESSEE-NUM</t>
  </si>
  <si>
    <t>NZ5B8U01-CLIENT-NUM-TYPE
NZ5B8U01-CLIENT-NUM</t>
  </si>
  <si>
    <t>NY5D1U01-ADDRESSEE-NUM-TYPE
NY5D1U01-ADDRESSEE-NUM</t>
  </si>
  <si>
    <t>BUSK410A-TNUM-PORTA
BUSK410A-NUM-PORTA</t>
  </si>
  <si>
    <t>BGOW0027-TNUM-PORTA
BGOW0027-NUM-PORTA</t>
  </si>
  <si>
    <t xml:space="preserve">    09  :PREFIX:-CL-NIF                 PIC X(22).</t>
  </si>
  <si>
    <t>Número de identificação fiscal (No caso de Portugal será PT999999999)</t>
  </si>
  <si>
    <t>NZ5PDU01-FISCAL-NUMBER</t>
  </si>
  <si>
    <t>NY5BAU01-FISCAL-NUMBER</t>
  </si>
  <si>
    <t>:PREFIX:-NIF</t>
  </si>
  <si>
    <t>BUSK410A-CL-NIF</t>
  </si>
  <si>
    <t xml:space="preserve">    09  :PREFIX:-CL-TIPO-ENTIDADE       PIC X(01).</t>
  </si>
  <si>
    <t>Tipo Entidade</t>
  </si>
  <si>
    <t xml:space="preserve">        88  :PREFIX:-CL-ENT-PARTICUL        VALUE '1'.</t>
  </si>
  <si>
    <t xml:space="preserve">     '1' - Pessoa / Particular</t>
  </si>
  <si>
    <t xml:space="preserve">        88  :PREFIX:-CL-ENT-COLETIVA        VALUE '2'.</t>
  </si>
  <si>
    <t xml:space="preserve">     '2' - Colectivo/Conta Interna</t>
  </si>
  <si>
    <t xml:space="preserve">  07  :PREFIX:-DADOS-DATA.</t>
  </si>
  <si>
    <t xml:space="preserve">    09  :PREFIX:-DT-INI-APOL            PIC X(08).</t>
  </si>
  <si>
    <t>Periodo da Apólice - inicio [aaaammdd]</t>
  </si>
  <si>
    <t>NZ5PDU01-DATA-INI-APOL</t>
  </si>
  <si>
    <t>NZ44DU01-DATE-INI-ANUIDADE</t>
  </si>
  <si>
    <t>:PREFIX:-DT-INICIO</t>
  </si>
  <si>
    <t>NZ44CU01-POLICY-EFFECTIVE-DATE</t>
  </si>
  <si>
    <t>NZ5B8U01-EFFECTIVE-DATE</t>
  </si>
  <si>
    <t xml:space="preserve">    09  :PREFIX:-DT-FIM-APOL            PIC X(08).</t>
  </si>
  <si>
    <t>Periodo da Apólice - fim [aaaammdd]</t>
  </si>
  <si>
    <t>NZ5PDU01-DATA-FIM-APOL</t>
  </si>
  <si>
    <t>NZ44DU01-DATE-FIM-ANUIDADE</t>
  </si>
  <si>
    <t>:PREFIX:-DT-FIM</t>
  </si>
  <si>
    <t>NZ44CU01-POLICY-EXPIRY-DATE</t>
  </si>
  <si>
    <t>NZ5B8U01-EXPIRY-DATE</t>
  </si>
  <si>
    <t xml:space="preserve">    09  :PREFIX:-DT-EMISSAO             PIC X(08).</t>
  </si>
  <si>
    <t>Data de emissão [aaaammdd]</t>
  </si>
  <si>
    <t>NZ5PDU01-DATA-1-IMPRESSAO</t>
  </si>
  <si>
    <t>NZ44DU01-ORIG-DATE-PRINTED</t>
  </si>
  <si>
    <r>
      <t xml:space="preserve">:PREFIX:-DT-CARTA-EMISSAO
</t>
    </r>
    <r>
      <rPr>
        <sz val="10"/>
        <color rgb="FFFF99FF"/>
        <rFont val="Calibri"/>
        <family val="2"/>
        <scheme val="minor"/>
      </rPr>
      <t>:PREFIX:-DT-EMISSAO</t>
    </r>
  </si>
  <si>
    <t>NZ44CU01-ORIG-DATE-PRINTED</t>
  </si>
  <si>
    <t>NY5BAU01-ISSUE-DATE</t>
  </si>
  <si>
    <t>NZ5B8U01-ISSUE-DATE</t>
  </si>
  <si>
    <t>NY5D1U01-DATA-EMISSAO</t>
  </si>
  <si>
    <t>:PREFIX:-DT-CARTA-EMISSAO</t>
  </si>
  <si>
    <t>BUSK410A-DATA-CARTA</t>
  </si>
  <si>
    <t>BGOW0027-DATA-ENVIO</t>
  </si>
  <si>
    <t xml:space="preserve">    09  :PREFIX:-DT-ANULACAO            PIC X(08).</t>
  </si>
  <si>
    <t>Data de Anulação da Apólice [aaaammdd]</t>
  </si>
  <si>
    <t>NZ5PDU01-CANCELLATION-DATE</t>
  </si>
  <si>
    <t>NZ44DU01-CANC-REV-EFF-DATE</t>
  </si>
  <si>
    <t>:PREFIX:-DT-CESSACAO</t>
  </si>
  <si>
    <t>NZ44CU01-CANC-REV-EFF-DATE</t>
  </si>
  <si>
    <t>NY5BAU01-CANCELLATION-DATE</t>
  </si>
  <si>
    <t>NZ5B8U01-CANCELL-DATE</t>
  </si>
  <si>
    <t>NY5D1U01-CANC-REV-EFF-DATE</t>
  </si>
  <si>
    <t>BUSK410A-DT-CESSACAO-APOL</t>
  </si>
  <si>
    <t>BGOW0027-DT-ANUL</t>
  </si>
  <si>
    <t xml:space="preserve">    09  :PREFIX:-DT-EFEITO-ANULACAO     PIC X(08).</t>
  </si>
  <si>
    <t>Data Efeito de Anulação da Apólice [aaaammdd]</t>
  </si>
  <si>
    <t>BGOW0027-DT-EFEITO-ANUL</t>
  </si>
  <si>
    <t xml:space="preserve">    09  :PREFIX:-DT-SINISTRO            PIC X(08).</t>
  </si>
  <si>
    <t>Data de Sinistro [aaaammdd]</t>
  </si>
  <si>
    <t>NZ44DU01-CLAIM-DATE-OCCURRED</t>
  </si>
  <si>
    <t>:PREFIX:-DT-SINISTRO</t>
  </si>
  <si>
    <t xml:space="preserve">  07  :PREFIX:-DADOS-PAGAMENTO.</t>
  </si>
  <si>
    <t xml:space="preserve">    09  :PREFIX:-PG-CONTA.</t>
  </si>
  <si>
    <t xml:space="preserve">      11  :PREFIX:-CNT-NOME-BANCO       PIC X(60).</t>
  </si>
  <si>
    <t xml:space="preserve">      11  :PREFIX:-CNT-IBAN             PIC X(34).</t>
  </si>
  <si>
    <t xml:space="preserve">      11  :PREFIX:-CNT-SWIFT            PIC X(11).</t>
  </si>
  <si>
    <t xml:space="preserve">    09  :PREFIX:-PG-ATM.</t>
  </si>
  <si>
    <t xml:space="preserve">      11  :PREFIX:-ATM-ENTIDADE         PIC X(05).</t>
  </si>
  <si>
    <t>Entidade</t>
  </si>
  <si>
    <t xml:space="preserve">      11  :PREFIX:-ATM-REF              PIC X(09).</t>
  </si>
  <si>
    <t xml:space="preserve">    09  :PREFIX:-AG-NOME                PIC X(40).</t>
  </si>
  <si>
    <t>NZ5PDU01-AGENT-NAME</t>
  </si>
  <si>
    <t>NZ44DU01-AGENT-ADDRESSEE</t>
  </si>
  <si>
    <t>:PREFIX:-AG-NOME</t>
  </si>
  <si>
    <t>NZ5B8U01-AGENT-NAME</t>
  </si>
  <si>
    <t xml:space="preserve">    09  :PREFIX:-AG-LOCATION-REF        PIC X(04).</t>
  </si>
  <si>
    <t xml:space="preserve">    09  :PREFIX:-AG-MORADA1             PIC X(40).</t>
  </si>
  <si>
    <t>NZ5PDU01-AGENT-ADDRESS</t>
  </si>
  <si>
    <t>NZ44DU01-AGENT-ADDRESS1</t>
  </si>
  <si>
    <t>:PREFIX:-AG-MORADA1</t>
  </si>
  <si>
    <t>NZ5B8U01-AGENT-ADDRESS</t>
  </si>
  <si>
    <t xml:space="preserve">    09  :PREFIX:-AG-MORADA2             PIC X(40).</t>
  </si>
  <si>
    <t>NZ5PDU01-AGENT-ADDRESS-2</t>
  </si>
  <si>
    <t>NZ44DU01-AGENT-ADDRESS2</t>
  </si>
  <si>
    <t>:PREFIX:-AG-MORADA2</t>
  </si>
  <si>
    <t>NZ5B8U01-AGENT-ADDRESS-2</t>
  </si>
  <si>
    <t xml:space="preserve">    09  :PREFIX:-AG-LOCALIDADE          PIC X(40).</t>
  </si>
  <si>
    <t>NZ5PDU01-AGENT-CITY</t>
  </si>
  <si>
    <t>NZ44DU01-AGENT-TOWN-SUBURB</t>
  </si>
  <si>
    <t>:PREFIX:-AG-MORADA3</t>
  </si>
  <si>
    <t>NZ5B8U01-AGENT-CITY</t>
  </si>
  <si>
    <t xml:space="preserve">    09  :PREFIX:-AG-CPOSTAL             PIC X(09).</t>
  </si>
  <si>
    <t>NZ5PDU01-AGENT-POST-CODE</t>
  </si>
  <si>
    <t>NZ44DU01-AGENT-POST-CODE</t>
  </si>
  <si>
    <t>:PREFIX:-COD-POSTALM</t>
  </si>
  <si>
    <t>NZ5B8U01-AGENT-POST-CODE</t>
  </si>
  <si>
    <t>BUSK410A-COD-POSTALM</t>
  </si>
  <si>
    <t xml:space="preserve">    09  :PREFIX:-AG-CPOSTAL-DESC        PIC X(40).</t>
  </si>
  <si>
    <t>NZ5PDU01-AGENT-POST-DESCR</t>
  </si>
  <si>
    <t>NZ44DU01-AGENT-POST-CODE-DESC</t>
  </si>
  <si>
    <t>:PREFIX:-AG-MORADA4</t>
  </si>
  <si>
    <t>NZ5B8U01-AGENT-POST-DESCR</t>
  </si>
  <si>
    <t xml:space="preserve">    09  :PREFIX:-AG-CPAIS               PIC X(03).</t>
  </si>
  <si>
    <t xml:space="preserve">    09  :PREFIX:-AG-CPAIS-DESC          PIC X(40).</t>
  </si>
  <si>
    <t xml:space="preserve">    09  :PREFIX:-AG-IDP                 PIC X(04).</t>
  </si>
  <si>
    <t>NZ5PDU01-AGENT-NUM-TYPE
NZ5PDU01-AGENT-NUM</t>
  </si>
  <si>
    <t>NZ44DU01-NUM-TYPE-AGE
NZ44DU01-NUM-AGE</t>
  </si>
  <si>
    <t>:PREFIX:-AG-TNUM-PORTA
:PREFIX:-AG-NUM-PORTA</t>
  </si>
  <si>
    <t>NZ5B8U01-AGENT-NUM-TYPE
NZ5B8U01-AGENT-NUM</t>
  </si>
  <si>
    <t xml:space="preserve">    09  :PREFIX:-AG-TELEFONE            PIC X(16).</t>
  </si>
  <si>
    <t>Número de telefone</t>
  </si>
  <si>
    <t xml:space="preserve">    09  :PREFIX:-AG-TELEMOVEL           PIC X(16).</t>
  </si>
  <si>
    <t>Número de telemóvel</t>
  </si>
  <si>
    <t xml:space="preserve">    09  :PREFIX:-AG-EMAIL               PIC X(60).</t>
  </si>
  <si>
    <t>e-mail</t>
  </si>
  <si>
    <t xml:space="preserve">  07  :PREFIX:-DADOS-CREDORHIP.</t>
  </si>
  <si>
    <t xml:space="preserve">    09  :PREFIX:-CH-QUANT               PIC 9(05).</t>
  </si>
  <si>
    <t>Número de Credores Hipotecários (Só preenche abaixo se for 1)</t>
  </si>
  <si>
    <t xml:space="preserve">    09  :PREFIX:-CH-NUMBER              PIC X(10).</t>
  </si>
  <si>
    <t>Número de Cliente do Credor Hipotecário</t>
  </si>
  <si>
    <t>NY5BAU01-CREDITOR-NUMBER</t>
  </si>
  <si>
    <t xml:space="preserve">    09  :PREFIX:-CH-NOME                PIC X(40).</t>
  </si>
  <si>
    <t>NZ5PDU01-CREDOR-NAME</t>
  </si>
  <si>
    <t>NZ44CU01-L-ADDRESSEE</t>
  </si>
  <si>
    <t>NY5BAU01-CREDITOR-NAME</t>
  </si>
  <si>
    <t xml:space="preserve">    09  :PREFIX:-CH-LOCATION-REF        PIC X(04).</t>
  </si>
  <si>
    <t xml:space="preserve">    09  :PREFIX:-CH-MORADA1             PIC X(40).</t>
  </si>
  <si>
    <t>NZ5PDU01-CREDOR-ADDRESS</t>
  </si>
  <si>
    <t>NZ44CU01-L-ADDRESS-LINE-1</t>
  </si>
  <si>
    <t>NY5BAU01-CREDITOR-ADDRESS-1</t>
  </si>
  <si>
    <t xml:space="preserve">    09  :PREFIX:-CH-MORADA2             PIC X(40).</t>
  </si>
  <si>
    <t>NZ5PDU01-CREDOR-ADDRESS-2</t>
  </si>
  <si>
    <t>NZ44CU01-L-ADDRESS-LINE-2</t>
  </si>
  <si>
    <t>NY5BAU01-CREDITOR-ADDRESS-2</t>
  </si>
  <si>
    <t xml:space="preserve">    09  :PREFIX:-CH-LOCALIDADE          PIC X(40).</t>
  </si>
  <si>
    <t>NZ5PDU01-CREDOR-CITY</t>
  </si>
  <si>
    <t>NZ44CU01-L-ADDRESS-LINE-3</t>
  </si>
  <si>
    <t>NY5BAU01-CREDITOR-CITY</t>
  </si>
  <si>
    <t xml:space="preserve">    09  :PREFIX:-CH-CPOSTAL             PIC X(09).</t>
  </si>
  <si>
    <t>NZ5PDU01-CREDOR-POST-CODE</t>
  </si>
  <si>
    <t>NZ44CU01-L-POST-CODE</t>
  </si>
  <si>
    <t>NY5BAU01-CRED-POST-CODE</t>
  </si>
  <si>
    <t xml:space="preserve">    09  :PREFIX:-CH-CPOSTAL-DESC        PIC X(40).</t>
  </si>
  <si>
    <t>NZ5PDU01-CREDOR-POST-DESCR</t>
  </si>
  <si>
    <t>NZ44CU01-L-ADDRESS-LINE-4</t>
  </si>
  <si>
    <t>NY5BAU01-CRED-POST-CODE-DESCR</t>
  </si>
  <si>
    <t xml:space="preserve">    09  :PREFIX:-CH-CPAIS               PIC X(03).</t>
  </si>
  <si>
    <t xml:space="preserve">    09  :PREFIX:-CH-CPAIS-DESC          PIC X(40).</t>
  </si>
  <si>
    <t xml:space="preserve">    09  :PREFIX:-CH-IDP                 PIC X(04).</t>
  </si>
  <si>
    <t>NZ5PDU01-CREDOR-NUM-TYPE
NZ5PDU01-CREDOR-NUM</t>
  </si>
  <si>
    <t>NZ44CU01-L-NUM-TYPE
NZ44CU01-L-NUM</t>
  </si>
  <si>
    <t>NY5BAU01-CRED-NUM-TYPE
NY5BAU01-CRED-NUM</t>
  </si>
  <si>
    <t xml:space="preserve">  07  :PREFIX:-DADOS-OBJSEGURO.</t>
  </si>
  <si>
    <t xml:space="preserve">    09  :PREFIX:-UR-QUANT               PIC 9(05).</t>
  </si>
  <si>
    <t>Número de unidades em risco</t>
  </si>
  <si>
    <t>NZ44DU01-IND-UAR</t>
  </si>
  <si>
    <t>:PREFIX:-IND-UAR</t>
  </si>
  <si>
    <t xml:space="preserve">    09  :PREFIX:-UR-TIPO                PIC X(02).</t>
  </si>
  <si>
    <t>Tipo de Unidade em risco</t>
  </si>
  <si>
    <t xml:space="preserve">        88  :PREFIX:-UR-TIP-GERAL           VALUE 'GR'.</t>
  </si>
  <si>
    <t xml:space="preserve">     'GR' - Detalhe Geral</t>
  </si>
  <si>
    <t xml:space="preserve">        88  :PREFIX:-UR-TIP-VIDARISCO       VALUE 'VR'.</t>
  </si>
  <si>
    <t xml:space="preserve">     'VR' - Detalhe de Vida Risco</t>
  </si>
  <si>
    <t xml:space="preserve">        88  :PREFIX:-UR-TIP-AUTOMOVEL       VALUE 'VG'
                                             'VH' 'VO'.</t>
  </si>
  <si>
    <t xml:space="preserve">     'VG', 'VH', 'VO' - Detalhe de Automóvel</t>
  </si>
  <si>
    <t xml:space="preserve">        88  :PREFIX:-UR-TIP-AU-GARAGISTA    VALUE 'VG'.</t>
  </si>
  <si>
    <t xml:space="preserve">     'VG' - Garagista</t>
  </si>
  <si>
    <t xml:space="preserve">        88  :PREFIX:-UR-TIP-AU-VEICULO      VALUE 'VH'.</t>
  </si>
  <si>
    <t xml:space="preserve">     'VH' - Veículo</t>
  </si>
  <si>
    <t xml:space="preserve">        88  :PREFIX:-UR-TIP-AU-OUTROS       VALUE 'VO'.</t>
  </si>
  <si>
    <t xml:space="preserve">     'VO' - Outros veículos</t>
  </si>
  <si>
    <t xml:space="preserve">        88  :PREFIX:-UR-TIP-MULTIRISCO      VALUE 'MR'.</t>
  </si>
  <si>
    <t xml:space="preserve">     'MR' - Detalhe Multiriscos</t>
  </si>
  <si>
    <t xml:space="preserve">        88  :PREFIX:-UR-TIP-AT              VALUE 'AT'.</t>
  </si>
  <si>
    <t xml:space="preserve">     'AT' - Detalhe de Acidentes Trabalho</t>
  </si>
  <si>
    <t xml:space="preserve">  07  :PREFIX:-DADOS-UR                 PIC X(400).</t>
  </si>
  <si>
    <t xml:space="preserve">  07  :PREFIX:-UR-GERAL  REDEFINES  :PREFIX:-DADOS-UR.</t>
  </si>
  <si>
    <t xml:space="preserve">    09  :PREFIX:-GR-DETAIL              PIC X(65).</t>
  </si>
  <si>
    <t>Descritivo da unidade em risco (Objeto seguro)</t>
  </si>
  <si>
    <t>NZ5PDU01-X-LVRE-1</t>
  </si>
  <si>
    <t>:PREFIX:-OBJECTO-SEGURO</t>
  </si>
  <si>
    <t>NY5BAU01-UAR-DETAIL</t>
  </si>
  <si>
    <t xml:space="preserve">    09  FILLER                          PIC X(335).</t>
  </si>
  <si>
    <t xml:space="preserve">  07  :PREFIX:-UR-VIDARISCO  REDEFINES  :PREFIX:-DADOS-UR.</t>
  </si>
  <si>
    <t xml:space="preserve">    09  :PREFIX:-VR-ADERENTE            PIC X(08).</t>
  </si>
  <si>
    <t>Número de Aderente - 'PES. SEGURA'</t>
  </si>
  <si>
    <t>BGOW0027-CERTIF-INDIV</t>
  </si>
  <si>
    <t xml:space="preserve">    09  :PREFIX:-VR-PSEGURA1-NOME       PIC X(50).</t>
  </si>
  <si>
    <t>Nome Pessoa segura 1</t>
  </si>
  <si>
    <t>BGOW0027-PESSOA-SEGURA1</t>
  </si>
  <si>
    <t xml:space="preserve">    09  :PREFIX:-VR-PSEGURA1-NIF        PIC X(22).</t>
  </si>
  <si>
    <t>NIF Pessoa segura 1</t>
  </si>
  <si>
    <t>BGOW0027-NIF-PESSOA-SEGURA1</t>
  </si>
  <si>
    <t xml:space="preserve">    09  :PREFIX:-VR-PSEGURA1-DT-NASC    PIC X(08).</t>
  </si>
  <si>
    <t>Data de Nascimento Pessoa segura 1 [aaaammdd]</t>
  </si>
  <si>
    <t xml:space="preserve">    09  :PREFIX:-VR-PSEGURA2-NOME       PIC X(50).</t>
  </si>
  <si>
    <t>Nome Pessoa segura 2</t>
  </si>
  <si>
    <t>BGOW0027-PESSOA-SEGURA2</t>
  </si>
  <si>
    <t xml:space="preserve">    09  :PREFIX:-VR-PSEGURA2-NIF        PIC X(22).</t>
  </si>
  <si>
    <t>NIF Pessoa segura 2</t>
  </si>
  <si>
    <t xml:space="preserve">    09  :PREFIX:-VR-PSEGURA2-DT-NASC    PIC X(08).</t>
  </si>
  <si>
    <t>Data de Nascimento Pessoa segura 2 [aaaammdd]</t>
  </si>
  <si>
    <t xml:space="preserve">    09  :PREFIX:-VR-GIS-APOL-COMPL      PIC X(24).</t>
  </si>
  <si>
    <t>Apólice complementar - 'Apólice complementar nº:'</t>
  </si>
  <si>
    <t xml:space="preserve">    09  :PREFIX:-VR-GIS-TIPO-DOC        PIC X(08).</t>
  </si>
  <si>
    <t>Tipo de documento GIS</t>
  </si>
  <si>
    <t>:PREFIX:-COD-DOC-ORIGEM</t>
  </si>
  <si>
    <t xml:space="preserve">    09  FILLER                          PIC X(200).</t>
  </si>
  <si>
    <t xml:space="preserve">  07  :PREFIX:-UR-SAUDE  REDEFINES  :PREFIX:-DADOS-UR.</t>
  </si>
  <si>
    <t xml:space="preserve">    09  :PREFIX:-SD-CAP-INTER           PIC S9(12)V9(02)
                                   SIGN LEADING SEPARATE.</t>
  </si>
  <si>
    <t>Descritivo: 'CAPITAL DE INTERNAMENTO'</t>
  </si>
  <si>
    <t xml:space="preserve">    09  :PREFIX:-SD-PSEGURA1-NOME       PIC X(50).</t>
  </si>
  <si>
    <t xml:space="preserve">    09  :PREFIX:-SD-PSEGURA1-NIF        PIC X(22).</t>
  </si>
  <si>
    <t xml:space="preserve">    09  :PREFIX:-SD-PSEGURA1-DT-NASC    PIC X(10).</t>
  </si>
  <si>
    <t>Data de Nascimento Pessoa segura 1 [aaaa-mm-dd]</t>
  </si>
  <si>
    <t xml:space="preserve">    09  FILLER                          PIC X(303).</t>
  </si>
  <si>
    <t xml:space="preserve">  07  :PREFIX:-UR-AUTOMOVEL  REDEFINES  :PREFIX:-DADOS-UR.</t>
  </si>
  <si>
    <t xml:space="preserve">    09  :PREFIX:-AU-AREA                PIC X(400).</t>
  </si>
  <si>
    <t xml:space="preserve">    09  :PREFIX:-AU-VH  REDEFINES  :PREFIX:-AU-AREA.</t>
  </si>
  <si>
    <t xml:space="preserve">      11  :PREFIX:-VH-MARCA             PIC X(30).</t>
  </si>
  <si>
    <t>Marca</t>
  </si>
  <si>
    <t>NZ44DU01-VEH-MAKE</t>
  </si>
  <si>
    <t>:PREFIX:-VEIC-MARCA</t>
  </si>
  <si>
    <t>NY5BAU01-VEHICLE-MAKE</t>
  </si>
  <si>
    <t xml:space="preserve">      11  :PREFIX:-VH-MODELO            PIC X(10).</t>
  </si>
  <si>
    <t>Modelo</t>
  </si>
  <si>
    <t>NZ44DU01-VEH-MODEL</t>
  </si>
  <si>
    <t>NY5BAU01-VEHICLE-MODEL</t>
  </si>
  <si>
    <t xml:space="preserve">      11  :PREFIX:-VH-VERSAO            PIC X(25).</t>
  </si>
  <si>
    <t>Versão</t>
  </si>
  <si>
    <t>NZ44DU01-VEH-EXTRA</t>
  </si>
  <si>
    <t>:PREFIX:-VEIC-EXTRA</t>
  </si>
  <si>
    <t>NY5BAU01-VEHICLE-VERSION</t>
  </si>
  <si>
    <t xml:space="preserve">      11  :PREFIX:-VH-MATRICULA         PIC X(15).</t>
  </si>
  <si>
    <t>Matrícula</t>
  </si>
  <si>
    <t>NZ44DU01-VEH-REG-NUMBER</t>
  </si>
  <si>
    <t>:PREFIX:-VEIC-NUMERO</t>
  </si>
  <si>
    <t>NZ44CU01-VEH-REG-NUMBER</t>
  </si>
  <si>
    <t xml:space="preserve">      11  FILLER                        PIC X(320).</t>
  </si>
  <si>
    <t xml:space="preserve">    09  :PREFIX:-AU-VG  REDEFINES  :PREFIX:-AU-AREA.</t>
  </si>
  <si>
    <t xml:space="preserve">      11  :PREFIX:-VG-CARTA-COND        PIC X(25).</t>
  </si>
  <si>
    <t>Carta de Condução</t>
  </si>
  <si>
    <t>NZ44DU01-T-LICENSE-NUMBER-25</t>
  </si>
  <si>
    <t>:PREFIX:-VEIC-LICENCA</t>
  </si>
  <si>
    <t>NZ44CU01-T-LICENSE-NUMBER-25</t>
  </si>
  <si>
    <t>NY5BAU01-VEHICLE-REG-NUMBER</t>
  </si>
  <si>
    <t xml:space="preserve">      11  :PREFIX:-VG-CATEGORIA         PIC X(40).</t>
  </si>
  <si>
    <t>Categoria (ex: Garagista até 3500Kg)</t>
  </si>
  <si>
    <t xml:space="preserve">      11  FILLER                        PIC X(335).</t>
  </si>
  <si>
    <t xml:space="preserve">    09  :PREFIX:-AU-VO  REDEFINES  :PREFIX:-AU-AREA.</t>
  </si>
  <si>
    <t xml:space="preserve">      11  :PREFIX:-VO-OBJETO            PIC X(65).</t>
  </si>
  <si>
    <t xml:space="preserve">  07  :PREFIX:-UR-MULTIRISCO  REDEFINES  :PREFIX:-DADOS-UR.</t>
  </si>
  <si>
    <t xml:space="preserve">    09  :PREFIX:-MR-OBJETO              PIC X(40).</t>
  </si>
  <si>
    <t>Objeto</t>
  </si>
  <si>
    <t xml:space="preserve">    09  :PREFIX:-MR-MORADA1             PIC X(40).</t>
  </si>
  <si>
    <t xml:space="preserve">    09  :PREFIX:-MR-MORADA2             PIC X(40).</t>
  </si>
  <si>
    <t xml:space="preserve">    09  :PREFIX:-MR-LOCALIDADE          PIC X(40).</t>
  </si>
  <si>
    <t xml:space="preserve">    09  :PREFIX:-MR-CPOSTAL             PIC X(09).</t>
  </si>
  <si>
    <t xml:space="preserve">    09  :PREFIX:-MR-CPOSTAL-DESC        PIC X(40).</t>
  </si>
  <si>
    <t xml:space="preserve">    09  FILLER                          PIC X(191).</t>
  </si>
  <si>
    <t xml:space="preserve">  07  :PREFIX:-UR-AT  REDEFINES  :PREFIX:-DADOS-UR.</t>
  </si>
  <si>
    <t xml:space="preserve">    09  :PREFIX:-AT-OBJETO              PIC X(65).</t>
  </si>
  <si>
    <t xml:space="preserve">  07  FILLER                            PIC X(303).</t>
  </si>
  <si>
    <t>(*) Este bloco repete n vezes</t>
  </si>
  <si>
    <t xml:space="preserve">  07  :PREFIX:-DETALHE-LISTA.</t>
  </si>
  <si>
    <t>Detalhe da Lista (Registo do tipo 2)</t>
  </si>
  <si>
    <t xml:space="preserve">    09  :PREFIX:-LST-NR-RECIBO          PIC X(16).</t>
  </si>
  <si>
    <r>
      <t xml:space="preserve">Número do Recibo </t>
    </r>
    <r>
      <rPr>
        <sz val="11"/>
        <color rgb="FFFF0000"/>
        <rFont val="Calibri"/>
        <family val="2"/>
        <scheme val="minor"/>
      </rPr>
      <t>[Garantir que no máximo vem 11 posições]</t>
    </r>
  </si>
  <si>
    <r>
      <rPr>
        <strike/>
        <sz val="10"/>
        <color theme="1"/>
        <rFont val="Calibri"/>
        <family val="2"/>
        <scheme val="minor"/>
      </rPr>
      <t>NZ5PDU01-NOTICE</t>
    </r>
    <r>
      <rPr>
        <sz val="10"/>
        <color theme="1"/>
        <rFont val="Calibri"/>
        <family val="2"/>
        <scheme val="minor"/>
      </rPr>
      <t xml:space="preserve">
NZ5PDU01-INVOICE-NUMBER</t>
    </r>
  </si>
  <si>
    <t>NZ44CU01-OCCURRENCE-NUMBER</t>
  </si>
  <si>
    <t>NY5BAU01-INVOICE-NUMBER</t>
  </si>
  <si>
    <t>NZ5B8U01-NOTICE-NUMBER</t>
  </si>
  <si>
    <t>NY5D1U01-NOTICE</t>
  </si>
  <si>
    <t>BUSK410A-NR-RECIBO
BUSK410A-R1-RECIBO
BUSK410A-R2-RECIBO
BUSK410A-R3-RECIBO</t>
  </si>
  <si>
    <t>BGOW0027-NUM-RECIBO</t>
  </si>
  <si>
    <t xml:space="preserve">    09  :PREFIX:-LST-DT-INI-REC         PIC X(08).</t>
  </si>
  <si>
    <t>Data inicio [aaaammdd]</t>
  </si>
  <si>
    <t>NZ5PDU01-INVOICE-START-DATE
NZ5PDU01-Z-INIC-PAG-RCIB</t>
  </si>
  <si>
    <t>NZ44DU01-FROM-DATE</t>
  </si>
  <si>
    <t>:PREFIX:-DT-INICIO-RECIBO</t>
  </si>
  <si>
    <t>NY5BAU01-INVOICE-START-DATE</t>
  </si>
  <si>
    <t>NZ5B8U01-START-DATE</t>
  </si>
  <si>
    <t>BUSK410A-R1-DT-INI-REC</t>
  </si>
  <si>
    <t>BGOW0027-DT-INIC-RECIBO</t>
  </si>
  <si>
    <t xml:space="preserve">    09  :PREFIX:-LST-DT-FIM-REC         PIC X(08).</t>
  </si>
  <si>
    <t>Data fim [aaaammdd]</t>
  </si>
  <si>
    <t>NZ5PDU01-INVOICE-END-DATE
NZ5PDU01-Z-LIM-PAG-RCIB</t>
  </si>
  <si>
    <t>NZ44DU01-TO-DATE</t>
  </si>
  <si>
    <t>:PREFIX:-DT-FIM-RECIBO</t>
  </si>
  <si>
    <t>NY5BAU01-INVOICE-END-DATE</t>
  </si>
  <si>
    <t>NZ5B8U01-END-DATE</t>
  </si>
  <si>
    <t>BUSK410A-R1-DT-FIM-REC</t>
  </si>
  <si>
    <t>BGOW0027-DT-TERMO-RECIBO</t>
  </si>
  <si>
    <t xml:space="preserve">    09  :PREFIX:-LST-DT-DEVIDO          PIC X(08).</t>
  </si>
  <si>
    <t>Data devido / vencimento [aaaammdd]</t>
  </si>
  <si>
    <t>:PREFIX:-DT-EMISSAO</t>
  </si>
  <si>
    <t>NZ44CU01-DATE-OCCURRED</t>
  </si>
  <si>
    <t>NY5BAU01-DUE-DATE</t>
  </si>
  <si>
    <t>NY5D1U01-DUE-DATE</t>
  </si>
  <si>
    <t>BUSK410A-R2-DT-VENC-REC
BUSK410A-R3-DT-DEVI-REC</t>
  </si>
  <si>
    <t xml:space="preserve">    09  :PREFIX:-LST-VLR-RECIBO         PIC S9(12)V9(02)
                                   SIGN LEADING SEPARATE.</t>
  </si>
  <si>
    <t>Valor do Recibo</t>
  </si>
  <si>
    <t>NZ5PDU01-M-RECIBO
NZ5PDU01-INVOICE-AMOUNT</t>
  </si>
  <si>
    <t>NY5BAU01-INVOICE-AMOUNT</t>
  </si>
  <si>
    <t>NZ5B8U01-PREMIUM-AMOUNT</t>
  </si>
  <si>
    <t>NY5D1U01-TOTAL-AMOUNT</t>
  </si>
  <si>
    <t>BUSK410A-TOT-REC
BUSK410A-R1-VALOR
BUSK410A-R2-TOT-REC
BUSK410A-R3-TOT-REC</t>
  </si>
  <si>
    <t>BGOW0027-VALOR-RECIBO</t>
  </si>
  <si>
    <t xml:space="preserve">    09  :PREFIX:-LST-VLR-JUROS          PIC S9(12)V9(02)
                                   SIGN LEADING SEPARATE.</t>
  </si>
  <si>
    <t>Valor de Juros</t>
  </si>
  <si>
    <t>NZ5B8U01-INTEREST-AMOUNT</t>
  </si>
  <si>
    <t>NY5D1U01-INTEREST-AMOUNT</t>
  </si>
  <si>
    <t>BUSK410A-TOT-JUR
BUSK410A-R3-JUROS-VENC</t>
  </si>
  <si>
    <t xml:space="preserve">    09  :PREFIX:-LST-VLR-PENAL          PIC S9(12)V9(02)
                                   SIGN LEADING SEPARATE.</t>
  </si>
  <si>
    <t>Valor de Penalizações</t>
  </si>
  <si>
    <t>NZ5PDU01-PENALTY</t>
  </si>
  <si>
    <t>NZ5B8U01-PENALTY-AMOUNT</t>
  </si>
  <si>
    <t>NY5D1U01-PEN-AMOUNT</t>
  </si>
  <si>
    <t xml:space="preserve">    09  :PREFIX:-LST-VLR-TOTAL          PIC S9(12)V9(02)
                                   SIGN LEADING SEPARATE.</t>
  </si>
  <si>
    <t>Valor Total em Divida (Vlr Recibo + Vlr Juros + Vlr Penalizações)</t>
  </si>
  <si>
    <t>NZ5PDU01-CANC-RCIB-PEND</t>
  </si>
  <si>
    <t>NZ44DU01-VALOR-RESULTANTE</t>
  </si>
  <si>
    <t>:PREFIX:-VALOR-RESULTANTE</t>
  </si>
  <si>
    <t>NZ44CU01-TRAN-AMOUNT</t>
  </si>
  <si>
    <t>NZ5B8U01-AMOUNT
NZ5B8U01-CANC-RCIB-PEND</t>
  </si>
  <si>
    <t>BUSK410A-TOT-REC-JUR
BUSK410A-R3-TOTAL</t>
  </si>
  <si>
    <t>BGOW0027-VLR-DIVIDA</t>
  </si>
  <si>
    <t xml:space="preserve">  07  FILLER                            PIC X(2038).</t>
  </si>
  <si>
    <t xml:space="preserve">  07  :PREFIX:-FOOTER-LISTA.</t>
  </si>
  <si>
    <t>Footer da Lista (Registo do tipo 3)</t>
  </si>
  <si>
    <t xml:space="preserve">    09  :PREFIX:-FTR-TOT-RECIBO         PIC S9(12)V9(02)
                                   SIGN LEADING SEPARATE.</t>
  </si>
  <si>
    <t>Total de Recibos</t>
  </si>
  <si>
    <t xml:space="preserve">    09  :PREFIX:-FTR-TOT-JUROS          PIC S9(12)V9(02)
                                   SIGN LEADING SEPARATE.</t>
  </si>
  <si>
    <t>Total de Juros</t>
  </si>
  <si>
    <t xml:space="preserve">    09  :PREFIX:-FTR-TOT-PENAL          PIC S9(12)V9(02)
                                   SIGN LEADING SEPARATE.</t>
  </si>
  <si>
    <t>Total de Penalizações</t>
  </si>
  <si>
    <t xml:space="preserve">    09  :PREFIX:-FTR-TOT-DIVIDA         PIC S9(12)V9(02)
                                   SIGN LEADING SEPARATE.</t>
  </si>
  <si>
    <t>Total em Divida</t>
  </si>
  <si>
    <t xml:space="preserve">  07  FILLER                            PIC X(2078).</t>
  </si>
  <si>
    <t>Total:</t>
  </si>
  <si>
    <t>Campos que caiem:</t>
  </si>
  <si>
    <t>NZ5PDU01-RECORD-TYPE</t>
  </si>
  <si>
    <t>NZ44DU01-RECORD-TYPE</t>
  </si>
  <si>
    <t>NZ44CU01-RECORD-TYPE</t>
  </si>
  <si>
    <t>NY5BAU01-SORT-RECORD-TYPE</t>
  </si>
  <si>
    <t>NZ5B8U01-RECORD-TYPE</t>
  </si>
  <si>
    <t>BGOW0027-TIPO-REGISTO</t>
  </si>
  <si>
    <t>Indicador de Regime</t>
  </si>
  <si>
    <t>NZ5PDU01-I-REGM-D122</t>
  </si>
  <si>
    <t>NY5BAU01-IND-REGIME</t>
  </si>
  <si>
    <t>NZ5B8U01-IND-REGIME</t>
  </si>
  <si>
    <t>Ramo Contabilistico</t>
  </si>
  <si>
    <t>NZ5PDU01-C-RAMO-DIRZ-FNCO</t>
  </si>
  <si>
    <t>Descrição do Ramo Contabilistico</t>
  </si>
  <si>
    <t>NZ5PDU01-RAMO-DESCR</t>
  </si>
  <si>
    <t>NZ5PDU01-I-IMPRESSAO</t>
  </si>
  <si>
    <t>NY5BAU01-SINGLE-REPRINT</t>
  </si>
  <si>
    <t>Faz Carta de acompanhamento VD</t>
  </si>
  <si>
    <t>NZ44DU01-IMPRIME-CARTA</t>
  </si>
  <si>
    <t>:PREFIX:-FAZ-CARTA-ACOMP</t>
  </si>
  <si>
    <t>Tipo de Veículo</t>
  </si>
  <si>
    <t>NZ44DU01-VEHICLE-TYPE</t>
  </si>
  <si>
    <t>Número de Transacção</t>
  </si>
  <si>
    <t>NY5BAU01-SORT-TRAN-NUMBER</t>
  </si>
  <si>
    <t>VIDA - Código de assinatura</t>
  </si>
  <si>
    <t>:PREFIX:-COD-ASSINATURA</t>
  </si>
  <si>
    <t>VIDA - Tipo de impressão</t>
  </si>
  <si>
    <t>VIDA - Código de impressora</t>
  </si>
  <si>
    <t>:PREFIX:-COD-IMPRESSORA</t>
  </si>
  <si>
    <t>VIDA - Tipo de Registo</t>
  </si>
  <si>
    <t>:PREFIX:-TIPO-REG</t>
  </si>
  <si>
    <t>VIDA - Marca de reimpressão</t>
  </si>
  <si>
    <t>:PREFIX:-MARCA-REIMPRESSAO</t>
  </si>
  <si>
    <t>VIDA - Tipo de documento</t>
  </si>
  <si>
    <t>:PREFIX:-DOC-ID</t>
  </si>
  <si>
    <t>VIDA - Número de aderente</t>
  </si>
  <si>
    <t>:PREFIX:-ADERENTE</t>
  </si>
  <si>
    <t>VIDA - Tipo de Layout</t>
  </si>
  <si>
    <t>:PREFIX:-TIPO-LAYOUT</t>
  </si>
  <si>
    <t>VIDA - Titulo 1</t>
  </si>
  <si>
    <t>:PREFIX:-TITULO-DOC1</t>
  </si>
  <si>
    <t>VIDA - Titulo 2</t>
  </si>
  <si>
    <t>:PREFIX:-TITULO-DOC2</t>
  </si>
  <si>
    <t>VIDA - Assunto 1</t>
  </si>
  <si>
    <t>:PREFIX:-ASSUNTO1</t>
  </si>
  <si>
    <t>VIDA - Assunto 2</t>
  </si>
  <si>
    <t>:PREFIX:-ASSUNTO2</t>
  </si>
  <si>
    <t>VIDA - Assunto 3</t>
  </si>
  <si>
    <t>:PREFIX:-ASSUNTO3</t>
  </si>
  <si>
    <t>VIDA - Número de Certificado</t>
  </si>
  <si>
    <t>:PREFIX:-NCERTIFICADO</t>
  </si>
  <si>
    <t>VIDA - Número de Empregado</t>
  </si>
  <si>
    <t>:PREFIX:-NEMPREGADO</t>
  </si>
  <si>
    <t>VIDA - Natureza</t>
  </si>
  <si>
    <t>:PREFIX:-NATUREZA</t>
  </si>
  <si>
    <t>VIDA - Data de emissão</t>
  </si>
  <si>
    <t>VIDA - Data de aniversário</t>
  </si>
  <si>
    <t>:PREFIX:-DT-ANIVERSARIA</t>
  </si>
  <si>
    <t>VIDA - Tipo de Linha</t>
  </si>
  <si>
    <t>:PREFIX:-TIPO-LINHA</t>
  </si>
  <si>
    <t>VIDA - Tipo de parágrafo</t>
  </si>
  <si>
    <t>:PREFIX:-TIPO-PARAGRAFO</t>
  </si>
  <si>
    <t>VIDA - Linha Livre</t>
  </si>
  <si>
    <t>:PREFIX:-LINHA-GIS</t>
  </si>
  <si>
    <t>Número de Registo (Carta Registada)</t>
  </si>
  <si>
    <t>BUSK410A-REGISTO-CTT</t>
  </si>
  <si>
    <t>Percentagem de Penalização</t>
  </si>
  <si>
    <t>NZ44DU01-PERC-PENALIZACAO</t>
  </si>
  <si>
    <t>:PREFIX:-PERC-PENALIZACAO</t>
  </si>
  <si>
    <t>NZ44CU01-NCD-PERCENT</t>
  </si>
  <si>
    <t>Prémio em divida</t>
  </si>
  <si>
    <t>NZ44DU01-PREMIO-EM-DIVIDA</t>
  </si>
  <si>
    <t>:PREFIX:-PREMIO-EM-DIVIDA</t>
  </si>
  <si>
    <t>Prémio Anual</t>
  </si>
  <si>
    <t>NZ44DU01-PREMIO-ANUAL</t>
  </si>
  <si>
    <t>:PREFIX:-PREMIO-ANUAL</t>
  </si>
  <si>
    <t>Prémio Pago</t>
  </si>
  <si>
    <t>NZ44DU01-PREMIO-PAGO</t>
  </si>
  <si>
    <t>:PREFIX:-PREMIO-PAGO</t>
  </si>
  <si>
    <t>Prémio Cancel</t>
  </si>
  <si>
    <t>NZ44DU01-PREMIO-CANCEL</t>
  </si>
  <si>
    <t>:PREFIX:-PREMIO-CANCEL</t>
  </si>
  <si>
    <t>Penalização</t>
  </si>
  <si>
    <t>NZ44DU01-PENALIZACAO</t>
  </si>
  <si>
    <t>:PREFIX:-PENALIZACAO</t>
  </si>
  <si>
    <t>Valores Pagos Não Rec</t>
  </si>
  <si>
    <t>NZ44DU01-VALORES-PAGOS-N-REC</t>
  </si>
  <si>
    <t>:PREFIX:-VALORES-PAGOS-N-REC</t>
  </si>
  <si>
    <t>OBJECTO SEGURO, NIB:</t>
  </si>
  <si>
    <t>Validações CDC1-C33 (PGOC009A):</t>
  </si>
  <si>
    <t>Validações CDC1-PRIC (PGOC029A):</t>
  </si>
  <si>
    <t>Validações CDC1-PRIC+C33 (PGOC011A):</t>
  </si>
  <si>
    <r>
      <t>IF NZ44DU01-MULTIPLE-UAR (</t>
    </r>
    <r>
      <rPr>
        <b/>
        <sz val="8"/>
        <color rgb="FFFF0000"/>
        <rFont val="Courier New"/>
        <family val="3"/>
      </rPr>
      <t>:PREFIX:-UR-QUANT</t>
    </r>
    <r>
      <rPr>
        <sz val="8"/>
        <color theme="1"/>
        <rFont val="Courier New"/>
        <family val="3"/>
      </rPr>
      <t xml:space="preserve"> &gt; 1)                          </t>
    </r>
  </si>
  <si>
    <r>
      <t xml:space="preserve">IF </t>
    </r>
    <r>
      <rPr>
        <b/>
        <sz val="8"/>
        <color rgb="FF0070C0"/>
        <rFont val="Courier New"/>
        <family val="3"/>
      </rPr>
      <t>NZ5PDU01-N-NIB</t>
    </r>
    <r>
      <rPr>
        <sz val="8"/>
        <color theme="1"/>
        <rFont val="Courier New"/>
        <family val="3"/>
      </rPr>
      <t xml:space="preserve">      NOT = SPACES       </t>
    </r>
  </si>
  <si>
    <r>
      <t xml:space="preserve">IF </t>
    </r>
    <r>
      <rPr>
        <b/>
        <sz val="8"/>
        <color rgb="FF0070C0"/>
        <rFont val="Courier New"/>
        <family val="3"/>
      </rPr>
      <t>RU-DT-SINISTRO</t>
    </r>
    <r>
      <rPr>
        <sz val="8"/>
        <color theme="1"/>
        <rFont val="Courier New"/>
        <family val="3"/>
      </rPr>
      <t xml:space="preserve"> NOT = SPACES (</t>
    </r>
    <r>
      <rPr>
        <b/>
        <sz val="8"/>
        <color rgb="FFFF0000"/>
        <rFont val="Courier New"/>
        <family val="3"/>
      </rPr>
      <t>:PREFIX:-DT-SINISTRO</t>
    </r>
    <r>
      <rPr>
        <sz val="8"/>
        <color theme="1"/>
        <rFont val="Courier New"/>
        <family val="3"/>
      </rPr>
      <t>)</t>
    </r>
  </si>
  <si>
    <r>
      <t xml:space="preserve">   MOVE </t>
    </r>
    <r>
      <rPr>
        <b/>
        <sz val="8"/>
        <color rgb="FFFF0000"/>
        <rFont val="Courier New"/>
        <family val="3"/>
      </rPr>
      <t>'VÁRIOS'</t>
    </r>
    <r>
      <rPr>
        <sz val="8"/>
        <color theme="1"/>
        <rFont val="Courier New"/>
        <family val="3"/>
      </rPr>
      <t xml:space="preserve">               TO RU-OBJECTO-SEGURO (</t>
    </r>
    <r>
      <rPr>
        <b/>
        <sz val="8"/>
        <color rgb="FFFF0000"/>
        <rFont val="Courier New"/>
        <family val="3"/>
      </rPr>
      <t>:PREFIX:-GR-DETAIL</t>
    </r>
    <r>
      <rPr>
        <sz val="8"/>
        <color theme="1"/>
        <rFont val="Courier New"/>
        <family val="3"/>
      </rPr>
      <t>)</t>
    </r>
  </si>
  <si>
    <r>
      <t xml:space="preserve">   MOVE </t>
    </r>
    <r>
      <rPr>
        <b/>
        <sz val="8"/>
        <color rgb="FF0070C0"/>
        <rFont val="Courier New"/>
        <family val="3"/>
      </rPr>
      <t>NZ5PDU01-N-NIB</t>
    </r>
    <r>
      <rPr>
        <sz val="8"/>
        <color theme="1"/>
        <rFont val="Courier New"/>
        <family val="3"/>
      </rPr>
      <t xml:space="preserve">  TO  RU-NIB              </t>
    </r>
  </si>
  <si>
    <t xml:space="preserve">       CARTA PERDA TOTAL (CÓD. OFX093)</t>
  </si>
  <si>
    <r>
      <t xml:space="preserve">                                  RU-VEIC-NUMERO    (</t>
    </r>
    <r>
      <rPr>
        <b/>
        <sz val="8"/>
        <color rgb="FFFF0000"/>
        <rFont val="Courier New"/>
        <family val="3"/>
      </rPr>
      <t>:PREFIX:-VH-MATRICULA</t>
    </r>
    <r>
      <rPr>
        <sz val="8"/>
        <color theme="1"/>
        <rFont val="Courier New"/>
        <family val="3"/>
      </rPr>
      <t>)</t>
    </r>
  </si>
  <si>
    <r>
      <t>END-IF               (</t>
    </r>
    <r>
      <rPr>
        <b/>
        <sz val="8"/>
        <color rgb="FFFF0000"/>
        <rFont val="Courier New"/>
        <family val="3"/>
      </rPr>
      <t>:PREFIX:-DEB-IBAN</t>
    </r>
    <r>
      <rPr>
        <sz val="8"/>
        <color theme="1"/>
        <rFont val="Courier New"/>
        <family val="3"/>
      </rPr>
      <t xml:space="preserve">) </t>
    </r>
  </si>
  <si>
    <t xml:space="preserve">ELSE </t>
  </si>
  <si>
    <r>
      <t xml:space="preserve">   MOVE SPACES                 TO RU-VEIC-MARCA     (</t>
    </r>
    <r>
      <rPr>
        <b/>
        <sz val="8"/>
        <color rgb="FFFF0000"/>
        <rFont val="Courier New"/>
        <family val="3"/>
      </rPr>
      <t>:PREFIX:-VH-MARCA</t>
    </r>
    <r>
      <rPr>
        <sz val="8"/>
        <color theme="1"/>
        <rFont val="Courier New"/>
        <family val="3"/>
      </rPr>
      <t xml:space="preserve">) </t>
    </r>
  </si>
  <si>
    <r>
      <t xml:space="preserve">  WHEN </t>
    </r>
    <r>
      <rPr>
        <b/>
        <sz val="8"/>
        <color rgb="FF0070C0"/>
        <rFont val="Courier New"/>
        <family val="3"/>
      </rPr>
      <t>RU-VALOR-RESULTANTE</t>
    </r>
    <r>
      <rPr>
        <sz val="8"/>
        <color theme="1"/>
        <rFont val="Courier New"/>
        <family val="3"/>
      </rPr>
      <t xml:space="preserve"> = ZEROS (</t>
    </r>
    <r>
      <rPr>
        <b/>
        <sz val="8"/>
        <color rgb="FFFF0000"/>
        <rFont val="Courier New"/>
        <family val="3"/>
      </rPr>
      <t>:PREFIX:-LST-VLR-TOTAL</t>
    </r>
    <r>
      <rPr>
        <sz val="8"/>
        <color theme="1"/>
        <rFont val="Courier New"/>
        <family val="3"/>
      </rPr>
      <t>)</t>
    </r>
  </si>
  <si>
    <r>
      <t xml:space="preserve">                                  RU-VEIC-EXTRA     (</t>
    </r>
    <r>
      <rPr>
        <b/>
        <sz val="8"/>
        <color rgb="FFFF0000"/>
        <rFont val="Courier New"/>
        <family val="3"/>
      </rPr>
      <t>:PREFIX:-VH-VERSAO</t>
    </r>
    <r>
      <rPr>
        <sz val="8"/>
        <color theme="1"/>
        <rFont val="Courier New"/>
        <family val="3"/>
      </rPr>
      <t>)</t>
    </r>
  </si>
  <si>
    <r>
      <t xml:space="preserve">STRING </t>
    </r>
    <r>
      <rPr>
        <b/>
        <sz val="8"/>
        <color rgb="FF0070C0"/>
        <rFont val="Courier New"/>
        <family val="3"/>
      </rPr>
      <t>NZ5PDU01-X-LVRE-1(1:25)</t>
    </r>
    <r>
      <rPr>
        <sz val="8"/>
        <color theme="1"/>
        <rFont val="Courier New"/>
        <family val="3"/>
      </rPr>
      <t xml:space="preserve">  DELIMITED BY '  '</t>
    </r>
  </si>
  <si>
    <t xml:space="preserve">       CARTA SEM DÍVIDA (CÓD. OFX091 e OFX099)</t>
  </si>
  <si>
    <t xml:space="preserve">END-IF                                             </t>
  </si>
  <si>
    <t xml:space="preserve">       '  '                              </t>
  </si>
  <si>
    <r>
      <t xml:space="preserve">  WHEN </t>
    </r>
    <r>
      <rPr>
        <b/>
        <sz val="8"/>
        <color rgb="FF0070C0"/>
        <rFont val="Courier New"/>
        <family val="3"/>
      </rPr>
      <t>RU-VALOR-RESULTANTE</t>
    </r>
    <r>
      <rPr>
        <sz val="8"/>
        <color theme="1"/>
        <rFont val="Courier New"/>
        <family val="3"/>
      </rPr>
      <t xml:space="preserve"> &gt; ZEROS e </t>
    </r>
    <r>
      <rPr>
        <b/>
        <sz val="8"/>
        <color rgb="FF0070C0"/>
        <rFont val="Courier New"/>
        <family val="3"/>
      </rPr>
      <t>RU-AG-NOME</t>
    </r>
    <r>
      <rPr>
        <sz val="8"/>
        <color theme="1"/>
        <rFont val="Courier New"/>
        <family val="3"/>
      </rPr>
      <t xml:space="preserve"> = SPACES (</t>
    </r>
    <r>
      <rPr>
        <b/>
        <sz val="8"/>
        <color rgb="FFFF0000"/>
        <rFont val="Courier New"/>
        <family val="3"/>
      </rPr>
      <t>:PREFIX:-AG-NOME</t>
    </r>
    <r>
      <rPr>
        <sz val="8"/>
        <color theme="1"/>
        <rFont val="Courier New"/>
        <family val="3"/>
      </rPr>
      <t>)</t>
    </r>
  </si>
  <si>
    <r>
      <t xml:space="preserve">       </t>
    </r>
    <r>
      <rPr>
        <b/>
        <sz val="8"/>
        <color rgb="FF0070C0"/>
        <rFont val="Courier New"/>
        <family val="3"/>
      </rPr>
      <t>NZ5PDU01-X-LVRE-1(26:15)</t>
    </r>
    <r>
      <rPr>
        <sz val="8"/>
        <color theme="1"/>
        <rFont val="Courier New"/>
        <family val="3"/>
      </rPr>
      <t xml:space="preserve"> DELIMITED BY '  '</t>
    </r>
  </si>
  <si>
    <t xml:space="preserve">       CARTA PRÉMIO SEM AGENTE (CÓD. OFX091)</t>
  </si>
  <si>
    <t xml:space="preserve">* Registo Tipo 2                                              </t>
  </si>
  <si>
    <r>
      <t xml:space="preserve">  INTO RU-OBJECTO-SEGURO (</t>
    </r>
    <r>
      <rPr>
        <b/>
        <sz val="8"/>
        <color rgb="FFFF0000"/>
        <rFont val="Courier New"/>
        <family val="3"/>
      </rPr>
      <t>:PREFIX:-GR-DETAIL</t>
    </r>
    <r>
      <rPr>
        <sz val="8"/>
        <color theme="1"/>
        <rFont val="Courier New"/>
        <family val="3"/>
      </rPr>
      <t>)</t>
    </r>
  </si>
  <si>
    <r>
      <t xml:space="preserve">  WHEN </t>
    </r>
    <r>
      <rPr>
        <b/>
        <sz val="8"/>
        <color rgb="FF0070C0"/>
        <rFont val="Courier New"/>
        <family val="3"/>
      </rPr>
      <t>RU-VALOR-RESULTANTE</t>
    </r>
    <r>
      <rPr>
        <sz val="8"/>
        <color theme="1"/>
        <rFont val="Courier New"/>
        <family val="3"/>
      </rPr>
      <t xml:space="preserve"> &gt; ZEROS e </t>
    </r>
    <r>
      <rPr>
        <b/>
        <sz val="8"/>
        <color rgb="FF0070C0"/>
        <rFont val="Courier New"/>
        <family val="3"/>
      </rPr>
      <t>RU-AG-NOME</t>
    </r>
    <r>
      <rPr>
        <sz val="8"/>
        <color theme="1"/>
        <rFont val="Courier New"/>
        <family val="3"/>
      </rPr>
      <t xml:space="preserve"> NOT = SPACES </t>
    </r>
  </si>
  <si>
    <t xml:space="preserve">IF NZ44DU01-UAR-DATA                                        </t>
  </si>
  <si>
    <t xml:space="preserve">END-STRING.                                </t>
  </si>
  <si>
    <t xml:space="preserve">       CARTA PRÉMIO COM AGENTE (Cód. OFX097)</t>
  </si>
  <si>
    <r>
      <t xml:space="preserve">   IF RU-UAR-UNICA  (</t>
    </r>
    <r>
      <rPr>
        <b/>
        <sz val="8"/>
        <color rgb="FFFF0000"/>
        <rFont val="Courier New"/>
        <family val="3"/>
      </rPr>
      <t>:PREFIX:-UR-QUANT</t>
    </r>
    <r>
      <rPr>
        <sz val="8"/>
        <color theme="1"/>
        <rFont val="Courier New"/>
        <family val="3"/>
      </rPr>
      <t xml:space="preserve"> = 1)                                 </t>
    </r>
  </si>
  <si>
    <r>
      <t xml:space="preserve">  WHEN </t>
    </r>
    <r>
      <rPr>
        <b/>
        <sz val="8"/>
        <color rgb="FF0070C0"/>
        <rFont val="Courier New"/>
        <family val="3"/>
      </rPr>
      <t>RU-VALOR-RESULTANTE</t>
    </r>
    <r>
      <rPr>
        <sz val="8"/>
        <color theme="1"/>
        <rFont val="Courier New"/>
        <family val="3"/>
      </rPr>
      <t xml:space="preserve"> &lt; ZEROS e </t>
    </r>
    <r>
      <rPr>
        <b/>
        <sz val="8"/>
        <color rgb="FF0070C0"/>
        <rFont val="Courier New"/>
        <family val="3"/>
      </rPr>
      <t>RU-AG-NOME</t>
    </r>
    <r>
      <rPr>
        <sz val="8"/>
        <color theme="1"/>
        <rFont val="Courier New"/>
        <family val="3"/>
      </rPr>
      <t xml:space="preserve"> = SPACES </t>
    </r>
  </si>
  <si>
    <r>
      <t xml:space="preserve">      MOVE </t>
    </r>
    <r>
      <rPr>
        <b/>
        <sz val="8"/>
        <color rgb="FF0070C0"/>
        <rFont val="Courier New"/>
        <family val="3"/>
      </rPr>
      <t xml:space="preserve">NZ44DU01-VEH-MAKE </t>
    </r>
    <r>
      <rPr>
        <sz val="8"/>
        <color theme="1"/>
        <rFont val="Courier New"/>
        <family val="3"/>
      </rPr>
      <t xml:space="preserve">       (</t>
    </r>
    <r>
      <rPr>
        <b/>
        <sz val="8"/>
        <color rgb="FFFF0000"/>
        <rFont val="Courier New"/>
        <family val="3"/>
      </rPr>
      <t>:PREFIX:-VH-MARCA</t>
    </r>
    <r>
      <rPr>
        <sz val="8"/>
        <color theme="1"/>
        <rFont val="Courier New"/>
        <family val="3"/>
      </rPr>
      <t xml:space="preserve">) </t>
    </r>
  </si>
  <si>
    <t xml:space="preserve">       CARTA ESTORNO SEM AGENTE (CÓD. OFX090)</t>
  </si>
  <si>
    <r>
      <t xml:space="preserve">      MOVE </t>
    </r>
    <r>
      <rPr>
        <b/>
        <sz val="8"/>
        <color rgb="FF0070C0"/>
        <rFont val="Courier New"/>
        <family val="3"/>
      </rPr>
      <t>NZ44DU01-VEH-MODEL</t>
    </r>
    <r>
      <rPr>
        <sz val="8"/>
        <color theme="1"/>
        <rFont val="Courier New"/>
        <family val="3"/>
      </rPr>
      <t xml:space="preserve">       (</t>
    </r>
    <r>
      <rPr>
        <b/>
        <sz val="8"/>
        <color rgb="FFFF0000"/>
        <rFont val="Courier New"/>
        <family val="3"/>
      </rPr>
      <t>:PREFIX:-VH-MODELO</t>
    </r>
    <r>
      <rPr>
        <sz val="8"/>
        <color theme="1"/>
        <rFont val="Courier New"/>
        <family val="3"/>
      </rPr>
      <t>)</t>
    </r>
  </si>
  <si>
    <r>
      <t xml:space="preserve">  WHEN </t>
    </r>
    <r>
      <rPr>
        <b/>
        <sz val="8"/>
        <color rgb="FF0070C0"/>
        <rFont val="Courier New"/>
        <family val="3"/>
      </rPr>
      <t>RU-VALOR-RESULTANTE</t>
    </r>
    <r>
      <rPr>
        <sz val="8"/>
        <color theme="1"/>
        <rFont val="Courier New"/>
        <family val="3"/>
      </rPr>
      <t xml:space="preserve"> &lt; ZEROS e </t>
    </r>
    <r>
      <rPr>
        <b/>
        <sz val="8"/>
        <color rgb="FF0070C0"/>
        <rFont val="Courier New"/>
        <family val="3"/>
      </rPr>
      <t>RU-AG-NOME</t>
    </r>
    <r>
      <rPr>
        <sz val="8"/>
        <color theme="1"/>
        <rFont val="Courier New"/>
        <family val="3"/>
      </rPr>
      <t xml:space="preserve"> NOT = SPACES </t>
    </r>
  </si>
  <si>
    <r>
      <t xml:space="preserve">      MOVE </t>
    </r>
    <r>
      <rPr>
        <b/>
        <sz val="8"/>
        <color rgb="FF0070C0"/>
        <rFont val="Courier New"/>
        <family val="3"/>
      </rPr>
      <t>NZ44DU01-VEH-EXTRA</t>
    </r>
    <r>
      <rPr>
        <sz val="8"/>
        <color theme="1"/>
        <rFont val="Courier New"/>
        <family val="3"/>
      </rPr>
      <t xml:space="preserve">       (</t>
    </r>
    <r>
      <rPr>
        <b/>
        <sz val="8"/>
        <color rgb="FFFF0000"/>
        <rFont val="Courier New"/>
        <family val="3"/>
      </rPr>
      <t>:PREFIX:-VH-VERSAO</t>
    </r>
    <r>
      <rPr>
        <sz val="8"/>
        <color theme="1"/>
        <rFont val="Courier New"/>
        <family val="3"/>
      </rPr>
      <t xml:space="preserve">) </t>
    </r>
  </si>
  <si>
    <t xml:space="preserve">       CARTA ESTORNO COM AGENTE (CÓD. OFX098)</t>
  </si>
  <si>
    <r>
      <t xml:space="preserve">      MOVE </t>
    </r>
    <r>
      <rPr>
        <b/>
        <sz val="8"/>
        <color rgb="FF0070C0"/>
        <rFont val="Courier New"/>
        <family val="3"/>
      </rPr>
      <t>NZ44DU01-VEH-REG-NUMBER</t>
    </r>
    <r>
      <rPr>
        <sz val="8"/>
        <color theme="1"/>
        <rFont val="Courier New"/>
        <family val="3"/>
      </rPr>
      <t xml:space="preserve">  (</t>
    </r>
    <r>
      <rPr>
        <b/>
        <sz val="8"/>
        <color rgb="FFFF0000"/>
        <rFont val="Courier New"/>
        <family val="3"/>
      </rPr>
      <t>:PREFIX:-VH-MATRICULA</t>
    </r>
    <r>
      <rPr>
        <sz val="8"/>
        <color theme="1"/>
        <rFont val="Courier New"/>
        <family val="3"/>
      </rPr>
      <t xml:space="preserve">)  </t>
    </r>
  </si>
  <si>
    <t>END-IF</t>
  </si>
  <si>
    <t xml:space="preserve">                                    TO RU-OBJECTO-SEGURO </t>
  </si>
  <si>
    <t xml:space="preserve">   END-IF</t>
  </si>
  <si>
    <t xml:space="preserve">SE DATA DE SINISTRO DIFERENTE DE ESPAÇOS                 </t>
  </si>
  <si>
    <t xml:space="preserve">  ESCREVE A CARTA DE PERDA TOTAL (C33)                   </t>
  </si>
  <si>
    <t xml:space="preserve">SENAO                                                    </t>
  </si>
  <si>
    <t xml:space="preserve">* Registo Tipo 3                                               </t>
  </si>
  <si>
    <t xml:space="preserve">  CONFORME O VALOR RESULTANTE, A COMPANHIA E SE POSSUI OU</t>
  </si>
  <si>
    <t xml:space="preserve">IF NZ44DU01-T-UAR-DATA                                    </t>
  </si>
  <si>
    <t xml:space="preserve">  NAO MEDIADOR IRA ESCREVER DETERMINADA CARTA (C33 e C41)</t>
  </si>
  <si>
    <r>
      <t xml:space="preserve">   MOVE</t>
    </r>
    <r>
      <rPr>
        <b/>
        <sz val="8"/>
        <color rgb="FF0070C0"/>
        <rFont val="Courier New"/>
        <family val="3"/>
      </rPr>
      <t xml:space="preserve"> NZ44DU01-T-LICENSE-NUMBER-25</t>
    </r>
    <r>
      <rPr>
        <sz val="8"/>
        <color theme="1"/>
        <rFont val="Courier New"/>
        <family val="3"/>
      </rPr>
      <t xml:space="preserve"> TO RU-VEIC-LICENCA   (</t>
    </r>
    <r>
      <rPr>
        <b/>
        <sz val="8"/>
        <color rgb="FFFF0000"/>
        <rFont val="Courier New"/>
        <family val="3"/>
      </rPr>
      <t>:PREFIX:-VG-CARTA-COND</t>
    </r>
    <r>
      <rPr>
        <sz val="8"/>
        <color theme="1"/>
        <rFont val="Courier New"/>
        <family val="3"/>
      </rPr>
      <t>)</t>
    </r>
  </si>
  <si>
    <r>
      <t xml:space="preserve">                                        RU-OBJECTO-SEGURO (</t>
    </r>
    <r>
      <rPr>
        <b/>
        <sz val="8"/>
        <color rgb="FFFF0000"/>
        <rFont val="Courier New"/>
        <family val="3"/>
      </rPr>
      <t>:PREFIX:-GR-DETAIL</t>
    </r>
    <r>
      <rPr>
        <sz val="8"/>
        <color theme="1"/>
        <rFont val="Courier New"/>
        <family val="3"/>
      </rPr>
      <t>)</t>
    </r>
  </si>
  <si>
    <t xml:space="preserve">END-IF                                                    </t>
  </si>
  <si>
    <t>Legenda:</t>
  </si>
  <si>
    <t>Campos a azul - dados de input</t>
  </si>
  <si>
    <t>Campos a vermelho - dados novo layout (correspondecia)</t>
  </si>
  <si>
    <t>Nota: Atualmente o documento só suporta 1 linha de detalhe!</t>
  </si>
  <si>
    <t>Validações PC01(PGOC102):</t>
  </si>
  <si>
    <r>
      <t xml:space="preserve">IF </t>
    </r>
    <r>
      <rPr>
        <b/>
        <sz val="8"/>
        <color rgb="FF0070C0"/>
        <rFont val="Courier New"/>
        <family val="3"/>
      </rPr>
      <t>NY5D1U01-PEN-AMOUNT</t>
    </r>
    <r>
      <rPr>
        <sz val="8"/>
        <color theme="1"/>
        <rFont val="Courier New"/>
        <family val="3"/>
      </rPr>
      <t xml:space="preserve"> EQUAL ZEROS   (</t>
    </r>
    <r>
      <rPr>
        <b/>
        <sz val="8"/>
        <color rgb="FFFF0000"/>
        <rFont val="Courier New"/>
        <family val="3"/>
      </rPr>
      <t>:PREFIX:-LST-VLR-PENAL</t>
    </r>
    <r>
      <rPr>
        <sz val="8"/>
        <color theme="1"/>
        <rFont val="Courier New"/>
        <family val="3"/>
      </rPr>
      <t>)</t>
    </r>
  </si>
  <si>
    <t xml:space="preserve">   MOVE 'SEM PENALIZAÇÃO' TO W800-PEN-AMOUNT-R</t>
  </si>
  <si>
    <r>
      <t xml:space="preserve">COMPUTE </t>
    </r>
    <r>
      <rPr>
        <b/>
        <sz val="8"/>
        <color rgb="FF0070C0"/>
        <rFont val="Courier New"/>
        <family val="3"/>
      </rPr>
      <t xml:space="preserve">W400-TOTAL-NOTICE </t>
    </r>
    <r>
      <rPr>
        <sz val="8"/>
        <rFont val="Courier New"/>
        <family val="3"/>
      </rPr>
      <t>(</t>
    </r>
    <r>
      <rPr>
        <b/>
        <sz val="8"/>
        <color rgb="FFFF0000"/>
        <rFont val="Courier New"/>
        <family val="3"/>
      </rPr>
      <t>:PREFIX:-LST-VLR-TOTAL</t>
    </r>
    <r>
      <rPr>
        <sz val="8"/>
        <rFont val="Courier New"/>
        <family val="3"/>
      </rPr>
      <t>)</t>
    </r>
    <r>
      <rPr>
        <b/>
        <sz val="8"/>
        <color rgb="FF0070C0"/>
        <rFont val="Courier New"/>
        <family val="3"/>
      </rPr>
      <t xml:space="preserve">       </t>
    </r>
    <r>
      <rPr>
        <sz val="8"/>
        <color theme="1"/>
        <rFont val="Courier New"/>
        <family val="3"/>
      </rPr>
      <t xml:space="preserve"> = </t>
    </r>
    <r>
      <rPr>
        <b/>
        <sz val="8"/>
        <color rgb="FF0070C0"/>
        <rFont val="Courier New"/>
        <family val="3"/>
      </rPr>
      <t/>
    </r>
  </si>
  <si>
    <r>
      <t xml:space="preserve">        </t>
    </r>
    <r>
      <rPr>
        <b/>
        <sz val="8"/>
        <color rgb="FF0070C0"/>
        <rFont val="Courier New"/>
        <family val="3"/>
      </rPr>
      <t>NY5D1U01-TOTAL-AMOUNT</t>
    </r>
    <r>
      <rPr>
        <sz val="8"/>
        <color theme="1"/>
        <rFont val="Courier New"/>
        <family val="3"/>
      </rPr>
      <t xml:space="preserve"> (</t>
    </r>
    <r>
      <rPr>
        <b/>
        <sz val="8"/>
        <color rgb="FFFF0000"/>
        <rFont val="Courier New"/>
        <family val="3"/>
      </rPr>
      <t>:PREFIX:-LST-VLR-RECIBO</t>
    </r>
    <r>
      <rPr>
        <sz val="8"/>
        <color theme="1"/>
        <rFont val="Courier New"/>
        <family val="3"/>
      </rPr>
      <t>)   +</t>
    </r>
  </si>
  <si>
    <r>
      <t xml:space="preserve">        </t>
    </r>
    <r>
      <rPr>
        <b/>
        <sz val="8"/>
        <color rgb="FF0070C0"/>
        <rFont val="Courier New"/>
        <family val="3"/>
      </rPr>
      <t>NY5D1U01-INTEREST-AMOUNT</t>
    </r>
    <r>
      <rPr>
        <sz val="8"/>
        <color theme="1"/>
        <rFont val="Courier New"/>
        <family val="3"/>
      </rPr>
      <t xml:space="preserve"> (</t>
    </r>
    <r>
      <rPr>
        <b/>
        <sz val="8"/>
        <color rgb="FFFF0000"/>
        <rFont val="Courier New"/>
        <family val="3"/>
      </rPr>
      <t>:PREFIX:-LST-VLR-JUROS</t>
    </r>
    <r>
      <rPr>
        <sz val="8"/>
        <color theme="1"/>
        <rFont val="Courier New"/>
        <family val="3"/>
      </rPr>
      <t xml:space="preserve">) + </t>
    </r>
  </si>
  <si>
    <r>
      <t xml:space="preserve">       </t>
    </r>
    <r>
      <rPr>
        <b/>
        <sz val="8"/>
        <color rgb="FF0070C0"/>
        <rFont val="Courier New"/>
        <family val="3"/>
      </rPr>
      <t xml:space="preserve"> NY5D1U01-PEN-AMOUNT</t>
    </r>
    <r>
      <rPr>
        <sz val="8"/>
        <color theme="1"/>
        <rFont val="Courier New"/>
        <family val="3"/>
      </rPr>
      <t xml:space="preserve"> (</t>
    </r>
    <r>
      <rPr>
        <b/>
        <sz val="8"/>
        <color rgb="FFFF0000"/>
        <rFont val="Courier New"/>
        <family val="3"/>
      </rPr>
      <t>:PREFIX:-LST-VLR-PENAL</t>
    </r>
    <r>
      <rPr>
        <sz val="8"/>
        <color theme="1"/>
        <rFont val="Courier New"/>
        <family val="3"/>
      </rPr>
      <t>)</t>
    </r>
  </si>
  <si>
    <t>Nota: Atualmente o documento só suporta 1 linha de detalhe</t>
  </si>
  <si>
    <t>Preparar para receber mais linhas de detalhe?</t>
  </si>
  <si>
    <t xml:space="preserve">Validações CHIP(C33-PGOC050): </t>
  </si>
  <si>
    <t xml:space="preserve">Validações CHIP(PRIC-PGOA405): </t>
  </si>
  <si>
    <r>
      <t xml:space="preserve">IF </t>
    </r>
    <r>
      <rPr>
        <b/>
        <sz val="8"/>
        <color rgb="FF0070C0"/>
        <rFont val="Courier New"/>
        <family val="3"/>
      </rPr>
      <t>NY5BAU01-NOVO-NEG</t>
    </r>
    <r>
      <rPr>
        <sz val="8"/>
        <color theme="1"/>
        <rFont val="Courier New"/>
        <family val="3"/>
      </rPr>
      <t xml:space="preserve"> NOT = 'S'</t>
    </r>
  </si>
  <si>
    <r>
      <t xml:space="preserve">IF </t>
    </r>
    <r>
      <rPr>
        <b/>
        <sz val="8"/>
        <color rgb="FF0070C0"/>
        <rFont val="Courier New"/>
        <family val="3"/>
      </rPr>
      <t>NZ5PDU01-TIPO-RECIBO-C</t>
    </r>
  </si>
  <si>
    <t xml:space="preserve"> </t>
  </si>
  <si>
    <r>
      <t xml:space="preserve">  IF </t>
    </r>
    <r>
      <rPr>
        <b/>
        <sz val="8"/>
        <color rgb="FF0070C0"/>
        <rFont val="Courier New"/>
        <family val="3"/>
      </rPr>
      <t>NY5BAU01-IND-REGIME</t>
    </r>
    <r>
      <rPr>
        <sz val="8"/>
        <color theme="1"/>
        <rFont val="Courier New"/>
        <family val="3"/>
      </rPr>
      <t xml:space="preserve"> EQUAL 'G' </t>
    </r>
  </si>
  <si>
    <t xml:space="preserve">   MOVE 'X080BNCHG3' TO NOME-LAYOUT</t>
  </si>
  <si>
    <t xml:space="preserve">   MOVE '1027' CESSAÇÃO DO CONTRATO - CODIGO CHAPAO</t>
  </si>
  <si>
    <t>ELSE</t>
  </si>
  <si>
    <t xml:space="preserve">   MOVE 'X080BNCHG5' TO NOME-LAYOUT</t>
  </si>
  <si>
    <t xml:space="preserve">   MOVE '1029' EMISSÃO AV PAGAMENTO - CODIGO CHAPAO  - NOVO NEGOCIO s/ REGIME</t>
  </si>
  <si>
    <t xml:space="preserve">chapao 1003 </t>
  </si>
  <si>
    <r>
      <rPr>
        <b/>
        <sz val="8"/>
        <color rgb="FF0070C0"/>
        <rFont val="Courier New"/>
        <family val="3"/>
      </rPr>
      <t>NY5BAU01-INVOICE-END-DATE</t>
    </r>
    <r>
      <rPr>
        <sz val="8"/>
        <color theme="1"/>
        <rFont val="Courier New"/>
        <family val="3"/>
      </rPr>
      <t xml:space="preserve">: programa retira 1 dia </t>
    </r>
  </si>
  <si>
    <r>
      <t xml:space="preserve">IF </t>
    </r>
    <r>
      <rPr>
        <b/>
        <sz val="8"/>
        <color rgb="FF0070C0"/>
        <rFont val="Courier New"/>
        <family val="3"/>
      </rPr>
      <t>NZ5PDU01-C-APL-ORIG</t>
    </r>
    <r>
      <rPr>
        <b/>
        <sz val="8"/>
        <color theme="1"/>
        <rFont val="Courier New"/>
        <family val="3"/>
      </rPr>
      <t xml:space="preserve"> NOT EQUAL 'MHS'</t>
    </r>
  </si>
  <si>
    <r>
      <t xml:space="preserve">IF </t>
    </r>
    <r>
      <rPr>
        <b/>
        <sz val="8"/>
        <color rgb="FF0070C0"/>
        <rFont val="Courier New"/>
        <family val="3"/>
      </rPr>
      <t>NY5BAU01-UAR-DETAIL</t>
    </r>
    <r>
      <rPr>
        <sz val="8"/>
        <color theme="1"/>
        <rFont val="Courier New"/>
        <family val="3"/>
      </rPr>
      <t xml:space="preserve"> NOT EQUAL SPACES</t>
    </r>
  </si>
  <si>
    <r>
      <t xml:space="preserve">   </t>
    </r>
    <r>
      <rPr>
        <b/>
        <sz val="8"/>
        <color rgb="FF0070C0"/>
        <rFont val="Courier New"/>
        <family val="3"/>
      </rPr>
      <t>NZ5PDU01-INVOICE-END-DATE</t>
    </r>
    <r>
      <rPr>
        <b/>
        <sz val="8"/>
        <color theme="1"/>
        <rFont val="Courier New"/>
        <family val="3"/>
      </rPr>
      <t xml:space="preserve"> retira 1 dia</t>
    </r>
  </si>
  <si>
    <r>
      <t xml:space="preserve"> STRING 'Risco/Objeto Seguro/Outras Referências: ' </t>
    </r>
    <r>
      <rPr>
        <b/>
        <sz val="8"/>
        <color rgb="FF0070C0"/>
        <rFont val="Courier New"/>
        <family val="3"/>
      </rPr>
      <t>NY5BAU01-UAR-DETAIL</t>
    </r>
  </si>
  <si>
    <r>
      <t xml:space="preserve">IF </t>
    </r>
    <r>
      <rPr>
        <b/>
        <sz val="8"/>
        <color rgb="FF0070C0"/>
        <rFont val="Courier New"/>
        <family val="3"/>
      </rPr>
      <t>NY5BAU01-VEHICLE-REG-NUMBER</t>
    </r>
    <r>
      <rPr>
        <sz val="8"/>
        <color theme="1"/>
        <rFont val="Courier New"/>
        <family val="3"/>
      </rPr>
      <t xml:space="preserve"> GREATER SPACES </t>
    </r>
  </si>
  <si>
    <r>
      <t xml:space="preserve"> STRING 'Matrícula: ' </t>
    </r>
    <r>
      <rPr>
        <b/>
        <sz val="8"/>
        <color rgb="FF0070C0"/>
        <rFont val="Courier New"/>
        <family val="3"/>
      </rPr>
      <t>NY5BAU01-VEHICLE-REG-NUMBER</t>
    </r>
    <r>
      <rPr>
        <sz val="8"/>
        <color theme="1"/>
        <rFont val="Courier New"/>
        <family val="3"/>
      </rPr>
      <t xml:space="preserve"> DELIMITED BY SIZE</t>
    </r>
  </si>
  <si>
    <t xml:space="preserve">    INTO W800-FIELD(W400-FLD)</t>
  </si>
  <si>
    <t>LATERAL ESQUERDA CARTA</t>
  </si>
  <si>
    <t>Assunto</t>
  </si>
  <si>
    <t>Data de Vencimento</t>
  </si>
  <si>
    <t>Produto</t>
  </si>
  <si>
    <t>Apólice</t>
  </si>
  <si>
    <t>Risco/Objeto Seguro/Outras Referências</t>
  </si>
  <si>
    <t>Tomador Nome</t>
  </si>
  <si>
    <t>Matricula</t>
  </si>
  <si>
    <t>Tomador Morada1</t>
  </si>
  <si>
    <t>Tomador Morada2</t>
  </si>
  <si>
    <t>Tomador Morada3</t>
  </si>
  <si>
    <t>Tomador Morada4</t>
  </si>
  <si>
    <t>NIF</t>
  </si>
  <si>
    <t>IBAN    +  BIC SWIFT</t>
  </si>
  <si>
    <t xml:space="preserve">Validações CTAD (C33-PGOC051): </t>
  </si>
  <si>
    <t xml:space="preserve">Validações CTAD (PRIC-PGOA405): </t>
  </si>
  <si>
    <r>
      <t xml:space="preserve">COMPUTE </t>
    </r>
    <r>
      <rPr>
        <b/>
        <sz val="8"/>
        <color rgb="FF0070C0"/>
        <rFont val="Courier New"/>
        <family val="3"/>
      </rPr>
      <t>W400-TOT-AMOUNT-EUR</t>
    </r>
    <r>
      <rPr>
        <sz val="8"/>
        <color theme="1"/>
        <rFont val="Courier New"/>
        <family val="3"/>
      </rPr>
      <t xml:space="preserve"> = </t>
    </r>
    <r>
      <rPr>
        <b/>
        <sz val="8"/>
        <color rgb="FF0070C0"/>
        <rFont val="Courier New"/>
        <family val="3"/>
      </rPr>
      <t>NZ5B8U01-PREMIUM-AMOUNT</t>
    </r>
    <r>
      <rPr>
        <sz val="8"/>
        <color theme="1"/>
        <rFont val="Courier New"/>
        <family val="3"/>
      </rPr>
      <t xml:space="preserve"> +</t>
    </r>
  </si>
  <si>
    <r>
      <t xml:space="preserve">IF </t>
    </r>
    <r>
      <rPr>
        <b/>
        <sz val="8"/>
        <color rgb="FF0070C0"/>
        <rFont val="Courier New"/>
        <family val="3"/>
      </rPr>
      <t>NZ5PDU01-C-TIPO-CTAD</t>
    </r>
    <r>
      <rPr>
        <sz val="8"/>
        <color theme="1"/>
        <rFont val="Courier New"/>
        <family val="3"/>
      </rPr>
      <t xml:space="preserve"> EQUAL 'P'             </t>
    </r>
  </si>
  <si>
    <r>
      <t xml:space="preserve">                              </t>
    </r>
    <r>
      <rPr>
        <b/>
        <sz val="8"/>
        <color rgb="FF0070C0"/>
        <rFont val="Courier New"/>
        <family val="3"/>
      </rPr>
      <t>NZ5B8U01-PENALTY-AMOUNT</t>
    </r>
    <r>
      <rPr>
        <sz val="8"/>
        <color theme="1"/>
        <rFont val="Courier New"/>
        <family val="3"/>
      </rPr>
      <t xml:space="preserve"> +</t>
    </r>
  </si>
  <si>
    <t xml:space="preserve">   MOVE 'P'               TO WAUX-C-TIPO-CTAD </t>
  </si>
  <si>
    <r>
      <t xml:space="preserve">                              </t>
    </r>
    <r>
      <rPr>
        <b/>
        <sz val="8"/>
        <color rgb="FF0070C0"/>
        <rFont val="Courier New"/>
        <family val="3"/>
      </rPr>
      <t>NZ5B8U01-INTEREST-AMOUNT</t>
    </r>
    <r>
      <rPr>
        <sz val="8"/>
        <color theme="1"/>
        <rFont val="Courier New"/>
        <family val="3"/>
      </rPr>
      <t>.</t>
    </r>
  </si>
  <si>
    <t xml:space="preserve">   MOVE NZ5PDU01-CANC-RCIB-PEND TO            </t>
  </si>
  <si>
    <r>
      <t xml:space="preserve">IF </t>
    </r>
    <r>
      <rPr>
        <b/>
        <sz val="9"/>
        <color rgb="FF0070C0"/>
        <rFont val="Courier New"/>
        <family val="3"/>
      </rPr>
      <t>W400-TOT-AMOUNT-EUR</t>
    </r>
    <r>
      <rPr>
        <sz val="9"/>
        <color theme="1"/>
        <rFont val="Courier New"/>
        <family val="3"/>
      </rPr>
      <t xml:space="preserve"> NEGATIVE                           </t>
    </r>
  </si>
  <si>
    <t xml:space="preserve">        X080BNCTAD-VALOR-RCIB-PEND            </t>
  </si>
  <si>
    <r>
      <t xml:space="preserve">   IF </t>
    </r>
    <r>
      <rPr>
        <b/>
        <sz val="9"/>
        <color rgb="FF0070C0"/>
        <rFont val="Courier New"/>
        <family val="3"/>
      </rPr>
      <t>NZ5B8U01-IND-REGIME</t>
    </r>
    <r>
      <rPr>
        <sz val="9"/>
        <color theme="1"/>
        <rFont val="Courier New"/>
        <family val="3"/>
      </rPr>
      <t xml:space="preserve"> EQUAL 'E'                       </t>
    </r>
  </si>
  <si>
    <t xml:space="preserve">ELSE                                          </t>
  </si>
  <si>
    <t xml:space="preserve">      SET W800-TYPE2               TO TRUE                </t>
  </si>
  <si>
    <t xml:space="preserve">   MOVE SPACES            TO WAUX-C-TIPO-CTAD </t>
  </si>
  <si>
    <t xml:space="preserve">      MOVE '1031'                  TO CODBAR-IDENTIF-DOCUM</t>
  </si>
  <si>
    <t xml:space="preserve">   MOVE ZEROS             TO                  </t>
  </si>
  <si>
    <t xml:space="preserve">      MOVE W400-AUX-CANCEL-DATE    TO W800-CANCEL-DATE    </t>
  </si>
  <si>
    <t xml:space="preserve">   END-IF                                                 </t>
  </si>
  <si>
    <t xml:space="preserve">END-IF    </t>
  </si>
  <si>
    <t xml:space="preserve">ELSE                                                      </t>
  </si>
  <si>
    <r>
      <t xml:space="preserve">   IF </t>
    </r>
    <r>
      <rPr>
        <b/>
        <sz val="9"/>
        <color rgb="FF0070C0"/>
        <rFont val="Courier New"/>
        <family val="3"/>
      </rPr>
      <t>NZ5B8U01-IND-REGIME</t>
    </r>
    <r>
      <rPr>
        <sz val="9"/>
        <color theme="1"/>
        <rFont val="Courier New"/>
        <family val="3"/>
      </rPr>
      <t xml:space="preserve"> EQUAL 'G'                       </t>
    </r>
  </si>
  <si>
    <r>
      <t xml:space="preserve">IF </t>
    </r>
    <r>
      <rPr>
        <b/>
        <sz val="8"/>
        <color rgb="FF0070C0"/>
        <rFont val="Courier New"/>
        <family val="3"/>
      </rPr>
      <t>WAUX-C-TIPO-CTAD</t>
    </r>
    <r>
      <rPr>
        <sz val="8"/>
        <color theme="1"/>
        <rFont val="Courier New"/>
        <family val="3"/>
      </rPr>
      <t xml:space="preserve"> EQUAL 'P'    *recibo pendente*</t>
    </r>
  </si>
  <si>
    <t xml:space="preserve">      SET W800-TYPE1-L             TO TRUE                </t>
  </si>
  <si>
    <t xml:space="preserve">   EVALUATE TRUE                               </t>
  </si>
  <si>
    <t xml:space="preserve">      MOVE '1033'                  TO CODBAR-IDENTIF-DOCUM</t>
  </si>
  <si>
    <t xml:space="preserve">       WHEN CODBAR-FIDMUNDIAL                  </t>
  </si>
  <si>
    <t xml:space="preserve">       WHEN CODBAR-IMPERIO                     </t>
  </si>
  <si>
    <r>
      <t xml:space="preserve">      IF </t>
    </r>
    <r>
      <rPr>
        <b/>
        <sz val="9"/>
        <color rgb="FF0070C0"/>
        <rFont val="Courier New"/>
        <family val="3"/>
      </rPr>
      <t>NZ5B8U01-C-TIPO-CTAD</t>
    </r>
    <r>
      <rPr>
        <sz val="9"/>
        <color theme="1"/>
        <rFont val="Courier New"/>
        <family val="3"/>
      </rPr>
      <t xml:space="preserve"> EQUAL 'P'                   </t>
    </r>
  </si>
  <si>
    <t xml:space="preserve">       WHEN CODBAR-ICI                         </t>
  </si>
  <si>
    <t xml:space="preserve">         SET W800-TYPE1-P          TO TRUE                </t>
  </si>
  <si>
    <t xml:space="preserve">          MOVE 'X080BNCTP '  TO NOME-LAYOUT    </t>
  </si>
  <si>
    <t xml:space="preserve">         MOVE '1034'               TO CODBAR-IDENTIF-DOCUM</t>
  </si>
  <si>
    <t xml:space="preserve">       WHEN CODBAR-MULTICARE                   </t>
  </si>
  <si>
    <t xml:space="preserve">         MOVE NZ5B8U01-CANC-RCIB-PEND                     </t>
  </si>
  <si>
    <t xml:space="preserve">          MOVE 'X080BNCTP2'  TO NOME-LAYOUT    </t>
  </si>
  <si>
    <t xml:space="preserve">                                   TO W800-VALOR-RCIB-PEND</t>
  </si>
  <si>
    <t xml:space="preserve">   END-EVALUATE        </t>
  </si>
  <si>
    <t xml:space="preserve">      END-IF                                              </t>
  </si>
  <si>
    <t xml:space="preserve">ELSE                                                </t>
  </si>
  <si>
    <t xml:space="preserve">   ELSE                                                   </t>
  </si>
  <si>
    <r>
      <t xml:space="preserve">   IF </t>
    </r>
    <r>
      <rPr>
        <b/>
        <sz val="8"/>
        <color rgb="FF0070C0"/>
        <rFont val="Courier New"/>
        <family val="3"/>
      </rPr>
      <t>WAUX-GUARDA-REGIME EQUAL</t>
    </r>
    <r>
      <rPr>
        <sz val="8"/>
        <color theme="1"/>
        <rFont val="Courier New"/>
        <family val="3"/>
      </rPr>
      <t xml:space="preserve"> 'E'                  </t>
    </r>
  </si>
  <si>
    <r>
      <t xml:space="preserve">      IF </t>
    </r>
    <r>
      <rPr>
        <b/>
        <sz val="9"/>
        <color rgb="FF0070C0"/>
        <rFont val="Courier New"/>
        <family val="3"/>
      </rPr>
      <t>NZ5B8U01-IND-REGIME</t>
    </r>
    <r>
      <rPr>
        <sz val="9"/>
        <color theme="1"/>
        <rFont val="Courier New"/>
        <family val="3"/>
      </rPr>
      <t xml:space="preserve"> EQUAL 'E'                    </t>
    </r>
  </si>
  <si>
    <t xml:space="preserve">      EVALUATE WAUX-GUARDA-TIPOREC                  </t>
  </si>
  <si>
    <t xml:space="preserve">         SET W800-TYPE3            TO TRUE                </t>
  </si>
  <si>
    <t xml:space="preserve">         WHEN 'CE'                                  </t>
  </si>
  <si>
    <t xml:space="preserve">         MOVE '1032'               TO CODBAR-IDENTIF-DOCUM</t>
  </si>
  <si>
    <t xml:space="preserve">            MOVE 'X080BNCT4' TO NOME-LAYOUT         </t>
  </si>
  <si>
    <t xml:space="preserve">         MOVE W400-AUX-CANCEL-DATE TO W800-CANCEL-DATE    </t>
  </si>
  <si>
    <t xml:space="preserve">         WHEN 'CP'                                  </t>
  </si>
  <si>
    <t xml:space="preserve">            MOVE 'X080BNCT3' TO NOME-LAYOUT         </t>
  </si>
  <si>
    <t xml:space="preserve">         WHEN OTHER                                 </t>
  </si>
  <si>
    <t xml:space="preserve">END-IF.                                                   </t>
  </si>
  <si>
    <t xml:space="preserve">            IF CODBAR-FIDMUNDIAL OR                 </t>
  </si>
  <si>
    <t>***CARTAS AO AGENTE:</t>
  </si>
  <si>
    <t xml:space="preserve">               CODBAR-IMPERIO    OR CODBAR-ICI      </t>
  </si>
  <si>
    <r>
      <t xml:space="preserve">IF </t>
    </r>
    <r>
      <rPr>
        <b/>
        <sz val="8"/>
        <color rgb="FF0070C0"/>
        <rFont val="Courier New"/>
        <family val="3"/>
      </rPr>
      <t>W400-TOT-AMOUNT-EUR</t>
    </r>
    <r>
      <rPr>
        <sz val="8"/>
        <color theme="1"/>
        <rFont val="Courier New"/>
        <family val="3"/>
      </rPr>
      <t xml:space="preserve"> NEGATIVE                           </t>
    </r>
  </si>
  <si>
    <t xml:space="preserve">               MOVE 'X080BNCTL' TO NOME-LAYOUT      </t>
  </si>
  <si>
    <t xml:space="preserve">   SET W800-TYPE4                  TO TRUE                </t>
  </si>
  <si>
    <t xml:space="preserve">            END-IF                                  </t>
  </si>
  <si>
    <t xml:space="preserve">   MOVE '1035'                     TO CODBAR-IDENTIF-DOCUM</t>
  </si>
  <si>
    <t xml:space="preserve">            IF CODBAR-MULTICARE                     </t>
  </si>
  <si>
    <t xml:space="preserve">               MOVE 'X080BNCTLM' TO NOME-LAYOUT     </t>
  </si>
  <si>
    <t xml:space="preserve">   SET W800-TYPE5                  TO TRUE                </t>
  </si>
  <si>
    <t xml:space="preserve">   MOVE '1036'                     TO CODBAR-IDENTIF-DOCUM</t>
  </si>
  <si>
    <t xml:space="preserve">      END-EVALUATE                                  </t>
  </si>
  <si>
    <t xml:space="preserve">   ELSE      </t>
  </si>
  <si>
    <t xml:space="preserve">      IF CODBAR-FIDMUNDIAL OR                </t>
  </si>
  <si>
    <t xml:space="preserve">         CODBAR-IMPERIO    OR CODBAR-ICI     </t>
  </si>
  <si>
    <t xml:space="preserve">         MOVE 'X080BNCTL'  TO NOME-LAYOUT    </t>
  </si>
  <si>
    <t xml:space="preserve">      END-IF                                 </t>
  </si>
  <si>
    <t xml:space="preserve">      IF CODBAR-MULTICARE                    </t>
  </si>
  <si>
    <t xml:space="preserve">         MOVE 'X080BNCTLM'  TO NOME-LAYOUT   </t>
  </si>
  <si>
    <t xml:space="preserve">   END-IF                                    </t>
  </si>
  <si>
    <t xml:space="preserve">END-IF  </t>
  </si>
  <si>
    <t xml:space="preserve">IF WAUX-TEM-AGENTE  EQUAL 'S' AND                   </t>
  </si>
  <si>
    <t xml:space="preserve">   WAUX-TEM-LISTA   EQUAL 'S'                       </t>
  </si>
  <si>
    <t xml:space="preserve">   MOVE 'S'         TO WAUX-FAZ-CARTA-AGENTE        </t>
  </si>
  <si>
    <t xml:space="preserve">   PERFORM P2089-WRITE-CAB  THRU P2089-WRITE-CAB-EX </t>
  </si>
  <si>
    <t xml:space="preserve">   IF WAUX-GUARDA-REGIME EQUAL 'E'                  </t>
  </si>
  <si>
    <t xml:space="preserve">            MOVE 'X080BNCT0' TO NOME-LAYOUT         </t>
  </si>
  <si>
    <t xml:space="preserve">            MOVE 'X080BNCT1' TO NOME-LAYOUT         </t>
  </si>
  <si>
    <t xml:space="preserve">   ELSE                                             </t>
  </si>
  <si>
    <t xml:space="preserve">      MOVE 'X080BNCT1'       TO NOME-LAYOUT         </t>
  </si>
  <si>
    <t xml:space="preserve">Validações ENTI (ENT1/ENT2) (C33-PGOC032): </t>
  </si>
  <si>
    <t xml:space="preserve">Validações ENTI (PRIC-PGOA405): </t>
  </si>
  <si>
    <t>** cartas registadas **</t>
  </si>
  <si>
    <t>** cartas expedir normal **</t>
  </si>
  <si>
    <r>
      <t xml:space="preserve">IF </t>
    </r>
    <r>
      <rPr>
        <b/>
        <sz val="8"/>
        <color rgb="FF0070C0"/>
        <rFont val="Courier New"/>
        <family val="3"/>
      </rPr>
      <t>NZ44CU01-CARTA-ENT1</t>
    </r>
    <r>
      <rPr>
        <sz val="8"/>
        <color theme="1"/>
        <rFont val="Courier New"/>
        <family val="3"/>
      </rPr>
      <t xml:space="preserve">                                  </t>
    </r>
  </si>
  <si>
    <t>Verifica se é um IBAN português, senão move espaços</t>
  </si>
  <si>
    <t xml:space="preserve">   MOVE '1012'                  TO CODBAR-IDENTIF-DOCUM </t>
  </si>
  <si>
    <r>
      <t xml:space="preserve">IF </t>
    </r>
    <r>
      <rPr>
        <b/>
        <sz val="8"/>
        <color rgb="FF0070C0"/>
        <rFont val="Courier New"/>
        <family val="3"/>
      </rPr>
      <t>W800-IBAN(1:4)</t>
    </r>
    <r>
      <rPr>
        <sz val="8"/>
        <color theme="1"/>
        <rFont val="Courier New"/>
        <family val="3"/>
      </rPr>
      <t xml:space="preserve"> = 'PT50'</t>
    </r>
  </si>
  <si>
    <t xml:space="preserve">ELSE                                                    </t>
  </si>
  <si>
    <t xml:space="preserve">   MOVE W800-IBAN(9:4)    TO X080BNCAB1-COD-BALCAO</t>
  </si>
  <si>
    <r>
      <t xml:space="preserve">   IF </t>
    </r>
    <r>
      <rPr>
        <b/>
        <sz val="9"/>
        <color rgb="FF0070C0"/>
        <rFont val="Courier New"/>
        <family val="3"/>
      </rPr>
      <t>NZ44CU01-CARTA-ENT2</t>
    </r>
    <r>
      <rPr>
        <sz val="9"/>
        <color theme="1"/>
        <rFont val="Courier New"/>
        <family val="3"/>
      </rPr>
      <t xml:space="preserve">                               </t>
    </r>
  </si>
  <si>
    <t xml:space="preserve">      MOVE '1013'               TO CODBAR-IDENTIF-DOCUM </t>
  </si>
  <si>
    <t xml:space="preserve">   MOVE SPACES            TO X080BNCAB1-COD-BALCAO</t>
  </si>
  <si>
    <t xml:space="preserve">   END-IF                                               </t>
  </si>
  <si>
    <t xml:space="preserve">END-IF                                                  </t>
  </si>
  <si>
    <t>STRING 'IBAN: ' W800-IBAN '  BIC SWIFT: ' W800-SWIFT</t>
  </si>
  <si>
    <t>retira 1 dia</t>
  </si>
  <si>
    <t xml:space="preserve">  DELIMITED BY SIZE INTO X080-CHIP-FLD(XX)</t>
  </si>
  <si>
    <r>
      <t xml:space="preserve">MOVE </t>
    </r>
    <r>
      <rPr>
        <b/>
        <sz val="9"/>
        <color rgb="FF0070C0"/>
        <rFont val="Courier New"/>
        <family val="3"/>
      </rPr>
      <t>NZ44CU01-POLICY-EXPIRY-DATE(1:2)</t>
    </r>
    <r>
      <rPr>
        <sz val="9"/>
        <color theme="1"/>
        <rFont val="Courier New"/>
        <family val="3"/>
      </rPr>
      <t xml:space="preserve"> TO W400-DATA-CALC(7:2)</t>
    </r>
  </si>
  <si>
    <t>END-STRING</t>
  </si>
  <si>
    <r>
      <t xml:space="preserve">MOVE </t>
    </r>
    <r>
      <rPr>
        <b/>
        <sz val="9"/>
        <color rgb="FF0070C0"/>
        <rFont val="Courier New"/>
        <family val="3"/>
      </rPr>
      <t>NZ44CU01-POLICY-EXPIRY-DATE(3:2)</t>
    </r>
    <r>
      <rPr>
        <sz val="9"/>
        <color theme="1"/>
        <rFont val="Courier New"/>
        <family val="3"/>
      </rPr>
      <t xml:space="preserve"> TO W400-DATA-CALC(5:2)</t>
    </r>
  </si>
  <si>
    <r>
      <t xml:space="preserve">MOVE </t>
    </r>
    <r>
      <rPr>
        <b/>
        <sz val="9"/>
        <color rgb="FF0070C0"/>
        <rFont val="Courier New"/>
        <family val="3"/>
      </rPr>
      <t>NZ44CU01-POLICY-EXPIRY-DATE(5:4)</t>
    </r>
    <r>
      <rPr>
        <sz val="9"/>
        <color theme="1"/>
        <rFont val="Courier New"/>
        <family val="3"/>
      </rPr>
      <t xml:space="preserve"> TO W400-DATA-CALC(1:4)</t>
    </r>
  </si>
  <si>
    <t xml:space="preserve">IF X080BNENTI-OBJECTO-DESC NOT = SPACES                </t>
  </si>
  <si>
    <t xml:space="preserve">COMPUTE W400-RESULT-DATA = FUNCTION DATE-OF-INTEGER         </t>
  </si>
  <si>
    <t xml:space="preserve">   MOVE X080BNENTI-OBJECTO-DESC TO X080BNENTI-NIF-LINE </t>
  </si>
  <si>
    <t xml:space="preserve">   (FUNCTION INTEGER-OF-DATE (W400-DATA-CALC) - 1)          </t>
  </si>
  <si>
    <t xml:space="preserve">END-IF                                                 </t>
  </si>
  <si>
    <t>MOVE SPACES                  TO X080BNENTI-OBJECTO-DESC</t>
  </si>
  <si>
    <r>
      <rPr>
        <b/>
        <sz val="9"/>
        <color rgb="FF7030A0"/>
        <rFont val="Courier New"/>
        <family val="3"/>
      </rPr>
      <t>SEARCH ALL W400-ELEMTAB</t>
    </r>
    <r>
      <rPr>
        <sz val="9"/>
        <color theme="1"/>
        <rFont val="Courier New"/>
        <family val="3"/>
      </rPr>
      <t xml:space="preserve">     </t>
    </r>
  </si>
  <si>
    <r>
      <t xml:space="preserve">STRING </t>
    </r>
    <r>
      <rPr>
        <sz val="9"/>
        <color rgb="FFFF0000"/>
        <rFont val="Courier New"/>
        <family val="3"/>
      </rPr>
      <t>'Risco Seguro: '</t>
    </r>
    <r>
      <rPr>
        <sz val="9"/>
        <color theme="1"/>
        <rFont val="Courier New"/>
        <family val="3"/>
      </rPr>
      <t xml:space="preserve">                                </t>
    </r>
  </si>
  <si>
    <t xml:space="preserve">    AT END                  </t>
  </si>
  <si>
    <t xml:space="preserve">       NZ5PDU01-X-LVRE-1(1:25) DELIMITED BY '  '       </t>
  </si>
  <si>
    <r>
      <t xml:space="preserve">IF (W500-GUARDA-PROD-CODE(1:2) EQUAL </t>
    </r>
    <r>
      <rPr>
        <b/>
        <sz val="9"/>
        <color rgb="FF0070C0"/>
        <rFont val="Courier New"/>
        <family val="3"/>
      </rPr>
      <t>'AU'</t>
    </r>
    <r>
      <rPr>
        <sz val="9"/>
        <color theme="1"/>
        <rFont val="Courier New"/>
        <family val="3"/>
      </rPr>
      <t xml:space="preserve">) OR         </t>
    </r>
  </si>
  <si>
    <t xml:space="preserve">       '  -  '                                         </t>
  </si>
  <si>
    <r>
      <t xml:space="preserve">   (W500-GUARDA-PROD-CODE(1:3) EQUAL </t>
    </r>
    <r>
      <rPr>
        <b/>
        <sz val="9"/>
        <color rgb="FF0070C0"/>
        <rFont val="Courier New"/>
        <family val="3"/>
      </rPr>
      <t>'FAU'</t>
    </r>
    <r>
      <rPr>
        <sz val="9"/>
        <color theme="1"/>
        <rFont val="Courier New"/>
        <family val="3"/>
      </rPr>
      <t xml:space="preserve">)           </t>
    </r>
  </si>
  <si>
    <t xml:space="preserve">       NZ5PDU01-X-LVRE-1(26:15) DELIMITED BY '  '      </t>
  </si>
  <si>
    <r>
      <t xml:space="preserve">   STRING </t>
    </r>
    <r>
      <rPr>
        <b/>
        <sz val="9"/>
        <color rgb="FF0070C0"/>
        <rFont val="Courier New"/>
        <family val="3"/>
      </rPr>
      <t>NZ44CU01-POLICY-NUMBER</t>
    </r>
    <r>
      <rPr>
        <sz val="9"/>
        <color theme="1"/>
        <rFont val="Courier New"/>
        <family val="3"/>
      </rPr>
      <t xml:space="preserve"> DELIMITED BY SPACE   </t>
    </r>
  </si>
  <si>
    <t xml:space="preserve">       INTO X080BNENTI-OBJECTO-DESC                    </t>
  </si>
  <si>
    <t xml:space="preserve">          ' - ' DELIMITED BY SIZE                     </t>
  </si>
  <si>
    <t xml:space="preserve">END-STRING                                             </t>
  </si>
  <si>
    <r>
      <t xml:space="preserve">          </t>
    </r>
    <r>
      <rPr>
        <b/>
        <sz val="9"/>
        <color rgb="FFFF0000"/>
        <rFont val="Courier New"/>
        <family val="3"/>
      </rPr>
      <t>'Seguro Automóvel'</t>
    </r>
    <r>
      <rPr>
        <sz val="9"/>
        <color theme="1"/>
        <rFont val="Courier New"/>
        <family val="3"/>
      </rPr>
      <t xml:space="preserve"> DELIMITED BY SIZE        </t>
    </r>
  </si>
  <si>
    <t xml:space="preserve">                          INTO W800-APOLPROD          </t>
  </si>
  <si>
    <t xml:space="preserve">   END-STRING                                         </t>
  </si>
  <si>
    <r>
      <t xml:space="preserve">   IF </t>
    </r>
    <r>
      <rPr>
        <b/>
        <sz val="9"/>
        <color rgb="FF0070C0"/>
        <rFont val="Courier New"/>
        <family val="3"/>
      </rPr>
      <t>NZ44CU01-VEH-REG-NUMBER</t>
    </r>
    <r>
      <rPr>
        <sz val="9"/>
        <color theme="1"/>
        <rFont val="Courier New"/>
        <family val="3"/>
      </rPr>
      <t xml:space="preserve"> GREATER SPACES          </t>
    </r>
  </si>
  <si>
    <r>
      <t xml:space="preserve">      STRING </t>
    </r>
    <r>
      <rPr>
        <b/>
        <sz val="9"/>
        <color rgb="FFFF0000"/>
        <rFont val="Courier New"/>
        <family val="3"/>
      </rPr>
      <t>'Risco Seguro - '</t>
    </r>
    <r>
      <rPr>
        <sz val="9"/>
        <color theme="1"/>
        <rFont val="Courier New"/>
        <family val="3"/>
      </rPr>
      <t xml:space="preserve"> DELIMITED BY SIZE      </t>
    </r>
  </si>
  <si>
    <r>
      <t xml:space="preserve">             </t>
    </r>
    <r>
      <rPr>
        <b/>
        <sz val="9"/>
        <color rgb="FF0070C0"/>
        <rFont val="Courier New"/>
        <family val="3"/>
      </rPr>
      <t>NZ44CU01-VEH-REG-NUMBER</t>
    </r>
    <r>
      <rPr>
        <sz val="9"/>
        <color theme="1"/>
        <rFont val="Courier New"/>
        <family val="3"/>
      </rPr>
      <t xml:space="preserve"> DELIMITED BY SIZE</t>
    </r>
  </si>
  <si>
    <t xml:space="preserve">                          INTO W800-VARIAVEL          </t>
  </si>
  <si>
    <t xml:space="preserve">      END-STRING                                      </t>
  </si>
  <si>
    <t xml:space="preserve">   ELSE                                               </t>
  </si>
  <si>
    <r>
      <t xml:space="preserve">             </t>
    </r>
    <r>
      <rPr>
        <b/>
        <sz val="9"/>
        <color rgb="FFFF0000"/>
        <rFont val="Courier New"/>
        <family val="3"/>
      </rPr>
      <t>'SEM MATRÍCULA'</t>
    </r>
    <r>
      <rPr>
        <sz val="9"/>
        <color theme="1"/>
        <rFont val="Courier New"/>
        <family val="3"/>
      </rPr>
      <t xml:space="preserve"> DELIMITED BY SIZE        </t>
    </r>
  </si>
  <si>
    <t xml:space="preserve">   END-IF                                             </t>
  </si>
  <si>
    <r>
      <t xml:space="preserve">   IF </t>
    </r>
    <r>
      <rPr>
        <b/>
        <sz val="8"/>
        <color rgb="FF0070C0"/>
        <rFont val="Courier New"/>
        <family val="3"/>
      </rPr>
      <t>NZ44CU01-CARTA-ENT1</t>
    </r>
    <r>
      <rPr>
        <sz val="8"/>
        <color theme="1"/>
        <rFont val="Courier New"/>
        <family val="3"/>
      </rPr>
      <t xml:space="preserve">                           </t>
    </r>
  </si>
  <si>
    <r>
      <t xml:space="preserve">      MOVE </t>
    </r>
    <r>
      <rPr>
        <b/>
        <sz val="8"/>
        <color rgb="FFFF0000"/>
        <rFont val="Courier New"/>
        <family val="3"/>
      </rPr>
      <t>'L'</t>
    </r>
    <r>
      <rPr>
        <sz val="8"/>
        <color theme="1"/>
        <rFont val="Courier New"/>
        <family val="3"/>
      </rPr>
      <t xml:space="preserve">              TO W800-LETTER-CLIENT-L </t>
    </r>
  </si>
  <si>
    <r>
      <t xml:space="preserve">      IF </t>
    </r>
    <r>
      <rPr>
        <b/>
        <sz val="8"/>
        <color rgb="FF0070C0"/>
        <rFont val="Courier New"/>
        <family val="3"/>
      </rPr>
      <t>NZ44CU01-CARTA-ENT2</t>
    </r>
    <r>
      <rPr>
        <sz val="8"/>
        <color theme="1"/>
        <rFont val="Courier New"/>
        <family val="3"/>
      </rPr>
      <t xml:space="preserve">                        </t>
    </r>
  </si>
  <si>
    <r>
      <t xml:space="preserve">         MOVE </t>
    </r>
    <r>
      <rPr>
        <b/>
        <sz val="8"/>
        <color rgb="FFFF0000"/>
        <rFont val="Courier New"/>
        <family val="3"/>
      </rPr>
      <t>'A'</t>
    </r>
    <r>
      <rPr>
        <sz val="8"/>
        <color theme="1"/>
        <rFont val="Courier New"/>
        <family val="3"/>
      </rPr>
      <t xml:space="preserve">           TO W800-LETTER-CLIENT-L </t>
    </r>
  </si>
  <si>
    <t xml:space="preserve">      END-IF                                        </t>
  </si>
  <si>
    <t xml:space="preserve">   END-IF                                           </t>
  </si>
  <si>
    <r>
      <t xml:space="preserve">   STRING </t>
    </r>
    <r>
      <rPr>
        <b/>
        <sz val="8"/>
        <color rgb="FF0070C0"/>
        <rFont val="Courier New"/>
        <family val="3"/>
      </rPr>
      <t>NZ44CU01-POLICY-NUMBER</t>
    </r>
    <r>
      <rPr>
        <sz val="8"/>
        <color theme="1"/>
        <rFont val="Courier New"/>
        <family val="3"/>
      </rPr>
      <t xml:space="preserve"> DELIMITED BY SPACE </t>
    </r>
  </si>
  <si>
    <t xml:space="preserve">          ' - ' DELIMITED BY SIZE                   </t>
  </si>
  <si>
    <r>
      <t xml:space="preserve">          </t>
    </r>
    <r>
      <rPr>
        <b/>
        <sz val="8"/>
        <color rgb="FFFF0000"/>
        <rFont val="Courier New"/>
        <family val="3"/>
      </rPr>
      <t>'Seguro de Transportes'</t>
    </r>
    <r>
      <rPr>
        <sz val="8"/>
        <color theme="1"/>
        <rFont val="Courier New"/>
        <family val="3"/>
      </rPr>
      <t xml:space="preserve"> DELIMITED BY SIZE </t>
    </r>
  </si>
  <si>
    <t xml:space="preserve">                          INTO W800-APOLPROD        </t>
  </si>
  <si>
    <t xml:space="preserve">   END-STRING                                       </t>
  </si>
  <si>
    <r>
      <t xml:space="preserve">      MOVE </t>
    </r>
    <r>
      <rPr>
        <b/>
        <sz val="8"/>
        <color rgb="FFFF0000"/>
        <rFont val="Courier New"/>
        <family val="3"/>
      </rPr>
      <t>'M'</t>
    </r>
    <r>
      <rPr>
        <sz val="8"/>
        <color theme="1"/>
        <rFont val="Courier New"/>
        <family val="3"/>
      </rPr>
      <t xml:space="preserve">              TO W800-LETTER-CLIENT-L </t>
    </r>
  </si>
  <si>
    <r>
      <t xml:space="preserve">         MOVE </t>
    </r>
    <r>
      <rPr>
        <b/>
        <sz val="8"/>
        <color rgb="FFFF0000"/>
        <rFont val="Courier New"/>
        <family val="3"/>
      </rPr>
      <t>'B'</t>
    </r>
    <r>
      <rPr>
        <sz val="8"/>
        <color theme="1"/>
        <rFont val="Courier New"/>
        <family val="3"/>
      </rPr>
      <t xml:space="preserve">           TO W800-LETTER-CLIENT-L </t>
    </r>
  </si>
  <si>
    <t xml:space="preserve">END-IF                                              </t>
  </si>
  <si>
    <r>
      <t xml:space="preserve"> </t>
    </r>
    <r>
      <rPr>
        <b/>
        <sz val="8"/>
        <color rgb="FF7030A0"/>
        <rFont val="Courier New"/>
        <family val="3"/>
      </rPr>
      <t xml:space="preserve"> WHEN W400-COD-PROD(INDEX1) EQUAL W500-GUARDA-PROD-CODE    </t>
    </r>
  </si>
  <si>
    <r>
      <t xml:space="preserve">     STRING </t>
    </r>
    <r>
      <rPr>
        <b/>
        <sz val="8"/>
        <color rgb="FF0070C0"/>
        <rFont val="Courier New"/>
        <family val="3"/>
      </rPr>
      <t>NZ44CU01-POLICY-NUMBER</t>
    </r>
    <r>
      <rPr>
        <sz val="8"/>
        <color theme="1"/>
        <rFont val="Courier New"/>
        <family val="3"/>
      </rPr>
      <t xml:space="preserve"> DELIMITED BY SPACE       </t>
    </r>
  </si>
  <si>
    <t xml:space="preserve">            ' - ' DELIMITED BY SIZE                         </t>
  </si>
  <si>
    <t xml:space="preserve">            W400-DESCR-PROD(INDEX1) DELIMITED BY SIZE       </t>
  </si>
  <si>
    <t xml:space="preserve">                                 INTO W800-APOLPROD         </t>
  </si>
  <si>
    <t xml:space="preserve">     END-STRING                                             </t>
  </si>
  <si>
    <r>
      <t xml:space="preserve">     IF </t>
    </r>
    <r>
      <rPr>
        <b/>
        <sz val="8"/>
        <color rgb="FF0070C0"/>
        <rFont val="Courier New"/>
        <family val="3"/>
      </rPr>
      <t>NZ44CU01-VEH-REG-NUMBER</t>
    </r>
    <r>
      <rPr>
        <sz val="8"/>
        <color theme="1"/>
        <rFont val="Courier New"/>
        <family val="3"/>
      </rPr>
      <t xml:space="preserve"> GREATER SPACES              </t>
    </r>
  </si>
  <si>
    <t xml:space="preserve">        STRING 'Contrato de Locação nº:  ' DELIMITED BY SIZE</t>
  </si>
  <si>
    <r>
      <t xml:space="preserve">              </t>
    </r>
    <r>
      <rPr>
        <b/>
        <sz val="8"/>
        <color rgb="FF0070C0"/>
        <rFont val="Courier New"/>
        <family val="3"/>
      </rPr>
      <t xml:space="preserve"> NZ44CU01-VEH-REG-NUMBER</t>
    </r>
    <r>
      <rPr>
        <sz val="8"/>
        <color theme="1"/>
        <rFont val="Courier New"/>
        <family val="3"/>
      </rPr>
      <t xml:space="preserve"> DELIMITED BY SIZE    </t>
    </r>
  </si>
  <si>
    <t xml:space="preserve">                                 INTO W800-VARIAVEL         </t>
  </si>
  <si>
    <t xml:space="preserve">        END-STRING                                          </t>
  </si>
  <si>
    <t xml:space="preserve">     END-IF                                                 </t>
  </si>
  <si>
    <r>
      <t xml:space="preserve">     IF </t>
    </r>
    <r>
      <rPr>
        <b/>
        <sz val="8"/>
        <color rgb="FF0070C0"/>
        <rFont val="Courier New"/>
        <family val="3"/>
      </rPr>
      <t xml:space="preserve">NZ44CU01-CARTA-ENT1 </t>
    </r>
    <r>
      <rPr>
        <sz val="8"/>
        <color theme="1"/>
        <rFont val="Courier New"/>
        <family val="3"/>
      </rPr>
      <t xml:space="preserve">                                </t>
    </r>
  </si>
  <si>
    <r>
      <t xml:space="preserve">        MOVE </t>
    </r>
    <r>
      <rPr>
        <b/>
        <sz val="8"/>
        <color rgb="FFFF0000"/>
        <rFont val="Courier New"/>
        <family val="3"/>
      </rPr>
      <t>'M'</t>
    </r>
    <r>
      <rPr>
        <sz val="8"/>
        <color theme="1"/>
        <rFont val="Courier New"/>
        <family val="3"/>
      </rPr>
      <t xml:space="preserve">                   TO W800-LETTER-CLIENT-L  </t>
    </r>
  </si>
  <si>
    <t xml:space="preserve">     ELSE                                                   </t>
  </si>
  <si>
    <r>
      <t xml:space="preserve">        IF </t>
    </r>
    <r>
      <rPr>
        <b/>
        <sz val="8"/>
        <color rgb="FF0070C0"/>
        <rFont val="Courier New"/>
        <family val="3"/>
      </rPr>
      <t>NZ44CU01-CARTA-ENT2</t>
    </r>
    <r>
      <rPr>
        <sz val="8"/>
        <color theme="1"/>
        <rFont val="Courier New"/>
        <family val="3"/>
      </rPr>
      <t xml:space="preserve">                              </t>
    </r>
  </si>
  <si>
    <r>
      <t xml:space="preserve">           MOVE </t>
    </r>
    <r>
      <rPr>
        <b/>
        <sz val="8"/>
        <color rgb="FFFF0000"/>
        <rFont val="Courier New"/>
        <family val="3"/>
      </rPr>
      <t>'B'</t>
    </r>
    <r>
      <rPr>
        <sz val="8"/>
        <color theme="1"/>
        <rFont val="Courier New"/>
        <family val="3"/>
      </rPr>
      <t xml:space="preserve">                TO W800-LETTER-CLIENT-L  </t>
    </r>
  </si>
  <si>
    <t xml:space="preserve">        END-IF                                              </t>
  </si>
  <si>
    <t xml:space="preserve">END-SEARCH.                                                 </t>
  </si>
  <si>
    <r>
      <t xml:space="preserve">IF </t>
    </r>
    <r>
      <rPr>
        <b/>
        <sz val="8"/>
        <color rgb="FF0070C0"/>
        <rFont val="Courier New"/>
        <family val="3"/>
      </rPr>
      <t>NZ44CU01-VEH-REG-NUMBER</t>
    </r>
    <r>
      <rPr>
        <sz val="8"/>
        <color theme="1"/>
        <rFont val="Courier New"/>
        <family val="3"/>
      </rPr>
      <t xml:space="preserve"> EQUAL SPACES                      </t>
    </r>
  </si>
  <si>
    <r>
      <t xml:space="preserve">   MOVE </t>
    </r>
    <r>
      <rPr>
        <b/>
        <sz val="8"/>
        <color rgb="FFFF0000"/>
        <rFont val="Courier New"/>
        <family val="3"/>
      </rPr>
      <t xml:space="preserve">'SEM MATRÍCULA' </t>
    </r>
    <r>
      <rPr>
        <sz val="8"/>
        <color theme="1"/>
        <rFont val="Courier New"/>
        <family val="3"/>
      </rPr>
      <t xml:space="preserve">           TO W800-LEASING-VEH-REG-NR</t>
    </r>
  </si>
  <si>
    <t xml:space="preserve">ELSE                                                         </t>
  </si>
  <si>
    <r>
      <t xml:space="preserve">   MOVE </t>
    </r>
    <r>
      <rPr>
        <b/>
        <sz val="8"/>
        <color rgb="FFFF0000"/>
        <rFont val="Courier New"/>
        <family val="3"/>
      </rPr>
      <t>NZ44CU01-VEH-REG-NUMBER</t>
    </r>
    <r>
      <rPr>
        <sz val="8"/>
        <color theme="1"/>
        <rFont val="Courier New"/>
        <family val="3"/>
      </rPr>
      <t xml:space="preserve">    TO W800-LEASING-VEH-REG-NR</t>
    </r>
  </si>
  <si>
    <t xml:space="preserve">END-IF.                                                      </t>
  </si>
  <si>
    <t>Sugestão de alteração</t>
  </si>
  <si>
    <t>??? Caí ???</t>
  </si>
  <si>
    <t xml:space="preserve">      88  :PREFIX:-DOC-CRT-ENT1             VALUE 'ENT1'.</t>
  </si>
  <si>
    <t xml:space="preserve">     'ENT1' - Carta de Cancelamento</t>
  </si>
  <si>
    <t xml:space="preserve">      88  :PREFIX:-DOC-CRT-ENT2             VALUE 'ENT2'.</t>
  </si>
  <si>
    <t xml:space="preserve">     'ENT2' - Carta de Cancelamento</t>
  </si>
  <si>
    <t xml:space="preserve">      88  :PREFIX:-DOC-CRT-FP01             VALUE 'FP01'.</t>
  </si>
  <si>
    <t xml:space="preserve">     'FP01' - Carta de Cancelamento</t>
  </si>
  <si>
    <t xml:space="preserve">      88  :PREFIX:-DOC-CRT-FP02             VALUE 'FP02'.</t>
  </si>
  <si>
    <t xml:space="preserve">     'FP02' - Carta de Cancelamento</t>
  </si>
  <si>
    <t xml:space="preserve">      88  :PREFIX:-DOC-CRT-FP03             VALUE 'FP03'.</t>
  </si>
  <si>
    <t xml:space="preserve">     'FP03' - Carta de Cancelamento</t>
  </si>
  <si>
    <t xml:space="preserve">      88  :PREFIX:-DOC-CRT-FP04             VALUE 'FP04'.</t>
  </si>
  <si>
    <t xml:space="preserve">     'FP04' - Carta de Cancelamento</t>
  </si>
  <si>
    <t xml:space="preserve">      88  :PREFIX:-DOC-CRT-FP05             VALUE 'FP05'.</t>
  </si>
  <si>
    <t xml:space="preserve">     'FP05' - Carta de Cancelamento</t>
  </si>
  <si>
    <t xml:space="preserve">      88  :PREFIX:-DOC-CRT-FP06             VALUE 'FP06'.</t>
  </si>
  <si>
    <t xml:space="preserve">     'FP06' - Carta de Cancelamento</t>
  </si>
  <si>
    <t xml:space="preserve">      88  :PREFIX:-DOC-CRT-FP07             VALUE 'FP07'.</t>
  </si>
  <si>
    <t xml:space="preserve">     'FP07' - Carta de Cancelamento</t>
  </si>
  <si>
    <t xml:space="preserve">      88  :PREFIX:-DOC-CRT-FP12             VALUE 'FP12'.</t>
  </si>
  <si>
    <t xml:space="preserve">     'FP12' - Carta de Cancelamento</t>
  </si>
  <si>
    <t xml:space="preserve">      88  :PREFIX:-DOC-CRT-FP21             VALUE 'FP21'.</t>
  </si>
  <si>
    <t xml:space="preserve">     'FP21' - Carta de Cancelamento</t>
  </si>
  <si>
    <t xml:space="preserve">      88  :PREFIX:-DOC-CRT-FP23             VALUE 'FP23'.</t>
  </si>
  <si>
    <t xml:space="preserve">     'FP23' - Carta de Cancelamento</t>
  </si>
  <si>
    <t xml:space="preserve">      88  :PREFIX:-MAR-EUROBIC              VALUE '028'.</t>
  </si>
  <si>
    <t xml:space="preserve">     '028' - Eurobic</t>
  </si>
  <si>
    <t xml:space="preserve">      88  :PREFIX:-ORI-SGF-GR               VALUE 'SPG'.</t>
  </si>
  <si>
    <t xml:space="preserve">     'SPG' - SGF</t>
  </si>
  <si>
    <t xml:space="preserve">      88  :PREFIX:-ORI-SGF-IN               VALUE 'SPA'.</t>
  </si>
  <si>
    <t xml:space="preserve">     'SPA' - SGF</t>
  </si>
  <si>
    <t xml:space="preserve">      88  :PREFIX:-ORI-FGS                  VALUE 'FGS'.</t>
  </si>
  <si>
    <t xml:space="preserve">     'FGS' - FGS</t>
  </si>
  <si>
    <t xml:space="preserve">      88  :PREFIX:-ORI-FCS                  VALUE 'FCS'.</t>
  </si>
  <si>
    <t xml:space="preserve">     'FCS' - FCS</t>
  </si>
  <si>
    <t>05  :PREFIX:-DADOS-DOCUMENTO            PIC X(2906).</t>
  </si>
  <si>
    <t>05  FILLER                        REDEFINES :PREFIX:-DADOS-DOCUMENTO.</t>
  </si>
  <si>
    <t xml:space="preserve">        88  :PREFIX:-EMI-ENTREGA-EXTR       VALUE 'EX0'.</t>
  </si>
  <si>
    <t xml:space="preserve">     'EX' - Extracto</t>
  </si>
  <si>
    <t xml:space="preserve">              '0350  ' '0351  ' '0352  ' '0353  ' '0354  '</t>
  </si>
  <si>
    <t xml:space="preserve">              '0355  ' '0356  ' '0357  ' '0358  ' '0359  '</t>
  </si>
  <si>
    <t xml:space="preserve">              '0360  ' '0370  ' '0380  ' '0390  ' '0395  '</t>
  </si>
  <si>
    <t xml:space="preserve">              '0401  ' '0405  ' '0501  ' '0510  ' '0515  '</t>
  </si>
  <si>
    <t xml:space="preserve">              '0520  ' '0525  ' '0601  ' '0701  ' '0705  '</t>
  </si>
  <si>
    <t xml:space="preserve">              '0750  ' '0905  ' '2001  ' '2010  ' '2101  '</t>
  </si>
  <si>
    <t xml:space="preserve">              '22000 ' '22002 ' '22003 ' '2201  ' '2210  '</t>
  </si>
  <si>
    <t xml:space="preserve">              '2211  ' '2215  ' '2220  ' '2250  ' '2301  '</t>
  </si>
  <si>
    <t xml:space="preserve">              '2401  ' '2402  ' '2501  ' '2601  ' '2605  '</t>
  </si>
  <si>
    <t xml:space="preserve">              '2705  ' '2801  ' '3102  ' '3109  ' '3150  '</t>
  </si>
  <si>
    <t xml:space="preserve">              '3201  ' '3205  ' '3210  ' '3215  ' '3301  '</t>
  </si>
  <si>
    <t xml:space="preserve">              '3401  ' '3405  ' '3410  ' '3420  ' '3425  '</t>
  </si>
  <si>
    <t xml:space="preserve">              '3430  ' '3501  ' '3505  ' '3601  ' '3605  '</t>
  </si>
  <si>
    <t xml:space="preserve">              '3625  ' '3701  ' '3702  ' '3801  ' '3802  '</t>
  </si>
  <si>
    <t xml:space="preserve">              '3803  ' '3901  '.</t>
  </si>
  <si>
    <r>
      <t xml:space="preserve">        88  :PREFIX:-RAM-</t>
    </r>
    <r>
      <rPr>
        <b/>
        <sz val="11"/>
        <rFont val="Courier New"/>
        <family val="3"/>
      </rPr>
      <t>N</t>
    </r>
    <r>
      <rPr>
        <sz val="11"/>
        <rFont val="Courier New"/>
        <family val="3"/>
      </rPr>
      <t>VIDA-CLH           VALUE '22000 '</t>
    </r>
  </si>
  <si>
    <t xml:space="preserve">              '22002 ' '22003 '.</t>
  </si>
  <si>
    <r>
      <t xml:space="preserve">        88  :PREFIX:-RAM-</t>
    </r>
    <r>
      <rPr>
        <b/>
        <sz val="11"/>
        <rFont val="Courier New"/>
        <family val="3"/>
      </rPr>
      <t>N</t>
    </r>
    <r>
      <rPr>
        <sz val="11"/>
        <rFont val="Courier New"/>
        <family val="3"/>
      </rPr>
      <t>VIDA-MHS           VALUE '3102  '</t>
    </r>
  </si>
  <si>
    <t xml:space="preserve">        88  :PREFIX:-RAM-VIDA                VALUE '11    '</t>
  </si>
  <si>
    <t>Ramos Vida</t>
  </si>
  <si>
    <t xml:space="preserve">              '13    ' '14    '.</t>
  </si>
  <si>
    <t>???</t>
  </si>
  <si>
    <t xml:space="preserve">  07  :PREFIX:-DADOS-VALOR.</t>
  </si>
  <si>
    <t xml:space="preserve">    09  :PREFIX:-VLR-DIVIDA             PIC S9(12)V9(02)
                                        SIGN LEADING SEPARATE.</t>
  </si>
  <si>
    <t>Valor em divida</t>
  </si>
  <si>
    <t xml:space="preserve">  07  :PREFIX:-DADOS-UR                 PIC X(200).</t>
  </si>
  <si>
    <t xml:space="preserve">  07  :PREFIX:-UR-GERAL           REDEFINES :PREFIX:-DADOS-UR.</t>
  </si>
  <si>
    <t xml:space="preserve">    09  FILLER                          PIC X(135).</t>
  </si>
  <si>
    <t xml:space="preserve">  07  :PREFIX:-UR-VIDARISCO       REDEFINES :PREFIX:-DADOS-UR.</t>
  </si>
  <si>
    <t xml:space="preserve">    09  FILLER                          PIC X(40).</t>
  </si>
  <si>
    <t xml:space="preserve">  07  :PREFIX:-UR-SAUDE           REDEFINES :PREFIX:-DADOS-UR.</t>
  </si>
  <si>
    <t xml:space="preserve">    09  :PREFIX:-SD-CAP-INTER           PIC S9(12)V9(02)
                               SIGN LEADING SEPARATE</t>
  </si>
  <si>
    <t>Capital Inter ??</t>
  </si>
  <si>
    <t>NIF Pessoa segura 1  (No caso de Portugal será PT999999999)</t>
  </si>
  <si>
    <t xml:space="preserve">    09  :PREFIX:-SD-PSEGURA1-DT-NASC    PIC X(08).</t>
  </si>
  <si>
    <t xml:space="preserve">    09  FILLER                          PIC X(105).</t>
  </si>
  <si>
    <t xml:space="preserve">  07  :PREFIX:-UR-AUTOMOVEL       REDEFINES :PREFIX:-DADOS-UR.</t>
  </si>
  <si>
    <t xml:space="preserve">    09  :PREFIX:-AU-AREA                PIC X(200).</t>
  </si>
  <si>
    <t xml:space="preserve">    09  :PREFIX:-AU-VH            REDEFINES :PREFIX:-AU-AREA.</t>
  </si>
  <si>
    <t xml:space="preserve">      11  FILLER                        PIC X(120).</t>
  </si>
  <si>
    <t xml:space="preserve">    09  :PREFIX:-AU-VG            REDEFINES :PREFIX:-AU-AREA.</t>
  </si>
  <si>
    <t xml:space="preserve">      11  FILLER                        PIC X(135).</t>
  </si>
  <si>
    <t xml:space="preserve">    09  :PREFIX:-AU-VO            REDEFINES :PREFIX:-AU-AREA.</t>
  </si>
  <si>
    <t xml:space="preserve">  07  :PREFIX:-UR-MULTIRISCO      REDEFINES :PREFIX:-DADOS-UR.</t>
  </si>
  <si>
    <t xml:space="preserve">    09  :PREFIX:-MR-OBJETO              PIC X(10).</t>
  </si>
  <si>
    <t xml:space="preserve">    09  FILLER                          PIC X(21).</t>
  </si>
  <si>
    <t xml:space="preserve">  07  :PREFIX:-UR-AT              REDEFINES :PREFIX:-DADOS-UR.</t>
  </si>
  <si>
    <t xml:space="preserve">  07  :PREFIX:-VIDA-ADIC.</t>
  </si>
  <si>
    <t xml:space="preserve">    09  :PREFIX:-VA-PROC-BANC           PIC X(30).</t>
  </si>
  <si>
    <t>Processo Bancário</t>
  </si>
  <si>
    <t xml:space="preserve">    09  :PREFIX:-VA-DT-VENCMNTO         PIC X(08).</t>
  </si>
  <si>
    <t xml:space="preserve">    09  :PREFIX:-VA-DT-LIM-PAGTO        PIC X(08).</t>
  </si>
  <si>
    <t>Data de Limite de Pagamento</t>
  </si>
  <si>
    <t xml:space="preserve">    09  :PREFIX:-VA-NOME-TOMADOR        PIC X(40)</t>
  </si>
  <si>
    <t>Nome do Tomador do Seguro</t>
  </si>
  <si>
    <t xml:space="preserve">  07  FILLER                            PIC X(1346).</t>
  </si>
  <si>
    <t xml:space="preserve">    09  :PREFIX:-LST-VLR-RECIBO         PIC S9(12)V9(02)
                                        SIGN LEADING SEPARATE.</t>
  </si>
  <si>
    <t xml:space="preserve">  07  FILLER                            PIC X(2851).</t>
  </si>
  <si>
    <t xml:space="preserve">    09  :PREFIX:-FTR-TOT-RECIBO         PIC S9(12)V9(02)
                                        SIGN LEADING SEPARATE.</t>
  </si>
  <si>
    <t xml:space="preserve">  07  FILLER                            PIC X(2891).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</si>
</sst>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ourier New"/>
      <family val="3"/>
    </font>
    <font>
      <sz val="11"/>
      <color rgb="FFFF0000"/>
      <name val="Courier New"/>
      <family val="3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9"/>
      <color theme="1"/>
      <name val="Courier New"/>
      <family val="3"/>
    </font>
    <font>
      <sz val="11"/>
      <color rgb="FFFFC000"/>
      <name val="Calibri"/>
      <family val="2"/>
      <scheme val="minor"/>
    </font>
    <font>
      <b/>
      <sz val="12"/>
      <color theme="0"/>
      <name val="Arial Black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</font>
    <font>
      <sz val="11"/>
      <color theme="3" tint="0.39997558519241921"/>
      <name val="Calibri"/>
      <family val="2"/>
      <scheme val="minor"/>
    </font>
    <font>
      <sz val="11"/>
      <color rgb="FF00B050"/>
      <name val="Calibri"/>
      <family val="2"/>
    </font>
    <font>
      <sz val="9"/>
      <color rgb="FFFF0000"/>
      <name val="Courier New"/>
      <family val="3"/>
    </font>
    <font>
      <sz val="9"/>
      <color rgb="FFBFBFBF"/>
      <name val="Courier New"/>
      <family val="3"/>
    </font>
    <font>
      <sz val="1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99FF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0"/>
      <name val="Calibri"/>
      <family val="2"/>
      <scheme val="minor"/>
    </font>
    <font>
      <strike/>
      <sz val="10"/>
      <color theme="1"/>
      <name val="Calibri"/>
      <family val="2"/>
      <scheme val="minor"/>
    </font>
    <font>
      <b/>
      <sz val="11"/>
      <color theme="1"/>
      <name val="Courier New"/>
      <family val="3"/>
    </font>
    <font>
      <b/>
      <sz val="8"/>
      <color theme="1"/>
      <name val="Courier New"/>
      <family val="3"/>
    </font>
    <font>
      <sz val="8"/>
      <color theme="1"/>
      <name val="Courier New"/>
      <family val="3"/>
    </font>
    <font>
      <sz val="8"/>
      <color theme="1"/>
      <name val="Calibri"/>
      <family val="2"/>
      <scheme val="minor"/>
    </font>
    <font>
      <b/>
      <sz val="8"/>
      <color rgb="FFFF0000"/>
      <name val="Courier New"/>
      <family val="3"/>
    </font>
    <font>
      <b/>
      <sz val="8"/>
      <color rgb="FF0070C0"/>
      <name val="Courier New"/>
      <family val="3"/>
    </font>
    <font>
      <sz val="8"/>
      <name val="Courier New"/>
      <family val="3"/>
    </font>
    <font>
      <sz val="10"/>
      <color rgb="FFFF99FF"/>
      <name val="Calibri"/>
      <family val="2"/>
      <scheme val="minor"/>
    </font>
    <font>
      <b/>
      <i/>
      <sz val="8"/>
      <color rgb="FF00B050"/>
      <name val="Courier New"/>
      <family val="3"/>
    </font>
    <font>
      <sz val="11"/>
      <color rgb="FFFF99FF"/>
      <name val="Calibri"/>
      <family val="2"/>
      <scheme val="minor"/>
    </font>
    <font>
      <b/>
      <sz val="11"/>
      <color rgb="FFFF99FF"/>
      <name val="Courier New"/>
      <family val="3"/>
    </font>
    <font>
      <b/>
      <sz val="9"/>
      <color rgb="FF0070C0"/>
      <name val="Courier New"/>
      <family val="3"/>
    </font>
    <font>
      <b/>
      <sz val="9"/>
      <color rgb="FFFF0000"/>
      <name val="Courier New"/>
      <family val="3"/>
    </font>
    <font>
      <b/>
      <sz val="9"/>
      <color rgb="FF7030A0"/>
      <name val="Courier New"/>
      <family val="3"/>
    </font>
    <font>
      <b/>
      <sz val="8"/>
      <color rgb="FF7030A0"/>
      <name val="Courier New"/>
      <family val="3"/>
    </font>
    <font>
      <sz val="8"/>
      <color theme="1"/>
      <name val="Arial Narrow"/>
      <family val="2"/>
    </font>
    <font>
      <sz val="8"/>
      <color rgb="FFFF0000"/>
      <name val="Arial Narrow"/>
      <family val="2"/>
    </font>
    <font>
      <b/>
      <sz val="8"/>
      <color rgb="FFFF99FF"/>
      <name val="Arial Narrow"/>
      <family val="2"/>
    </font>
    <font>
      <b/>
      <sz val="8"/>
      <color theme="1"/>
      <name val="Arial Narrow"/>
      <family val="2"/>
    </font>
    <font>
      <sz val="8"/>
      <color rgb="FFFF0000"/>
      <name val="Courier New"/>
      <family val="3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6"/>
      <color theme="1"/>
      <name val="Arial Narrow"/>
      <family val="2"/>
    </font>
    <font>
      <sz val="6"/>
      <color theme="1"/>
      <name val="Calibri"/>
      <family val="2"/>
      <scheme val="minor"/>
    </font>
    <font>
      <sz val="10"/>
      <color theme="1"/>
      <name val="Arial Narrow"/>
      <family val="2"/>
    </font>
    <font>
      <strike/>
      <sz val="9"/>
      <color theme="1"/>
      <name val="Arial Narrow"/>
      <family val="2"/>
    </font>
    <font>
      <sz val="11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ourier New"/>
      <family val="3"/>
    </font>
    <font>
      <b/>
      <sz val="11"/>
      <name val="Courier New"/>
      <family val="3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5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0" fillId="0" borderId="0" xfId="0" quotePrefix="1"/>
    <xf numFmtId="0" fontId="3" fillId="0" borderId="1" xfId="0" applyFont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8" fillId="0" borderId="0" xfId="0" applyFont="1" applyAlignment="1">
      <alignment horizontal="right"/>
    </xf>
    <xf numFmtId="0" fontId="0" fillId="0" borderId="1" xfId="0" applyBorder="1"/>
    <xf numFmtId="0" fontId="5" fillId="0" borderId="1" xfId="0" applyFont="1" applyBorder="1"/>
    <xf numFmtId="0" fontId="4" fillId="0" borderId="1" xfId="0" applyFont="1" applyBorder="1"/>
    <xf numFmtId="0" fontId="1" fillId="2" borderId="4" xfId="0" applyFont="1" applyFill="1" applyBorder="1" applyAlignment="1">
      <alignment horizontal="right"/>
    </xf>
    <xf numFmtId="0" fontId="11" fillId="2" borderId="0" xfId="0" applyFont="1" applyFill="1" applyAlignment="1">
      <alignment horizontal="center" vertical="center"/>
    </xf>
    <xf numFmtId="0" fontId="9" fillId="2" borderId="0" xfId="0" applyFont="1" applyFill="1"/>
    <xf numFmtId="0" fontId="4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right"/>
    </xf>
    <xf numFmtId="0" fontId="4" fillId="4" borderId="1" xfId="0" applyFont="1" applyFill="1" applyBorder="1"/>
    <xf numFmtId="0" fontId="5" fillId="4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/>
    </xf>
    <xf numFmtId="0" fontId="3" fillId="0" borderId="0" xfId="0" applyFont="1"/>
    <xf numFmtId="0" fontId="2" fillId="0" borderId="0" xfId="0" applyFont="1"/>
    <xf numFmtId="0" fontId="14" fillId="0" borderId="1" xfId="0" applyFont="1" applyBorder="1" applyAlignment="1">
      <alignment vertical="center"/>
    </xf>
    <xf numFmtId="0" fontId="0" fillId="0" borderId="0" xfId="0" applyAlignment="1">
      <alignment vertical="top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2" fillId="0" borderId="0" xfId="0" quotePrefix="1" applyFont="1"/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6" fillId="0" borderId="1" xfId="0" applyFont="1" applyBorder="1"/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1" xfId="0" applyFont="1" applyBorder="1" applyAlignment="1">
      <alignment vertical="center"/>
    </xf>
    <xf numFmtId="0" fontId="14" fillId="6" borderId="1" xfId="0" applyFont="1" applyFill="1" applyBorder="1" applyAlignment="1">
      <alignment vertical="center"/>
    </xf>
    <xf numFmtId="0" fontId="4" fillId="0" borderId="0" xfId="0" applyFont="1"/>
    <xf numFmtId="0" fontId="0" fillId="6" borderId="0" xfId="0" applyFill="1"/>
    <xf numFmtId="0" fontId="1" fillId="2" borderId="3" xfId="0" applyFont="1" applyFill="1" applyBorder="1" applyAlignment="1">
      <alignment horizontal="center" vertical="top"/>
    </xf>
    <xf numFmtId="0" fontId="20" fillId="0" borderId="6" xfId="0" applyFont="1" applyBorder="1"/>
    <xf numFmtId="0" fontId="20" fillId="0" borderId="9" xfId="0" applyFont="1" applyBorder="1"/>
    <xf numFmtId="0" fontId="21" fillId="0" borderId="0" xfId="0" applyFont="1"/>
    <xf numFmtId="0" fontId="20" fillId="0" borderId="3" xfId="0" applyFont="1" applyBorder="1"/>
    <xf numFmtId="0" fontId="20" fillId="0" borderId="8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5" borderId="3" xfId="0" applyFont="1" applyFill="1" applyBorder="1"/>
    <xf numFmtId="0" fontId="20" fillId="5" borderId="6" xfId="0" applyFont="1" applyFill="1" applyBorder="1"/>
    <xf numFmtId="0" fontId="20" fillId="5" borderId="4" xfId="0" applyFont="1" applyFill="1" applyBorder="1"/>
    <xf numFmtId="0" fontId="20" fillId="5" borderId="7" xfId="0" applyFont="1" applyFill="1" applyBorder="1"/>
    <xf numFmtId="0" fontId="20" fillId="0" borderId="1" xfId="0" applyFont="1" applyBorder="1"/>
    <xf numFmtId="0" fontId="20" fillId="0" borderId="5" xfId="0" applyFont="1" applyBorder="1"/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20" fillId="0" borderId="4" xfId="0" applyFont="1" applyBorder="1" applyAlignment="1">
      <alignment wrapText="1"/>
    </xf>
    <xf numFmtId="0" fontId="20" fillId="0" borderId="7" xfId="0" applyFont="1" applyBorder="1" applyAlignment="1">
      <alignment wrapText="1"/>
    </xf>
    <xf numFmtId="0" fontId="21" fillId="3" borderId="1" xfId="0" applyFont="1" applyFill="1" applyBorder="1"/>
    <xf numFmtId="0" fontId="21" fillId="3" borderId="5" xfId="0" applyFont="1" applyFill="1" applyBorder="1"/>
    <xf numFmtId="0" fontId="21" fillId="0" borderId="1" xfId="0" applyFont="1" applyBorder="1"/>
    <xf numFmtId="0" fontId="21" fillId="0" borderId="5" xfId="0" applyFont="1" applyBorder="1"/>
    <xf numFmtId="0" fontId="4" fillId="0" borderId="3" xfId="0" applyFont="1" applyBorder="1"/>
    <xf numFmtId="0" fontId="5" fillId="0" borderId="3" xfId="0" applyFont="1" applyBorder="1"/>
    <xf numFmtId="0" fontId="0" fillId="0" borderId="3" xfId="0" applyBorder="1"/>
    <xf numFmtId="0" fontId="0" fillId="0" borderId="3" xfId="0" applyBorder="1" applyAlignment="1">
      <alignment horizontal="right"/>
    </xf>
    <xf numFmtId="0" fontId="21" fillId="0" borderId="4" xfId="0" applyFont="1" applyBorder="1"/>
    <xf numFmtId="0" fontId="21" fillId="0" borderId="7" xfId="0" applyFont="1" applyBorder="1"/>
    <xf numFmtId="0" fontId="22" fillId="5" borderId="1" xfId="0" applyFont="1" applyFill="1" applyBorder="1" applyAlignment="1">
      <alignment horizontal="left"/>
    </xf>
    <xf numFmtId="0" fontId="0" fillId="0" borderId="1" xfId="0" applyBorder="1" applyAlignment="1">
      <alignment horizontal="right" vertical="top"/>
    </xf>
    <xf numFmtId="0" fontId="21" fillId="0" borderId="7" xfId="0" applyFont="1" applyBorder="1" applyAlignment="1">
      <alignment wrapText="1"/>
    </xf>
    <xf numFmtId="0" fontId="21" fillId="4" borderId="8" xfId="0" applyFont="1" applyFill="1" applyBorder="1"/>
    <xf numFmtId="0" fontId="21" fillId="4" borderId="9" xfId="0" applyFont="1" applyFill="1" applyBorder="1"/>
    <xf numFmtId="0" fontId="21" fillId="4" borderId="1" xfId="0" applyFont="1" applyFill="1" applyBorder="1"/>
    <xf numFmtId="0" fontId="21" fillId="4" borderId="5" xfId="0" applyFont="1" applyFill="1" applyBorder="1"/>
    <xf numFmtId="0" fontId="0" fillId="9" borderId="0" xfId="0" applyFill="1"/>
    <xf numFmtId="0" fontId="21" fillId="9" borderId="0" xfId="0" applyFont="1" applyFill="1"/>
    <xf numFmtId="0" fontId="21" fillId="4" borderId="4" xfId="0" applyFont="1" applyFill="1" applyBorder="1"/>
    <xf numFmtId="0" fontId="21" fillId="4" borderId="7" xfId="0" applyFont="1" applyFill="1" applyBorder="1"/>
    <xf numFmtId="0" fontId="21" fillId="0" borderId="4" xfId="0" applyFont="1" applyBorder="1" applyAlignment="1">
      <alignment wrapText="1"/>
    </xf>
    <xf numFmtId="0" fontId="20" fillId="0" borderId="0" xfId="0" applyFont="1"/>
    <xf numFmtId="0" fontId="21" fillId="0" borderId="5" xfId="0" applyFont="1" applyBorder="1" applyAlignment="1">
      <alignment vertical="top" wrapText="1"/>
    </xf>
    <xf numFmtId="0" fontId="21" fillId="0" borderId="5" xfId="0" applyFont="1" applyBorder="1" applyAlignment="1">
      <alignment vertical="top"/>
    </xf>
    <xf numFmtId="0" fontId="21" fillId="0" borderId="7" xfId="0" applyFont="1" applyBorder="1" applyAlignment="1">
      <alignment vertical="top"/>
    </xf>
    <xf numFmtId="0" fontId="21" fillId="0" borderId="7" xfId="0" applyFont="1" applyBorder="1" applyAlignment="1">
      <alignment vertical="top" wrapText="1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 applyAlignment="1">
      <alignment vertical="top"/>
    </xf>
    <xf numFmtId="0" fontId="21" fillId="0" borderId="4" xfId="0" applyFont="1" applyBorder="1" applyAlignment="1">
      <alignment vertical="top"/>
    </xf>
    <xf numFmtId="0" fontId="21" fillId="0" borderId="8" xfId="0" applyFont="1" applyBorder="1"/>
    <xf numFmtId="0" fontId="21" fillId="0" borderId="9" xfId="0" applyFont="1" applyBorder="1"/>
    <xf numFmtId="0" fontId="21" fillId="0" borderId="4" xfId="0" applyFont="1" applyBorder="1" applyAlignment="1">
      <alignment vertical="top" wrapText="1"/>
    </xf>
    <xf numFmtId="0" fontId="21" fillId="0" borderId="3" xfId="0" applyFont="1" applyBorder="1"/>
    <xf numFmtId="0" fontId="21" fillId="0" borderId="6" xfId="0" applyFont="1" applyBorder="1"/>
    <xf numFmtId="0" fontId="20" fillId="0" borderId="3" xfId="0" applyFont="1" applyBorder="1" applyAlignment="1">
      <alignment vertical="top" wrapText="1"/>
    </xf>
    <xf numFmtId="0" fontId="20" fillId="0" borderId="6" xfId="0" applyFont="1" applyBorder="1" applyAlignment="1">
      <alignment vertical="top"/>
    </xf>
    <xf numFmtId="0" fontId="20" fillId="0" borderId="6" xfId="0" applyFont="1" applyBorder="1" applyAlignment="1">
      <alignment vertical="top" wrapText="1"/>
    </xf>
    <xf numFmtId="0" fontId="20" fillId="4" borderId="1" xfId="0" applyFont="1" applyFill="1" applyBorder="1"/>
    <xf numFmtId="0" fontId="20" fillId="4" borderId="5" xfId="0" applyFont="1" applyFill="1" applyBorder="1"/>
    <xf numFmtId="0" fontId="9" fillId="8" borderId="0" xfId="0" applyFont="1" applyFill="1" applyAlignment="1">
      <alignment vertical="center"/>
    </xf>
    <xf numFmtId="0" fontId="9" fillId="0" borderId="0" xfId="0" applyFont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0" quotePrefix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4" fillId="7" borderId="1" xfId="0" applyFont="1" applyFill="1" applyBorder="1"/>
    <xf numFmtId="0" fontId="5" fillId="7" borderId="1" xfId="0" applyFont="1" applyFill="1" applyBorder="1"/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0" fontId="9" fillId="5" borderId="2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9" fillId="0" borderId="10" xfId="0" applyFont="1" applyBorder="1" applyAlignment="1" applyProtection="1">
      <alignment horizontal="center" vertical="center"/>
      <protection locked="0"/>
    </xf>
    <xf numFmtId="0" fontId="9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6" borderId="1" xfId="0" applyFont="1" applyFill="1" applyBorder="1"/>
    <xf numFmtId="0" fontId="5" fillId="6" borderId="1" xfId="0" applyFont="1" applyFill="1" applyBorder="1"/>
    <xf numFmtId="0" fontId="0" fillId="6" borderId="1" xfId="0" applyFill="1" applyBorder="1"/>
    <xf numFmtId="0" fontId="5" fillId="6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4" fillId="6" borderId="1" xfId="0" applyFont="1" applyFill="1" applyBorder="1" applyAlignment="1">
      <alignment vertical="top"/>
    </xf>
    <xf numFmtId="0" fontId="5" fillId="6" borderId="1" xfId="0" applyFont="1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20" fillId="0" borderId="4" xfId="0" applyFont="1" applyBorder="1" applyAlignment="1">
      <alignment vertical="top" wrapText="1"/>
    </xf>
    <xf numFmtId="0" fontId="20" fillId="0" borderId="7" xfId="0" applyFont="1" applyBorder="1" applyAlignment="1">
      <alignment vertical="top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0" fillId="7" borderId="1" xfId="0" applyFill="1" applyBorder="1" applyAlignment="1">
      <alignment horizontal="right" vertical="top"/>
    </xf>
    <xf numFmtId="0" fontId="9" fillId="10" borderId="0" xfId="0" applyFont="1" applyFill="1" applyAlignment="1">
      <alignment vertical="center"/>
    </xf>
    <xf numFmtId="0" fontId="0" fillId="1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10" borderId="0" xfId="0" applyFill="1"/>
    <xf numFmtId="0" fontId="20" fillId="10" borderId="5" xfId="0" applyFont="1" applyFill="1" applyBorder="1"/>
    <xf numFmtId="0" fontId="26" fillId="10" borderId="5" xfId="0" applyFont="1" applyFill="1" applyBorder="1" applyAlignment="1">
      <alignment vertical="top"/>
    </xf>
    <xf numFmtId="0" fontId="27" fillId="10" borderId="5" xfId="0" applyFont="1" applyFill="1" applyBorder="1" applyAlignment="1">
      <alignment vertical="top"/>
    </xf>
    <xf numFmtId="0" fontId="21" fillId="10" borderId="1" xfId="0" applyFont="1" applyFill="1" applyBorder="1" applyAlignment="1">
      <alignment vertical="top" wrapText="1"/>
    </xf>
    <xf numFmtId="0" fontId="20" fillId="10" borderId="1" xfId="0" applyFont="1" applyFill="1" applyBorder="1"/>
    <xf numFmtId="0" fontId="28" fillId="0" borderId="0" xfId="0" applyFont="1"/>
    <xf numFmtId="0" fontId="30" fillId="0" borderId="0" xfId="0" applyFont="1"/>
    <xf numFmtId="0" fontId="30" fillId="6" borderId="3" xfId="0" applyFont="1" applyFill="1" applyBorder="1" applyAlignment="1">
      <alignment vertical="center"/>
    </xf>
    <xf numFmtId="0" fontId="31" fillId="0" borderId="0" xfId="0" applyFont="1"/>
    <xf numFmtId="0" fontId="30" fillId="0" borderId="8" xfId="0" applyFont="1" applyBorder="1" applyAlignment="1">
      <alignment vertical="center"/>
    </xf>
    <xf numFmtId="0" fontId="30" fillId="0" borderId="11" xfId="0" applyFont="1" applyBorder="1" applyAlignment="1">
      <alignment vertical="center"/>
    </xf>
    <xf numFmtId="0" fontId="30" fillId="0" borderId="8" xfId="0" applyFont="1" applyBorder="1"/>
    <xf numFmtId="0" fontId="31" fillId="0" borderId="8" xfId="0" applyFont="1" applyBorder="1"/>
    <xf numFmtId="0" fontId="29" fillId="0" borderId="8" xfId="0" applyFont="1" applyBorder="1" applyAlignment="1">
      <alignment vertical="center"/>
    </xf>
    <xf numFmtId="0" fontId="31" fillId="0" borderId="4" xfId="0" applyFont="1" applyBorder="1"/>
    <xf numFmtId="0" fontId="0" fillId="11" borderId="1" xfId="0" applyFill="1" applyBorder="1" applyAlignment="1">
      <alignment horizontal="left" vertical="top"/>
    </xf>
    <xf numFmtId="0" fontId="0" fillId="11" borderId="1" xfId="0" applyFill="1" applyBorder="1" applyAlignment="1">
      <alignment horizontal="left" vertical="top" wrapText="1"/>
    </xf>
    <xf numFmtId="0" fontId="2" fillId="11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30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20" fillId="0" borderId="5" xfId="0" applyFont="1" applyBorder="1" applyAlignment="1">
      <alignment wrapText="1"/>
    </xf>
    <xf numFmtId="0" fontId="37" fillId="0" borderId="1" xfId="0" applyFont="1" applyBorder="1" applyAlignment="1">
      <alignment horizontal="center" vertical="center"/>
    </xf>
    <xf numFmtId="0" fontId="37" fillId="0" borderId="1" xfId="0" applyFont="1" applyBorder="1"/>
    <xf numFmtId="0" fontId="37" fillId="0" borderId="0" xfId="0" applyFont="1"/>
    <xf numFmtId="0" fontId="37" fillId="4" borderId="1" xfId="0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0" fillId="0" borderId="8" xfId="0" applyBorder="1"/>
    <xf numFmtId="0" fontId="0" fillId="0" borderId="4" xfId="0" applyBorder="1"/>
    <xf numFmtId="0" fontId="30" fillId="0" borderId="8" xfId="0" applyFont="1" applyBorder="1" applyAlignment="1">
      <alignment vertical="center" wrapText="1"/>
    </xf>
    <xf numFmtId="0" fontId="9" fillId="0" borderId="8" xfId="0" applyFont="1" applyBorder="1"/>
    <xf numFmtId="0" fontId="43" fillId="0" borderId="0" xfId="0" applyFont="1"/>
    <xf numFmtId="0" fontId="43" fillId="0" borderId="0" xfId="0" applyFont="1" applyAlignment="1">
      <alignment vertical="center"/>
    </xf>
    <xf numFmtId="0" fontId="45" fillId="0" borderId="1" xfId="0" applyFont="1" applyBorder="1" applyAlignment="1">
      <alignment horizontal="center" vertical="center"/>
    </xf>
    <xf numFmtId="0" fontId="43" fillId="0" borderId="1" xfId="0" applyFont="1" applyBorder="1"/>
    <xf numFmtId="0" fontId="43" fillId="0" borderId="1" xfId="0" applyFont="1" applyBorder="1" applyAlignment="1">
      <alignment vertical="top" wrapText="1"/>
    </xf>
    <xf numFmtId="0" fontId="43" fillId="0" borderId="1" xfId="0" applyFont="1" applyBorder="1" applyAlignment="1">
      <alignment vertical="top"/>
    </xf>
    <xf numFmtId="0" fontId="43" fillId="4" borderId="1" xfId="0" applyFont="1" applyFill="1" applyBorder="1"/>
    <xf numFmtId="0" fontId="43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vertical="center" wrapText="1"/>
    </xf>
    <xf numFmtId="0" fontId="43" fillId="4" borderId="1" xfId="0" applyFont="1" applyFill="1" applyBorder="1" applyAlignment="1">
      <alignment vertical="center"/>
    </xf>
    <xf numFmtId="0" fontId="47" fillId="0" borderId="8" xfId="0" applyFont="1" applyBorder="1" applyAlignment="1">
      <alignment vertical="center"/>
    </xf>
    <xf numFmtId="0" fontId="29" fillId="12" borderId="8" xfId="0" applyFont="1" applyFill="1" applyBorder="1" applyAlignment="1">
      <alignment vertical="center"/>
    </xf>
    <xf numFmtId="0" fontId="30" fillId="12" borderId="8" xfId="0" applyFont="1" applyFill="1" applyBorder="1" applyAlignment="1">
      <alignment vertical="center"/>
    </xf>
    <xf numFmtId="0" fontId="9" fillId="12" borderId="8" xfId="0" applyFont="1" applyFill="1" applyBorder="1"/>
    <xf numFmtId="0" fontId="9" fillId="0" borderId="0" xfId="0" applyFont="1"/>
    <xf numFmtId="0" fontId="9" fillId="0" borderId="4" xfId="0" applyFont="1" applyBorder="1"/>
    <xf numFmtId="0" fontId="52" fillId="6" borderId="0" xfId="0" applyFont="1" applyFill="1"/>
    <xf numFmtId="0" fontId="43" fillId="0" borderId="0" xfId="0" applyFont="1" applyAlignment="1">
      <alignment wrapText="1"/>
    </xf>
    <xf numFmtId="0" fontId="48" fillId="4" borderId="1" xfId="0" applyFont="1" applyFill="1" applyBorder="1" applyAlignment="1">
      <alignment horizontal="center" vertical="center" wrapText="1"/>
    </xf>
    <xf numFmtId="0" fontId="4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11" borderId="1" xfId="0" applyFont="1" applyFill="1" applyBorder="1" applyAlignment="1">
      <alignment horizontal="center" vertical="center"/>
    </xf>
    <xf numFmtId="0" fontId="43" fillId="11" borderId="1" xfId="0" applyFont="1" applyFill="1" applyBorder="1"/>
    <xf numFmtId="0" fontId="3" fillId="0" borderId="1" xfId="0" applyFont="1" applyBorder="1" applyAlignment="1">
      <alignment horizontal="left" vertical="top" wrapText="1"/>
    </xf>
    <xf numFmtId="0" fontId="55" fillId="0" borderId="0" xfId="0" applyFont="1"/>
    <xf numFmtId="0" fontId="56" fillId="0" borderId="1" xfId="0" applyFont="1" applyBorder="1"/>
    <xf numFmtId="0" fontId="4" fillId="13" borderId="1" xfId="0" applyFont="1" applyFill="1" applyBorder="1"/>
    <xf numFmtId="0" fontId="5" fillId="13" borderId="1" xfId="0" applyFont="1" applyFill="1" applyBorder="1"/>
    <xf numFmtId="0" fontId="0" fillId="13" borderId="1" xfId="0" applyFill="1" applyBorder="1" applyAlignment="1">
      <alignment horizontal="left"/>
    </xf>
    <xf numFmtId="0" fontId="0" fillId="13" borderId="1" xfId="0" applyFill="1" applyBorder="1" applyAlignment="1">
      <alignment horizontal="right"/>
    </xf>
    <xf numFmtId="0" fontId="54" fillId="13" borderId="0" xfId="0" applyFont="1" applyFill="1"/>
    <xf numFmtId="0" fontId="0" fillId="7" borderId="0" xfId="0" applyFill="1"/>
    <xf numFmtId="0" fontId="4" fillId="0" borderId="1" xfId="0" applyFont="1" applyBorder="1" applyAlignment="1">
      <alignment wrapText="1"/>
    </xf>
    <xf numFmtId="0" fontId="45" fillId="4" borderId="1" xfId="0" applyFont="1" applyFill="1" applyBorder="1" applyAlignment="1">
      <alignment horizontal="center" vertical="center"/>
    </xf>
    <xf numFmtId="0" fontId="4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43" fillId="4" borderId="1" xfId="0" applyFont="1" applyFill="1" applyBorder="1" applyAlignment="1">
      <alignment vertical="top" wrapText="1"/>
    </xf>
    <xf numFmtId="0" fontId="4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0" fillId="4" borderId="1" xfId="0" applyFont="1" applyFill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0" fontId="48" fillId="4" borderId="1" xfId="0" applyFont="1" applyFill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7"/>
  <sheetViews>
    <sheetView workbookViewId="0">
      <selection activeCell="C3" sqref="C3"/>
    </sheetView>
  </sheetViews>
  <sheetFormatPr defaultRowHeight="14.45"/>
  <cols>
    <col min="1" max="1" width="1.7109375" customWidth="1"/>
    <col min="2" max="2" width="11.140625" bestFit="1" customWidth="1"/>
    <col min="3" max="3" width="47.7109375" customWidth="1"/>
    <col min="4" max="4" width="10.28515625" bestFit="1" customWidth="1"/>
    <col min="5" max="5" width="10.28515625" customWidth="1"/>
    <col min="6" max="6" width="10.7109375" bestFit="1" customWidth="1"/>
    <col min="7" max="7" width="1.7109375" customWidth="1"/>
    <col min="8" max="8" width="4.7109375" customWidth="1"/>
    <col min="9" max="9" width="6.7109375" customWidth="1"/>
    <col min="10" max="10" width="5.5703125" customWidth="1"/>
    <col min="11" max="12" width="6.42578125" customWidth="1"/>
    <col min="13" max="13" width="44.42578125" style="189" customWidth="1"/>
    <col min="14" max="14" width="39.28515625" style="189" customWidth="1"/>
    <col min="15" max="15" width="44" style="189" customWidth="1"/>
  </cols>
  <sheetData>
    <row r="2" spans="2:15" ht="21.6">
      <c r="B2" s="1" t="s">
        <v>0</v>
      </c>
      <c r="C2" s="1" t="s">
        <v>1</v>
      </c>
      <c r="D2" s="234" t="s">
        <v>2</v>
      </c>
      <c r="E2" s="234"/>
      <c r="F2" s="1" t="s">
        <v>3</v>
      </c>
      <c r="G2" s="213"/>
      <c r="H2" s="189"/>
      <c r="I2" s="189"/>
      <c r="J2" s="189"/>
      <c r="K2" s="189" t="s">
        <v>4</v>
      </c>
      <c r="L2" s="206" t="s">
        <v>5</v>
      </c>
      <c r="M2" s="205" t="s">
        <v>6</v>
      </c>
    </row>
    <row r="3" spans="2:15" ht="91.9">
      <c r="B3" s="27" t="s">
        <v>7</v>
      </c>
      <c r="C3" s="218" t="s">
        <v>8</v>
      </c>
      <c r="D3" s="233" t="s">
        <v>9</v>
      </c>
      <c r="E3" s="233"/>
      <c r="F3" s="37" t="s">
        <v>10</v>
      </c>
      <c r="G3" s="211"/>
      <c r="H3" s="191" t="s">
        <v>11</v>
      </c>
      <c r="I3" s="192"/>
      <c r="J3" s="196" t="s">
        <v>12</v>
      </c>
      <c r="K3" s="196"/>
      <c r="L3" s="196"/>
      <c r="M3" s="193" t="s">
        <v>13</v>
      </c>
      <c r="N3" s="194" t="s">
        <v>14</v>
      </c>
      <c r="O3" s="193" t="s">
        <v>15</v>
      </c>
    </row>
    <row r="4" spans="2:15" ht="15" customHeight="1">
      <c r="B4" s="231" t="s">
        <v>16</v>
      </c>
      <c r="C4" s="230" t="s">
        <v>17</v>
      </c>
      <c r="D4" s="232" t="s">
        <v>18</v>
      </c>
      <c r="E4" s="174" t="s">
        <v>19</v>
      </c>
      <c r="F4" s="174" t="s">
        <v>10</v>
      </c>
      <c r="G4" s="212"/>
      <c r="H4" s="228" t="s">
        <v>20</v>
      </c>
      <c r="I4" s="238" t="s">
        <v>21</v>
      </c>
      <c r="J4" s="238" t="s">
        <v>22</v>
      </c>
      <c r="K4" s="240" t="s">
        <v>23</v>
      </c>
      <c r="L4" s="242" t="s">
        <v>24</v>
      </c>
      <c r="M4" s="237" t="s">
        <v>25</v>
      </c>
      <c r="N4" s="237" t="s">
        <v>26</v>
      </c>
      <c r="O4" s="237" t="s">
        <v>27</v>
      </c>
    </row>
    <row r="5" spans="2:15" ht="15" customHeight="1">
      <c r="B5" s="231"/>
      <c r="C5" s="231"/>
      <c r="D5" s="232"/>
      <c r="E5" s="174" t="s">
        <v>28</v>
      </c>
      <c r="F5" s="174" t="s">
        <v>29</v>
      </c>
      <c r="G5" s="212"/>
      <c r="H5" s="229"/>
      <c r="I5" s="239"/>
      <c r="J5" s="239"/>
      <c r="K5" s="241"/>
      <c r="L5" s="243"/>
      <c r="M5" s="237"/>
      <c r="N5" s="237"/>
      <c r="O5" s="237"/>
    </row>
    <row r="6" spans="2:15" ht="15" customHeight="1">
      <c r="B6" s="231" t="s">
        <v>30</v>
      </c>
      <c r="C6" s="230" t="s">
        <v>31</v>
      </c>
      <c r="D6" s="232" t="s">
        <v>32</v>
      </c>
      <c r="E6" s="175" t="s">
        <v>33</v>
      </c>
      <c r="F6" s="175" t="s">
        <v>34</v>
      </c>
      <c r="G6" s="211"/>
      <c r="H6" s="229"/>
      <c r="I6" s="239"/>
      <c r="J6" s="239"/>
      <c r="K6" s="241"/>
      <c r="L6" s="243"/>
      <c r="M6" s="237"/>
      <c r="N6" s="237"/>
      <c r="O6" s="237"/>
    </row>
    <row r="7" spans="2:15" ht="20.45" customHeight="1">
      <c r="B7" s="231"/>
      <c r="C7" s="231"/>
      <c r="D7" s="232"/>
      <c r="E7" s="174" t="s">
        <v>28</v>
      </c>
      <c r="F7" s="174" t="s">
        <v>29</v>
      </c>
      <c r="G7" s="212"/>
      <c r="H7" s="229"/>
      <c r="I7" s="239"/>
      <c r="J7" s="239"/>
      <c r="K7" s="241"/>
      <c r="L7" s="243"/>
      <c r="M7" s="237"/>
      <c r="N7" s="237"/>
      <c r="O7" s="237"/>
    </row>
    <row r="8" spans="2:15" ht="57.6">
      <c r="B8" s="27" t="s">
        <v>35</v>
      </c>
      <c r="C8" s="28" t="s">
        <v>36</v>
      </c>
      <c r="D8" s="233" t="s">
        <v>37</v>
      </c>
      <c r="E8" s="233"/>
      <c r="F8" s="38" t="s">
        <v>38</v>
      </c>
      <c r="G8" s="212"/>
      <c r="H8" s="191" t="s">
        <v>39</v>
      </c>
      <c r="I8" s="192"/>
      <c r="J8" s="196" t="s">
        <v>40</v>
      </c>
      <c r="K8" s="196"/>
      <c r="L8" s="196"/>
      <c r="M8" s="193" t="s">
        <v>41</v>
      </c>
      <c r="N8" s="190"/>
    </row>
    <row r="9" spans="2:15" ht="40.9">
      <c r="B9" s="210" t="s">
        <v>42</v>
      </c>
      <c r="C9" s="209" t="s">
        <v>43</v>
      </c>
      <c r="D9" s="235" t="s">
        <v>44</v>
      </c>
      <c r="E9" s="235"/>
      <c r="F9" s="174" t="s">
        <v>45</v>
      </c>
      <c r="G9" s="212"/>
      <c r="H9" s="208" t="s">
        <v>20</v>
      </c>
      <c r="I9" s="195"/>
      <c r="J9" s="198" t="s">
        <v>22</v>
      </c>
      <c r="K9" s="198"/>
      <c r="L9" s="198"/>
      <c r="M9" s="197" t="s">
        <v>46</v>
      </c>
      <c r="N9" s="190"/>
    </row>
    <row r="10" spans="2:15" ht="61.15">
      <c r="B10" s="210" t="s">
        <v>47</v>
      </c>
      <c r="C10" s="209" t="s">
        <v>48</v>
      </c>
      <c r="D10" s="235" t="s">
        <v>49</v>
      </c>
      <c r="E10" s="235"/>
      <c r="F10" s="174" t="s">
        <v>50</v>
      </c>
      <c r="G10" s="212"/>
      <c r="H10" s="208" t="s">
        <v>51</v>
      </c>
      <c r="I10" s="195"/>
      <c r="J10" s="198" t="s">
        <v>52</v>
      </c>
      <c r="K10" s="198"/>
      <c r="L10" s="198"/>
      <c r="M10" s="193" t="s">
        <v>53</v>
      </c>
      <c r="N10" s="190"/>
    </row>
    <row r="11" spans="2:15" ht="28.9">
      <c r="B11" s="210" t="s">
        <v>54</v>
      </c>
      <c r="C11" s="209" t="s">
        <v>55</v>
      </c>
      <c r="D11" s="235" t="s">
        <v>56</v>
      </c>
      <c r="E11" s="235"/>
      <c r="F11" s="174" t="s">
        <v>57</v>
      </c>
      <c r="G11" s="212"/>
      <c r="H11" s="208" t="s">
        <v>58</v>
      </c>
      <c r="I11" s="195"/>
      <c r="J11" s="198" t="s">
        <v>59</v>
      </c>
      <c r="K11" s="198"/>
      <c r="L11" s="207" t="s">
        <v>60</v>
      </c>
      <c r="M11" s="197" t="s">
        <v>61</v>
      </c>
      <c r="N11" s="190"/>
    </row>
    <row r="12" spans="2:15">
      <c r="B12" s="171" t="s">
        <v>62</v>
      </c>
      <c r="C12" s="172" t="s">
        <v>63</v>
      </c>
      <c r="D12" s="236" t="s">
        <v>64</v>
      </c>
      <c r="E12" s="236"/>
      <c r="F12" s="173" t="s">
        <v>65</v>
      </c>
      <c r="G12" s="212"/>
      <c r="H12" s="215"/>
      <c r="I12" s="189"/>
      <c r="J12" s="189"/>
      <c r="K12" s="189"/>
      <c r="L12" s="189"/>
      <c r="M12" s="190"/>
      <c r="N12" s="190"/>
    </row>
    <row r="13" spans="2:15">
      <c r="B13" s="171" t="s">
        <v>66</v>
      </c>
      <c r="C13" s="172" t="s">
        <v>67</v>
      </c>
      <c r="D13" s="236" t="s">
        <v>68</v>
      </c>
      <c r="E13" s="236"/>
      <c r="F13" s="173" t="s">
        <v>69</v>
      </c>
      <c r="G13" s="212"/>
      <c r="H13" s="215"/>
      <c r="I13" s="189"/>
      <c r="J13" s="189"/>
      <c r="K13" s="189"/>
      <c r="L13" s="189"/>
      <c r="M13" s="190"/>
      <c r="N13" s="190"/>
    </row>
    <row r="14" spans="2:15">
      <c r="B14" s="171" t="s">
        <v>70</v>
      </c>
      <c r="C14" s="171" t="s">
        <v>71</v>
      </c>
      <c r="D14" s="236" t="s">
        <v>72</v>
      </c>
      <c r="E14" s="236"/>
      <c r="F14" s="173" t="s">
        <v>73</v>
      </c>
      <c r="G14" s="212"/>
      <c r="H14" s="216"/>
      <c r="I14" s="217"/>
      <c r="J14" s="217"/>
      <c r="K14" s="217"/>
      <c r="L14" s="217"/>
      <c r="N14" s="190"/>
    </row>
    <row r="15" spans="2:15">
      <c r="B15" s="171" t="s">
        <v>74</v>
      </c>
      <c r="C15" s="172" t="s">
        <v>75</v>
      </c>
      <c r="D15" s="236" t="s">
        <v>76</v>
      </c>
      <c r="E15" s="236"/>
      <c r="F15" s="236" t="s">
        <v>77</v>
      </c>
      <c r="G15" s="214"/>
      <c r="H15" s="215"/>
      <c r="I15" s="189"/>
      <c r="J15" s="189"/>
      <c r="K15" s="189"/>
      <c r="L15" s="189"/>
      <c r="N15" s="190"/>
    </row>
    <row r="16" spans="2:15">
      <c r="B16" s="171" t="s">
        <v>78</v>
      </c>
      <c r="C16" s="172" t="s">
        <v>79</v>
      </c>
      <c r="D16" s="236"/>
      <c r="E16" s="236"/>
      <c r="F16" s="236"/>
      <c r="G16" s="214"/>
      <c r="H16" s="215"/>
      <c r="I16" s="189"/>
      <c r="J16" s="189"/>
      <c r="K16" s="189"/>
      <c r="L16" s="189"/>
      <c r="N16" s="190"/>
    </row>
    <row r="17" spans="14:14">
      <c r="N17" s="190"/>
    </row>
  </sheetData>
  <mergeCells count="25">
    <mergeCell ref="M4:M7"/>
    <mergeCell ref="N4:N7"/>
    <mergeCell ref="O4:O7"/>
    <mergeCell ref="I4:I7"/>
    <mergeCell ref="J4:J7"/>
    <mergeCell ref="K4:K7"/>
    <mergeCell ref="L4:L7"/>
    <mergeCell ref="F15:F16"/>
    <mergeCell ref="D14:E14"/>
    <mergeCell ref="D11:E11"/>
    <mergeCell ref="D12:E12"/>
    <mergeCell ref="D13:E13"/>
    <mergeCell ref="D15:E16"/>
    <mergeCell ref="D3:E3"/>
    <mergeCell ref="D8:E8"/>
    <mergeCell ref="D2:E2"/>
    <mergeCell ref="D9:E9"/>
    <mergeCell ref="D10:E10"/>
    <mergeCell ref="D6:D7"/>
    <mergeCell ref="H4:H7"/>
    <mergeCell ref="C6:C7"/>
    <mergeCell ref="B6:B7"/>
    <mergeCell ref="D4:D5"/>
    <mergeCell ref="C4:C5"/>
    <mergeCell ref="B4:B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463"/>
  <sheetViews>
    <sheetView topLeftCell="M1" zoomScaleNormal="100" workbookViewId="0">
      <selection activeCell="N13" sqref="N13"/>
    </sheetView>
  </sheetViews>
  <sheetFormatPr defaultRowHeight="14.45"/>
  <cols>
    <col min="1" max="1" width="3.140625" customWidth="1"/>
    <col min="2" max="2" width="53.85546875" bestFit="1" customWidth="1"/>
    <col min="3" max="3" width="3.140625" customWidth="1"/>
    <col min="4" max="4" width="53.28515625" bestFit="1" customWidth="1"/>
    <col min="5" max="5" width="3.140625" customWidth="1"/>
    <col min="6" max="7" width="10.42578125" bestFit="1" customWidth="1"/>
    <col min="8" max="8" width="58.28515625" bestFit="1" customWidth="1"/>
    <col min="9" max="9" width="3.140625" customWidth="1"/>
    <col min="10" max="10" width="60" bestFit="1" customWidth="1"/>
    <col min="11" max="11" width="3.140625" customWidth="1"/>
    <col min="12" max="12" width="52.140625" bestFit="1" customWidth="1"/>
    <col min="13" max="13" width="3.140625" customWidth="1"/>
    <col min="14" max="14" width="53.42578125" bestFit="1" customWidth="1"/>
    <col min="15" max="15" width="3.140625" customWidth="1"/>
    <col min="16" max="16" width="50.140625" bestFit="1" customWidth="1"/>
    <col min="17" max="17" width="3.140625" customWidth="1"/>
    <col min="18" max="18" width="48" bestFit="1" customWidth="1"/>
    <col min="19" max="19" width="3.140625" customWidth="1"/>
    <col min="20" max="20" width="53.5703125" bestFit="1" customWidth="1"/>
    <col min="21" max="21" width="3.140625" customWidth="1"/>
    <col min="22" max="22" width="56.42578125" bestFit="1" customWidth="1"/>
    <col min="23" max="23" width="3.140625" customWidth="1"/>
    <col min="24" max="24" width="47.140625" bestFit="1" customWidth="1"/>
    <col min="25" max="25" width="3.140625" customWidth="1"/>
  </cols>
  <sheetData>
    <row r="2" spans="2:24" s="33" customFormat="1">
      <c r="B2" s="29" t="s">
        <v>80</v>
      </c>
      <c r="D2" s="29" t="s">
        <v>33</v>
      </c>
      <c r="F2" s="244" t="s">
        <v>81</v>
      </c>
      <c r="G2" s="244"/>
      <c r="H2" s="29" t="s">
        <v>28</v>
      </c>
      <c r="J2" s="29" t="s">
        <v>37</v>
      </c>
      <c r="L2" s="29" t="s">
        <v>44</v>
      </c>
      <c r="N2" s="29" t="s">
        <v>49</v>
      </c>
      <c r="P2" s="29" t="s">
        <v>56</v>
      </c>
      <c r="R2" s="29" t="s">
        <v>64</v>
      </c>
      <c r="T2" s="29" t="s">
        <v>68</v>
      </c>
      <c r="V2" s="29" t="s">
        <v>72</v>
      </c>
      <c r="X2" s="29" t="s">
        <v>76</v>
      </c>
    </row>
    <row r="3" spans="2:24" s="33" customFormat="1">
      <c r="B3" s="29" t="s">
        <v>82</v>
      </c>
      <c r="D3" s="29" t="s">
        <v>83</v>
      </c>
      <c r="F3" s="34" t="s">
        <v>19</v>
      </c>
      <c r="G3" s="35" t="s">
        <v>33</v>
      </c>
      <c r="H3" s="29" t="s">
        <v>29</v>
      </c>
      <c r="J3" s="29" t="s">
        <v>84</v>
      </c>
      <c r="L3" s="29" t="s">
        <v>85</v>
      </c>
      <c r="N3" s="29" t="s">
        <v>86</v>
      </c>
      <c r="P3" s="29" t="s">
        <v>87</v>
      </c>
      <c r="R3" s="29" t="s">
        <v>65</v>
      </c>
      <c r="T3" s="29" t="s">
        <v>69</v>
      </c>
      <c r="V3" s="29" t="s">
        <v>88</v>
      </c>
      <c r="X3" s="29" t="s">
        <v>77</v>
      </c>
    </row>
    <row r="4" spans="2:24">
      <c r="B4" s="4" t="s">
        <v>89</v>
      </c>
      <c r="D4" s="32" t="s">
        <v>90</v>
      </c>
      <c r="F4" s="42"/>
      <c r="G4" s="42"/>
      <c r="H4" s="32" t="s">
        <v>91</v>
      </c>
      <c r="J4" s="43" t="s">
        <v>92</v>
      </c>
      <c r="L4" s="32" t="s">
        <v>93</v>
      </c>
      <c r="N4" s="43" t="s">
        <v>94</v>
      </c>
      <c r="P4" s="32" t="s">
        <v>95</v>
      </c>
      <c r="R4" s="32" t="s">
        <v>91</v>
      </c>
      <c r="T4" s="32" t="s">
        <v>91</v>
      </c>
      <c r="V4" s="43" t="s">
        <v>96</v>
      </c>
      <c r="X4" s="32" t="s">
        <v>97</v>
      </c>
    </row>
    <row r="5" spans="2:24">
      <c r="B5" s="2" t="s">
        <v>98</v>
      </c>
      <c r="D5" s="32" t="s">
        <v>99</v>
      </c>
      <c r="F5" s="42" t="s">
        <v>100</v>
      </c>
      <c r="G5" s="42" t="s">
        <v>100</v>
      </c>
      <c r="H5" s="32" t="s">
        <v>101</v>
      </c>
      <c r="J5" s="32" t="s">
        <v>102</v>
      </c>
      <c r="L5" s="43" t="s">
        <v>103</v>
      </c>
      <c r="N5" s="32" t="s">
        <v>104</v>
      </c>
      <c r="P5" s="32" t="s">
        <v>105</v>
      </c>
      <c r="R5" s="32" t="s">
        <v>101</v>
      </c>
      <c r="T5" s="32" t="s">
        <v>101</v>
      </c>
      <c r="V5" s="43" t="s">
        <v>106</v>
      </c>
      <c r="X5" s="32" t="s">
        <v>107</v>
      </c>
    </row>
    <row r="6" spans="2:24">
      <c r="B6" s="2" t="s">
        <v>108</v>
      </c>
      <c r="D6" s="43" t="s">
        <v>109</v>
      </c>
      <c r="F6" s="42"/>
      <c r="G6" s="42"/>
      <c r="H6" s="43" t="s">
        <v>110</v>
      </c>
      <c r="J6" s="43" t="s">
        <v>111</v>
      </c>
      <c r="L6" s="32" t="s">
        <v>112</v>
      </c>
      <c r="N6" s="32" t="s">
        <v>113</v>
      </c>
      <c r="P6" s="43" t="s">
        <v>114</v>
      </c>
      <c r="R6" s="43" t="s">
        <v>110</v>
      </c>
      <c r="T6" s="43" t="s">
        <v>110</v>
      </c>
      <c r="V6" s="43" t="s">
        <v>115</v>
      </c>
      <c r="X6" s="32" t="s">
        <v>116</v>
      </c>
    </row>
    <row r="7" spans="2:24">
      <c r="B7" s="2" t="s">
        <v>117</v>
      </c>
      <c r="D7" s="43" t="s">
        <v>118</v>
      </c>
      <c r="F7" s="42"/>
      <c r="G7" s="42"/>
      <c r="H7" s="43" t="s">
        <v>119</v>
      </c>
      <c r="J7" s="43" t="s">
        <v>120</v>
      </c>
      <c r="L7" s="32" t="s">
        <v>121</v>
      </c>
      <c r="N7" s="43" t="s">
        <v>122</v>
      </c>
      <c r="P7" s="43" t="s">
        <v>123</v>
      </c>
      <c r="R7" s="43" t="s">
        <v>119</v>
      </c>
      <c r="T7" s="43" t="s">
        <v>119</v>
      </c>
      <c r="V7" s="32" t="s">
        <v>124</v>
      </c>
      <c r="X7" s="43" t="s">
        <v>125</v>
      </c>
    </row>
    <row r="8" spans="2:24">
      <c r="B8" s="2" t="s">
        <v>126</v>
      </c>
      <c r="D8" s="43" t="s">
        <v>127</v>
      </c>
      <c r="F8" s="42"/>
      <c r="G8" s="42"/>
      <c r="H8" s="43" t="s">
        <v>128</v>
      </c>
      <c r="J8" s="32" t="s">
        <v>129</v>
      </c>
      <c r="L8" s="43" t="s">
        <v>130</v>
      </c>
      <c r="N8" s="43" t="s">
        <v>131</v>
      </c>
      <c r="P8" s="32" t="s">
        <v>132</v>
      </c>
      <c r="R8" s="43" t="s">
        <v>128</v>
      </c>
      <c r="T8" s="43" t="s">
        <v>128</v>
      </c>
      <c r="V8" s="43" t="s">
        <v>133</v>
      </c>
      <c r="X8" s="43" t="s">
        <v>134</v>
      </c>
    </row>
    <row r="9" spans="2:24">
      <c r="B9" s="4" t="s">
        <v>135</v>
      </c>
      <c r="D9" s="43" t="s">
        <v>136</v>
      </c>
      <c r="F9" s="42"/>
      <c r="G9" s="42"/>
      <c r="H9" s="43" t="s">
        <v>137</v>
      </c>
      <c r="J9" s="43" t="s">
        <v>138</v>
      </c>
      <c r="L9" s="43" t="s">
        <v>139</v>
      </c>
      <c r="N9" s="43" t="s">
        <v>140</v>
      </c>
      <c r="P9" s="32" t="s">
        <v>141</v>
      </c>
      <c r="R9" s="43" t="s">
        <v>137</v>
      </c>
      <c r="T9" s="43" t="s">
        <v>137</v>
      </c>
      <c r="V9" s="43" t="s">
        <v>142</v>
      </c>
      <c r="X9" s="43" t="s">
        <v>143</v>
      </c>
    </row>
    <row r="10" spans="2:24">
      <c r="B10" s="2" t="s">
        <v>144</v>
      </c>
      <c r="D10" s="43" t="s">
        <v>145</v>
      </c>
      <c r="F10" s="42" t="s">
        <v>100</v>
      </c>
      <c r="G10" s="42" t="s">
        <v>100</v>
      </c>
      <c r="H10" s="43" t="s">
        <v>146</v>
      </c>
      <c r="J10" s="32" t="s">
        <v>147</v>
      </c>
      <c r="L10" s="32" t="s">
        <v>148</v>
      </c>
      <c r="N10" s="43" t="s">
        <v>149</v>
      </c>
      <c r="P10" s="32" t="s">
        <v>150</v>
      </c>
      <c r="R10" s="32" t="s">
        <v>151</v>
      </c>
      <c r="T10" s="43" t="s">
        <v>151</v>
      </c>
      <c r="V10" s="43" t="s">
        <v>152</v>
      </c>
      <c r="X10" s="43" t="s">
        <v>153</v>
      </c>
    </row>
    <row r="11" spans="2:24">
      <c r="B11" s="2" t="s">
        <v>154</v>
      </c>
      <c r="D11" s="43" t="s">
        <v>155</v>
      </c>
      <c r="F11" s="42"/>
      <c r="G11" s="42"/>
      <c r="H11" s="43" t="s">
        <v>156</v>
      </c>
      <c r="J11" s="43" t="s">
        <v>157</v>
      </c>
      <c r="L11" s="43" t="s">
        <v>158</v>
      </c>
      <c r="N11" s="43" t="s">
        <v>159</v>
      </c>
      <c r="P11" s="32" t="s">
        <v>160</v>
      </c>
      <c r="R11" s="32" t="s">
        <v>146</v>
      </c>
      <c r="T11" s="32" t="s">
        <v>146</v>
      </c>
      <c r="V11" s="32" t="s">
        <v>161</v>
      </c>
      <c r="X11" s="43" t="s">
        <v>162</v>
      </c>
    </row>
    <row r="12" spans="2:24">
      <c r="B12" s="2" t="s">
        <v>163</v>
      </c>
      <c r="D12" s="32" t="s">
        <v>164</v>
      </c>
      <c r="F12" s="42"/>
      <c r="G12" s="42"/>
      <c r="H12" s="43" t="s">
        <v>165</v>
      </c>
      <c r="J12" s="32" t="s">
        <v>166</v>
      </c>
      <c r="L12" s="43" t="s">
        <v>167</v>
      </c>
      <c r="N12" s="43" t="s">
        <v>168</v>
      </c>
      <c r="P12" s="43" t="s">
        <v>169</v>
      </c>
      <c r="R12" s="43" t="s">
        <v>156</v>
      </c>
      <c r="T12" s="43" t="s">
        <v>156</v>
      </c>
      <c r="V12" s="32" t="s">
        <v>170</v>
      </c>
      <c r="X12" s="43" t="s">
        <v>171</v>
      </c>
    </row>
    <row r="13" spans="2:24">
      <c r="B13" s="2" t="s">
        <v>172</v>
      </c>
      <c r="D13" s="43" t="s">
        <v>173</v>
      </c>
      <c r="F13" s="42"/>
      <c r="G13" s="42"/>
      <c r="H13" s="32" t="s">
        <v>174</v>
      </c>
      <c r="J13" s="32" t="s">
        <v>175</v>
      </c>
      <c r="L13" s="43" t="s">
        <v>176</v>
      </c>
      <c r="N13" s="43" t="s">
        <v>177</v>
      </c>
      <c r="P13" s="43" t="s">
        <v>178</v>
      </c>
      <c r="R13" s="43" t="s">
        <v>165</v>
      </c>
      <c r="T13" s="43" t="s">
        <v>165</v>
      </c>
      <c r="V13" s="43" t="s">
        <v>179</v>
      </c>
      <c r="X13" s="43" t="s">
        <v>180</v>
      </c>
    </row>
    <row r="14" spans="2:24">
      <c r="B14" s="2" t="s">
        <v>181</v>
      </c>
      <c r="D14" s="43" t="s">
        <v>182</v>
      </c>
      <c r="F14" s="42"/>
      <c r="G14" s="42"/>
      <c r="H14" s="43" t="s">
        <v>183</v>
      </c>
      <c r="J14" s="43" t="s">
        <v>184</v>
      </c>
      <c r="L14" s="32" t="s">
        <v>185</v>
      </c>
      <c r="N14" s="32" t="s">
        <v>186</v>
      </c>
      <c r="P14" s="43" t="s">
        <v>187</v>
      </c>
      <c r="R14" s="43" t="s">
        <v>174</v>
      </c>
      <c r="T14" s="43" t="s">
        <v>174</v>
      </c>
      <c r="V14" s="43" t="s">
        <v>188</v>
      </c>
      <c r="X14" s="32" t="s">
        <v>189</v>
      </c>
    </row>
    <row r="15" spans="2:24">
      <c r="B15" s="2" t="s">
        <v>190</v>
      </c>
      <c r="D15" s="43" t="s">
        <v>191</v>
      </c>
      <c r="F15" s="42"/>
      <c r="G15" s="42"/>
      <c r="H15" s="32" t="s">
        <v>192</v>
      </c>
      <c r="J15" s="43" t="s">
        <v>193</v>
      </c>
      <c r="L15" s="43" t="s">
        <v>194</v>
      </c>
      <c r="N15" s="43" t="s">
        <v>195</v>
      </c>
      <c r="P15" s="43" t="s">
        <v>196</v>
      </c>
      <c r="R15" s="43" t="s">
        <v>183</v>
      </c>
      <c r="T15" s="43" t="s">
        <v>183</v>
      </c>
      <c r="V15" s="43" t="s">
        <v>197</v>
      </c>
      <c r="X15" s="43" t="s">
        <v>198</v>
      </c>
    </row>
    <row r="16" spans="2:24">
      <c r="B16" s="2" t="s">
        <v>199</v>
      </c>
      <c r="D16" s="43" t="s">
        <v>200</v>
      </c>
      <c r="F16" s="42"/>
      <c r="G16" s="42"/>
      <c r="H16" s="43" t="s">
        <v>201</v>
      </c>
      <c r="J16" s="43" t="s">
        <v>202</v>
      </c>
      <c r="L16" s="43" t="s">
        <v>203</v>
      </c>
      <c r="N16" s="43" t="s">
        <v>204</v>
      </c>
      <c r="P16" s="43" t="s">
        <v>205</v>
      </c>
      <c r="R16" s="43" t="s">
        <v>192</v>
      </c>
      <c r="T16" s="43" t="s">
        <v>192</v>
      </c>
      <c r="V16" s="43" t="s">
        <v>206</v>
      </c>
      <c r="X16" s="43" t="s">
        <v>207</v>
      </c>
    </row>
    <row r="17" spans="2:24">
      <c r="B17" s="4" t="s">
        <v>208</v>
      </c>
      <c r="D17" s="32" t="s">
        <v>209</v>
      </c>
      <c r="F17" s="42"/>
      <c r="G17" s="42"/>
      <c r="H17" s="43" t="s">
        <v>210</v>
      </c>
      <c r="J17" s="32" t="s">
        <v>211</v>
      </c>
      <c r="L17" s="43" t="s">
        <v>212</v>
      </c>
      <c r="N17" s="43" t="s">
        <v>213</v>
      </c>
      <c r="P17" s="43" t="s">
        <v>214</v>
      </c>
      <c r="R17" s="43" t="s">
        <v>201</v>
      </c>
      <c r="T17" s="43" t="s">
        <v>201</v>
      </c>
      <c r="V17" s="32" t="s">
        <v>215</v>
      </c>
      <c r="X17" s="43" t="s">
        <v>216</v>
      </c>
    </row>
    <row r="18" spans="2:24">
      <c r="B18" s="2" t="s">
        <v>217</v>
      </c>
      <c r="D18" s="32" t="s">
        <v>218</v>
      </c>
      <c r="F18" s="42"/>
      <c r="G18" s="42"/>
      <c r="H18" s="43" t="s">
        <v>219</v>
      </c>
      <c r="J18" s="43" t="s">
        <v>220</v>
      </c>
      <c r="L18" s="32" t="s">
        <v>221</v>
      </c>
      <c r="N18" s="32" t="s">
        <v>222</v>
      </c>
      <c r="P18" s="43" t="s">
        <v>223</v>
      </c>
      <c r="R18" s="43" t="s">
        <v>210</v>
      </c>
      <c r="T18" s="43" t="s">
        <v>210</v>
      </c>
      <c r="V18" s="43" t="s">
        <v>224</v>
      </c>
      <c r="X18" s="43" t="s">
        <v>225</v>
      </c>
    </row>
    <row r="19" spans="2:24">
      <c r="B19" s="4" t="s">
        <v>226</v>
      </c>
      <c r="D19" s="43" t="s">
        <v>227</v>
      </c>
      <c r="F19" s="42"/>
      <c r="G19" s="42"/>
      <c r="H19" s="43" t="s">
        <v>228</v>
      </c>
      <c r="J19" s="43" t="s">
        <v>229</v>
      </c>
      <c r="L19" s="43" t="s">
        <v>230</v>
      </c>
      <c r="N19" s="32" t="s">
        <v>231</v>
      </c>
      <c r="P19" s="43" t="s">
        <v>232</v>
      </c>
      <c r="R19" s="43" t="s">
        <v>219</v>
      </c>
      <c r="T19" s="43" t="s">
        <v>219</v>
      </c>
      <c r="V19" s="43" t="s">
        <v>233</v>
      </c>
      <c r="X19" s="43" t="s">
        <v>234</v>
      </c>
    </row>
    <row r="20" spans="2:24">
      <c r="B20" s="2" t="s">
        <v>235</v>
      </c>
      <c r="D20" s="43" t="s">
        <v>236</v>
      </c>
      <c r="F20" s="42"/>
      <c r="G20" s="42"/>
      <c r="H20" s="32" t="s">
        <v>237</v>
      </c>
      <c r="J20" s="43" t="s">
        <v>238</v>
      </c>
      <c r="L20" s="43" t="s">
        <v>239</v>
      </c>
      <c r="N20" s="32" t="s">
        <v>240</v>
      </c>
      <c r="P20" s="43" t="s">
        <v>241</v>
      </c>
      <c r="R20" s="32" t="s">
        <v>242</v>
      </c>
      <c r="T20" s="43" t="s">
        <v>243</v>
      </c>
      <c r="V20" s="43" t="s">
        <v>244</v>
      </c>
      <c r="X20" s="32" t="s">
        <v>245</v>
      </c>
    </row>
    <row r="21" spans="2:24">
      <c r="B21" s="4" t="s">
        <v>246</v>
      </c>
      <c r="D21" s="43" t="s">
        <v>247</v>
      </c>
      <c r="F21" s="42"/>
      <c r="G21" s="42" t="s">
        <v>100</v>
      </c>
      <c r="H21" s="43" t="s">
        <v>248</v>
      </c>
      <c r="J21" s="43" t="s">
        <v>249</v>
      </c>
      <c r="L21" s="43" t="s">
        <v>250</v>
      </c>
      <c r="N21" s="43" t="s">
        <v>251</v>
      </c>
      <c r="P21" s="43" t="s">
        <v>252</v>
      </c>
      <c r="R21" s="32" t="s">
        <v>228</v>
      </c>
      <c r="T21" s="43" t="s">
        <v>242</v>
      </c>
      <c r="V21" s="43" t="s">
        <v>253</v>
      </c>
      <c r="X21" s="43" t="s">
        <v>254</v>
      </c>
    </row>
    <row r="22" spans="2:24">
      <c r="B22" s="4" t="s">
        <v>255</v>
      </c>
      <c r="D22" s="43" t="s">
        <v>256</v>
      </c>
      <c r="F22" s="42"/>
      <c r="G22" s="42"/>
      <c r="H22" s="32" t="s">
        <v>257</v>
      </c>
      <c r="J22" s="43" t="s">
        <v>258</v>
      </c>
      <c r="L22" s="43" t="s">
        <v>259</v>
      </c>
      <c r="N22" s="43" t="s">
        <v>260</v>
      </c>
      <c r="P22" s="43" t="s">
        <v>261</v>
      </c>
      <c r="R22" s="32" t="s">
        <v>237</v>
      </c>
      <c r="T22" s="32" t="s">
        <v>228</v>
      </c>
      <c r="V22" s="32" t="s">
        <v>262</v>
      </c>
      <c r="X22" s="43" t="s">
        <v>263</v>
      </c>
    </row>
    <row r="23" spans="2:24">
      <c r="B23" s="4" t="s">
        <v>264</v>
      </c>
      <c r="D23" s="43" t="s">
        <v>265</v>
      </c>
      <c r="F23" s="42" t="s">
        <v>100</v>
      </c>
      <c r="G23" s="42"/>
      <c r="H23" s="32" t="s">
        <v>266</v>
      </c>
      <c r="J23" s="32" t="s">
        <v>267</v>
      </c>
      <c r="L23" s="32" t="s">
        <v>268</v>
      </c>
      <c r="M23" s="3"/>
      <c r="N23" s="43" t="s">
        <v>269</v>
      </c>
      <c r="O23" s="3"/>
      <c r="P23" s="32" t="s">
        <v>270</v>
      </c>
      <c r="R23" s="32" t="s">
        <v>248</v>
      </c>
      <c r="T23" s="32" t="s">
        <v>237</v>
      </c>
      <c r="V23" s="43" t="s">
        <v>271</v>
      </c>
      <c r="X23" s="43" t="s">
        <v>272</v>
      </c>
    </row>
    <row r="24" spans="2:24">
      <c r="B24" s="4" t="s">
        <v>273</v>
      </c>
      <c r="D24" s="43" t="s">
        <v>274</v>
      </c>
      <c r="F24" s="42"/>
      <c r="G24" s="42"/>
      <c r="H24" s="32" t="s">
        <v>275</v>
      </c>
      <c r="J24" s="43" t="s">
        <v>276</v>
      </c>
      <c r="L24" s="43" t="s">
        <v>277</v>
      </c>
      <c r="N24" s="43" t="s">
        <v>278</v>
      </c>
      <c r="P24" s="32" t="s">
        <v>279</v>
      </c>
      <c r="R24" s="32" t="s">
        <v>257</v>
      </c>
      <c r="T24" s="32" t="s">
        <v>248</v>
      </c>
      <c r="V24" s="43" t="s">
        <v>280</v>
      </c>
      <c r="X24" s="43" t="s">
        <v>281</v>
      </c>
    </row>
    <row r="25" spans="2:24">
      <c r="B25" s="2" t="s">
        <v>282</v>
      </c>
      <c r="D25" s="43" t="s">
        <v>283</v>
      </c>
      <c r="F25" s="42"/>
      <c r="G25" s="42"/>
      <c r="H25" s="32" t="s">
        <v>284</v>
      </c>
      <c r="J25" s="43" t="s">
        <v>285</v>
      </c>
      <c r="L25" s="43" t="s">
        <v>286</v>
      </c>
      <c r="N25" s="43" t="s">
        <v>287</v>
      </c>
      <c r="P25" s="32" t="s">
        <v>288</v>
      </c>
      <c r="R25" s="32" t="s">
        <v>266</v>
      </c>
      <c r="T25" s="32" t="s">
        <v>257</v>
      </c>
      <c r="V25" s="43" t="s">
        <v>289</v>
      </c>
      <c r="X25" s="43" t="s">
        <v>290</v>
      </c>
    </row>
    <row r="26" spans="2:24">
      <c r="B26" s="2" t="s">
        <v>291</v>
      </c>
      <c r="D26" s="43" t="s">
        <v>292</v>
      </c>
      <c r="F26" s="42"/>
      <c r="G26" s="42"/>
      <c r="H26" s="32" t="s">
        <v>293</v>
      </c>
      <c r="J26" s="43" t="s">
        <v>294</v>
      </c>
      <c r="L26" s="43" t="s">
        <v>295</v>
      </c>
      <c r="N26" s="43" t="s">
        <v>296</v>
      </c>
      <c r="P26" s="43" t="s">
        <v>297</v>
      </c>
      <c r="R26" s="32" t="s">
        <v>275</v>
      </c>
      <c r="T26" s="32" t="s">
        <v>266</v>
      </c>
      <c r="V26" s="43" t="s">
        <v>298</v>
      </c>
      <c r="X26" s="43" t="s">
        <v>299</v>
      </c>
    </row>
    <row r="27" spans="2:24">
      <c r="B27" s="2" t="s">
        <v>300</v>
      </c>
      <c r="D27" s="43" t="s">
        <v>301</v>
      </c>
      <c r="F27" s="42"/>
      <c r="G27" s="42"/>
      <c r="H27" s="32" t="s">
        <v>302</v>
      </c>
      <c r="J27" s="43" t="s">
        <v>303</v>
      </c>
      <c r="L27" s="43" t="s">
        <v>304</v>
      </c>
      <c r="N27" s="32" t="s">
        <v>305</v>
      </c>
      <c r="P27" s="43" t="s">
        <v>306</v>
      </c>
      <c r="R27" s="43" t="s">
        <v>284</v>
      </c>
      <c r="T27" s="32" t="s">
        <v>275</v>
      </c>
      <c r="V27" s="43" t="s">
        <v>307</v>
      </c>
      <c r="X27" s="43" t="s">
        <v>308</v>
      </c>
    </row>
    <row r="28" spans="2:24">
      <c r="B28" s="2" t="s">
        <v>309</v>
      </c>
      <c r="D28" s="43" t="s">
        <v>310</v>
      </c>
      <c r="F28" s="42" t="s">
        <v>100</v>
      </c>
      <c r="G28" s="42" t="s">
        <v>100</v>
      </c>
      <c r="H28" s="43" t="s">
        <v>311</v>
      </c>
      <c r="J28" s="43" t="s">
        <v>312</v>
      </c>
      <c r="L28" s="43" t="s">
        <v>313</v>
      </c>
      <c r="N28" s="43" t="s">
        <v>314</v>
      </c>
      <c r="P28" s="43" t="s">
        <v>315</v>
      </c>
      <c r="R28" s="32" t="s">
        <v>293</v>
      </c>
      <c r="T28" s="43" t="s">
        <v>284</v>
      </c>
      <c r="V28" s="43" t="s">
        <v>316</v>
      </c>
      <c r="X28" s="43" t="s">
        <v>317</v>
      </c>
    </row>
    <row r="29" spans="2:24">
      <c r="B29" s="2" t="s">
        <v>318</v>
      </c>
      <c r="D29" s="43" t="s">
        <v>319</v>
      </c>
      <c r="F29" s="42" t="s">
        <v>100</v>
      </c>
      <c r="G29" s="42" t="s">
        <v>100</v>
      </c>
      <c r="H29" s="32" t="s">
        <v>320</v>
      </c>
      <c r="J29" s="32" t="s">
        <v>321</v>
      </c>
      <c r="L29" s="43" t="s">
        <v>322</v>
      </c>
      <c r="N29" s="32" t="s">
        <v>323</v>
      </c>
      <c r="P29" s="43" t="s">
        <v>324</v>
      </c>
      <c r="R29" s="32" t="s">
        <v>302</v>
      </c>
      <c r="T29" s="32" t="s">
        <v>293</v>
      </c>
      <c r="V29" s="43" t="s">
        <v>325</v>
      </c>
      <c r="X29" s="43" t="s">
        <v>326</v>
      </c>
    </row>
    <row r="30" spans="2:24">
      <c r="B30" s="2" t="s">
        <v>327</v>
      </c>
      <c r="D30" s="32" t="s">
        <v>328</v>
      </c>
      <c r="F30" s="42" t="s">
        <v>100</v>
      </c>
      <c r="G30" s="42" t="s">
        <v>100</v>
      </c>
      <c r="H30" s="43" t="s">
        <v>329</v>
      </c>
      <c r="J30" s="43" t="s">
        <v>330</v>
      </c>
      <c r="L30" s="32" t="s">
        <v>331</v>
      </c>
      <c r="N30" s="43" t="s">
        <v>332</v>
      </c>
      <c r="P30" s="43" t="s">
        <v>333</v>
      </c>
      <c r="R30" s="43" t="s">
        <v>334</v>
      </c>
      <c r="T30" s="32" t="s">
        <v>302</v>
      </c>
      <c r="V30" s="43" t="s">
        <v>335</v>
      </c>
      <c r="X30" s="43" t="s">
        <v>336</v>
      </c>
    </row>
    <row r="31" spans="2:24">
      <c r="B31" s="2" t="s">
        <v>337</v>
      </c>
      <c r="D31" s="32" t="s">
        <v>338</v>
      </c>
      <c r="F31" s="42" t="s">
        <v>100</v>
      </c>
      <c r="G31" s="42" t="s">
        <v>100</v>
      </c>
      <c r="H31" s="43" t="s">
        <v>339</v>
      </c>
      <c r="J31" s="32" t="s">
        <v>340</v>
      </c>
      <c r="L31" s="43" t="s">
        <v>341</v>
      </c>
      <c r="N31" s="43" t="s">
        <v>342</v>
      </c>
      <c r="P31" s="43" t="s">
        <v>343</v>
      </c>
      <c r="R31" s="43" t="s">
        <v>344</v>
      </c>
      <c r="T31" s="43" t="s">
        <v>334</v>
      </c>
      <c r="V31" s="32" t="s">
        <v>345</v>
      </c>
      <c r="X31" s="43" t="s">
        <v>346</v>
      </c>
    </row>
    <row r="32" spans="2:24">
      <c r="B32" s="2" t="s">
        <v>347</v>
      </c>
      <c r="D32" s="32" t="s">
        <v>348</v>
      </c>
      <c r="F32" s="42" t="s">
        <v>100</v>
      </c>
      <c r="G32" s="42" t="s">
        <v>100</v>
      </c>
      <c r="H32" s="43" t="s">
        <v>349</v>
      </c>
      <c r="J32" s="32" t="s">
        <v>350</v>
      </c>
      <c r="L32" s="43" t="s">
        <v>351</v>
      </c>
      <c r="N32" s="43" t="s">
        <v>352</v>
      </c>
      <c r="P32" s="43" t="s">
        <v>353</v>
      </c>
      <c r="R32" s="43" t="s">
        <v>311</v>
      </c>
      <c r="T32" s="43" t="s">
        <v>354</v>
      </c>
      <c r="V32" s="43" t="s">
        <v>355</v>
      </c>
      <c r="X32" s="43" t="s">
        <v>356</v>
      </c>
    </row>
    <row r="33" spans="2:24">
      <c r="B33" s="2" t="s">
        <v>357</v>
      </c>
      <c r="D33" s="32" t="s">
        <v>358</v>
      </c>
      <c r="F33" s="42" t="s">
        <v>100</v>
      </c>
      <c r="G33" s="42" t="s">
        <v>100</v>
      </c>
      <c r="H33" s="43" t="s">
        <v>359</v>
      </c>
      <c r="J33" s="32" t="s">
        <v>360</v>
      </c>
      <c r="L33" s="43" t="s">
        <v>361</v>
      </c>
      <c r="N33" s="32" t="s">
        <v>362</v>
      </c>
      <c r="P33" s="32" t="s">
        <v>363</v>
      </c>
      <c r="R33" s="43" t="s">
        <v>320</v>
      </c>
      <c r="T33" s="32" t="s">
        <v>344</v>
      </c>
      <c r="V33" s="43" t="s">
        <v>364</v>
      </c>
      <c r="X33" s="43" t="s">
        <v>365</v>
      </c>
    </row>
    <row r="34" spans="2:24">
      <c r="B34" s="2" t="s">
        <v>366</v>
      </c>
      <c r="D34" s="43" t="s">
        <v>367</v>
      </c>
      <c r="F34" s="42" t="s">
        <v>100</v>
      </c>
      <c r="G34" s="42" t="s">
        <v>100</v>
      </c>
      <c r="H34" s="43" t="s">
        <v>368</v>
      </c>
      <c r="J34" s="32" t="s">
        <v>369</v>
      </c>
      <c r="L34" s="32" t="s">
        <v>370</v>
      </c>
      <c r="N34" s="32" t="s">
        <v>371</v>
      </c>
      <c r="P34" s="43" t="s">
        <v>372</v>
      </c>
      <c r="R34" s="43" t="s">
        <v>329</v>
      </c>
      <c r="T34" s="43" t="s">
        <v>311</v>
      </c>
      <c r="V34" s="32" t="s">
        <v>373</v>
      </c>
      <c r="X34" s="43" t="s">
        <v>374</v>
      </c>
    </row>
    <row r="35" spans="2:24">
      <c r="B35" s="4" t="s">
        <v>375</v>
      </c>
      <c r="D35" s="43" t="s">
        <v>376</v>
      </c>
      <c r="F35" s="42"/>
      <c r="G35" s="42"/>
      <c r="H35" s="32" t="s">
        <v>377</v>
      </c>
      <c r="J35" s="32" t="s">
        <v>378</v>
      </c>
      <c r="L35" s="32" t="s">
        <v>379</v>
      </c>
      <c r="N35" s="43" t="s">
        <v>380</v>
      </c>
      <c r="R35" s="43" t="s">
        <v>339</v>
      </c>
      <c r="T35" s="43" t="s">
        <v>320</v>
      </c>
      <c r="V35" s="43" t="s">
        <v>381</v>
      </c>
      <c r="X35" s="43" t="s">
        <v>382</v>
      </c>
    </row>
    <row r="36" spans="2:24">
      <c r="B36" s="4" t="s">
        <v>383</v>
      </c>
      <c r="D36" s="43" t="s">
        <v>384</v>
      </c>
      <c r="F36" s="42"/>
      <c r="G36" s="42"/>
      <c r="H36" s="32" t="s">
        <v>385</v>
      </c>
      <c r="J36" s="43" t="s">
        <v>386</v>
      </c>
      <c r="L36" s="43" t="s">
        <v>387</v>
      </c>
      <c r="N36" s="43" t="s">
        <v>388</v>
      </c>
      <c r="R36" s="43" t="s">
        <v>349</v>
      </c>
      <c r="T36" s="43" t="s">
        <v>329</v>
      </c>
      <c r="V36" s="43" t="s">
        <v>389</v>
      </c>
      <c r="X36" s="43" t="s">
        <v>390</v>
      </c>
    </row>
    <row r="37" spans="2:24">
      <c r="B37" s="2" t="s">
        <v>391</v>
      </c>
      <c r="D37" s="43" t="s">
        <v>392</v>
      </c>
      <c r="F37" s="42"/>
      <c r="G37" s="42"/>
      <c r="H37" s="32" t="s">
        <v>393</v>
      </c>
      <c r="J37" s="43" t="s">
        <v>394</v>
      </c>
      <c r="L37" s="43" t="s">
        <v>395</v>
      </c>
      <c r="N37" s="43" t="s">
        <v>396</v>
      </c>
      <c r="R37" s="43" t="s">
        <v>368</v>
      </c>
      <c r="T37" s="43" t="s">
        <v>339</v>
      </c>
      <c r="V37" s="43" t="s">
        <v>397</v>
      </c>
      <c r="X37" s="43" t="s">
        <v>398</v>
      </c>
    </row>
    <row r="38" spans="2:24">
      <c r="B38" s="4" t="s">
        <v>399</v>
      </c>
      <c r="D38" s="43" t="s">
        <v>400</v>
      </c>
      <c r="F38" s="42"/>
      <c r="G38" s="42"/>
      <c r="H38" s="32" t="s">
        <v>401</v>
      </c>
      <c r="J38" s="43" t="s">
        <v>402</v>
      </c>
      <c r="L38" s="43" t="s">
        <v>403</v>
      </c>
      <c r="N38" s="43" t="s">
        <v>404</v>
      </c>
      <c r="R38" s="32" t="s">
        <v>405</v>
      </c>
      <c r="T38" s="43" t="s">
        <v>349</v>
      </c>
      <c r="V38" s="43" t="s">
        <v>406</v>
      </c>
      <c r="X38" s="32" t="s">
        <v>407</v>
      </c>
    </row>
    <row r="39" spans="2:24">
      <c r="B39" s="2" t="s">
        <v>408</v>
      </c>
      <c r="D39" s="43" t="s">
        <v>409</v>
      </c>
      <c r="F39" s="42" t="s">
        <v>100</v>
      </c>
      <c r="G39" s="42" t="s">
        <v>100</v>
      </c>
      <c r="H39" s="43" t="s">
        <v>410</v>
      </c>
      <c r="J39" s="43" t="s">
        <v>411</v>
      </c>
      <c r="L39" s="43" t="s">
        <v>412</v>
      </c>
      <c r="N39" s="32" t="s">
        <v>413</v>
      </c>
      <c r="R39" s="32" t="s">
        <v>414</v>
      </c>
      <c r="T39" s="43" t="s">
        <v>368</v>
      </c>
      <c r="V39" s="43" t="s">
        <v>415</v>
      </c>
      <c r="X39" s="43" t="s">
        <v>416</v>
      </c>
    </row>
    <row r="40" spans="2:24">
      <c r="B40" s="4" t="s">
        <v>417</v>
      </c>
      <c r="D40" s="43" t="s">
        <v>418</v>
      </c>
      <c r="F40" s="42" t="s">
        <v>100</v>
      </c>
      <c r="G40" s="42" t="s">
        <v>100</v>
      </c>
      <c r="H40" s="43" t="s">
        <v>419</v>
      </c>
      <c r="J40" s="32" t="s">
        <v>420</v>
      </c>
      <c r="L40" s="32" t="s">
        <v>421</v>
      </c>
      <c r="N40" s="32" t="s">
        <v>422</v>
      </c>
      <c r="R40" s="32" t="s">
        <v>423</v>
      </c>
      <c r="T40" s="32" t="s">
        <v>405</v>
      </c>
      <c r="V40" s="43" t="s">
        <v>424</v>
      </c>
      <c r="X40" s="43" t="s">
        <v>425</v>
      </c>
    </row>
    <row r="41" spans="2:24">
      <c r="B41" s="4" t="s">
        <v>426</v>
      </c>
      <c r="D41" s="43" t="s">
        <v>427</v>
      </c>
      <c r="F41" s="42" t="s">
        <v>100</v>
      </c>
      <c r="G41" s="42" t="s">
        <v>100</v>
      </c>
      <c r="H41" s="43" t="s">
        <v>428</v>
      </c>
      <c r="J41" s="43" t="s">
        <v>429</v>
      </c>
      <c r="L41" s="43" t="s">
        <v>430</v>
      </c>
      <c r="N41" s="32" t="s">
        <v>431</v>
      </c>
      <c r="R41" s="32" t="s">
        <v>432</v>
      </c>
      <c r="T41" s="32" t="s">
        <v>414</v>
      </c>
      <c r="V41" s="32" t="s">
        <v>433</v>
      </c>
      <c r="X41" s="43" t="s">
        <v>434</v>
      </c>
    </row>
    <row r="42" spans="2:24">
      <c r="B42" s="4" t="s">
        <v>435</v>
      </c>
      <c r="D42" s="43" t="s">
        <v>436</v>
      </c>
      <c r="F42" s="42" t="s">
        <v>100</v>
      </c>
      <c r="G42" s="42" t="s">
        <v>100</v>
      </c>
      <c r="H42" s="43" t="s">
        <v>437</v>
      </c>
      <c r="J42" s="43" t="s">
        <v>438</v>
      </c>
      <c r="L42" s="43" t="s">
        <v>439</v>
      </c>
      <c r="N42" s="32" t="s">
        <v>440</v>
      </c>
      <c r="R42" s="43" t="s">
        <v>441</v>
      </c>
      <c r="T42" s="32" t="s">
        <v>423</v>
      </c>
      <c r="V42" s="43" t="s">
        <v>442</v>
      </c>
      <c r="X42" s="43" t="s">
        <v>443</v>
      </c>
    </row>
    <row r="43" spans="2:24">
      <c r="B43" s="2" t="s">
        <v>444</v>
      </c>
      <c r="D43" s="32" t="s">
        <v>445</v>
      </c>
      <c r="F43" s="42" t="s">
        <v>100</v>
      </c>
      <c r="G43" s="42" t="s">
        <v>100</v>
      </c>
      <c r="H43" s="43" t="s">
        <v>446</v>
      </c>
      <c r="J43" s="43" t="s">
        <v>447</v>
      </c>
      <c r="L43" s="32" t="s">
        <v>448</v>
      </c>
      <c r="N43" s="32" t="s">
        <v>449</v>
      </c>
      <c r="R43" s="43" t="s">
        <v>450</v>
      </c>
      <c r="T43" s="32" t="s">
        <v>432</v>
      </c>
      <c r="V43" s="43" t="s">
        <v>451</v>
      </c>
    </row>
    <row r="44" spans="2:24">
      <c r="B44" s="2" t="s">
        <v>452</v>
      </c>
      <c r="D44" s="43" t="s">
        <v>453</v>
      </c>
      <c r="F44" s="42" t="s">
        <v>100</v>
      </c>
      <c r="G44" s="42" t="s">
        <v>100</v>
      </c>
      <c r="H44" s="43" t="s">
        <v>454</v>
      </c>
      <c r="J44" s="32" t="s">
        <v>455</v>
      </c>
      <c r="L44" s="43" t="s">
        <v>456</v>
      </c>
      <c r="N44" s="32" t="s">
        <v>457</v>
      </c>
      <c r="R44" s="43" t="s">
        <v>458</v>
      </c>
      <c r="T44" s="43" t="s">
        <v>459</v>
      </c>
      <c r="V44" s="43" t="s">
        <v>460</v>
      </c>
    </row>
    <row r="45" spans="2:24">
      <c r="B45" s="4" t="s">
        <v>461</v>
      </c>
      <c r="D45" s="43" t="s">
        <v>462</v>
      </c>
      <c r="F45" s="42" t="s">
        <v>100</v>
      </c>
      <c r="G45" s="42" t="s">
        <v>100</v>
      </c>
      <c r="H45" s="43" t="s">
        <v>463</v>
      </c>
      <c r="J45" s="43" t="s">
        <v>464</v>
      </c>
      <c r="L45" s="43" t="s">
        <v>465</v>
      </c>
      <c r="N45" s="32" t="s">
        <v>466</v>
      </c>
      <c r="R45" s="43" t="s">
        <v>467</v>
      </c>
      <c r="T45" s="43" t="s">
        <v>468</v>
      </c>
      <c r="V45" s="32" t="s">
        <v>469</v>
      </c>
    </row>
    <row r="46" spans="2:24">
      <c r="B46" s="4" t="s">
        <v>470</v>
      </c>
      <c r="D46" s="32" t="s">
        <v>471</v>
      </c>
      <c r="F46" s="42" t="s">
        <v>100</v>
      </c>
      <c r="G46" s="42" t="s">
        <v>100</v>
      </c>
      <c r="H46" s="43" t="s">
        <v>472</v>
      </c>
      <c r="J46" s="32" t="s">
        <v>473</v>
      </c>
      <c r="L46" s="43" t="s">
        <v>474</v>
      </c>
      <c r="N46" s="32" t="s">
        <v>475</v>
      </c>
      <c r="R46" s="43" t="s">
        <v>476</v>
      </c>
      <c r="T46" s="43" t="s">
        <v>477</v>
      </c>
      <c r="V46" s="32" t="s">
        <v>478</v>
      </c>
    </row>
    <row r="47" spans="2:24">
      <c r="B47" s="4" t="s">
        <v>479</v>
      </c>
      <c r="D47" s="43" t="s">
        <v>480</v>
      </c>
      <c r="F47" s="42"/>
      <c r="G47" s="42"/>
      <c r="H47" s="32" t="s">
        <v>481</v>
      </c>
      <c r="J47" s="32" t="s">
        <v>482</v>
      </c>
      <c r="L47" s="43" t="s">
        <v>483</v>
      </c>
      <c r="N47" s="32" t="s">
        <v>484</v>
      </c>
      <c r="R47" s="43" t="s">
        <v>485</v>
      </c>
      <c r="T47" s="43" t="s">
        <v>486</v>
      </c>
      <c r="V47" s="32" t="s">
        <v>487</v>
      </c>
    </row>
    <row r="48" spans="2:24">
      <c r="B48" s="4" t="s">
        <v>488</v>
      </c>
      <c r="D48" s="43" t="s">
        <v>489</v>
      </c>
      <c r="F48" s="42"/>
      <c r="G48" s="42"/>
      <c r="H48" s="32" t="s">
        <v>490</v>
      </c>
      <c r="J48" s="32" t="s">
        <v>491</v>
      </c>
      <c r="L48" s="32" t="s">
        <v>492</v>
      </c>
      <c r="N48" s="32" t="s">
        <v>493</v>
      </c>
      <c r="R48" s="32" t="s">
        <v>494</v>
      </c>
      <c r="T48" s="43" t="s">
        <v>495</v>
      </c>
      <c r="V48" s="32" t="s">
        <v>496</v>
      </c>
    </row>
    <row r="49" spans="2:22">
      <c r="B49" s="4" t="s">
        <v>497</v>
      </c>
      <c r="D49" s="43" t="s">
        <v>498</v>
      </c>
      <c r="F49" s="42"/>
      <c r="G49" s="42"/>
      <c r="H49" s="32" t="s">
        <v>499</v>
      </c>
      <c r="J49" s="32" t="s">
        <v>500</v>
      </c>
      <c r="L49" s="32" t="s">
        <v>501</v>
      </c>
      <c r="N49" s="32" t="s">
        <v>502</v>
      </c>
      <c r="R49" s="43" t="s">
        <v>503</v>
      </c>
      <c r="T49" s="43" t="s">
        <v>504</v>
      </c>
      <c r="V49" s="43" t="s">
        <v>505</v>
      </c>
    </row>
    <row r="50" spans="2:22">
      <c r="B50" s="4" t="s">
        <v>506</v>
      </c>
      <c r="D50" s="32" t="s">
        <v>507</v>
      </c>
      <c r="F50" s="42"/>
      <c r="G50" s="42"/>
      <c r="H50" s="32" t="s">
        <v>508</v>
      </c>
      <c r="J50" s="32" t="s">
        <v>509</v>
      </c>
      <c r="L50" s="43" t="s">
        <v>510</v>
      </c>
      <c r="N50" s="32" t="s">
        <v>511</v>
      </c>
      <c r="R50" s="43" t="s">
        <v>512</v>
      </c>
      <c r="T50" s="43" t="s">
        <v>513</v>
      </c>
      <c r="V50" s="43" t="s">
        <v>514</v>
      </c>
    </row>
    <row r="51" spans="2:22">
      <c r="B51" s="4" t="s">
        <v>515</v>
      </c>
      <c r="D51" s="32" t="s">
        <v>516</v>
      </c>
      <c r="F51" s="42" t="s">
        <v>100</v>
      </c>
      <c r="G51" s="42" t="s">
        <v>100</v>
      </c>
      <c r="H51" s="47" t="s">
        <v>517</v>
      </c>
      <c r="J51" s="32" t="s">
        <v>518</v>
      </c>
      <c r="L51" s="43" t="s">
        <v>519</v>
      </c>
      <c r="N51" s="32" t="s">
        <v>520</v>
      </c>
      <c r="R51" s="43" t="s">
        <v>521</v>
      </c>
      <c r="T51" s="43" t="s">
        <v>522</v>
      </c>
      <c r="V51" s="43" t="s">
        <v>523</v>
      </c>
    </row>
    <row r="52" spans="2:22">
      <c r="B52" s="2" t="s">
        <v>524</v>
      </c>
      <c r="D52" s="43" t="s">
        <v>525</v>
      </c>
      <c r="F52" s="42"/>
      <c r="G52" s="42"/>
      <c r="H52" s="43" t="s">
        <v>526</v>
      </c>
      <c r="J52" s="32" t="s">
        <v>527</v>
      </c>
      <c r="L52" s="43" t="s">
        <v>528</v>
      </c>
      <c r="N52" s="32" t="s">
        <v>529</v>
      </c>
      <c r="R52" s="43" t="s">
        <v>530</v>
      </c>
      <c r="T52" s="43" t="s">
        <v>531</v>
      </c>
      <c r="V52" s="43" t="s">
        <v>532</v>
      </c>
    </row>
    <row r="53" spans="2:22">
      <c r="B53" s="2" t="s">
        <v>533</v>
      </c>
      <c r="D53" s="43" t="s">
        <v>534</v>
      </c>
      <c r="F53" s="42"/>
      <c r="G53" s="42"/>
      <c r="H53" s="32" t="s">
        <v>535</v>
      </c>
      <c r="J53" s="32" t="s">
        <v>536</v>
      </c>
      <c r="L53" s="43" t="s">
        <v>537</v>
      </c>
      <c r="N53" s="32" t="s">
        <v>538</v>
      </c>
      <c r="R53" s="32" t="s">
        <v>539</v>
      </c>
      <c r="T53" s="43" t="s">
        <v>540</v>
      </c>
      <c r="V53" s="32" t="s">
        <v>541</v>
      </c>
    </row>
    <row r="54" spans="2:22">
      <c r="B54" s="2" t="s">
        <v>542</v>
      </c>
      <c r="D54" s="32" t="s">
        <v>543</v>
      </c>
      <c r="F54" s="42"/>
      <c r="G54" s="42"/>
      <c r="H54" s="32" t="s">
        <v>544</v>
      </c>
      <c r="J54" s="32" t="s">
        <v>545</v>
      </c>
      <c r="L54" s="43" t="s">
        <v>546</v>
      </c>
      <c r="N54" s="32" t="s">
        <v>547</v>
      </c>
      <c r="R54" s="43" t="s">
        <v>548</v>
      </c>
      <c r="T54" s="43" t="s">
        <v>549</v>
      </c>
      <c r="V54" s="32" t="s">
        <v>550</v>
      </c>
    </row>
    <row r="55" spans="2:22">
      <c r="B55" s="2" t="s">
        <v>551</v>
      </c>
      <c r="D55" s="43" t="s">
        <v>552</v>
      </c>
      <c r="F55" s="42"/>
      <c r="G55" s="42"/>
      <c r="H55" s="32" t="s">
        <v>553</v>
      </c>
      <c r="J55" s="32" t="s">
        <v>554</v>
      </c>
      <c r="L55" s="43" t="s">
        <v>555</v>
      </c>
      <c r="N55" s="32" t="s">
        <v>556</v>
      </c>
      <c r="R55" s="43" t="s">
        <v>557</v>
      </c>
      <c r="T55" s="43" t="s">
        <v>558</v>
      </c>
      <c r="V55" s="43" t="s">
        <v>559</v>
      </c>
    </row>
    <row r="56" spans="2:22">
      <c r="B56" s="2" t="s">
        <v>560</v>
      </c>
      <c r="D56" s="32" t="s">
        <v>561</v>
      </c>
      <c r="F56" s="42"/>
      <c r="G56" s="42"/>
      <c r="H56" s="48" t="s">
        <v>562</v>
      </c>
      <c r="J56" s="32" t="s">
        <v>563</v>
      </c>
      <c r="L56" s="43" t="s">
        <v>564</v>
      </c>
      <c r="N56" s="32" t="s">
        <v>565</v>
      </c>
      <c r="R56" s="32" t="s">
        <v>566</v>
      </c>
      <c r="T56" s="43" t="s">
        <v>567</v>
      </c>
      <c r="V56" s="43" t="s">
        <v>568</v>
      </c>
    </row>
    <row r="57" spans="2:22">
      <c r="B57" s="4" t="s">
        <v>569</v>
      </c>
      <c r="D57" s="32" t="s">
        <v>570</v>
      </c>
      <c r="F57" s="42"/>
      <c r="G57" s="42"/>
      <c r="H57" s="48" t="s">
        <v>571</v>
      </c>
      <c r="J57" s="32" t="s">
        <v>572</v>
      </c>
      <c r="L57" s="43" t="s">
        <v>573</v>
      </c>
      <c r="N57" s="32" t="s">
        <v>574</v>
      </c>
      <c r="R57" s="43" t="s">
        <v>575</v>
      </c>
      <c r="T57" s="43" t="s">
        <v>576</v>
      </c>
      <c r="V57" s="43" t="s">
        <v>577</v>
      </c>
    </row>
    <row r="58" spans="2:22">
      <c r="B58" s="4" t="s">
        <v>578</v>
      </c>
      <c r="D58" s="32" t="s">
        <v>218</v>
      </c>
      <c r="F58" s="42"/>
      <c r="G58" s="42"/>
      <c r="H58" s="32" t="s">
        <v>579</v>
      </c>
      <c r="J58" s="32" t="s">
        <v>580</v>
      </c>
      <c r="L58" s="43" t="s">
        <v>581</v>
      </c>
      <c r="N58" s="32" t="s">
        <v>582</v>
      </c>
      <c r="R58" s="43" t="s">
        <v>583</v>
      </c>
      <c r="T58" s="43" t="s">
        <v>584</v>
      </c>
      <c r="V58" s="43" t="s">
        <v>585</v>
      </c>
    </row>
    <row r="59" spans="2:22">
      <c r="B59" s="2" t="s">
        <v>586</v>
      </c>
      <c r="D59" s="43" t="s">
        <v>587</v>
      </c>
      <c r="F59" s="42"/>
      <c r="G59" s="42"/>
      <c r="H59" s="32" t="s">
        <v>588</v>
      </c>
      <c r="J59" s="32" t="s">
        <v>589</v>
      </c>
      <c r="L59" s="43" t="s">
        <v>590</v>
      </c>
      <c r="N59" s="32" t="s">
        <v>591</v>
      </c>
      <c r="R59" s="32" t="s">
        <v>592</v>
      </c>
      <c r="T59" s="43" t="s">
        <v>593</v>
      </c>
      <c r="V59" s="32" t="s">
        <v>594</v>
      </c>
    </row>
    <row r="60" spans="2:22">
      <c r="B60" s="4" t="s">
        <v>595</v>
      </c>
      <c r="D60" s="43" t="s">
        <v>596</v>
      </c>
      <c r="F60" s="42"/>
      <c r="G60" s="42"/>
      <c r="H60" s="32" t="s">
        <v>597</v>
      </c>
      <c r="J60" s="32" t="s">
        <v>598</v>
      </c>
      <c r="L60" s="43" t="s">
        <v>599</v>
      </c>
      <c r="N60" s="32" t="s">
        <v>600</v>
      </c>
      <c r="R60" s="32" t="s">
        <v>601</v>
      </c>
      <c r="T60" s="43" t="s">
        <v>602</v>
      </c>
      <c r="V60" s="32" t="s">
        <v>603</v>
      </c>
    </row>
    <row r="61" spans="2:22">
      <c r="B61" s="4" t="s">
        <v>604</v>
      </c>
      <c r="D61" s="43" t="s">
        <v>605</v>
      </c>
      <c r="F61" s="42"/>
      <c r="G61" s="42"/>
      <c r="H61" s="32" t="s">
        <v>606</v>
      </c>
      <c r="J61" s="32" t="s">
        <v>482</v>
      </c>
      <c r="L61" s="43" t="s">
        <v>607</v>
      </c>
      <c r="N61" s="32" t="s">
        <v>608</v>
      </c>
      <c r="R61" s="32" t="s">
        <v>609</v>
      </c>
      <c r="T61" s="43" t="s">
        <v>610</v>
      </c>
      <c r="V61" s="32" t="s">
        <v>611</v>
      </c>
    </row>
    <row r="62" spans="2:22">
      <c r="B62" s="4" t="s">
        <v>612</v>
      </c>
      <c r="D62" s="43" t="s">
        <v>613</v>
      </c>
      <c r="F62" s="42"/>
      <c r="G62" s="42"/>
      <c r="H62" s="32" t="s">
        <v>614</v>
      </c>
      <c r="J62" s="32" t="s">
        <v>615</v>
      </c>
      <c r="L62" s="43" t="s">
        <v>616</v>
      </c>
      <c r="N62" s="32" t="s">
        <v>617</v>
      </c>
      <c r="R62" s="32" t="s">
        <v>618</v>
      </c>
      <c r="T62" s="32" t="s">
        <v>601</v>
      </c>
      <c r="V62" s="43" t="s">
        <v>619</v>
      </c>
    </row>
    <row r="63" spans="2:22">
      <c r="B63" s="4" t="s">
        <v>620</v>
      </c>
      <c r="D63" s="43" t="s">
        <v>621</v>
      </c>
      <c r="F63" s="42"/>
      <c r="G63" s="42"/>
      <c r="H63" s="32" t="s">
        <v>622</v>
      </c>
      <c r="J63" s="32" t="s">
        <v>623</v>
      </c>
      <c r="L63" s="43" t="s">
        <v>624</v>
      </c>
      <c r="N63" s="43" t="s">
        <v>625</v>
      </c>
      <c r="R63" s="32" t="s">
        <v>626</v>
      </c>
      <c r="T63" s="32" t="s">
        <v>627</v>
      </c>
      <c r="V63" s="32" t="s">
        <v>628</v>
      </c>
    </row>
    <row r="64" spans="2:22">
      <c r="B64" s="4" t="s">
        <v>629</v>
      </c>
      <c r="D64" s="32" t="s">
        <v>630</v>
      </c>
      <c r="F64" s="42"/>
      <c r="G64" s="42"/>
      <c r="H64" s="32" t="s">
        <v>631</v>
      </c>
      <c r="J64" s="32" t="s">
        <v>632</v>
      </c>
      <c r="L64" s="43" t="s">
        <v>633</v>
      </c>
      <c r="N64" s="43" t="s">
        <v>634</v>
      </c>
      <c r="R64" s="32" t="s">
        <v>635</v>
      </c>
      <c r="T64" s="32" t="s">
        <v>636</v>
      </c>
      <c r="V64" s="32" t="s">
        <v>637</v>
      </c>
    </row>
    <row r="65" spans="2:22">
      <c r="B65" s="4" t="s">
        <v>638</v>
      </c>
      <c r="D65" s="32" t="s">
        <v>218</v>
      </c>
      <c r="F65" s="42"/>
      <c r="G65" s="42"/>
      <c r="H65" s="32" t="s">
        <v>639</v>
      </c>
      <c r="J65" s="32" t="s">
        <v>640</v>
      </c>
      <c r="L65" s="32" t="s">
        <v>641</v>
      </c>
      <c r="N65" s="43" t="s">
        <v>642</v>
      </c>
      <c r="R65" s="32" t="s">
        <v>643</v>
      </c>
      <c r="T65" s="32" t="s">
        <v>644</v>
      </c>
      <c r="V65" s="32" t="s">
        <v>645</v>
      </c>
    </row>
    <row r="66" spans="2:22">
      <c r="B66" s="4" t="s">
        <v>646</v>
      </c>
      <c r="D66" s="32" t="s">
        <v>647</v>
      </c>
      <c r="F66" s="42" t="s">
        <v>100</v>
      </c>
      <c r="G66" s="42" t="s">
        <v>100</v>
      </c>
      <c r="H66" s="43" t="s">
        <v>648</v>
      </c>
      <c r="J66" s="32" t="s">
        <v>649</v>
      </c>
      <c r="L66" s="32" t="s">
        <v>650</v>
      </c>
      <c r="N66" s="43" t="s">
        <v>651</v>
      </c>
      <c r="R66" s="32" t="s">
        <v>652</v>
      </c>
      <c r="T66" s="32" t="s">
        <v>653</v>
      </c>
      <c r="V66" s="43" t="s">
        <v>654</v>
      </c>
    </row>
    <row r="67" spans="2:22">
      <c r="B67" s="4" t="s">
        <v>655</v>
      </c>
      <c r="D67" s="43" t="s">
        <v>656</v>
      </c>
      <c r="F67" s="42"/>
      <c r="G67" s="42"/>
      <c r="H67" s="43" t="s">
        <v>657</v>
      </c>
      <c r="J67" s="43" t="s">
        <v>658</v>
      </c>
      <c r="N67" s="43" t="s">
        <v>659</v>
      </c>
      <c r="R67" s="32" t="s">
        <v>660</v>
      </c>
      <c r="T67" s="32" t="s">
        <v>661</v>
      </c>
      <c r="V67" s="43" t="s">
        <v>662</v>
      </c>
    </row>
    <row r="68" spans="2:22">
      <c r="B68" s="4" t="s">
        <v>663</v>
      </c>
      <c r="D68" s="32" t="s">
        <v>664</v>
      </c>
      <c r="F68" s="42"/>
      <c r="G68" s="42"/>
      <c r="H68" s="32" t="s">
        <v>665</v>
      </c>
      <c r="J68" s="43" t="s">
        <v>666</v>
      </c>
      <c r="N68" s="32" t="s">
        <v>667</v>
      </c>
      <c r="R68" s="32" t="s">
        <v>668</v>
      </c>
      <c r="T68" s="32" t="s">
        <v>669</v>
      </c>
      <c r="V68" s="43" t="s">
        <v>670</v>
      </c>
    </row>
    <row r="69" spans="2:22">
      <c r="B69" s="4" t="s">
        <v>671</v>
      </c>
      <c r="D69" s="32" t="s">
        <v>672</v>
      </c>
      <c r="F69" s="42"/>
      <c r="G69" s="42"/>
      <c r="H69" s="43" t="s">
        <v>673</v>
      </c>
      <c r="J69" s="32" t="s">
        <v>674</v>
      </c>
      <c r="N69" s="32" t="s">
        <v>231</v>
      </c>
      <c r="R69" s="32" t="s">
        <v>675</v>
      </c>
      <c r="T69" s="32" t="s">
        <v>676</v>
      </c>
      <c r="V69" s="43" t="s">
        <v>677</v>
      </c>
    </row>
    <row r="70" spans="2:22">
      <c r="B70" s="4" t="s">
        <v>678</v>
      </c>
      <c r="D70" s="32" t="s">
        <v>218</v>
      </c>
      <c r="F70" s="42"/>
      <c r="G70" s="42"/>
      <c r="H70" s="32" t="s">
        <v>679</v>
      </c>
      <c r="J70" s="43" t="s">
        <v>680</v>
      </c>
      <c r="N70" s="43" t="s">
        <v>681</v>
      </c>
      <c r="R70" s="32" t="s">
        <v>682</v>
      </c>
      <c r="T70" s="32" t="s">
        <v>683</v>
      </c>
    </row>
    <row r="71" spans="2:22">
      <c r="B71" s="4" t="s">
        <v>684</v>
      </c>
      <c r="D71" s="43" t="s">
        <v>685</v>
      </c>
      <c r="F71" s="42"/>
      <c r="G71" s="42"/>
      <c r="H71" s="32" t="s">
        <v>686</v>
      </c>
      <c r="J71" s="43" t="s">
        <v>687</v>
      </c>
      <c r="N71" s="43" t="s">
        <v>688</v>
      </c>
      <c r="R71" s="32" t="s">
        <v>689</v>
      </c>
      <c r="T71" s="32" t="s">
        <v>690</v>
      </c>
    </row>
    <row r="72" spans="2:22">
      <c r="B72" s="4" t="s">
        <v>691</v>
      </c>
      <c r="D72" s="43" t="s">
        <v>692</v>
      </c>
      <c r="F72" s="42"/>
      <c r="G72" s="42"/>
      <c r="H72" s="32" t="s">
        <v>693</v>
      </c>
      <c r="J72" s="43" t="s">
        <v>694</v>
      </c>
      <c r="N72" s="43" t="s">
        <v>695</v>
      </c>
      <c r="R72" s="32" t="s">
        <v>696</v>
      </c>
      <c r="T72" s="43" t="s">
        <v>697</v>
      </c>
    </row>
    <row r="73" spans="2:22">
      <c r="B73" s="4" t="s">
        <v>698</v>
      </c>
      <c r="D73" s="43" t="s">
        <v>699</v>
      </c>
      <c r="F73" s="42"/>
      <c r="G73" s="42"/>
      <c r="H73" s="32" t="s">
        <v>700</v>
      </c>
      <c r="J73" s="43" t="s">
        <v>701</v>
      </c>
      <c r="N73" s="43" t="s">
        <v>702</v>
      </c>
      <c r="R73" s="32" t="s">
        <v>690</v>
      </c>
      <c r="T73" s="43" t="s">
        <v>703</v>
      </c>
    </row>
    <row r="74" spans="2:22">
      <c r="B74" s="4" t="s">
        <v>704</v>
      </c>
      <c r="D74" s="43" t="s">
        <v>705</v>
      </c>
      <c r="F74" s="42"/>
      <c r="G74" s="42"/>
      <c r="H74" s="32" t="s">
        <v>706</v>
      </c>
      <c r="J74" s="43" t="s">
        <v>707</v>
      </c>
      <c r="N74" s="43" t="s">
        <v>708</v>
      </c>
      <c r="R74" s="43" t="s">
        <v>709</v>
      </c>
      <c r="T74" s="43" t="s">
        <v>710</v>
      </c>
    </row>
    <row r="75" spans="2:22">
      <c r="B75" s="4" t="s">
        <v>711</v>
      </c>
      <c r="D75" s="43" t="s">
        <v>712</v>
      </c>
      <c r="F75" s="42"/>
      <c r="G75" s="42"/>
      <c r="H75" s="43" t="s">
        <v>713</v>
      </c>
      <c r="J75" s="32" t="s">
        <v>714</v>
      </c>
      <c r="N75" s="43" t="s">
        <v>715</v>
      </c>
      <c r="R75" s="43" t="s">
        <v>716</v>
      </c>
      <c r="T75" s="43" t="s">
        <v>717</v>
      </c>
    </row>
    <row r="76" spans="2:22">
      <c r="B76" s="4" t="s">
        <v>718</v>
      </c>
      <c r="D76" s="43" t="s">
        <v>719</v>
      </c>
      <c r="F76" s="42"/>
      <c r="G76" s="42"/>
      <c r="H76" s="32" t="s">
        <v>720</v>
      </c>
      <c r="J76" s="43" t="s">
        <v>721</v>
      </c>
      <c r="N76" s="43" t="s">
        <v>722</v>
      </c>
      <c r="R76" s="43" t="s">
        <v>723</v>
      </c>
      <c r="T76" s="43" t="s">
        <v>724</v>
      </c>
    </row>
    <row r="77" spans="2:22">
      <c r="B77" s="2" t="s">
        <v>725</v>
      </c>
      <c r="D77" s="43" t="s">
        <v>726</v>
      </c>
      <c r="F77" s="42"/>
      <c r="G77" s="42"/>
      <c r="H77" s="32" t="s">
        <v>727</v>
      </c>
      <c r="J77" s="43" t="s">
        <v>728</v>
      </c>
      <c r="N77" s="32" t="s">
        <v>729</v>
      </c>
      <c r="R77" s="43" t="s">
        <v>730</v>
      </c>
      <c r="T77" s="43" t="s">
        <v>731</v>
      </c>
    </row>
    <row r="78" spans="2:22">
      <c r="B78" s="4" t="s">
        <v>732</v>
      </c>
      <c r="D78" s="32" t="s">
        <v>733</v>
      </c>
      <c r="F78" s="42"/>
      <c r="G78" s="42"/>
      <c r="H78" s="32" t="s">
        <v>734</v>
      </c>
      <c r="J78" s="43" t="s">
        <v>735</v>
      </c>
      <c r="L78" s="31"/>
      <c r="N78" s="32" t="s">
        <v>231</v>
      </c>
      <c r="R78" s="43" t="s">
        <v>736</v>
      </c>
      <c r="T78" s="43" t="s">
        <v>737</v>
      </c>
    </row>
    <row r="79" spans="2:22">
      <c r="B79" s="4" t="s">
        <v>738</v>
      </c>
      <c r="D79" s="32" t="s">
        <v>739</v>
      </c>
      <c r="F79" s="42"/>
      <c r="G79" s="42"/>
      <c r="H79" s="32" t="s">
        <v>740</v>
      </c>
      <c r="J79" s="43" t="s">
        <v>741</v>
      </c>
      <c r="N79" s="32" t="s">
        <v>742</v>
      </c>
      <c r="R79" s="43" t="s">
        <v>743</v>
      </c>
      <c r="T79" s="43" t="s">
        <v>744</v>
      </c>
    </row>
    <row r="80" spans="2:22">
      <c r="B80" s="2" t="s">
        <v>745</v>
      </c>
      <c r="D80" s="32" t="s">
        <v>746</v>
      </c>
      <c r="F80" s="42"/>
      <c r="G80" s="42"/>
      <c r="H80" s="43" t="s">
        <v>747</v>
      </c>
      <c r="J80" s="43" t="s">
        <v>748</v>
      </c>
      <c r="N80" s="43" t="s">
        <v>749</v>
      </c>
      <c r="R80" s="43" t="s">
        <v>737</v>
      </c>
      <c r="T80" s="32" t="s">
        <v>517</v>
      </c>
    </row>
    <row r="81" spans="2:20">
      <c r="B81" s="4" t="s">
        <v>750</v>
      </c>
      <c r="D81" s="32" t="s">
        <v>751</v>
      </c>
      <c r="F81" s="42"/>
      <c r="G81" s="42"/>
      <c r="H81" s="32" t="s">
        <v>752</v>
      </c>
      <c r="J81" s="32" t="s">
        <v>753</v>
      </c>
      <c r="L81" s="31"/>
      <c r="N81" s="43" t="s">
        <v>754</v>
      </c>
      <c r="R81" s="43" t="s">
        <v>744</v>
      </c>
      <c r="T81" s="43" t="s">
        <v>755</v>
      </c>
    </row>
    <row r="82" spans="2:20">
      <c r="B82" s="4" t="s">
        <v>756</v>
      </c>
      <c r="D82" s="43" t="s">
        <v>757</v>
      </c>
      <c r="F82" s="42"/>
      <c r="G82" s="42"/>
      <c r="H82" s="32" t="s">
        <v>758</v>
      </c>
      <c r="J82" s="32" t="s">
        <v>759</v>
      </c>
      <c r="L82" s="31"/>
      <c r="N82" s="43" t="s">
        <v>760</v>
      </c>
      <c r="R82" s="32" t="s">
        <v>517</v>
      </c>
      <c r="T82" s="32" t="s">
        <v>761</v>
      </c>
    </row>
    <row r="83" spans="2:20">
      <c r="B83" s="4" t="s">
        <v>762</v>
      </c>
      <c r="D83" s="43" t="s">
        <v>763</v>
      </c>
      <c r="F83" s="42"/>
      <c r="G83" s="42"/>
      <c r="H83" s="32" t="s">
        <v>764</v>
      </c>
      <c r="J83" s="43" t="s">
        <v>765</v>
      </c>
      <c r="L83" s="31"/>
      <c r="N83" s="43" t="s">
        <v>766</v>
      </c>
      <c r="R83" s="32" t="s">
        <v>767</v>
      </c>
      <c r="T83" s="43" t="s">
        <v>768</v>
      </c>
    </row>
    <row r="84" spans="2:20">
      <c r="B84" s="4" t="s">
        <v>769</v>
      </c>
      <c r="D84" s="32" t="s">
        <v>770</v>
      </c>
      <c r="F84" s="42"/>
      <c r="G84" s="42"/>
      <c r="H84" s="43" t="s">
        <v>771</v>
      </c>
      <c r="J84" s="43" t="s">
        <v>772</v>
      </c>
      <c r="L84" s="31"/>
      <c r="N84" s="32" t="s">
        <v>773</v>
      </c>
      <c r="R84" s="43" t="s">
        <v>774</v>
      </c>
      <c r="T84" s="43" t="s">
        <v>775</v>
      </c>
    </row>
    <row r="85" spans="2:20">
      <c r="B85" s="4" t="s">
        <v>776</v>
      </c>
      <c r="D85" s="44" t="s">
        <v>777</v>
      </c>
      <c r="F85" s="42"/>
      <c r="G85" s="42"/>
      <c r="H85" s="32" t="s">
        <v>778</v>
      </c>
      <c r="J85" s="32" t="s">
        <v>779</v>
      </c>
      <c r="L85" s="31"/>
      <c r="N85" s="43" t="s">
        <v>780</v>
      </c>
      <c r="R85" s="32" t="s">
        <v>781</v>
      </c>
      <c r="T85" s="43" t="s">
        <v>782</v>
      </c>
    </row>
    <row r="86" spans="2:20">
      <c r="B86" s="2" t="s">
        <v>783</v>
      </c>
      <c r="F86" s="42"/>
      <c r="G86" s="42"/>
      <c r="H86" s="32" t="s">
        <v>784</v>
      </c>
      <c r="J86" s="32" t="s">
        <v>785</v>
      </c>
      <c r="N86" s="31"/>
      <c r="R86" s="32" t="s">
        <v>786</v>
      </c>
      <c r="T86" s="43" t="s">
        <v>787</v>
      </c>
    </row>
    <row r="87" spans="2:20">
      <c r="B87" s="2" t="s">
        <v>788</v>
      </c>
      <c r="F87" s="42"/>
      <c r="G87" s="42"/>
      <c r="H87" s="43" t="s">
        <v>789</v>
      </c>
      <c r="J87" s="32" t="s">
        <v>790</v>
      </c>
      <c r="N87" s="31"/>
      <c r="R87" s="32" t="s">
        <v>791</v>
      </c>
      <c r="T87" s="32" t="s">
        <v>792</v>
      </c>
    </row>
    <row r="88" spans="2:20">
      <c r="B88" s="4" t="s">
        <v>793</v>
      </c>
      <c r="F88" s="42"/>
      <c r="G88" s="42"/>
      <c r="H88" s="32" t="s">
        <v>794</v>
      </c>
      <c r="J88" s="32" t="s">
        <v>482</v>
      </c>
      <c r="N88" s="31"/>
      <c r="R88" s="32" t="s">
        <v>795</v>
      </c>
      <c r="T88" s="32" t="s">
        <v>796</v>
      </c>
    </row>
    <row r="89" spans="2:20">
      <c r="B89" s="4" t="s">
        <v>797</v>
      </c>
      <c r="F89" s="42"/>
      <c r="G89" s="42"/>
      <c r="H89" s="32" t="s">
        <v>798</v>
      </c>
      <c r="J89" s="32" t="s">
        <v>799</v>
      </c>
      <c r="L89" s="31"/>
      <c r="R89" s="32" t="s">
        <v>800</v>
      </c>
      <c r="T89" s="43" t="s">
        <v>801</v>
      </c>
    </row>
    <row r="90" spans="2:20">
      <c r="B90" s="4" t="s">
        <v>264</v>
      </c>
      <c r="F90" s="42"/>
      <c r="G90" s="42"/>
      <c r="H90" s="32" t="s">
        <v>802</v>
      </c>
      <c r="J90" s="43" t="s">
        <v>803</v>
      </c>
      <c r="L90" s="31"/>
      <c r="M90" s="3"/>
      <c r="N90" s="41"/>
      <c r="O90" s="3"/>
      <c r="R90" s="43" t="s">
        <v>804</v>
      </c>
      <c r="T90" s="43" t="s">
        <v>805</v>
      </c>
    </row>
    <row r="91" spans="2:20">
      <c r="B91" s="4" t="s">
        <v>806</v>
      </c>
      <c r="F91" s="42"/>
      <c r="G91" s="42"/>
      <c r="H91" s="32" t="s">
        <v>807</v>
      </c>
      <c r="J91" s="43" t="s">
        <v>808</v>
      </c>
      <c r="L91" s="31"/>
      <c r="N91" s="31"/>
      <c r="R91" s="43" t="s">
        <v>809</v>
      </c>
      <c r="T91" s="32" t="s">
        <v>810</v>
      </c>
    </row>
    <row r="92" spans="2:20">
      <c r="B92" s="2" t="s">
        <v>811</v>
      </c>
      <c r="F92" s="42"/>
      <c r="G92" s="42"/>
      <c r="H92" s="32" t="s">
        <v>812</v>
      </c>
      <c r="J92" s="32" t="s">
        <v>813</v>
      </c>
      <c r="L92" s="31"/>
      <c r="N92" s="31"/>
      <c r="R92" s="32" t="s">
        <v>814</v>
      </c>
      <c r="T92" s="32" t="s">
        <v>815</v>
      </c>
    </row>
    <row r="93" spans="2:20">
      <c r="B93" s="2" t="s">
        <v>816</v>
      </c>
      <c r="F93" s="42"/>
      <c r="G93" s="42"/>
      <c r="H93" s="32" t="s">
        <v>817</v>
      </c>
      <c r="J93" s="32" t="s">
        <v>818</v>
      </c>
      <c r="L93" s="31"/>
      <c r="N93" s="31"/>
      <c r="R93" s="32" t="s">
        <v>819</v>
      </c>
      <c r="T93" s="32" t="s">
        <v>820</v>
      </c>
    </row>
    <row r="94" spans="2:20">
      <c r="B94" s="2" t="s">
        <v>821</v>
      </c>
      <c r="F94" s="42"/>
      <c r="G94" s="42"/>
      <c r="H94" s="43" t="s">
        <v>822</v>
      </c>
      <c r="J94" s="32" t="s">
        <v>823</v>
      </c>
      <c r="L94" s="31"/>
      <c r="N94" s="31"/>
      <c r="R94" s="32" t="s">
        <v>824</v>
      </c>
      <c r="T94" s="32" t="s">
        <v>825</v>
      </c>
    </row>
    <row r="95" spans="2:20">
      <c r="B95" s="2" t="s">
        <v>826</v>
      </c>
      <c r="F95" s="42"/>
      <c r="G95" s="42"/>
      <c r="H95" s="43" t="s">
        <v>827</v>
      </c>
      <c r="J95" s="32" t="s">
        <v>828</v>
      </c>
      <c r="L95" s="31"/>
      <c r="N95" s="31"/>
      <c r="R95" s="32" t="s">
        <v>829</v>
      </c>
      <c r="T95" s="32" t="s">
        <v>830</v>
      </c>
    </row>
    <row r="96" spans="2:20">
      <c r="B96" s="2" t="s">
        <v>831</v>
      </c>
      <c r="F96" s="42"/>
      <c r="G96" s="42"/>
      <c r="H96" s="32" t="s">
        <v>832</v>
      </c>
      <c r="J96" s="32" t="s">
        <v>833</v>
      </c>
      <c r="L96" s="31"/>
      <c r="N96" s="31"/>
      <c r="R96" s="32" t="s">
        <v>825</v>
      </c>
      <c r="T96" s="32" t="s">
        <v>834</v>
      </c>
    </row>
    <row r="97" spans="2:20">
      <c r="B97" s="2" t="s">
        <v>835</v>
      </c>
      <c r="D97" s="31"/>
      <c r="F97" s="42"/>
      <c r="G97" s="42"/>
      <c r="H97" s="32" t="s">
        <v>836</v>
      </c>
      <c r="J97" s="32" t="s">
        <v>837</v>
      </c>
      <c r="L97" s="31"/>
      <c r="N97" s="31"/>
      <c r="R97" s="32" t="s">
        <v>838</v>
      </c>
      <c r="T97" s="43" t="s">
        <v>839</v>
      </c>
    </row>
    <row r="98" spans="2:20">
      <c r="B98" s="2" t="s">
        <v>840</v>
      </c>
      <c r="F98" s="42"/>
      <c r="G98" s="42"/>
      <c r="H98" s="32" t="s">
        <v>841</v>
      </c>
      <c r="J98" s="32" t="s">
        <v>482</v>
      </c>
      <c r="L98" s="31"/>
      <c r="R98" s="32" t="s">
        <v>842</v>
      </c>
      <c r="T98" s="32" t="s">
        <v>843</v>
      </c>
    </row>
    <row r="99" spans="2:20">
      <c r="B99" s="2" t="s">
        <v>844</v>
      </c>
      <c r="F99" s="42"/>
      <c r="G99" s="42"/>
      <c r="H99" s="32" t="s">
        <v>845</v>
      </c>
      <c r="J99" s="32" t="s">
        <v>846</v>
      </c>
      <c r="N99" s="31"/>
      <c r="R99" s="43" t="s">
        <v>847</v>
      </c>
      <c r="T99" s="32" t="s">
        <v>848</v>
      </c>
    </row>
    <row r="100" spans="2:20">
      <c r="B100" s="2" t="s">
        <v>849</v>
      </c>
      <c r="F100" s="42"/>
      <c r="G100" s="42"/>
      <c r="H100" s="43" t="s">
        <v>850</v>
      </c>
      <c r="J100" s="32" t="s">
        <v>851</v>
      </c>
      <c r="N100" s="31"/>
      <c r="R100" s="43" t="s">
        <v>852</v>
      </c>
      <c r="T100" s="43" t="s">
        <v>853</v>
      </c>
    </row>
    <row r="101" spans="2:20">
      <c r="B101" s="4" t="s">
        <v>854</v>
      </c>
      <c r="F101" s="42"/>
      <c r="G101" s="42"/>
      <c r="H101" s="32" t="s">
        <v>855</v>
      </c>
      <c r="J101" s="43" t="s">
        <v>856</v>
      </c>
      <c r="N101" s="31"/>
      <c r="R101" s="32" t="s">
        <v>848</v>
      </c>
      <c r="T101" s="43" t="s">
        <v>857</v>
      </c>
    </row>
    <row r="102" spans="2:20">
      <c r="B102" s="4" t="s">
        <v>858</v>
      </c>
      <c r="F102" s="42"/>
      <c r="G102" s="42"/>
      <c r="H102" s="32" t="s">
        <v>859</v>
      </c>
      <c r="J102" s="32" t="s">
        <v>860</v>
      </c>
      <c r="L102" s="31"/>
      <c r="N102" s="31"/>
      <c r="R102" s="32" t="s">
        <v>853</v>
      </c>
      <c r="T102" s="43" t="s">
        <v>861</v>
      </c>
    </row>
    <row r="103" spans="2:20">
      <c r="B103" s="4" t="s">
        <v>264</v>
      </c>
      <c r="F103" s="42"/>
      <c r="G103" s="42"/>
      <c r="H103" s="32" t="s">
        <v>862</v>
      </c>
      <c r="J103" s="32" t="s">
        <v>863</v>
      </c>
      <c r="L103" s="31"/>
      <c r="M103" s="3"/>
      <c r="N103" s="41"/>
      <c r="O103" s="3"/>
      <c r="R103" s="32" t="s">
        <v>864</v>
      </c>
      <c r="T103" s="43" t="s">
        <v>865</v>
      </c>
    </row>
    <row r="104" spans="2:20">
      <c r="B104" s="4" t="s">
        <v>866</v>
      </c>
      <c r="F104" s="42"/>
      <c r="G104" s="42"/>
      <c r="H104" s="32" t="s">
        <v>867</v>
      </c>
      <c r="J104" s="32" t="s">
        <v>868</v>
      </c>
      <c r="L104" s="31"/>
      <c r="N104" s="31"/>
      <c r="R104" s="32" t="s">
        <v>869</v>
      </c>
      <c r="T104" s="43" t="s">
        <v>870</v>
      </c>
    </row>
    <row r="105" spans="2:20">
      <c r="B105" s="2" t="s">
        <v>871</v>
      </c>
      <c r="D105" s="31"/>
      <c r="F105" s="42"/>
      <c r="G105" s="42"/>
      <c r="H105" s="32" t="s">
        <v>872</v>
      </c>
      <c r="L105" s="31"/>
      <c r="R105" s="32" t="s">
        <v>873</v>
      </c>
      <c r="T105" s="43" t="s">
        <v>874</v>
      </c>
    </row>
    <row r="106" spans="2:20">
      <c r="B106" s="2" t="s">
        <v>875</v>
      </c>
      <c r="F106" s="42"/>
      <c r="G106" s="42"/>
      <c r="H106" s="32" t="s">
        <v>876</v>
      </c>
      <c r="L106" s="31"/>
      <c r="N106" s="31"/>
      <c r="R106" s="32" t="s">
        <v>877</v>
      </c>
      <c r="T106" s="43" t="s">
        <v>878</v>
      </c>
    </row>
    <row r="107" spans="2:20">
      <c r="B107" s="2" t="s">
        <v>879</v>
      </c>
      <c r="D107" s="31"/>
      <c r="F107" s="42"/>
      <c r="G107" s="42"/>
      <c r="H107" s="32" t="s">
        <v>880</v>
      </c>
      <c r="L107" s="31"/>
      <c r="N107" s="31"/>
      <c r="R107" s="32" t="s">
        <v>881</v>
      </c>
      <c r="T107" s="43" t="s">
        <v>882</v>
      </c>
    </row>
    <row r="108" spans="2:20">
      <c r="B108" s="2" t="s">
        <v>883</v>
      </c>
      <c r="F108" s="42"/>
      <c r="G108" s="42"/>
      <c r="H108" s="32" t="s">
        <v>884</v>
      </c>
      <c r="L108" s="31"/>
      <c r="N108" s="31"/>
      <c r="R108" s="32" t="s">
        <v>885</v>
      </c>
      <c r="T108" s="32" t="s">
        <v>886</v>
      </c>
    </row>
    <row r="109" spans="2:20">
      <c r="B109" s="2" t="s">
        <v>887</v>
      </c>
      <c r="D109" s="31"/>
      <c r="F109" s="42"/>
      <c r="G109" s="42"/>
      <c r="H109" s="32" t="s">
        <v>888</v>
      </c>
      <c r="L109" s="31"/>
      <c r="N109" s="31"/>
      <c r="R109" s="32" t="s">
        <v>889</v>
      </c>
      <c r="T109" s="32" t="s">
        <v>890</v>
      </c>
    </row>
    <row r="110" spans="2:20">
      <c r="B110" s="2" t="s">
        <v>891</v>
      </c>
      <c r="D110" s="31"/>
      <c r="F110" s="42" t="s">
        <v>100</v>
      </c>
      <c r="G110" s="42"/>
      <c r="H110" s="32" t="s">
        <v>892</v>
      </c>
      <c r="L110" s="31"/>
      <c r="N110" s="31"/>
      <c r="R110" s="32" t="s">
        <v>893</v>
      </c>
      <c r="T110" s="32" t="s">
        <v>894</v>
      </c>
    </row>
    <row r="111" spans="2:20">
      <c r="B111" s="4" t="s">
        <v>895</v>
      </c>
      <c r="D111" s="31"/>
      <c r="F111" s="42"/>
      <c r="G111" s="42"/>
      <c r="H111" s="32" t="s">
        <v>896</v>
      </c>
      <c r="L111" s="31"/>
      <c r="N111" s="31"/>
      <c r="R111" s="32" t="s">
        <v>897</v>
      </c>
      <c r="T111" s="43" t="s">
        <v>898</v>
      </c>
    </row>
    <row r="112" spans="2:20">
      <c r="B112" s="4" t="s">
        <v>899</v>
      </c>
      <c r="D112" s="31"/>
      <c r="F112" s="42" t="s">
        <v>100</v>
      </c>
      <c r="G112" s="42" t="s">
        <v>100</v>
      </c>
      <c r="H112" s="43" t="s">
        <v>900</v>
      </c>
      <c r="L112" s="31"/>
      <c r="R112" s="32" t="s">
        <v>901</v>
      </c>
      <c r="T112" s="43" t="s">
        <v>902</v>
      </c>
    </row>
    <row r="113" spans="2:20">
      <c r="B113" s="4" t="s">
        <v>903</v>
      </c>
      <c r="D113" s="31"/>
      <c r="F113" s="42"/>
      <c r="G113" s="42"/>
      <c r="H113" s="32" t="s">
        <v>904</v>
      </c>
      <c r="R113" s="32" t="s">
        <v>905</v>
      </c>
      <c r="T113" s="32" t="s">
        <v>906</v>
      </c>
    </row>
    <row r="114" spans="2:20">
      <c r="B114" s="2" t="s">
        <v>907</v>
      </c>
      <c r="F114" s="42"/>
      <c r="G114" s="42" t="s">
        <v>100</v>
      </c>
      <c r="H114" s="43" t="s">
        <v>908</v>
      </c>
      <c r="N114" s="31"/>
      <c r="R114" s="43" t="s">
        <v>898</v>
      </c>
      <c r="T114" s="43" t="s">
        <v>909</v>
      </c>
    </row>
    <row r="115" spans="2:20">
      <c r="B115" s="2" t="s">
        <v>910</v>
      </c>
      <c r="D115" s="31"/>
      <c r="F115" s="42" t="s">
        <v>100</v>
      </c>
      <c r="G115" s="42" t="s">
        <v>100</v>
      </c>
      <c r="H115" s="43" t="s">
        <v>911</v>
      </c>
      <c r="N115" s="31"/>
      <c r="R115" s="43" t="s">
        <v>902</v>
      </c>
      <c r="T115" s="32" t="s">
        <v>912</v>
      </c>
    </row>
    <row r="116" spans="2:20">
      <c r="B116" s="4" t="s">
        <v>913</v>
      </c>
      <c r="D116" s="31"/>
      <c r="F116" s="42"/>
      <c r="G116" s="42"/>
      <c r="H116" s="32" t="s">
        <v>914</v>
      </c>
      <c r="R116" s="32" t="s">
        <v>906</v>
      </c>
      <c r="T116" s="32" t="s">
        <v>915</v>
      </c>
    </row>
    <row r="117" spans="2:20">
      <c r="B117" s="4" t="s">
        <v>264</v>
      </c>
      <c r="D117" s="31"/>
      <c r="F117" s="42" t="s">
        <v>100</v>
      </c>
      <c r="G117" s="42" t="s">
        <v>100</v>
      </c>
      <c r="H117" s="43" t="s">
        <v>916</v>
      </c>
      <c r="L117" s="31"/>
      <c r="R117" s="32" t="s">
        <v>917</v>
      </c>
      <c r="T117" s="32" t="s">
        <v>918</v>
      </c>
    </row>
    <row r="118" spans="2:20">
      <c r="B118" s="4" t="s">
        <v>919</v>
      </c>
      <c r="D118" s="31"/>
      <c r="F118" s="42" t="s">
        <v>100</v>
      </c>
      <c r="G118" s="42" t="s">
        <v>100</v>
      </c>
      <c r="H118" s="43" t="s">
        <v>920</v>
      </c>
      <c r="R118" s="32" t="s">
        <v>921</v>
      </c>
      <c r="T118" s="32" t="s">
        <v>922</v>
      </c>
    </row>
    <row r="119" spans="2:20">
      <c r="B119" s="4" t="s">
        <v>923</v>
      </c>
      <c r="F119" s="42" t="s">
        <v>100</v>
      </c>
      <c r="G119" s="42" t="s">
        <v>100</v>
      </c>
      <c r="H119" s="43" t="s">
        <v>924</v>
      </c>
      <c r="L119" s="31"/>
      <c r="R119" s="32" t="s">
        <v>925</v>
      </c>
      <c r="T119" s="43" t="s">
        <v>926</v>
      </c>
    </row>
    <row r="120" spans="2:20">
      <c r="B120" s="4" t="s">
        <v>927</v>
      </c>
      <c r="F120" s="42" t="s">
        <v>100</v>
      </c>
      <c r="G120" s="42" t="s">
        <v>100</v>
      </c>
      <c r="H120" s="43" t="s">
        <v>928</v>
      </c>
      <c r="N120" s="31"/>
      <c r="R120" s="32" t="s">
        <v>922</v>
      </c>
      <c r="T120" s="43" t="s">
        <v>929</v>
      </c>
    </row>
    <row r="121" spans="2:20">
      <c r="B121" s="4" t="s">
        <v>930</v>
      </c>
      <c r="F121" s="42" t="s">
        <v>100</v>
      </c>
      <c r="G121" s="42" t="s">
        <v>100</v>
      </c>
      <c r="H121" s="43" t="s">
        <v>931</v>
      </c>
      <c r="L121" s="31"/>
      <c r="N121" s="31"/>
      <c r="R121" s="43" t="s">
        <v>926</v>
      </c>
      <c r="T121" s="32" t="s">
        <v>932</v>
      </c>
    </row>
    <row r="122" spans="2:20">
      <c r="B122" s="2" t="s">
        <v>933</v>
      </c>
      <c r="F122" s="42" t="s">
        <v>100</v>
      </c>
      <c r="G122" s="42" t="s">
        <v>100</v>
      </c>
      <c r="H122" s="43" t="s">
        <v>934</v>
      </c>
      <c r="L122" s="31"/>
      <c r="N122" s="31"/>
      <c r="R122" s="43" t="s">
        <v>929</v>
      </c>
      <c r="T122" s="43" t="s">
        <v>935</v>
      </c>
    </row>
    <row r="123" spans="2:20">
      <c r="B123" s="4" t="s">
        <v>936</v>
      </c>
      <c r="F123" s="42" t="s">
        <v>100</v>
      </c>
      <c r="G123" s="42" t="s">
        <v>100</v>
      </c>
      <c r="H123" s="43" t="s">
        <v>937</v>
      </c>
      <c r="L123" s="31"/>
      <c r="N123" s="31"/>
      <c r="R123" s="32" t="s">
        <v>932</v>
      </c>
      <c r="T123" s="43" t="s">
        <v>938</v>
      </c>
    </row>
    <row r="124" spans="2:20">
      <c r="B124" s="4" t="s">
        <v>939</v>
      </c>
      <c r="F124" s="42" t="s">
        <v>100</v>
      </c>
      <c r="G124" s="42" t="s">
        <v>100</v>
      </c>
      <c r="H124" s="32" t="s">
        <v>940</v>
      </c>
      <c r="L124" s="31"/>
      <c r="N124" s="31"/>
      <c r="R124" s="43" t="s">
        <v>935</v>
      </c>
      <c r="T124" s="43" t="s">
        <v>941</v>
      </c>
    </row>
    <row r="125" spans="2:20">
      <c r="B125" s="4" t="s">
        <v>942</v>
      </c>
      <c r="F125" s="42"/>
      <c r="G125" s="42"/>
      <c r="H125" s="32" t="s">
        <v>943</v>
      </c>
      <c r="L125" s="31"/>
      <c r="R125" s="43" t="s">
        <v>938</v>
      </c>
      <c r="T125" s="43" t="s">
        <v>944</v>
      </c>
    </row>
    <row r="126" spans="2:20">
      <c r="B126" s="4" t="s">
        <v>945</v>
      </c>
      <c r="F126" s="42" t="s">
        <v>100</v>
      </c>
      <c r="G126" s="42" t="s">
        <v>100</v>
      </c>
      <c r="H126" s="43" t="s">
        <v>946</v>
      </c>
      <c r="L126" s="31"/>
      <c r="N126" s="31"/>
      <c r="R126" s="43" t="s">
        <v>941</v>
      </c>
      <c r="T126" s="43" t="s">
        <v>947</v>
      </c>
    </row>
    <row r="127" spans="2:20">
      <c r="B127" s="4" t="s">
        <v>948</v>
      </c>
      <c r="F127" s="42" t="s">
        <v>100</v>
      </c>
      <c r="G127" s="42" t="s">
        <v>100</v>
      </c>
      <c r="H127" s="43" t="s">
        <v>949</v>
      </c>
      <c r="L127" s="31"/>
      <c r="N127" s="31"/>
      <c r="R127" s="43" t="s">
        <v>944</v>
      </c>
      <c r="T127" s="43" t="s">
        <v>950</v>
      </c>
    </row>
    <row r="128" spans="2:20">
      <c r="B128" s="4" t="s">
        <v>951</v>
      </c>
      <c r="F128" s="42"/>
      <c r="G128" s="42" t="s">
        <v>100</v>
      </c>
      <c r="H128" s="43" t="s">
        <v>952</v>
      </c>
      <c r="L128" s="31"/>
      <c r="R128" s="43" t="s">
        <v>947</v>
      </c>
      <c r="T128" s="43" t="s">
        <v>953</v>
      </c>
    </row>
    <row r="129" spans="2:20">
      <c r="B129" s="4" t="s">
        <v>954</v>
      </c>
      <c r="F129" s="42" t="s">
        <v>100</v>
      </c>
      <c r="G129" s="42" t="s">
        <v>100</v>
      </c>
      <c r="H129" s="43" t="s">
        <v>955</v>
      </c>
      <c r="L129" s="31"/>
      <c r="N129" s="31"/>
      <c r="R129" s="43" t="s">
        <v>950</v>
      </c>
      <c r="T129" s="32" t="s">
        <v>956</v>
      </c>
    </row>
    <row r="130" spans="2:20">
      <c r="B130" s="4" t="s">
        <v>957</v>
      </c>
      <c r="F130" s="42"/>
      <c r="G130" s="42" t="s">
        <v>100</v>
      </c>
      <c r="H130" s="43" t="s">
        <v>958</v>
      </c>
      <c r="N130" s="31"/>
      <c r="R130" s="43" t="s">
        <v>953</v>
      </c>
      <c r="T130" s="32" t="s">
        <v>959</v>
      </c>
    </row>
    <row r="131" spans="2:20">
      <c r="B131" s="4" t="s">
        <v>960</v>
      </c>
      <c r="F131" s="42"/>
      <c r="G131" s="42" t="s">
        <v>100</v>
      </c>
      <c r="H131" s="43" t="s">
        <v>961</v>
      </c>
      <c r="L131" s="31"/>
      <c r="R131" s="43" t="s">
        <v>962</v>
      </c>
      <c r="T131" s="32" t="s">
        <v>963</v>
      </c>
    </row>
    <row r="132" spans="2:20">
      <c r="B132" s="2" t="s">
        <v>964</v>
      </c>
      <c r="F132" s="42"/>
      <c r="G132" s="42" t="s">
        <v>100</v>
      </c>
      <c r="H132" s="43" t="s">
        <v>965</v>
      </c>
      <c r="L132" s="31"/>
      <c r="N132" s="31"/>
      <c r="R132" s="43" t="s">
        <v>966</v>
      </c>
      <c r="T132" s="43" t="s">
        <v>962</v>
      </c>
    </row>
    <row r="133" spans="2:20">
      <c r="B133" s="2" t="s">
        <v>967</v>
      </c>
      <c r="F133" s="42"/>
      <c r="G133" s="42" t="s">
        <v>100</v>
      </c>
      <c r="H133" s="32" t="s">
        <v>968</v>
      </c>
      <c r="R133" s="43" t="s">
        <v>969</v>
      </c>
      <c r="T133" s="43" t="s">
        <v>966</v>
      </c>
    </row>
    <row r="134" spans="2:20">
      <c r="B134" s="2" t="s">
        <v>970</v>
      </c>
      <c r="D134" s="31"/>
      <c r="F134" s="42"/>
      <c r="G134" s="42" t="s">
        <v>100</v>
      </c>
      <c r="H134" s="43" t="s">
        <v>971</v>
      </c>
      <c r="N134" s="31"/>
      <c r="R134" s="43" t="s">
        <v>972</v>
      </c>
      <c r="T134" s="43" t="s">
        <v>969</v>
      </c>
    </row>
    <row r="135" spans="2:20">
      <c r="B135" s="4" t="s">
        <v>973</v>
      </c>
      <c r="F135" s="42"/>
      <c r="G135" s="42" t="s">
        <v>100</v>
      </c>
      <c r="H135" s="32" t="s">
        <v>974</v>
      </c>
      <c r="L135" s="40"/>
      <c r="N135" s="31"/>
      <c r="R135" s="32" t="s">
        <v>975</v>
      </c>
      <c r="T135" s="43" t="s">
        <v>972</v>
      </c>
    </row>
    <row r="136" spans="2:20">
      <c r="B136" s="4" t="s">
        <v>976</v>
      </c>
      <c r="F136" s="42"/>
      <c r="G136" s="42" t="s">
        <v>100</v>
      </c>
      <c r="H136" s="32" t="s">
        <v>977</v>
      </c>
      <c r="N136" s="31"/>
      <c r="R136" s="32" t="s">
        <v>925</v>
      </c>
      <c r="T136" s="32" t="s">
        <v>978</v>
      </c>
    </row>
    <row r="137" spans="2:20">
      <c r="B137" s="4" t="s">
        <v>979</v>
      </c>
      <c r="F137" s="42" t="s">
        <v>100</v>
      </c>
      <c r="G137" s="42" t="s">
        <v>100</v>
      </c>
      <c r="H137" s="43" t="s">
        <v>980</v>
      </c>
      <c r="N137" s="31"/>
      <c r="R137" s="32" t="s">
        <v>981</v>
      </c>
      <c r="T137" s="32" t="s">
        <v>982</v>
      </c>
    </row>
    <row r="138" spans="2:20">
      <c r="B138" s="2" t="s">
        <v>983</v>
      </c>
      <c r="F138" s="42"/>
      <c r="G138" s="42"/>
      <c r="H138" s="32" t="s">
        <v>984</v>
      </c>
      <c r="L138" s="31"/>
      <c r="N138" s="31"/>
      <c r="R138" s="32" t="s">
        <v>985</v>
      </c>
      <c r="T138" s="43" t="s">
        <v>986</v>
      </c>
    </row>
    <row r="139" spans="2:20">
      <c r="B139" s="4" t="s">
        <v>987</v>
      </c>
      <c r="F139" s="42"/>
      <c r="G139" s="42"/>
      <c r="H139" s="32" t="s">
        <v>988</v>
      </c>
      <c r="L139" s="31"/>
      <c r="N139" s="31"/>
      <c r="R139" s="32" t="s">
        <v>989</v>
      </c>
      <c r="T139" s="43" t="s">
        <v>990</v>
      </c>
    </row>
    <row r="140" spans="2:20">
      <c r="B140" s="4" t="s">
        <v>991</v>
      </c>
      <c r="F140" s="42"/>
      <c r="G140" s="42" t="s">
        <v>100</v>
      </c>
      <c r="H140" s="32" t="s">
        <v>992</v>
      </c>
      <c r="N140" s="31"/>
      <c r="R140" s="32" t="s">
        <v>993</v>
      </c>
      <c r="T140" s="43" t="s">
        <v>994</v>
      </c>
    </row>
    <row r="141" spans="2:20">
      <c r="B141" s="4" t="s">
        <v>995</v>
      </c>
      <c r="F141" s="42"/>
      <c r="G141" s="42" t="s">
        <v>100</v>
      </c>
      <c r="H141" s="32" t="s">
        <v>996</v>
      </c>
      <c r="L141" s="31"/>
      <c r="N141" s="31"/>
      <c r="R141" s="32" t="s">
        <v>997</v>
      </c>
      <c r="T141" s="43" t="s">
        <v>998</v>
      </c>
    </row>
    <row r="142" spans="2:20">
      <c r="B142" s="4" t="s">
        <v>999</v>
      </c>
      <c r="F142" s="42"/>
      <c r="G142" s="42"/>
      <c r="H142" s="43" t="s">
        <v>1000</v>
      </c>
      <c r="L142" s="31"/>
      <c r="N142" s="31"/>
      <c r="R142" s="32" t="s">
        <v>1001</v>
      </c>
      <c r="T142" s="43" t="s">
        <v>1002</v>
      </c>
    </row>
    <row r="143" spans="2:20">
      <c r="B143" s="2" t="s">
        <v>1003</v>
      </c>
      <c r="F143" s="42"/>
      <c r="G143" s="42" t="s">
        <v>100</v>
      </c>
      <c r="H143" s="43" t="s">
        <v>1004</v>
      </c>
      <c r="L143" s="31"/>
      <c r="N143" s="31"/>
      <c r="R143" s="32" t="s">
        <v>1005</v>
      </c>
      <c r="T143" s="43" t="s">
        <v>1006</v>
      </c>
    </row>
    <row r="144" spans="2:20">
      <c r="B144" s="4" t="s">
        <v>1007</v>
      </c>
      <c r="F144" s="42"/>
      <c r="G144" s="42" t="s">
        <v>100</v>
      </c>
      <c r="H144" s="32" t="s">
        <v>1008</v>
      </c>
      <c r="L144" s="31"/>
      <c r="N144" s="31"/>
      <c r="R144" s="32" t="s">
        <v>1009</v>
      </c>
      <c r="T144" s="32" t="s">
        <v>1010</v>
      </c>
    </row>
    <row r="145" spans="2:20">
      <c r="B145" s="4" t="s">
        <v>1011</v>
      </c>
      <c r="F145" s="42"/>
      <c r="G145" s="42" t="s">
        <v>100</v>
      </c>
      <c r="H145" s="43" t="s">
        <v>1012</v>
      </c>
      <c r="L145" s="31"/>
      <c r="N145" s="31"/>
      <c r="R145" s="32" t="s">
        <v>1013</v>
      </c>
      <c r="T145" s="32" t="s">
        <v>1014</v>
      </c>
    </row>
    <row r="146" spans="2:20">
      <c r="B146" s="4" t="s">
        <v>1015</v>
      </c>
      <c r="F146" s="42"/>
      <c r="G146" s="42"/>
      <c r="H146" s="32" t="s">
        <v>1016</v>
      </c>
      <c r="L146" s="31"/>
      <c r="N146" s="31"/>
      <c r="R146" s="32" t="s">
        <v>1017</v>
      </c>
      <c r="T146" s="32" t="s">
        <v>1018</v>
      </c>
    </row>
    <row r="147" spans="2:20">
      <c r="B147" s="4" t="s">
        <v>1019</v>
      </c>
      <c r="F147" s="42"/>
      <c r="G147" s="42" t="s">
        <v>100</v>
      </c>
      <c r="H147" s="43" t="s">
        <v>1020</v>
      </c>
      <c r="L147" s="31"/>
      <c r="R147" s="32" t="s">
        <v>1021</v>
      </c>
      <c r="T147" s="32" t="s">
        <v>1022</v>
      </c>
    </row>
    <row r="148" spans="2:20">
      <c r="B148" s="4" t="s">
        <v>1023</v>
      </c>
      <c r="F148" s="42"/>
      <c r="G148" s="42" t="s">
        <v>100</v>
      </c>
      <c r="H148" s="32" t="s">
        <v>1024</v>
      </c>
      <c r="L148" s="31"/>
      <c r="N148" s="31"/>
      <c r="R148" s="32" t="s">
        <v>986</v>
      </c>
      <c r="T148" s="32" t="s">
        <v>1025</v>
      </c>
    </row>
    <row r="149" spans="2:20">
      <c r="B149" s="4" t="s">
        <v>1026</v>
      </c>
      <c r="F149" s="42" t="s">
        <v>100</v>
      </c>
      <c r="G149" s="42" t="s">
        <v>100</v>
      </c>
      <c r="H149" s="43" t="s">
        <v>1027</v>
      </c>
      <c r="L149" s="31"/>
      <c r="N149" s="31"/>
      <c r="R149" s="32" t="s">
        <v>990</v>
      </c>
      <c r="T149" s="32" t="s">
        <v>1028</v>
      </c>
    </row>
    <row r="150" spans="2:20">
      <c r="B150" s="4" t="s">
        <v>1029</v>
      </c>
      <c r="F150" s="42" t="s">
        <v>100</v>
      </c>
      <c r="G150" s="42" t="s">
        <v>100</v>
      </c>
      <c r="H150" s="43" t="s">
        <v>1030</v>
      </c>
      <c r="L150" s="31"/>
      <c r="N150" s="31"/>
      <c r="R150" s="32" t="s">
        <v>994</v>
      </c>
      <c r="T150" s="32" t="s">
        <v>1031</v>
      </c>
    </row>
    <row r="151" spans="2:20">
      <c r="B151" s="4" t="s">
        <v>1032</v>
      </c>
      <c r="F151" s="42" t="s">
        <v>100</v>
      </c>
      <c r="G151" s="42" t="s">
        <v>100</v>
      </c>
      <c r="H151" s="43" t="s">
        <v>1033</v>
      </c>
      <c r="L151" s="31"/>
      <c r="N151" s="31"/>
      <c r="R151" s="32" t="s">
        <v>998</v>
      </c>
      <c r="T151" s="43" t="s">
        <v>1034</v>
      </c>
    </row>
    <row r="152" spans="2:20">
      <c r="B152" s="4" t="s">
        <v>1035</v>
      </c>
      <c r="F152" s="42" t="s">
        <v>100</v>
      </c>
      <c r="G152" s="42" t="s">
        <v>100</v>
      </c>
      <c r="H152" s="43" t="s">
        <v>1036</v>
      </c>
      <c r="L152" s="31"/>
      <c r="R152" s="32" t="s">
        <v>1002</v>
      </c>
      <c r="T152" s="43" t="s">
        <v>1037</v>
      </c>
    </row>
    <row r="153" spans="2:20">
      <c r="B153" s="4" t="s">
        <v>1038</v>
      </c>
      <c r="F153" s="42"/>
      <c r="G153" s="42"/>
      <c r="H153" s="32" t="s">
        <v>1039</v>
      </c>
      <c r="L153" s="31"/>
      <c r="R153" s="32" t="s">
        <v>1006</v>
      </c>
      <c r="T153" s="43" t="s">
        <v>1040</v>
      </c>
    </row>
    <row r="154" spans="2:20">
      <c r="B154" s="4" t="s">
        <v>1041</v>
      </c>
      <c r="F154" s="42" t="s">
        <v>100</v>
      </c>
      <c r="G154" s="42"/>
      <c r="H154" s="43" t="s">
        <v>1042</v>
      </c>
      <c r="L154" s="31"/>
      <c r="R154" s="32" t="s">
        <v>1010</v>
      </c>
      <c r="T154" s="43" t="s">
        <v>1043</v>
      </c>
    </row>
    <row r="155" spans="2:20">
      <c r="B155" s="4" t="s">
        <v>1044</v>
      </c>
      <c r="F155" s="42"/>
      <c r="G155" s="42"/>
      <c r="H155" s="32" t="s">
        <v>1045</v>
      </c>
      <c r="L155" s="31"/>
      <c r="R155" s="32" t="s">
        <v>1014</v>
      </c>
      <c r="T155" s="43" t="s">
        <v>1046</v>
      </c>
    </row>
    <row r="156" spans="2:20">
      <c r="B156" s="4" t="s">
        <v>1047</v>
      </c>
      <c r="F156" s="42"/>
      <c r="G156" s="42"/>
      <c r="H156" s="32" t="s">
        <v>1048</v>
      </c>
      <c r="R156" s="32" t="s">
        <v>1018</v>
      </c>
      <c r="T156" s="43" t="s">
        <v>1049</v>
      </c>
    </row>
    <row r="157" spans="2:20">
      <c r="B157" s="4" t="s">
        <v>1050</v>
      </c>
      <c r="F157" s="42"/>
      <c r="G157" s="42"/>
      <c r="H157" s="32" t="s">
        <v>1051</v>
      </c>
      <c r="R157" s="32" t="s">
        <v>1022</v>
      </c>
      <c r="T157" s="43" t="s">
        <v>1052</v>
      </c>
    </row>
    <row r="158" spans="2:20">
      <c r="B158" s="4" t="s">
        <v>1053</v>
      </c>
      <c r="F158" s="42"/>
      <c r="G158" s="42"/>
      <c r="H158" s="32" t="s">
        <v>1054</v>
      </c>
      <c r="R158" s="32" t="s">
        <v>1025</v>
      </c>
      <c r="T158" s="43" t="s">
        <v>1055</v>
      </c>
    </row>
    <row r="159" spans="2:20">
      <c r="B159" s="4" t="s">
        <v>1056</v>
      </c>
      <c r="F159" s="42"/>
      <c r="G159" s="42"/>
      <c r="H159" s="32" t="s">
        <v>1057</v>
      </c>
      <c r="R159" s="32" t="s">
        <v>925</v>
      </c>
      <c r="T159" s="43" t="s">
        <v>1058</v>
      </c>
    </row>
    <row r="160" spans="2:20">
      <c r="B160" s="4" t="s">
        <v>1059</v>
      </c>
      <c r="F160" s="42"/>
      <c r="G160" s="42"/>
      <c r="H160" s="32" t="s">
        <v>1060</v>
      </c>
      <c r="R160" s="43" t="s">
        <v>1034</v>
      </c>
      <c r="T160" s="43" t="s">
        <v>1061</v>
      </c>
    </row>
    <row r="161" spans="2:20">
      <c r="B161" s="4" t="s">
        <v>1062</v>
      </c>
      <c r="F161" s="42"/>
      <c r="G161" s="42"/>
      <c r="H161" s="32" t="s">
        <v>1063</v>
      </c>
      <c r="R161" s="43" t="s">
        <v>1037</v>
      </c>
      <c r="T161" s="43" t="s">
        <v>1064</v>
      </c>
    </row>
    <row r="162" spans="2:20">
      <c r="B162" s="4" t="s">
        <v>264</v>
      </c>
      <c r="D162" s="31"/>
      <c r="F162" s="42"/>
      <c r="G162" s="42"/>
      <c r="H162" s="32" t="s">
        <v>1065</v>
      </c>
      <c r="R162" s="43" t="s">
        <v>1040</v>
      </c>
      <c r="T162" s="43" t="s">
        <v>1066</v>
      </c>
    </row>
    <row r="163" spans="2:20">
      <c r="B163" s="4" t="s">
        <v>1067</v>
      </c>
      <c r="F163" s="42"/>
      <c r="G163" s="42"/>
      <c r="H163" s="32" t="s">
        <v>1068</v>
      </c>
      <c r="R163" s="43" t="s">
        <v>1043</v>
      </c>
      <c r="T163" s="43" t="s">
        <v>1069</v>
      </c>
    </row>
    <row r="164" spans="2:20">
      <c r="B164" s="4" t="s">
        <v>1070</v>
      </c>
      <c r="F164" s="42"/>
      <c r="G164" s="42"/>
      <c r="H164" s="32" t="s">
        <v>1071</v>
      </c>
      <c r="R164" s="32" t="s">
        <v>1046</v>
      </c>
      <c r="T164" s="32" t="s">
        <v>1072</v>
      </c>
    </row>
    <row r="165" spans="2:20">
      <c r="B165" s="4" t="s">
        <v>1073</v>
      </c>
      <c r="D165" s="31"/>
      <c r="F165" s="42"/>
      <c r="G165" s="42"/>
      <c r="H165" s="32" t="s">
        <v>1074</v>
      </c>
      <c r="L165" s="31"/>
      <c r="R165" s="43" t="s">
        <v>1049</v>
      </c>
      <c r="T165" s="43" t="s">
        <v>1075</v>
      </c>
    </row>
    <row r="166" spans="2:20">
      <c r="B166" s="4" t="s">
        <v>1076</v>
      </c>
      <c r="F166" s="42"/>
      <c r="G166" s="42"/>
      <c r="H166" s="32" t="s">
        <v>1077</v>
      </c>
      <c r="L166" s="31"/>
      <c r="R166" s="43" t="s">
        <v>1052</v>
      </c>
      <c r="T166" s="43" t="s">
        <v>1078</v>
      </c>
    </row>
    <row r="167" spans="2:20">
      <c r="B167" s="4" t="s">
        <v>1079</v>
      </c>
      <c r="F167" s="42"/>
      <c r="G167" s="42"/>
      <c r="H167" s="32" t="s">
        <v>1080</v>
      </c>
      <c r="L167" s="31"/>
      <c r="R167" s="43" t="s">
        <v>1055</v>
      </c>
      <c r="T167" s="32" t="s">
        <v>1081</v>
      </c>
    </row>
    <row r="168" spans="2:20">
      <c r="B168" s="2" t="s">
        <v>1082</v>
      </c>
      <c r="F168" s="42"/>
      <c r="G168" s="42"/>
      <c r="H168" s="32" t="s">
        <v>1083</v>
      </c>
      <c r="L168" s="31"/>
      <c r="R168" s="43" t="s">
        <v>1058</v>
      </c>
      <c r="T168" s="32" t="s">
        <v>1084</v>
      </c>
    </row>
    <row r="169" spans="2:20">
      <c r="B169" s="4" t="s">
        <v>1085</v>
      </c>
      <c r="D169" s="31"/>
      <c r="F169" s="42"/>
      <c r="G169" s="42"/>
      <c r="H169" s="32" t="s">
        <v>1086</v>
      </c>
      <c r="L169" s="31"/>
      <c r="R169" s="43" t="s">
        <v>1061</v>
      </c>
      <c r="T169" s="32" t="s">
        <v>1087</v>
      </c>
    </row>
    <row r="170" spans="2:20">
      <c r="B170" s="4" t="s">
        <v>1088</v>
      </c>
      <c r="F170" s="42"/>
      <c r="G170" s="42"/>
      <c r="H170" s="32" t="s">
        <v>1089</v>
      </c>
      <c r="L170" s="31"/>
      <c r="R170" s="43" t="s">
        <v>1064</v>
      </c>
      <c r="T170" s="32" t="s">
        <v>1090</v>
      </c>
    </row>
    <row r="171" spans="2:20">
      <c r="B171" s="4" t="s">
        <v>1091</v>
      </c>
      <c r="F171" s="42"/>
      <c r="G171" s="42"/>
      <c r="H171" s="32" t="s">
        <v>1092</v>
      </c>
      <c r="L171" s="31"/>
      <c r="R171" s="43" t="s">
        <v>1066</v>
      </c>
      <c r="T171" s="32" t="s">
        <v>1093</v>
      </c>
    </row>
    <row r="172" spans="2:20">
      <c r="B172" s="4" t="s">
        <v>1094</v>
      </c>
      <c r="F172" s="42"/>
      <c r="G172" s="42"/>
      <c r="H172" s="32" t="s">
        <v>1095</v>
      </c>
      <c r="L172" s="31"/>
      <c r="R172" s="43" t="s">
        <v>1069</v>
      </c>
      <c r="T172" s="43" t="s">
        <v>1096</v>
      </c>
    </row>
    <row r="173" spans="2:20">
      <c r="B173" s="4" t="s">
        <v>1097</v>
      </c>
      <c r="F173" s="42"/>
      <c r="G173" s="42"/>
      <c r="H173" s="32" t="s">
        <v>1098</v>
      </c>
      <c r="L173" s="31"/>
      <c r="R173" s="32" t="s">
        <v>1072</v>
      </c>
      <c r="T173" s="43" t="s">
        <v>1099</v>
      </c>
    </row>
    <row r="174" spans="2:20">
      <c r="B174" s="4" t="s">
        <v>1100</v>
      </c>
      <c r="F174" s="42"/>
      <c r="G174" s="42"/>
      <c r="H174" s="32" t="s">
        <v>1101</v>
      </c>
      <c r="L174" s="31"/>
      <c r="R174" s="43" t="s">
        <v>1075</v>
      </c>
      <c r="T174" s="43" t="s">
        <v>1102</v>
      </c>
    </row>
    <row r="175" spans="2:20">
      <c r="B175" s="4" t="s">
        <v>1103</v>
      </c>
      <c r="F175" s="42"/>
      <c r="G175" s="42"/>
      <c r="H175" s="32" t="s">
        <v>1104</v>
      </c>
      <c r="L175" s="31"/>
      <c r="R175" s="43" t="s">
        <v>1078</v>
      </c>
      <c r="T175" s="43" t="s">
        <v>1105</v>
      </c>
    </row>
    <row r="176" spans="2:20">
      <c r="B176" s="4" t="s">
        <v>1106</v>
      </c>
      <c r="F176" s="42" t="s">
        <v>100</v>
      </c>
      <c r="G176" s="42" t="s">
        <v>100</v>
      </c>
      <c r="H176" s="43" t="s">
        <v>1107</v>
      </c>
      <c r="R176" s="32" t="s">
        <v>1081</v>
      </c>
      <c r="T176" s="43" t="s">
        <v>1108</v>
      </c>
    </row>
    <row r="177" spans="2:20">
      <c r="B177" s="4" t="s">
        <v>1109</v>
      </c>
      <c r="D177" s="31"/>
      <c r="F177" s="42"/>
      <c r="G177" s="42"/>
      <c r="H177" s="32" t="s">
        <v>1110</v>
      </c>
      <c r="R177" s="32" t="s">
        <v>1084</v>
      </c>
      <c r="T177" s="43" t="s">
        <v>1111</v>
      </c>
    </row>
    <row r="178" spans="2:20">
      <c r="B178" s="4" t="s">
        <v>1112</v>
      </c>
      <c r="D178" s="31"/>
      <c r="F178" s="42"/>
      <c r="G178" s="42"/>
      <c r="H178" s="32" t="s">
        <v>1113</v>
      </c>
      <c r="R178" s="32" t="s">
        <v>1087</v>
      </c>
      <c r="T178" s="43" t="s">
        <v>1114</v>
      </c>
    </row>
    <row r="179" spans="2:20">
      <c r="B179" s="4" t="s">
        <v>1115</v>
      </c>
      <c r="D179" s="31"/>
      <c r="R179" s="32" t="s">
        <v>1116</v>
      </c>
      <c r="T179" s="43" t="s">
        <v>1117</v>
      </c>
    </row>
    <row r="180" spans="2:20">
      <c r="B180" s="4" t="s">
        <v>264</v>
      </c>
      <c r="R180" s="32" t="s">
        <v>1093</v>
      </c>
      <c r="T180" s="32" t="s">
        <v>978</v>
      </c>
    </row>
    <row r="181" spans="2:20">
      <c r="B181" s="4" t="s">
        <v>1118</v>
      </c>
      <c r="R181" s="43" t="s">
        <v>1096</v>
      </c>
      <c r="T181" s="32" t="s">
        <v>1119</v>
      </c>
    </row>
    <row r="182" spans="2:20">
      <c r="B182" s="4" t="s">
        <v>1120</v>
      </c>
      <c r="R182" s="43" t="s">
        <v>1099</v>
      </c>
      <c r="T182" s="32" t="s">
        <v>1121</v>
      </c>
    </row>
    <row r="183" spans="2:20">
      <c r="B183" s="4" t="s">
        <v>1122</v>
      </c>
      <c r="R183" s="43" t="s">
        <v>1102</v>
      </c>
      <c r="T183" s="32" t="s">
        <v>1123</v>
      </c>
    </row>
    <row r="184" spans="2:20">
      <c r="B184" s="2" t="s">
        <v>1124</v>
      </c>
      <c r="R184" s="43" t="s">
        <v>1105</v>
      </c>
      <c r="T184" s="32" t="s">
        <v>1125</v>
      </c>
    </row>
    <row r="185" spans="2:20">
      <c r="B185" s="2" t="s">
        <v>1126</v>
      </c>
      <c r="R185" s="32" t="s">
        <v>1108</v>
      </c>
      <c r="T185" s="32" t="s">
        <v>1127</v>
      </c>
    </row>
    <row r="186" spans="2:20">
      <c r="B186" s="2" t="s">
        <v>1128</v>
      </c>
      <c r="R186" s="32" t="s">
        <v>1111</v>
      </c>
      <c r="T186" s="32" t="s">
        <v>1129</v>
      </c>
    </row>
    <row r="187" spans="2:20">
      <c r="B187" s="2" t="s">
        <v>1130</v>
      </c>
      <c r="R187" s="43" t="s">
        <v>1131</v>
      </c>
      <c r="T187" s="32" t="s">
        <v>1132</v>
      </c>
    </row>
    <row r="188" spans="2:20">
      <c r="B188" s="4" t="s">
        <v>1133</v>
      </c>
      <c r="D188" s="31"/>
      <c r="R188" s="32" t="s">
        <v>925</v>
      </c>
      <c r="T188" s="32" t="s">
        <v>1134</v>
      </c>
    </row>
    <row r="189" spans="2:20">
      <c r="B189" s="4" t="s">
        <v>264</v>
      </c>
      <c r="D189" s="31"/>
      <c r="R189" s="32" t="s">
        <v>1135</v>
      </c>
      <c r="T189" s="32" t="s">
        <v>1136</v>
      </c>
    </row>
    <row r="190" spans="2:20">
      <c r="B190" s="4" t="s">
        <v>1137</v>
      </c>
      <c r="D190" s="31"/>
      <c r="R190" s="32" t="s">
        <v>1138</v>
      </c>
      <c r="T190" s="32" t="s">
        <v>1139</v>
      </c>
    </row>
    <row r="191" spans="2:20">
      <c r="B191" s="2" t="s">
        <v>1140</v>
      </c>
      <c r="R191" s="32" t="s">
        <v>1141</v>
      </c>
      <c r="T191" s="32" t="s">
        <v>1142</v>
      </c>
    </row>
    <row r="192" spans="2:20">
      <c r="B192" s="2" t="s">
        <v>1143</v>
      </c>
      <c r="D192" s="31"/>
      <c r="R192" s="32" t="s">
        <v>1144</v>
      </c>
      <c r="T192" s="32" t="s">
        <v>1145</v>
      </c>
    </row>
    <row r="193" spans="2:20">
      <c r="B193" s="2" t="s">
        <v>1146</v>
      </c>
      <c r="D193" s="31"/>
      <c r="R193" s="32" t="s">
        <v>1147</v>
      </c>
      <c r="T193" s="32" t="s">
        <v>1148</v>
      </c>
    </row>
    <row r="194" spans="2:20">
      <c r="B194" s="2" t="s">
        <v>1149</v>
      </c>
      <c r="D194" s="31"/>
      <c r="R194" s="32" t="s">
        <v>1150</v>
      </c>
      <c r="T194" s="32" t="s">
        <v>1151</v>
      </c>
    </row>
    <row r="195" spans="2:20">
      <c r="B195" s="2" t="s">
        <v>1152</v>
      </c>
      <c r="D195" s="31"/>
      <c r="R195" s="32" t="s">
        <v>1153</v>
      </c>
      <c r="T195" s="32" t="s">
        <v>1154</v>
      </c>
    </row>
    <row r="196" spans="2:20">
      <c r="B196" s="2" t="s">
        <v>1155</v>
      </c>
      <c r="R196" s="32" t="s">
        <v>1156</v>
      </c>
      <c r="T196" s="32" t="s">
        <v>1157</v>
      </c>
    </row>
    <row r="197" spans="2:20">
      <c r="B197" s="2" t="s">
        <v>1158</v>
      </c>
      <c r="D197" s="31"/>
      <c r="R197" s="32" t="s">
        <v>1159</v>
      </c>
      <c r="T197" s="32" t="s">
        <v>1160</v>
      </c>
    </row>
    <row r="198" spans="2:20">
      <c r="B198" s="2" t="s">
        <v>1161</v>
      </c>
      <c r="D198" s="31"/>
      <c r="R198" s="32" t="s">
        <v>1162</v>
      </c>
      <c r="T198" s="32" t="s">
        <v>1163</v>
      </c>
    </row>
    <row r="199" spans="2:20">
      <c r="B199" s="4" t="s">
        <v>1164</v>
      </c>
      <c r="D199" s="31"/>
      <c r="L199" s="31"/>
      <c r="R199" s="32" t="s">
        <v>1165</v>
      </c>
      <c r="T199" s="32" t="s">
        <v>1166</v>
      </c>
    </row>
    <row r="200" spans="2:20">
      <c r="B200" s="4" t="s">
        <v>264</v>
      </c>
      <c r="D200" s="31"/>
      <c r="R200" s="32" t="s">
        <v>1167</v>
      </c>
      <c r="T200" s="32" t="s">
        <v>1168</v>
      </c>
    </row>
    <row r="201" spans="2:20">
      <c r="B201" s="4" t="s">
        <v>1169</v>
      </c>
      <c r="D201" s="31"/>
      <c r="R201" s="32" t="s">
        <v>1170</v>
      </c>
      <c r="T201" s="32" t="s">
        <v>1171</v>
      </c>
    </row>
    <row r="202" spans="2:20">
      <c r="B202" s="4" t="s">
        <v>1172</v>
      </c>
      <c r="D202" s="31"/>
      <c r="R202" s="32" t="s">
        <v>1173</v>
      </c>
    </row>
    <row r="203" spans="2:20">
      <c r="B203" s="4" t="s">
        <v>1174</v>
      </c>
      <c r="R203" s="32" t="s">
        <v>1175</v>
      </c>
    </row>
    <row r="204" spans="2:20">
      <c r="B204" s="4" t="s">
        <v>1176</v>
      </c>
      <c r="D204" s="31"/>
      <c r="R204" s="32" t="s">
        <v>1177</v>
      </c>
    </row>
    <row r="205" spans="2:20">
      <c r="B205" s="4" t="s">
        <v>1178</v>
      </c>
      <c r="D205" s="31"/>
      <c r="R205" s="32" t="s">
        <v>1179</v>
      </c>
    </row>
    <row r="206" spans="2:20">
      <c r="B206" s="4" t="s">
        <v>1180</v>
      </c>
      <c r="D206" s="31"/>
      <c r="R206" s="32" t="s">
        <v>1181</v>
      </c>
    </row>
    <row r="207" spans="2:20">
      <c r="B207" s="4" t="s">
        <v>1182</v>
      </c>
      <c r="D207" s="31"/>
      <c r="R207" s="32" t="s">
        <v>925</v>
      </c>
    </row>
    <row r="208" spans="2:20">
      <c r="B208" s="4" t="s">
        <v>1183</v>
      </c>
      <c r="D208" s="31"/>
      <c r="R208" s="32" t="s">
        <v>1184</v>
      </c>
    </row>
    <row r="209" spans="2:18">
      <c r="B209" s="4" t="s">
        <v>1185</v>
      </c>
      <c r="D209" s="31"/>
      <c r="R209" s="32" t="s">
        <v>1186</v>
      </c>
    </row>
    <row r="210" spans="2:18">
      <c r="B210" s="4" t="s">
        <v>1187</v>
      </c>
      <c r="L210" s="31"/>
      <c r="R210" s="32" t="s">
        <v>1188</v>
      </c>
    </row>
    <row r="211" spans="2:18">
      <c r="B211" s="4" t="s">
        <v>1189</v>
      </c>
      <c r="L211" s="31"/>
      <c r="R211" s="32" t="s">
        <v>1190</v>
      </c>
    </row>
    <row r="212" spans="2:18">
      <c r="B212" s="4" t="s">
        <v>1191</v>
      </c>
      <c r="L212" s="31"/>
      <c r="R212" s="32" t="s">
        <v>1192</v>
      </c>
    </row>
    <row r="213" spans="2:18">
      <c r="B213" s="4" t="s">
        <v>1193</v>
      </c>
      <c r="L213" s="31"/>
      <c r="R213" s="32" t="s">
        <v>1194</v>
      </c>
    </row>
    <row r="214" spans="2:18">
      <c r="B214" s="4" t="s">
        <v>1195</v>
      </c>
      <c r="R214" s="32" t="s">
        <v>1196</v>
      </c>
    </row>
    <row r="215" spans="2:18">
      <c r="B215" s="4" t="s">
        <v>1197</v>
      </c>
      <c r="D215" s="31"/>
      <c r="R215" s="32" t="s">
        <v>1198</v>
      </c>
    </row>
    <row r="216" spans="2:18">
      <c r="B216" s="4" t="s">
        <v>1199</v>
      </c>
      <c r="R216" s="32" t="s">
        <v>1200</v>
      </c>
    </row>
    <row r="217" spans="2:18">
      <c r="B217" s="4" t="s">
        <v>1201</v>
      </c>
      <c r="L217" s="31"/>
      <c r="R217" s="32" t="s">
        <v>1202</v>
      </c>
    </row>
    <row r="218" spans="2:18">
      <c r="B218" s="4" t="s">
        <v>1203</v>
      </c>
      <c r="L218" s="31"/>
      <c r="R218" s="32" t="s">
        <v>1204</v>
      </c>
    </row>
    <row r="219" spans="2:18">
      <c r="B219" s="4" t="s">
        <v>1187</v>
      </c>
      <c r="L219" s="31"/>
      <c r="R219" s="32" t="s">
        <v>1205</v>
      </c>
    </row>
    <row r="220" spans="2:18">
      <c r="B220" s="4" t="s">
        <v>1206</v>
      </c>
      <c r="L220" s="31"/>
      <c r="R220" s="32" t="s">
        <v>1207</v>
      </c>
    </row>
    <row r="221" spans="2:18">
      <c r="B221" s="4" t="s">
        <v>1208</v>
      </c>
      <c r="L221" s="31"/>
      <c r="R221" s="32" t="s">
        <v>1209</v>
      </c>
    </row>
    <row r="222" spans="2:18">
      <c r="B222" s="4" t="s">
        <v>1210</v>
      </c>
      <c r="L222" s="31"/>
      <c r="R222" s="32" t="s">
        <v>1211</v>
      </c>
    </row>
    <row r="223" spans="2:18">
      <c r="B223" s="4" t="s">
        <v>1212</v>
      </c>
      <c r="L223" s="31"/>
      <c r="R223" s="32" t="s">
        <v>1213</v>
      </c>
    </row>
    <row r="224" spans="2:18">
      <c r="B224" s="4" t="s">
        <v>1214</v>
      </c>
      <c r="R224" s="32" t="s">
        <v>1215</v>
      </c>
    </row>
    <row r="225" spans="2:18">
      <c r="B225" s="4" t="s">
        <v>1216</v>
      </c>
      <c r="R225" s="32" t="s">
        <v>1217</v>
      </c>
    </row>
    <row r="226" spans="2:18">
      <c r="B226" s="4" t="s">
        <v>1218</v>
      </c>
      <c r="R226" s="32" t="s">
        <v>1219</v>
      </c>
    </row>
    <row r="227" spans="2:18">
      <c r="B227" s="4" t="s">
        <v>1220</v>
      </c>
      <c r="D227" s="31"/>
      <c r="L227" s="31"/>
      <c r="R227" s="32" t="s">
        <v>1221</v>
      </c>
    </row>
    <row r="228" spans="2:18">
      <c r="B228" s="4" t="s">
        <v>1222</v>
      </c>
      <c r="D228" s="31"/>
      <c r="L228" s="31"/>
      <c r="R228" s="32" t="s">
        <v>1223</v>
      </c>
    </row>
    <row r="229" spans="2:18">
      <c r="B229" s="4" t="s">
        <v>1187</v>
      </c>
      <c r="D229" s="31"/>
      <c r="L229" s="31"/>
      <c r="R229" s="32" t="s">
        <v>1224</v>
      </c>
    </row>
    <row r="230" spans="2:18">
      <c r="B230" s="4" t="s">
        <v>1225</v>
      </c>
      <c r="L230" s="31"/>
      <c r="R230" s="32" t="s">
        <v>1226</v>
      </c>
    </row>
    <row r="231" spans="2:18">
      <c r="B231" s="4" t="s">
        <v>1227</v>
      </c>
      <c r="D231" s="31"/>
      <c r="R231" s="32" t="s">
        <v>1228</v>
      </c>
    </row>
    <row r="232" spans="2:18">
      <c r="B232" s="4" t="s">
        <v>1229</v>
      </c>
      <c r="R232" s="32" t="s">
        <v>1230</v>
      </c>
    </row>
    <row r="233" spans="2:18">
      <c r="B233" s="4" t="s">
        <v>1231</v>
      </c>
      <c r="R233" s="32" t="s">
        <v>1232</v>
      </c>
    </row>
    <row r="234" spans="2:18">
      <c r="B234" s="4" t="s">
        <v>1233</v>
      </c>
      <c r="R234" s="32" t="s">
        <v>1234</v>
      </c>
    </row>
    <row r="235" spans="2:18">
      <c r="B235" s="4" t="s">
        <v>1235</v>
      </c>
      <c r="R235" s="32" t="s">
        <v>1236</v>
      </c>
    </row>
    <row r="236" spans="2:18">
      <c r="B236" s="4" t="s">
        <v>264</v>
      </c>
      <c r="L236" s="31"/>
      <c r="R236" s="32" t="s">
        <v>1237</v>
      </c>
    </row>
    <row r="237" spans="2:18">
      <c r="B237" s="4" t="s">
        <v>1238</v>
      </c>
      <c r="R237" s="32" t="s">
        <v>1239</v>
      </c>
    </row>
    <row r="238" spans="2:18">
      <c r="B238" s="4" t="s">
        <v>1240</v>
      </c>
      <c r="R238" s="32" t="s">
        <v>1241</v>
      </c>
    </row>
    <row r="239" spans="2:18">
      <c r="B239" s="2" t="s">
        <v>1242</v>
      </c>
      <c r="R239" s="32" t="s">
        <v>1243</v>
      </c>
    </row>
    <row r="240" spans="2:18">
      <c r="B240" s="30"/>
      <c r="R240" s="32" t="s">
        <v>1244</v>
      </c>
    </row>
    <row r="241" spans="4:18">
      <c r="R241" s="32" t="s">
        <v>1245</v>
      </c>
    </row>
    <row r="242" spans="4:18">
      <c r="R242" s="32" t="s">
        <v>1246</v>
      </c>
    </row>
    <row r="243" spans="4:18">
      <c r="R243" s="32" t="s">
        <v>1247</v>
      </c>
    </row>
    <row r="244" spans="4:18">
      <c r="R244" s="32" t="s">
        <v>1248</v>
      </c>
    </row>
    <row r="245" spans="4:18">
      <c r="R245" s="32" t="s">
        <v>1249</v>
      </c>
    </row>
    <row r="246" spans="4:18">
      <c r="R246" s="32" t="s">
        <v>1250</v>
      </c>
    </row>
    <row r="247" spans="4:18">
      <c r="R247" s="32" t="s">
        <v>1251</v>
      </c>
    </row>
    <row r="248" spans="4:18">
      <c r="R248" s="32" t="s">
        <v>1252</v>
      </c>
    </row>
    <row r="249" spans="4:18">
      <c r="R249" s="32" t="s">
        <v>1253</v>
      </c>
    </row>
    <row r="250" spans="4:18">
      <c r="R250" s="32" t="s">
        <v>1254</v>
      </c>
    </row>
    <row r="251" spans="4:18">
      <c r="R251" s="32" t="s">
        <v>1255</v>
      </c>
    </row>
    <row r="252" spans="4:18">
      <c r="D252" s="31"/>
      <c r="R252" s="32" t="s">
        <v>1256</v>
      </c>
    </row>
    <row r="253" spans="4:18">
      <c r="D253" s="31"/>
      <c r="R253" s="32" t="s">
        <v>1257</v>
      </c>
    </row>
    <row r="254" spans="4:18">
      <c r="D254" s="31"/>
    </row>
    <row r="262" spans="4:4">
      <c r="D262" s="31"/>
    </row>
    <row r="267" spans="4:4">
      <c r="D267" s="31"/>
    </row>
    <row r="276" spans="4:4">
      <c r="D276" s="31"/>
    </row>
    <row r="278" spans="4:4">
      <c r="D278" s="31"/>
    </row>
    <row r="280" spans="4:4">
      <c r="D280" s="31"/>
    </row>
    <row r="281" spans="4:4">
      <c r="D281" s="31"/>
    </row>
    <row r="282" spans="4:4">
      <c r="D282" s="31"/>
    </row>
    <row r="285" spans="4:4">
      <c r="D285" s="31"/>
    </row>
    <row r="286" spans="4:4">
      <c r="D286" s="31"/>
    </row>
    <row r="287" spans="4:4">
      <c r="D287" s="31"/>
    </row>
    <row r="288" spans="4:4">
      <c r="D288" s="31"/>
    </row>
    <row r="289" spans="4:4">
      <c r="D289" s="31"/>
    </row>
    <row r="291" spans="4:4">
      <c r="D291" s="31"/>
    </row>
    <row r="292" spans="4:4">
      <c r="D292" s="31"/>
    </row>
    <row r="293" spans="4:4">
      <c r="D293" s="31"/>
    </row>
    <row r="294" spans="4:4">
      <c r="D294" s="31"/>
    </row>
    <row r="306" spans="4:4">
      <c r="D306" s="31"/>
    </row>
    <row r="309" spans="4:4">
      <c r="D309" s="31"/>
    </row>
    <row r="312" spans="4:4">
      <c r="D312" s="31"/>
    </row>
    <row r="323" spans="4:4">
      <c r="D323" s="31"/>
    </row>
    <row r="324" spans="4:4">
      <c r="D324" s="31"/>
    </row>
    <row r="325" spans="4:4">
      <c r="D325" s="31"/>
    </row>
    <row r="326" spans="4:4">
      <c r="D326" s="31"/>
    </row>
    <row r="327" spans="4:4">
      <c r="D327" s="31"/>
    </row>
    <row r="328" spans="4:4">
      <c r="D328" s="31"/>
    </row>
    <row r="334" spans="4:4">
      <c r="D334" s="31"/>
    </row>
    <row r="335" spans="4:4">
      <c r="D335" s="31"/>
    </row>
    <row r="336" spans="4:4">
      <c r="D336" s="31"/>
    </row>
    <row r="337" spans="4:4">
      <c r="D337" s="31"/>
    </row>
    <row r="338" spans="4:4">
      <c r="D338" s="31"/>
    </row>
    <row r="339" spans="4:4">
      <c r="D339" s="31"/>
    </row>
    <row r="340" spans="4:4">
      <c r="D340" s="31"/>
    </row>
    <row r="341" spans="4:4">
      <c r="D341" s="31"/>
    </row>
    <row r="343" spans="4:4">
      <c r="D343" s="31"/>
    </row>
    <row r="344" spans="4:4">
      <c r="D344" s="31"/>
    </row>
    <row r="345" spans="4:4">
      <c r="D345" s="31"/>
    </row>
    <row r="346" spans="4:4">
      <c r="D346" s="31"/>
    </row>
    <row r="347" spans="4:4">
      <c r="D347" s="31"/>
    </row>
    <row r="348" spans="4:4">
      <c r="D348" s="31"/>
    </row>
    <row r="350" spans="4:4">
      <c r="D350" s="31"/>
    </row>
    <row r="351" spans="4:4">
      <c r="D351" s="31"/>
    </row>
    <row r="352" spans="4:4">
      <c r="D352" s="31"/>
    </row>
    <row r="353" spans="4:4">
      <c r="D353" s="31"/>
    </row>
    <row r="354" spans="4:4">
      <c r="D354" s="31"/>
    </row>
    <row r="355" spans="4:4">
      <c r="D355" s="31"/>
    </row>
    <row r="361" spans="4:4">
      <c r="D361" s="31"/>
    </row>
    <row r="373" spans="4:4">
      <c r="D373" s="31"/>
    </row>
    <row r="380" spans="4:4">
      <c r="D380" s="31"/>
    </row>
    <row r="381" spans="4:4">
      <c r="D381" s="31"/>
    </row>
    <row r="394" spans="4:4">
      <c r="D394" s="31"/>
    </row>
    <row r="395" spans="4:4">
      <c r="D395" s="31"/>
    </row>
    <row r="396" spans="4:4">
      <c r="D396" s="31"/>
    </row>
    <row r="400" spans="4:4">
      <c r="D400" s="31"/>
    </row>
    <row r="405" spans="4:4">
      <c r="D405" s="31"/>
    </row>
    <row r="414" spans="4:4">
      <c r="D414" s="31"/>
    </row>
    <row r="415" spans="4:4">
      <c r="D415" s="31"/>
    </row>
    <row r="416" spans="4:4">
      <c r="D416" s="31"/>
    </row>
    <row r="418" spans="4:4">
      <c r="D418" s="31"/>
    </row>
    <row r="419" spans="4:4">
      <c r="D419" s="31"/>
    </row>
    <row r="421" spans="4:4">
      <c r="D421" s="31"/>
    </row>
    <row r="422" spans="4:4">
      <c r="D422" s="31"/>
    </row>
    <row r="423" spans="4:4">
      <c r="D423" s="31"/>
    </row>
    <row r="424" spans="4:4">
      <c r="D424" s="31"/>
    </row>
    <row r="428" spans="4:4">
      <c r="D428" s="31"/>
    </row>
    <row r="430" spans="4:4">
      <c r="D430" s="31"/>
    </row>
    <row r="431" spans="4:4">
      <c r="D431" s="31"/>
    </row>
    <row r="441" spans="4:4">
      <c r="D441" s="31"/>
    </row>
    <row r="445" spans="4:4">
      <c r="D445" s="31"/>
    </row>
    <row r="446" spans="4:4">
      <c r="D446" s="31"/>
    </row>
    <row r="447" spans="4:4">
      <c r="D447" s="31"/>
    </row>
    <row r="448" spans="4:4">
      <c r="D448" s="31"/>
    </row>
    <row r="450" spans="4:4">
      <c r="D450" s="31"/>
    </row>
    <row r="451" spans="4:4">
      <c r="D451" s="31"/>
    </row>
    <row r="452" spans="4:4">
      <c r="D452" s="31"/>
    </row>
    <row r="453" spans="4:4">
      <c r="D453" s="31"/>
    </row>
    <row r="454" spans="4:4">
      <c r="D454" s="31"/>
    </row>
    <row r="455" spans="4:4">
      <c r="D455" s="31"/>
    </row>
    <row r="457" spans="4:4">
      <c r="D457" s="31"/>
    </row>
    <row r="458" spans="4:4">
      <c r="D458" s="31"/>
    </row>
    <row r="459" spans="4:4">
      <c r="D459" s="31"/>
    </row>
    <row r="460" spans="4:4">
      <c r="D460" s="31"/>
    </row>
    <row r="461" spans="4:4">
      <c r="D461" s="31"/>
    </row>
    <row r="462" spans="4:4">
      <c r="D462" s="31"/>
    </row>
    <row r="463" spans="4:4">
      <c r="D463" s="31"/>
    </row>
  </sheetData>
  <mergeCells count="1">
    <mergeCell ref="F2:G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53"/>
  <sheetViews>
    <sheetView workbookViewId="0">
      <pane ySplit="1" topLeftCell="A2" activePane="bottomLeft" state="frozenSplit"/>
      <selection pane="bottomLeft" activeCell="A2" sqref="A2"/>
    </sheetView>
  </sheetViews>
  <sheetFormatPr defaultRowHeight="14.45"/>
  <cols>
    <col min="1" max="3" width="75.28515625" bestFit="1" customWidth="1"/>
    <col min="4" max="4" width="75.28515625" customWidth="1"/>
    <col min="5" max="6" width="75.28515625" bestFit="1" customWidth="1"/>
    <col min="7" max="12" width="72.140625" bestFit="1" customWidth="1"/>
  </cols>
  <sheetData>
    <row r="1" spans="1:12" ht="18.600000000000001">
      <c r="A1" s="12" t="s">
        <v>9</v>
      </c>
      <c r="B1" s="12" t="s">
        <v>19</v>
      </c>
      <c r="C1" s="12" t="s">
        <v>33</v>
      </c>
      <c r="D1" s="12" t="s">
        <v>28</v>
      </c>
      <c r="E1" s="12" t="s">
        <v>37</v>
      </c>
      <c r="F1" s="12" t="s">
        <v>44</v>
      </c>
      <c r="G1" s="12" t="s">
        <v>49</v>
      </c>
      <c r="H1" s="12" t="s">
        <v>56</v>
      </c>
      <c r="I1" s="12" t="s">
        <v>64</v>
      </c>
      <c r="J1" s="12" t="s">
        <v>68</v>
      </c>
      <c r="K1" s="12" t="s">
        <v>72</v>
      </c>
      <c r="L1" s="12" t="s">
        <v>76</v>
      </c>
    </row>
    <row r="2" spans="1:12">
      <c r="A2" s="39" t="s">
        <v>1258</v>
      </c>
      <c r="B2" s="39" t="s">
        <v>1258</v>
      </c>
      <c r="C2" s="39" t="s">
        <v>1258</v>
      </c>
      <c r="D2" s="39" t="s">
        <v>1259</v>
      </c>
      <c r="E2" s="39" t="s">
        <v>1258</v>
      </c>
      <c r="F2" s="39" t="s">
        <v>1258</v>
      </c>
      <c r="G2" s="39" t="s">
        <v>1260</v>
      </c>
      <c r="H2" s="39" t="s">
        <v>1258</v>
      </c>
      <c r="I2" s="39" t="s">
        <v>1259</v>
      </c>
      <c r="J2" s="39" t="s">
        <v>1259</v>
      </c>
      <c r="K2" s="39" t="s">
        <v>1258</v>
      </c>
      <c r="L2" s="39" t="s">
        <v>1261</v>
      </c>
    </row>
    <row r="3" spans="1:12">
      <c r="A3" s="39" t="s">
        <v>1262</v>
      </c>
      <c r="B3" s="39" t="s">
        <v>1263</v>
      </c>
      <c r="C3" s="39" t="s">
        <v>1264</v>
      </c>
      <c r="D3" s="39" t="s">
        <v>1258</v>
      </c>
      <c r="E3" s="39" t="s">
        <v>1265</v>
      </c>
      <c r="F3" s="39" t="s">
        <v>1266</v>
      </c>
      <c r="G3" s="39" t="s">
        <v>1267</v>
      </c>
      <c r="H3" s="39" t="s">
        <v>1268</v>
      </c>
      <c r="I3" s="39" t="s">
        <v>1258</v>
      </c>
      <c r="J3" s="39" t="s">
        <v>1258</v>
      </c>
      <c r="K3" s="39" t="s">
        <v>1269</v>
      </c>
      <c r="L3" s="39" t="s">
        <v>1270</v>
      </c>
    </row>
    <row r="4" spans="1:12">
      <c r="A4" s="36"/>
      <c r="B4" s="39" t="s">
        <v>1271</v>
      </c>
      <c r="C4" s="39" t="s">
        <v>1259</v>
      </c>
      <c r="D4" s="39" t="s">
        <v>1272</v>
      </c>
      <c r="E4" s="39" t="s">
        <v>1273</v>
      </c>
      <c r="F4" s="39" t="s">
        <v>1273</v>
      </c>
      <c r="G4" s="39" t="s">
        <v>1274</v>
      </c>
      <c r="H4" s="39" t="s">
        <v>1273</v>
      </c>
      <c r="I4" s="39" t="s">
        <v>1275</v>
      </c>
      <c r="J4" s="39" t="s">
        <v>1276</v>
      </c>
      <c r="K4" s="39" t="s">
        <v>1259</v>
      </c>
      <c r="L4" s="39" t="s">
        <v>1277</v>
      </c>
    </row>
    <row r="5" spans="1:12">
      <c r="A5" s="39" t="s">
        <v>1278</v>
      </c>
      <c r="B5" s="39" t="s">
        <v>1279</v>
      </c>
      <c r="C5" s="39" t="s">
        <v>1259</v>
      </c>
      <c r="D5" s="39" t="s">
        <v>1259</v>
      </c>
      <c r="E5" s="39" t="s">
        <v>1280</v>
      </c>
      <c r="F5" s="39" t="s">
        <v>1280</v>
      </c>
      <c r="G5" s="39" t="s">
        <v>1281</v>
      </c>
      <c r="H5" s="39" t="s">
        <v>1280</v>
      </c>
      <c r="I5" s="39" t="s">
        <v>1259</v>
      </c>
      <c r="J5" s="39" t="s">
        <v>1259</v>
      </c>
      <c r="K5" s="39" t="s">
        <v>1282</v>
      </c>
      <c r="L5" s="39" t="s">
        <v>1278</v>
      </c>
    </row>
    <row r="6" spans="1:12">
      <c r="A6" s="39" t="s">
        <v>1283</v>
      </c>
      <c r="B6" s="39" t="s">
        <v>1284</v>
      </c>
      <c r="C6" s="39" t="s">
        <v>1282</v>
      </c>
      <c r="D6" s="39" t="s">
        <v>1282</v>
      </c>
      <c r="E6" s="39" t="s">
        <v>1285</v>
      </c>
      <c r="F6" s="39" t="s">
        <v>1285</v>
      </c>
      <c r="G6" s="39" t="s">
        <v>1286</v>
      </c>
      <c r="H6" s="39" t="s">
        <v>1285</v>
      </c>
      <c r="I6" s="39" t="s">
        <v>1282</v>
      </c>
      <c r="J6" s="39" t="s">
        <v>1287</v>
      </c>
      <c r="K6" s="39" t="s">
        <v>1288</v>
      </c>
      <c r="L6" s="39" t="s">
        <v>1289</v>
      </c>
    </row>
    <row r="7" spans="1:12">
      <c r="A7" s="39" t="s">
        <v>1290</v>
      </c>
      <c r="B7" s="39" t="s">
        <v>1271</v>
      </c>
      <c r="C7" s="39" t="s">
        <v>1291</v>
      </c>
      <c r="D7" s="39" t="s">
        <v>1292</v>
      </c>
      <c r="E7" s="39" t="s">
        <v>1293</v>
      </c>
      <c r="F7" s="39" t="s">
        <v>1293</v>
      </c>
      <c r="G7" s="39" t="s">
        <v>1294</v>
      </c>
      <c r="H7" s="39" t="s">
        <v>1293</v>
      </c>
      <c r="I7" s="39" t="s">
        <v>1295</v>
      </c>
      <c r="J7" s="39" t="s">
        <v>1296</v>
      </c>
      <c r="K7" s="39" t="s">
        <v>1297</v>
      </c>
      <c r="L7" s="39" t="s">
        <v>1298</v>
      </c>
    </row>
    <row r="8" spans="1:12">
      <c r="A8" s="39" t="s">
        <v>1299</v>
      </c>
      <c r="B8" s="39" t="s">
        <v>1300</v>
      </c>
      <c r="C8" s="39" t="s">
        <v>1301</v>
      </c>
      <c r="D8" s="39" t="s">
        <v>1302</v>
      </c>
      <c r="E8" s="39" t="s">
        <v>1285</v>
      </c>
      <c r="F8" s="39" t="s">
        <v>1285</v>
      </c>
      <c r="G8" s="39" t="s">
        <v>1286</v>
      </c>
      <c r="H8" s="39" t="s">
        <v>1285</v>
      </c>
      <c r="I8" s="39" t="s">
        <v>1273</v>
      </c>
      <c r="J8" s="39" t="s">
        <v>1273</v>
      </c>
      <c r="K8" s="39" t="s">
        <v>1303</v>
      </c>
      <c r="L8" s="39" t="s">
        <v>1304</v>
      </c>
    </row>
    <row r="9" spans="1:12">
      <c r="A9" s="39" t="s">
        <v>1305</v>
      </c>
      <c r="B9" s="39" t="s">
        <v>1306</v>
      </c>
      <c r="C9" s="39" t="s">
        <v>1307</v>
      </c>
      <c r="D9" s="39" t="s">
        <v>1308</v>
      </c>
      <c r="E9" s="39" t="s">
        <v>1309</v>
      </c>
      <c r="F9" s="39" t="s">
        <v>1309</v>
      </c>
      <c r="G9" s="39" t="s">
        <v>1310</v>
      </c>
      <c r="H9" s="39" t="s">
        <v>1309</v>
      </c>
      <c r="I9" s="39" t="s">
        <v>1271</v>
      </c>
      <c r="J9" s="39" t="s">
        <v>1271</v>
      </c>
      <c r="K9" s="39" t="s">
        <v>1311</v>
      </c>
      <c r="L9" s="39" t="s">
        <v>1312</v>
      </c>
    </row>
    <row r="10" spans="1:12">
      <c r="A10" s="39" t="s">
        <v>1313</v>
      </c>
      <c r="B10" s="39" t="s">
        <v>1273</v>
      </c>
      <c r="C10" s="39" t="s">
        <v>1314</v>
      </c>
      <c r="D10" s="39" t="s">
        <v>1315</v>
      </c>
      <c r="E10" s="39" t="s">
        <v>1316</v>
      </c>
      <c r="F10" s="39" t="s">
        <v>1316</v>
      </c>
      <c r="G10" s="39" t="s">
        <v>1317</v>
      </c>
      <c r="H10" s="39" t="s">
        <v>1316</v>
      </c>
      <c r="I10" s="39" t="s">
        <v>1318</v>
      </c>
      <c r="J10" s="39" t="s">
        <v>1319</v>
      </c>
      <c r="K10" s="39" t="s">
        <v>1320</v>
      </c>
      <c r="L10" s="39" t="s">
        <v>1304</v>
      </c>
    </row>
    <row r="11" spans="1:12">
      <c r="A11" s="39" t="s">
        <v>1321</v>
      </c>
      <c r="B11" s="39" t="s">
        <v>1322</v>
      </c>
      <c r="C11" s="39" t="s">
        <v>1273</v>
      </c>
      <c r="D11" s="39" t="s">
        <v>1323</v>
      </c>
      <c r="E11" s="39" t="s">
        <v>1324</v>
      </c>
      <c r="F11" s="39" t="s">
        <v>1325</v>
      </c>
      <c r="G11" s="39" t="s">
        <v>1326</v>
      </c>
      <c r="H11" s="39" t="s">
        <v>1327</v>
      </c>
      <c r="I11" s="39" t="s">
        <v>1328</v>
      </c>
      <c r="J11" s="39" t="s">
        <v>1328</v>
      </c>
      <c r="K11" s="39" t="s">
        <v>1271</v>
      </c>
      <c r="L11" s="39" t="s">
        <v>1329</v>
      </c>
    </row>
    <row r="12" spans="1:12">
      <c r="A12" s="39" t="s">
        <v>1330</v>
      </c>
      <c r="B12" s="39" t="s">
        <v>1331</v>
      </c>
      <c r="C12" s="39" t="s">
        <v>1271</v>
      </c>
      <c r="D12" s="39" t="s">
        <v>1332</v>
      </c>
      <c r="E12" s="39" t="s">
        <v>1333</v>
      </c>
      <c r="F12" s="39" t="s">
        <v>1309</v>
      </c>
      <c r="G12" s="39" t="s">
        <v>1310</v>
      </c>
      <c r="H12" s="39" t="s">
        <v>1309</v>
      </c>
      <c r="I12" s="39" t="s">
        <v>1334</v>
      </c>
      <c r="J12" s="39" t="s">
        <v>1335</v>
      </c>
      <c r="K12" s="39" t="s">
        <v>1336</v>
      </c>
      <c r="L12" s="39" t="s">
        <v>1337</v>
      </c>
    </row>
    <row r="13" spans="1:12">
      <c r="A13" s="39" t="s">
        <v>1338</v>
      </c>
      <c r="B13" s="39" t="s">
        <v>1339</v>
      </c>
      <c r="C13" s="39" t="s">
        <v>1318</v>
      </c>
      <c r="D13" s="45" t="s">
        <v>1340</v>
      </c>
      <c r="E13" s="39" t="s">
        <v>1309</v>
      </c>
      <c r="F13" s="39" t="s">
        <v>1341</v>
      </c>
      <c r="G13" s="39" t="s">
        <v>1342</v>
      </c>
      <c r="H13" s="39" t="s">
        <v>1343</v>
      </c>
      <c r="I13" s="39" t="s">
        <v>1344</v>
      </c>
      <c r="J13" s="39" t="s">
        <v>1345</v>
      </c>
      <c r="K13" s="39" t="s">
        <v>1328</v>
      </c>
      <c r="L13" s="39" t="s">
        <v>1304</v>
      </c>
    </row>
    <row r="14" spans="1:12">
      <c r="A14" s="39" t="s">
        <v>1346</v>
      </c>
      <c r="B14" s="39" t="s">
        <v>1309</v>
      </c>
      <c r="C14" s="39" t="s">
        <v>1347</v>
      </c>
      <c r="D14" s="39" t="s">
        <v>1271</v>
      </c>
      <c r="E14" s="39" t="s">
        <v>1280</v>
      </c>
      <c r="F14" s="39" t="s">
        <v>1309</v>
      </c>
      <c r="G14" s="39" t="s">
        <v>1310</v>
      </c>
      <c r="H14" s="39" t="s">
        <v>1348</v>
      </c>
      <c r="I14" s="39" t="s">
        <v>1349</v>
      </c>
      <c r="J14" s="39" t="s">
        <v>1273</v>
      </c>
      <c r="K14" s="39" t="s">
        <v>1350</v>
      </c>
      <c r="L14" s="39" t="s">
        <v>1351</v>
      </c>
    </row>
    <row r="15" spans="1:12">
      <c r="A15" s="39" t="s">
        <v>1352</v>
      </c>
      <c r="B15" s="39" t="s">
        <v>1353</v>
      </c>
      <c r="C15" s="39" t="s">
        <v>1354</v>
      </c>
      <c r="D15" s="39" t="s">
        <v>1336</v>
      </c>
      <c r="E15" s="39" t="s">
        <v>1285</v>
      </c>
      <c r="F15" s="39" t="s">
        <v>1280</v>
      </c>
      <c r="G15" s="39" t="s">
        <v>1281</v>
      </c>
      <c r="H15" s="39" t="s">
        <v>1309</v>
      </c>
      <c r="I15" s="39" t="s">
        <v>1355</v>
      </c>
      <c r="J15" s="39" t="s">
        <v>1356</v>
      </c>
      <c r="K15" s="39" t="s">
        <v>1357</v>
      </c>
      <c r="L15" s="39" t="s">
        <v>1358</v>
      </c>
    </row>
    <row r="16" spans="1:12">
      <c r="A16" s="39" t="s">
        <v>1359</v>
      </c>
      <c r="B16" s="39" t="s">
        <v>1360</v>
      </c>
      <c r="C16" s="39" t="s">
        <v>1361</v>
      </c>
      <c r="D16" s="39" t="s">
        <v>1328</v>
      </c>
      <c r="E16" s="39" t="s">
        <v>1362</v>
      </c>
      <c r="F16" s="39" t="s">
        <v>1285</v>
      </c>
      <c r="G16" s="39" t="s">
        <v>1286</v>
      </c>
      <c r="H16" s="39" t="s">
        <v>1280</v>
      </c>
      <c r="I16" s="39" t="s">
        <v>1363</v>
      </c>
      <c r="J16" s="39" t="s">
        <v>1364</v>
      </c>
      <c r="K16" s="39" t="s">
        <v>1365</v>
      </c>
      <c r="L16" s="39" t="s">
        <v>1304</v>
      </c>
    </row>
    <row r="17" spans="1:12">
      <c r="A17" s="39" t="s">
        <v>1366</v>
      </c>
      <c r="B17" s="39" t="s">
        <v>1367</v>
      </c>
      <c r="C17" s="39" t="s">
        <v>1368</v>
      </c>
      <c r="D17" s="39" t="s">
        <v>1369</v>
      </c>
      <c r="E17" s="39" t="s">
        <v>1285</v>
      </c>
      <c r="F17" s="39" t="s">
        <v>1362</v>
      </c>
      <c r="G17" s="39" t="s">
        <v>1370</v>
      </c>
      <c r="H17" s="39" t="s">
        <v>1285</v>
      </c>
      <c r="I17" s="39" t="s">
        <v>1371</v>
      </c>
      <c r="J17" s="39" t="s">
        <v>1273</v>
      </c>
      <c r="K17" s="39" t="s">
        <v>1372</v>
      </c>
      <c r="L17" s="39" t="s">
        <v>1373</v>
      </c>
    </row>
    <row r="18" spans="1:12">
      <c r="A18" s="39" t="s">
        <v>1374</v>
      </c>
      <c r="B18" s="39" t="s">
        <v>1375</v>
      </c>
      <c r="C18" s="39" t="s">
        <v>1376</v>
      </c>
      <c r="D18" s="39" t="s">
        <v>1377</v>
      </c>
      <c r="E18" s="39" t="s">
        <v>1309</v>
      </c>
      <c r="F18" s="39" t="s">
        <v>1285</v>
      </c>
      <c r="G18" s="39" t="s">
        <v>1286</v>
      </c>
      <c r="H18" s="39" t="s">
        <v>1362</v>
      </c>
      <c r="I18" s="39" t="s">
        <v>1378</v>
      </c>
      <c r="J18" s="39" t="s">
        <v>1379</v>
      </c>
      <c r="K18" s="39" t="s">
        <v>1259</v>
      </c>
      <c r="L18" s="39" t="s">
        <v>1304</v>
      </c>
    </row>
    <row r="19" spans="1:12">
      <c r="A19" s="39" t="s">
        <v>1380</v>
      </c>
      <c r="B19" s="39" t="s">
        <v>1360</v>
      </c>
      <c r="C19" s="39" t="s">
        <v>1381</v>
      </c>
      <c r="D19" s="39" t="s">
        <v>1382</v>
      </c>
      <c r="E19" s="39" t="s">
        <v>1383</v>
      </c>
      <c r="F19" s="39" t="s">
        <v>1309</v>
      </c>
      <c r="G19" s="39" t="s">
        <v>1310</v>
      </c>
      <c r="H19" s="39" t="s">
        <v>1285</v>
      </c>
      <c r="I19" s="39" t="s">
        <v>1384</v>
      </c>
      <c r="J19" s="39" t="s">
        <v>1364</v>
      </c>
      <c r="K19" s="39" t="s">
        <v>1385</v>
      </c>
      <c r="L19" s="39" t="s">
        <v>1386</v>
      </c>
    </row>
    <row r="20" spans="1:12">
      <c r="A20" s="39" t="s">
        <v>1387</v>
      </c>
      <c r="B20" s="39" t="s">
        <v>1280</v>
      </c>
      <c r="C20" s="39" t="s">
        <v>1388</v>
      </c>
      <c r="D20" s="39" t="s">
        <v>1389</v>
      </c>
      <c r="E20" s="39" t="s">
        <v>1390</v>
      </c>
      <c r="F20" s="39" t="s">
        <v>1383</v>
      </c>
      <c r="G20" s="39" t="s">
        <v>1391</v>
      </c>
      <c r="H20" s="39" t="s">
        <v>1309</v>
      </c>
      <c r="I20" s="39" t="s">
        <v>1392</v>
      </c>
      <c r="J20" s="39" t="s">
        <v>1393</v>
      </c>
      <c r="K20" s="39" t="s">
        <v>1394</v>
      </c>
      <c r="L20" s="39" t="s">
        <v>1395</v>
      </c>
    </row>
    <row r="21" spans="1:12">
      <c r="A21" s="39" t="s">
        <v>1278</v>
      </c>
      <c r="B21" s="39" t="s">
        <v>1273</v>
      </c>
      <c r="C21" s="39" t="s">
        <v>1396</v>
      </c>
      <c r="D21" s="39" t="s">
        <v>1397</v>
      </c>
      <c r="E21" s="39" t="s">
        <v>1398</v>
      </c>
      <c r="F21" s="39" t="s">
        <v>1390</v>
      </c>
      <c r="G21" s="39" t="s">
        <v>1399</v>
      </c>
      <c r="H21" s="39" t="s">
        <v>1383</v>
      </c>
      <c r="I21" s="39" t="s">
        <v>1400</v>
      </c>
      <c r="J21" s="39" t="s">
        <v>1273</v>
      </c>
      <c r="K21" s="39" t="s">
        <v>1401</v>
      </c>
      <c r="L21" s="39" t="s">
        <v>1304</v>
      </c>
    </row>
    <row r="22" spans="1:12">
      <c r="A22" s="39" t="s">
        <v>1402</v>
      </c>
      <c r="B22" s="39" t="s">
        <v>1403</v>
      </c>
      <c r="C22" s="39" t="s">
        <v>1404</v>
      </c>
      <c r="D22" s="39" t="s">
        <v>1405</v>
      </c>
      <c r="E22" s="39" t="s">
        <v>1309</v>
      </c>
      <c r="F22" s="39" t="s">
        <v>1406</v>
      </c>
      <c r="G22" s="39" t="s">
        <v>1407</v>
      </c>
      <c r="H22" s="39" t="s">
        <v>1390</v>
      </c>
      <c r="I22" s="39" t="s">
        <v>1385</v>
      </c>
      <c r="J22" s="39" t="s">
        <v>1408</v>
      </c>
      <c r="K22" s="39" t="s">
        <v>1385</v>
      </c>
      <c r="L22" s="39" t="s">
        <v>1409</v>
      </c>
    </row>
    <row r="23" spans="1:12">
      <c r="A23" s="39" t="s">
        <v>1273</v>
      </c>
      <c r="B23" s="39" t="s">
        <v>1410</v>
      </c>
      <c r="C23" s="39" t="s">
        <v>1385</v>
      </c>
      <c r="D23" s="45" t="s">
        <v>1340</v>
      </c>
      <c r="E23" s="39" t="s">
        <v>1280</v>
      </c>
      <c r="F23" s="39" t="s">
        <v>1309</v>
      </c>
      <c r="G23" s="39" t="s">
        <v>1304</v>
      </c>
      <c r="H23" s="39" t="s">
        <v>1411</v>
      </c>
      <c r="I23" s="39" t="s">
        <v>1394</v>
      </c>
      <c r="J23" s="39" t="s">
        <v>1412</v>
      </c>
      <c r="K23" s="39" t="s">
        <v>1413</v>
      </c>
      <c r="L23" s="39" t="s">
        <v>1414</v>
      </c>
    </row>
    <row r="24" spans="1:12">
      <c r="A24" s="39" t="s">
        <v>1415</v>
      </c>
      <c r="B24" s="39" t="s">
        <v>1416</v>
      </c>
      <c r="C24" s="39" t="s">
        <v>1417</v>
      </c>
      <c r="D24" s="39" t="s">
        <v>1418</v>
      </c>
      <c r="E24" s="39" t="s">
        <v>1273</v>
      </c>
      <c r="F24" s="39" t="s">
        <v>1280</v>
      </c>
      <c r="G24" s="39" t="s">
        <v>1419</v>
      </c>
      <c r="H24" s="39" t="s">
        <v>1309</v>
      </c>
      <c r="I24" s="39" t="s">
        <v>1401</v>
      </c>
      <c r="J24" s="39" t="s">
        <v>1304</v>
      </c>
      <c r="K24" s="39" t="s">
        <v>1420</v>
      </c>
      <c r="L24" s="39" t="s">
        <v>1304</v>
      </c>
    </row>
    <row r="25" spans="1:12">
      <c r="A25" s="39" t="s">
        <v>1420</v>
      </c>
      <c r="B25" s="39" t="s">
        <v>1421</v>
      </c>
      <c r="C25" s="39" t="s">
        <v>1331</v>
      </c>
      <c r="D25" s="39" t="s">
        <v>1422</v>
      </c>
      <c r="E25" s="39" t="s">
        <v>1403</v>
      </c>
      <c r="F25" s="39" t="s">
        <v>1273</v>
      </c>
      <c r="G25" s="39" t="s">
        <v>1423</v>
      </c>
      <c r="H25" s="39" t="s">
        <v>1280</v>
      </c>
      <c r="I25" s="39" t="s">
        <v>1304</v>
      </c>
      <c r="J25" s="39" t="s">
        <v>1424</v>
      </c>
      <c r="K25" s="39" t="s">
        <v>1403</v>
      </c>
      <c r="L25" s="39" t="s">
        <v>1278</v>
      </c>
    </row>
    <row r="26" spans="1:12">
      <c r="A26" s="39" t="s">
        <v>1425</v>
      </c>
      <c r="B26" s="39" t="s">
        <v>1426</v>
      </c>
      <c r="C26" s="39" t="s">
        <v>1339</v>
      </c>
      <c r="D26" s="39" t="s">
        <v>1427</v>
      </c>
      <c r="E26" s="39" t="s">
        <v>1410</v>
      </c>
      <c r="F26" s="39" t="s">
        <v>1403</v>
      </c>
      <c r="G26" s="39" t="s">
        <v>1304</v>
      </c>
      <c r="H26" s="39" t="s">
        <v>1273</v>
      </c>
      <c r="I26" s="39" t="s">
        <v>1428</v>
      </c>
      <c r="J26" s="39" t="s">
        <v>1358</v>
      </c>
      <c r="K26" s="39" t="s">
        <v>1410</v>
      </c>
      <c r="L26" s="39" t="s">
        <v>1403</v>
      </c>
    </row>
    <row r="27" spans="1:12">
      <c r="A27" s="39" t="s">
        <v>1273</v>
      </c>
      <c r="B27" s="39" t="s">
        <v>1429</v>
      </c>
      <c r="C27" s="39" t="s">
        <v>1385</v>
      </c>
      <c r="D27" s="39" t="s">
        <v>1430</v>
      </c>
      <c r="E27" s="39" t="s">
        <v>1416</v>
      </c>
      <c r="F27" s="39" t="s">
        <v>1410</v>
      </c>
      <c r="G27" s="39" t="s">
        <v>1281</v>
      </c>
      <c r="H27" s="39" t="s">
        <v>1403</v>
      </c>
      <c r="I27" s="39" t="s">
        <v>1423</v>
      </c>
      <c r="J27" s="39" t="s">
        <v>1304</v>
      </c>
      <c r="K27" s="39" t="s">
        <v>1416</v>
      </c>
      <c r="L27" s="39" t="s">
        <v>1410</v>
      </c>
    </row>
    <row r="28" spans="1:12">
      <c r="A28" s="39" t="s">
        <v>1431</v>
      </c>
      <c r="B28" s="39" t="s">
        <v>1432</v>
      </c>
      <c r="C28" s="39" t="s">
        <v>1367</v>
      </c>
      <c r="D28" s="39" t="s">
        <v>1433</v>
      </c>
      <c r="E28" s="39" t="s">
        <v>1421</v>
      </c>
      <c r="F28" s="39" t="s">
        <v>1416</v>
      </c>
      <c r="G28" s="39" t="s">
        <v>1274</v>
      </c>
      <c r="H28" s="39" t="s">
        <v>1410</v>
      </c>
      <c r="I28" s="39" t="s">
        <v>1304</v>
      </c>
      <c r="J28" s="39" t="s">
        <v>1434</v>
      </c>
      <c r="K28" s="39" t="s">
        <v>1421</v>
      </c>
      <c r="L28" s="39" t="s">
        <v>1416</v>
      </c>
    </row>
    <row r="29" spans="1:12">
      <c r="A29" s="39" t="s">
        <v>1273</v>
      </c>
      <c r="B29" s="39" t="s">
        <v>1435</v>
      </c>
      <c r="C29" s="39" t="s">
        <v>1375</v>
      </c>
      <c r="D29" s="39" t="s">
        <v>1436</v>
      </c>
      <c r="E29" s="39"/>
      <c r="F29" s="39" t="s">
        <v>1421</v>
      </c>
      <c r="G29" s="39" t="s">
        <v>1437</v>
      </c>
      <c r="H29" s="39" t="s">
        <v>1416</v>
      </c>
      <c r="I29" s="39" t="s">
        <v>1278</v>
      </c>
      <c r="J29" s="39" t="s">
        <v>1423</v>
      </c>
      <c r="K29" s="39" t="s">
        <v>1426</v>
      </c>
      <c r="L29" s="39" t="s">
        <v>1421</v>
      </c>
    </row>
    <row r="30" spans="1:12">
      <c r="A30" s="39" t="s">
        <v>1438</v>
      </c>
      <c r="B30" s="39" t="s">
        <v>1439</v>
      </c>
      <c r="C30" s="39" t="s">
        <v>1360</v>
      </c>
      <c r="D30" s="39" t="s">
        <v>1440</v>
      </c>
      <c r="E30" s="39" t="s">
        <v>1273</v>
      </c>
      <c r="F30" s="39"/>
      <c r="G30" s="39" t="s">
        <v>1441</v>
      </c>
      <c r="H30" s="39" t="s">
        <v>1421</v>
      </c>
      <c r="I30" s="39"/>
      <c r="J30" s="39" t="s">
        <v>1304</v>
      </c>
      <c r="K30" s="39" t="s">
        <v>1429</v>
      </c>
      <c r="L30" s="39" t="s">
        <v>1426</v>
      </c>
    </row>
    <row r="31" spans="1:12">
      <c r="A31" s="39" t="s">
        <v>1442</v>
      </c>
      <c r="B31" s="39" t="s">
        <v>1443</v>
      </c>
      <c r="C31" s="39" t="s">
        <v>1413</v>
      </c>
      <c r="D31" s="39" t="s">
        <v>1273</v>
      </c>
      <c r="E31" s="39" t="s">
        <v>1426</v>
      </c>
      <c r="F31" s="39" t="s">
        <v>1273</v>
      </c>
      <c r="G31" s="39" t="s">
        <v>1444</v>
      </c>
      <c r="H31" s="39" t="s">
        <v>1273</v>
      </c>
      <c r="I31" s="39" t="s">
        <v>1403</v>
      </c>
      <c r="J31" s="39" t="s">
        <v>1278</v>
      </c>
      <c r="K31" s="39" t="s">
        <v>1445</v>
      </c>
      <c r="L31" s="39" t="s">
        <v>1429</v>
      </c>
    </row>
    <row r="32" spans="1:12">
      <c r="A32" s="39" t="s">
        <v>1446</v>
      </c>
      <c r="B32" s="39"/>
      <c r="C32" s="39" t="s">
        <v>1420</v>
      </c>
      <c r="D32" s="45" t="s">
        <v>1340</v>
      </c>
      <c r="E32" s="39" t="s">
        <v>1429</v>
      </c>
      <c r="F32" s="39" t="s">
        <v>1426</v>
      </c>
      <c r="G32" s="39" t="s">
        <v>1447</v>
      </c>
      <c r="H32" s="39" t="s">
        <v>1426</v>
      </c>
      <c r="I32" s="39" t="s">
        <v>1410</v>
      </c>
      <c r="J32" s="39" t="s">
        <v>1403</v>
      </c>
      <c r="K32" s="39" t="s">
        <v>1448</v>
      </c>
      <c r="L32" s="39" t="s">
        <v>1445</v>
      </c>
    </row>
    <row r="33" spans="1:12">
      <c r="A33" s="39" t="s">
        <v>1449</v>
      </c>
      <c r="B33" s="39" t="s">
        <v>1450</v>
      </c>
      <c r="C33" s="39" t="s">
        <v>1403</v>
      </c>
      <c r="D33" s="39" t="s">
        <v>1420</v>
      </c>
      <c r="E33" s="39" t="s">
        <v>1451</v>
      </c>
      <c r="F33" s="39" t="s">
        <v>1429</v>
      </c>
      <c r="G33" s="39" t="s">
        <v>1452</v>
      </c>
      <c r="H33" s="39" t="s">
        <v>1429</v>
      </c>
      <c r="I33" s="39" t="s">
        <v>1416</v>
      </c>
      <c r="J33" s="39" t="s">
        <v>1410</v>
      </c>
      <c r="K33" s="39" t="s">
        <v>1453</v>
      </c>
      <c r="L33" s="39" t="s">
        <v>1448</v>
      </c>
    </row>
    <row r="34" spans="1:12">
      <c r="A34" s="39" t="s">
        <v>1273</v>
      </c>
      <c r="B34" s="39" t="s">
        <v>1454</v>
      </c>
      <c r="C34" s="39" t="s">
        <v>1410</v>
      </c>
      <c r="D34" s="39" t="s">
        <v>1455</v>
      </c>
      <c r="E34" s="39" t="s">
        <v>1456</v>
      </c>
      <c r="F34" s="39" t="s">
        <v>1451</v>
      </c>
      <c r="G34" s="39" t="s">
        <v>1274</v>
      </c>
      <c r="H34" s="39" t="s">
        <v>1451</v>
      </c>
      <c r="I34" s="39" t="s">
        <v>1421</v>
      </c>
      <c r="J34" s="39" t="s">
        <v>1416</v>
      </c>
      <c r="K34" s="39" t="s">
        <v>1457</v>
      </c>
      <c r="L34" s="39" t="s">
        <v>1453</v>
      </c>
    </row>
    <row r="35" spans="1:12">
      <c r="A35" s="39" t="s">
        <v>1458</v>
      </c>
      <c r="B35" s="39" t="s">
        <v>1459</v>
      </c>
      <c r="C35" s="39" t="s">
        <v>1416</v>
      </c>
      <c r="D35" s="39" t="s">
        <v>1460</v>
      </c>
      <c r="E35" s="39"/>
      <c r="F35" s="39" t="s">
        <v>1456</v>
      </c>
      <c r="G35" s="39" t="s">
        <v>1461</v>
      </c>
      <c r="H35" s="39" t="s">
        <v>1456</v>
      </c>
      <c r="I35" s="39" t="s">
        <v>1426</v>
      </c>
      <c r="J35" s="39" t="s">
        <v>1421</v>
      </c>
      <c r="K35" s="39" t="s">
        <v>1450</v>
      </c>
      <c r="L35" s="39" t="s">
        <v>1457</v>
      </c>
    </row>
    <row r="36" spans="1:12">
      <c r="A36" s="39" t="s">
        <v>1462</v>
      </c>
      <c r="B36" s="39" t="s">
        <v>1463</v>
      </c>
      <c r="C36" s="39" t="s">
        <v>1421</v>
      </c>
      <c r="D36" s="39" t="s">
        <v>1273</v>
      </c>
      <c r="E36" s="39" t="s">
        <v>1464</v>
      </c>
      <c r="F36" s="39"/>
      <c r="G36" s="39" t="s">
        <v>1465</v>
      </c>
      <c r="H36" s="39"/>
      <c r="I36" s="39" t="s">
        <v>1429</v>
      </c>
      <c r="J36" s="39" t="s">
        <v>1426</v>
      </c>
      <c r="K36" s="39" t="s">
        <v>1454</v>
      </c>
      <c r="L36" s="39" t="s">
        <v>1450</v>
      </c>
    </row>
    <row r="37" spans="1:12">
      <c r="A37" s="39" t="s">
        <v>1466</v>
      </c>
      <c r="B37" s="39" t="s">
        <v>1467</v>
      </c>
      <c r="C37" s="39" t="s">
        <v>1426</v>
      </c>
      <c r="D37" s="45" t="s">
        <v>1340</v>
      </c>
      <c r="E37" s="39" t="s">
        <v>1468</v>
      </c>
      <c r="F37" s="39" t="s">
        <v>1464</v>
      </c>
      <c r="G37" s="39" t="s">
        <v>1469</v>
      </c>
      <c r="H37" s="39" t="s">
        <v>1464</v>
      </c>
      <c r="I37" s="39" t="s">
        <v>1470</v>
      </c>
      <c r="J37" s="39" t="s">
        <v>1429</v>
      </c>
      <c r="K37" s="39" t="s">
        <v>1459</v>
      </c>
      <c r="L37" s="39" t="s">
        <v>1454</v>
      </c>
    </row>
    <row r="38" spans="1:12">
      <c r="A38" s="39" t="s">
        <v>1273</v>
      </c>
      <c r="B38" s="39" t="s">
        <v>1471</v>
      </c>
      <c r="C38" s="39" t="s">
        <v>1429</v>
      </c>
      <c r="D38" s="39" t="s">
        <v>1472</v>
      </c>
      <c r="E38" s="39"/>
      <c r="F38" s="39" t="s">
        <v>1468</v>
      </c>
      <c r="G38" s="39" t="s">
        <v>1473</v>
      </c>
      <c r="H38" s="39" t="s">
        <v>1468</v>
      </c>
      <c r="I38" s="39" t="s">
        <v>1474</v>
      </c>
      <c r="J38" s="39" t="s">
        <v>1470</v>
      </c>
      <c r="K38" s="39" t="s">
        <v>1463</v>
      </c>
      <c r="L38" s="39" t="s">
        <v>1459</v>
      </c>
    </row>
    <row r="39" spans="1:12">
      <c r="A39" s="39" t="s">
        <v>1475</v>
      </c>
      <c r="B39" s="39"/>
      <c r="C39" s="39" t="s">
        <v>1476</v>
      </c>
      <c r="D39" s="39" t="s">
        <v>1477</v>
      </c>
      <c r="E39" s="39" t="s">
        <v>1273</v>
      </c>
      <c r="F39" s="39"/>
      <c r="G39" s="39" t="s">
        <v>1452</v>
      </c>
      <c r="H39" s="39"/>
      <c r="I39" s="39" t="s">
        <v>1445</v>
      </c>
      <c r="J39" s="39" t="s">
        <v>1474</v>
      </c>
      <c r="K39" s="39" t="s">
        <v>1467</v>
      </c>
      <c r="L39" s="39" t="s">
        <v>1478</v>
      </c>
    </row>
    <row r="40" spans="1:12">
      <c r="A40" s="39" t="s">
        <v>1479</v>
      </c>
      <c r="B40" s="39" t="s">
        <v>1480</v>
      </c>
      <c r="C40" s="39" t="s">
        <v>1481</v>
      </c>
      <c r="D40" s="39" t="s">
        <v>1482</v>
      </c>
      <c r="E40" s="39" t="s">
        <v>1450</v>
      </c>
      <c r="F40" s="39" t="s">
        <v>1273</v>
      </c>
      <c r="G40" s="39" t="s">
        <v>1483</v>
      </c>
      <c r="H40" s="39" t="s">
        <v>1273</v>
      </c>
      <c r="I40" s="39" t="s">
        <v>1448</v>
      </c>
      <c r="J40" s="39" t="s">
        <v>1445</v>
      </c>
      <c r="K40" s="39" t="s">
        <v>1484</v>
      </c>
      <c r="L40" s="39" t="s">
        <v>1485</v>
      </c>
    </row>
    <row r="41" spans="1:12">
      <c r="A41" s="39" t="s">
        <v>1486</v>
      </c>
      <c r="B41" s="39" t="s">
        <v>1478</v>
      </c>
      <c r="C41" s="39" t="s">
        <v>1487</v>
      </c>
      <c r="D41" s="39" t="s">
        <v>1488</v>
      </c>
      <c r="E41" s="39" t="s">
        <v>1454</v>
      </c>
      <c r="F41" s="39" t="s">
        <v>1450</v>
      </c>
      <c r="G41" s="39" t="s">
        <v>1489</v>
      </c>
      <c r="H41" s="39" t="s">
        <v>1450</v>
      </c>
      <c r="I41" s="39" t="s">
        <v>1453</v>
      </c>
      <c r="J41" s="39" t="s">
        <v>1448</v>
      </c>
      <c r="K41" s="39" t="s">
        <v>1490</v>
      </c>
      <c r="L41" s="39" t="s">
        <v>1491</v>
      </c>
    </row>
    <row r="42" spans="1:12">
      <c r="A42" s="39" t="s">
        <v>1273</v>
      </c>
      <c r="B42" s="39" t="s">
        <v>1492</v>
      </c>
      <c r="C42" s="39" t="s">
        <v>1493</v>
      </c>
      <c r="D42" s="39" t="s">
        <v>1494</v>
      </c>
      <c r="E42" s="39"/>
      <c r="F42" s="39" t="s">
        <v>1454</v>
      </c>
      <c r="G42" s="39" t="s">
        <v>1452</v>
      </c>
      <c r="H42" s="39" t="s">
        <v>1454</v>
      </c>
      <c r="I42" s="39" t="s">
        <v>1457</v>
      </c>
      <c r="J42" s="39" t="s">
        <v>1453</v>
      </c>
      <c r="K42" s="39" t="s">
        <v>1478</v>
      </c>
      <c r="L42" s="39" t="s">
        <v>1495</v>
      </c>
    </row>
    <row r="43" spans="1:12">
      <c r="A43" s="39" t="s">
        <v>1496</v>
      </c>
      <c r="B43" s="39" t="s">
        <v>1497</v>
      </c>
      <c r="C43" s="39" t="s">
        <v>1498</v>
      </c>
      <c r="D43" s="39" t="s">
        <v>1273</v>
      </c>
      <c r="E43" s="39" t="s">
        <v>1499</v>
      </c>
      <c r="F43" s="39"/>
      <c r="G43" s="39" t="s">
        <v>1274</v>
      </c>
      <c r="H43" s="39"/>
      <c r="I43" s="39" t="s">
        <v>1450</v>
      </c>
      <c r="J43" s="39" t="s">
        <v>1457</v>
      </c>
      <c r="K43" s="39" t="s">
        <v>1500</v>
      </c>
      <c r="L43" s="39" t="s">
        <v>1490</v>
      </c>
    </row>
    <row r="44" spans="1:12">
      <c r="A44" s="39" t="s">
        <v>1501</v>
      </c>
      <c r="B44" s="39" t="s">
        <v>1467</v>
      </c>
      <c r="C44" s="39" t="s">
        <v>1502</v>
      </c>
      <c r="D44" s="45" t="s">
        <v>1340</v>
      </c>
      <c r="E44" s="39" t="s">
        <v>1503</v>
      </c>
      <c r="F44" s="39" t="s">
        <v>1499</v>
      </c>
      <c r="G44" s="39" t="s">
        <v>1504</v>
      </c>
      <c r="H44" s="39" t="s">
        <v>1499</v>
      </c>
      <c r="I44" s="39" t="s">
        <v>1454</v>
      </c>
      <c r="J44" s="39" t="s">
        <v>1450</v>
      </c>
      <c r="K44" s="39" t="s">
        <v>1505</v>
      </c>
      <c r="L44" s="39" t="s">
        <v>1478</v>
      </c>
    </row>
    <row r="45" spans="1:12">
      <c r="A45" s="39" t="s">
        <v>1304</v>
      </c>
      <c r="B45" s="39" t="s">
        <v>1506</v>
      </c>
      <c r="C45" s="39" t="s">
        <v>1450</v>
      </c>
      <c r="D45" s="39" t="s">
        <v>1507</v>
      </c>
      <c r="E45" s="39" t="s">
        <v>1459</v>
      </c>
      <c r="F45" s="39" t="s">
        <v>1503</v>
      </c>
      <c r="G45" s="39" t="s">
        <v>1508</v>
      </c>
      <c r="H45" s="39" t="s">
        <v>1503</v>
      </c>
      <c r="I45" s="39" t="s">
        <v>1509</v>
      </c>
      <c r="J45" s="39" t="s">
        <v>1454</v>
      </c>
      <c r="K45" s="39" t="s">
        <v>1491</v>
      </c>
      <c r="L45" s="39" t="s">
        <v>1500</v>
      </c>
    </row>
    <row r="46" spans="1:12">
      <c r="A46" s="39" t="s">
        <v>1510</v>
      </c>
      <c r="B46" s="39" t="s">
        <v>1511</v>
      </c>
      <c r="C46" s="39" t="s">
        <v>1454</v>
      </c>
      <c r="D46" s="39" t="s">
        <v>1273</v>
      </c>
      <c r="E46" s="39" t="s">
        <v>1485</v>
      </c>
      <c r="F46" s="39" t="s">
        <v>1459</v>
      </c>
      <c r="G46" s="39" t="s">
        <v>1452</v>
      </c>
      <c r="H46" s="39" t="s">
        <v>1459</v>
      </c>
      <c r="I46" s="39" t="s">
        <v>1478</v>
      </c>
      <c r="J46" s="39" t="s">
        <v>1509</v>
      </c>
      <c r="K46" s="39" t="s">
        <v>1512</v>
      </c>
      <c r="L46" s="39" t="s">
        <v>1497</v>
      </c>
    </row>
    <row r="47" spans="1:12">
      <c r="A47" s="39" t="s">
        <v>1304</v>
      </c>
      <c r="B47" s="39" t="s">
        <v>1513</v>
      </c>
      <c r="C47" s="39" t="s">
        <v>1459</v>
      </c>
      <c r="D47" s="39" t="s">
        <v>1403</v>
      </c>
      <c r="E47" s="39" t="s">
        <v>1514</v>
      </c>
      <c r="F47" s="39" t="s">
        <v>1485</v>
      </c>
      <c r="G47" s="39" t="s">
        <v>1515</v>
      </c>
      <c r="H47" s="39" t="s">
        <v>1485</v>
      </c>
      <c r="I47" s="39" t="s">
        <v>1500</v>
      </c>
      <c r="J47" s="39" t="s">
        <v>1478</v>
      </c>
      <c r="K47" s="39" t="s">
        <v>1516</v>
      </c>
      <c r="L47" s="39" t="s">
        <v>1491</v>
      </c>
    </row>
    <row r="48" spans="1:12">
      <c r="A48" s="39" t="s">
        <v>1517</v>
      </c>
      <c r="B48" s="39"/>
      <c r="C48" s="39" t="s">
        <v>1463</v>
      </c>
      <c r="D48" s="39" t="s">
        <v>1410</v>
      </c>
      <c r="E48" s="39"/>
      <c r="F48" s="39" t="s">
        <v>1514</v>
      </c>
      <c r="G48" s="39" t="s">
        <v>1518</v>
      </c>
      <c r="H48" s="39" t="s">
        <v>1514</v>
      </c>
      <c r="I48" s="39" t="s">
        <v>1519</v>
      </c>
      <c r="J48" s="39" t="s">
        <v>1500</v>
      </c>
      <c r="K48" s="39" t="s">
        <v>1520</v>
      </c>
      <c r="L48" s="39" t="s">
        <v>1512</v>
      </c>
    </row>
    <row r="49" spans="1:12">
      <c r="A49" s="39" t="s">
        <v>1521</v>
      </c>
      <c r="B49" s="39" t="s">
        <v>1522</v>
      </c>
      <c r="C49" s="39" t="s">
        <v>1467</v>
      </c>
      <c r="D49" s="39" t="s">
        <v>1416</v>
      </c>
      <c r="E49" s="39" t="s">
        <v>1523</v>
      </c>
      <c r="F49" s="39"/>
      <c r="G49" s="39" t="s">
        <v>1524</v>
      </c>
      <c r="H49" s="39"/>
      <c r="I49" s="39" t="s">
        <v>1491</v>
      </c>
      <c r="J49" s="39" t="s">
        <v>1519</v>
      </c>
      <c r="K49" s="39" t="s">
        <v>1525</v>
      </c>
      <c r="L49" s="39" t="s">
        <v>1526</v>
      </c>
    </row>
    <row r="50" spans="1:12">
      <c r="A50" s="39" t="s">
        <v>1304</v>
      </c>
      <c r="B50" s="39" t="s">
        <v>1527</v>
      </c>
      <c r="C50" s="39" t="s">
        <v>1528</v>
      </c>
      <c r="D50" s="39" t="s">
        <v>1421</v>
      </c>
      <c r="E50" s="39"/>
      <c r="F50" s="39" t="s">
        <v>1529</v>
      </c>
      <c r="G50" s="39" t="s">
        <v>1530</v>
      </c>
      <c r="H50" s="39" t="s">
        <v>1523</v>
      </c>
      <c r="I50" s="39" t="s">
        <v>1531</v>
      </c>
      <c r="J50" s="39" t="s">
        <v>1491</v>
      </c>
      <c r="K50" s="39" t="s">
        <v>1259</v>
      </c>
      <c r="L50" s="39" t="s">
        <v>1532</v>
      </c>
    </row>
    <row r="51" spans="1:12">
      <c r="A51" s="39" t="s">
        <v>1533</v>
      </c>
      <c r="B51" s="39" t="s">
        <v>1534</v>
      </c>
      <c r="C51" s="39" t="s">
        <v>1480</v>
      </c>
      <c r="D51" s="39" t="s">
        <v>1426</v>
      </c>
      <c r="E51" s="39"/>
      <c r="F51" s="39" t="s">
        <v>1535</v>
      </c>
      <c r="G51" s="39" t="s">
        <v>1536</v>
      </c>
      <c r="H51" s="39"/>
      <c r="I51" s="39" t="s">
        <v>1537</v>
      </c>
      <c r="J51" s="39" t="s">
        <v>1531</v>
      </c>
      <c r="K51" s="39" t="s">
        <v>1522</v>
      </c>
      <c r="L51" s="39" t="s">
        <v>1278</v>
      </c>
    </row>
    <row r="52" spans="1:12">
      <c r="A52" s="39" t="s">
        <v>1538</v>
      </c>
      <c r="B52" s="39" t="s">
        <v>1527</v>
      </c>
      <c r="C52" s="39" t="s">
        <v>1478</v>
      </c>
      <c r="D52" s="39" t="s">
        <v>1429</v>
      </c>
      <c r="E52" s="39" t="s">
        <v>1539</v>
      </c>
      <c r="F52" s="39" t="s">
        <v>1540</v>
      </c>
      <c r="G52" s="39" t="s">
        <v>1452</v>
      </c>
      <c r="H52" s="39"/>
      <c r="I52" s="39" t="s">
        <v>1541</v>
      </c>
      <c r="J52" s="39" t="s">
        <v>1537</v>
      </c>
      <c r="K52" s="39" t="s">
        <v>1259</v>
      </c>
      <c r="L52" s="39" t="s">
        <v>1522</v>
      </c>
    </row>
    <row r="53" spans="1:12">
      <c r="A53" s="39" t="s">
        <v>1304</v>
      </c>
      <c r="B53" s="39" t="s">
        <v>1542</v>
      </c>
      <c r="C53" s="39" t="s">
        <v>1492</v>
      </c>
      <c r="D53" s="39" t="s">
        <v>1543</v>
      </c>
      <c r="E53" s="39" t="s">
        <v>1544</v>
      </c>
      <c r="F53" s="39"/>
      <c r="G53" s="39" t="s">
        <v>1545</v>
      </c>
      <c r="H53" s="39" t="s">
        <v>1539</v>
      </c>
      <c r="I53" s="39" t="s">
        <v>1459</v>
      </c>
      <c r="J53" s="39" t="s">
        <v>1541</v>
      </c>
      <c r="K53" s="39" t="s">
        <v>1546</v>
      </c>
      <c r="L53" s="39" t="s">
        <v>1278</v>
      </c>
    </row>
    <row r="54" spans="1:12">
      <c r="A54" s="39" t="s">
        <v>1547</v>
      </c>
      <c r="B54" s="39" t="s">
        <v>1548</v>
      </c>
      <c r="C54" s="39" t="s">
        <v>1497</v>
      </c>
      <c r="D54" s="39" t="s">
        <v>1549</v>
      </c>
      <c r="E54" s="39" t="s">
        <v>1490</v>
      </c>
      <c r="F54" s="39"/>
      <c r="G54" s="39" t="s">
        <v>1452</v>
      </c>
      <c r="H54" s="39" t="s">
        <v>1544</v>
      </c>
      <c r="I54" s="39" t="s">
        <v>1478</v>
      </c>
      <c r="J54" s="39" t="s">
        <v>1459</v>
      </c>
      <c r="K54" s="39" t="s">
        <v>1550</v>
      </c>
      <c r="L54" s="39" t="s">
        <v>1551</v>
      </c>
    </row>
    <row r="55" spans="1:12">
      <c r="A55" s="39" t="s">
        <v>1552</v>
      </c>
      <c r="B55" s="39" t="s">
        <v>1553</v>
      </c>
      <c r="C55" s="39" t="s">
        <v>1467</v>
      </c>
      <c r="D55" s="39" t="s">
        <v>1453</v>
      </c>
      <c r="E55" s="39" t="s">
        <v>1500</v>
      </c>
      <c r="F55" s="39" t="s">
        <v>1539</v>
      </c>
      <c r="G55" s="39" t="s">
        <v>1452</v>
      </c>
      <c r="H55" s="39" t="s">
        <v>1490</v>
      </c>
      <c r="I55" s="39" t="s">
        <v>1500</v>
      </c>
      <c r="J55" s="39" t="s">
        <v>1478</v>
      </c>
      <c r="K55" s="39" t="s">
        <v>1554</v>
      </c>
      <c r="L55" s="39" t="s">
        <v>1555</v>
      </c>
    </row>
    <row r="56" spans="1:12">
      <c r="A56" s="39" t="s">
        <v>1304</v>
      </c>
      <c r="B56" s="39" t="s">
        <v>1556</v>
      </c>
      <c r="C56" s="39" t="s">
        <v>1506</v>
      </c>
      <c r="D56" s="39" t="s">
        <v>1457</v>
      </c>
      <c r="E56" s="39" t="s">
        <v>1478</v>
      </c>
      <c r="F56" s="39" t="s">
        <v>1544</v>
      </c>
      <c r="G56" s="39" t="s">
        <v>1557</v>
      </c>
      <c r="H56" s="39" t="s">
        <v>1500</v>
      </c>
      <c r="I56" s="39" t="s">
        <v>1558</v>
      </c>
      <c r="J56" s="39" t="s">
        <v>1500</v>
      </c>
      <c r="K56" s="39" t="s">
        <v>1559</v>
      </c>
      <c r="L56" s="39" t="s">
        <v>1560</v>
      </c>
    </row>
    <row r="57" spans="1:12">
      <c r="A57" s="39" t="s">
        <v>1507</v>
      </c>
      <c r="B57" s="39" t="s">
        <v>1561</v>
      </c>
      <c r="C57" s="39" t="s">
        <v>1511</v>
      </c>
      <c r="D57" s="39" t="s">
        <v>1450</v>
      </c>
      <c r="E57" s="39" t="s">
        <v>1562</v>
      </c>
      <c r="F57" s="39" t="s">
        <v>1490</v>
      </c>
      <c r="G57" s="39" t="s">
        <v>1563</v>
      </c>
      <c r="H57" s="39" t="s">
        <v>1514</v>
      </c>
      <c r="I57" s="39" t="s">
        <v>1491</v>
      </c>
      <c r="J57" s="39" t="s">
        <v>1558</v>
      </c>
      <c r="K57" s="39" t="s">
        <v>1564</v>
      </c>
      <c r="L57" s="39" t="s">
        <v>1565</v>
      </c>
    </row>
    <row r="58" spans="1:12">
      <c r="A58" s="36"/>
      <c r="B58" s="39" t="s">
        <v>1548</v>
      </c>
      <c r="C58" s="39" t="s">
        <v>1513</v>
      </c>
      <c r="D58" s="39" t="s">
        <v>1454</v>
      </c>
      <c r="E58" s="39" t="s">
        <v>1514</v>
      </c>
      <c r="F58" s="39" t="s">
        <v>1500</v>
      </c>
      <c r="G58" s="39" t="s">
        <v>1566</v>
      </c>
      <c r="H58" s="39"/>
      <c r="I58" s="39" t="s">
        <v>1567</v>
      </c>
      <c r="J58" s="39" t="s">
        <v>1491</v>
      </c>
      <c r="K58" s="39" t="s">
        <v>1568</v>
      </c>
      <c r="L58" s="39" t="s">
        <v>1569</v>
      </c>
    </row>
    <row r="59" spans="1:12">
      <c r="A59" s="39" t="s">
        <v>1403</v>
      </c>
      <c r="B59" s="39" t="s">
        <v>1570</v>
      </c>
      <c r="C59" s="39" t="s">
        <v>1522</v>
      </c>
      <c r="D59" s="39" t="s">
        <v>1480</v>
      </c>
      <c r="E59" s="39"/>
      <c r="F59" s="39" t="s">
        <v>1478</v>
      </c>
      <c r="G59" s="39" t="s">
        <v>1571</v>
      </c>
      <c r="H59" s="39" t="s">
        <v>1572</v>
      </c>
      <c r="I59" s="39" t="s">
        <v>1490</v>
      </c>
      <c r="J59" s="39" t="s">
        <v>1567</v>
      </c>
      <c r="K59" s="39" t="s">
        <v>1573</v>
      </c>
      <c r="L59" s="39" t="s">
        <v>1574</v>
      </c>
    </row>
    <row r="60" spans="1:12">
      <c r="A60" s="39" t="s">
        <v>1410</v>
      </c>
      <c r="B60" s="39" t="s">
        <v>1575</v>
      </c>
      <c r="C60" s="39" t="s">
        <v>1576</v>
      </c>
      <c r="D60" s="39" t="s">
        <v>1478</v>
      </c>
      <c r="E60" s="39" t="s">
        <v>1572</v>
      </c>
      <c r="F60" s="39" t="s">
        <v>1562</v>
      </c>
      <c r="G60" s="39" t="s">
        <v>1577</v>
      </c>
      <c r="H60" s="39" t="s">
        <v>1578</v>
      </c>
      <c r="I60" s="39" t="s">
        <v>1478</v>
      </c>
      <c r="J60" s="39" t="s">
        <v>1490</v>
      </c>
      <c r="K60" s="39" t="s">
        <v>1579</v>
      </c>
      <c r="L60" s="39"/>
    </row>
    <row r="61" spans="1:12">
      <c r="A61" s="39" t="s">
        <v>1416</v>
      </c>
      <c r="B61" s="39" t="s">
        <v>1580</v>
      </c>
      <c r="C61" s="39" t="s">
        <v>1581</v>
      </c>
      <c r="D61" s="39" t="s">
        <v>1500</v>
      </c>
      <c r="E61" s="39" t="s">
        <v>1578</v>
      </c>
      <c r="F61" s="39" t="s">
        <v>1514</v>
      </c>
      <c r="G61" s="39" t="s">
        <v>1582</v>
      </c>
      <c r="H61" s="39" t="s">
        <v>1583</v>
      </c>
      <c r="I61" s="39" t="s">
        <v>1500</v>
      </c>
      <c r="J61" s="39" t="s">
        <v>1478</v>
      </c>
      <c r="K61" s="39"/>
      <c r="L61" s="39" t="s">
        <v>1584</v>
      </c>
    </row>
    <row r="62" spans="1:12">
      <c r="A62" s="39" t="s">
        <v>1421</v>
      </c>
      <c r="B62" s="39" t="s">
        <v>1548</v>
      </c>
      <c r="C62" s="39" t="s">
        <v>1585</v>
      </c>
      <c r="D62" s="39" t="s">
        <v>1558</v>
      </c>
      <c r="E62" s="39" t="s">
        <v>1583</v>
      </c>
      <c r="F62" s="39"/>
      <c r="G62" s="39" t="s">
        <v>1536</v>
      </c>
      <c r="H62" s="39" t="s">
        <v>1586</v>
      </c>
      <c r="I62" s="39" t="s">
        <v>1505</v>
      </c>
      <c r="J62" s="39" t="s">
        <v>1500</v>
      </c>
      <c r="K62" s="39" t="s">
        <v>1259</v>
      </c>
      <c r="L62" s="39" t="s">
        <v>1587</v>
      </c>
    </row>
    <row r="63" spans="1:12">
      <c r="A63" s="36"/>
      <c r="B63" s="39" t="s">
        <v>1278</v>
      </c>
      <c r="C63" s="39" t="s">
        <v>1588</v>
      </c>
      <c r="D63" s="39" t="s">
        <v>1491</v>
      </c>
      <c r="E63" s="39" t="s">
        <v>1589</v>
      </c>
      <c r="F63" s="39" t="s">
        <v>1572</v>
      </c>
      <c r="G63" s="39" t="s">
        <v>1452</v>
      </c>
      <c r="H63" s="39"/>
      <c r="I63" s="39" t="s">
        <v>1491</v>
      </c>
      <c r="J63" s="39" t="s">
        <v>1505</v>
      </c>
      <c r="K63" s="39" t="s">
        <v>1590</v>
      </c>
      <c r="L63" s="39" t="s">
        <v>1591</v>
      </c>
    </row>
    <row r="64" spans="1:12">
      <c r="A64" s="39" t="s">
        <v>1426</v>
      </c>
      <c r="B64" s="39" t="s">
        <v>1592</v>
      </c>
      <c r="C64" s="39" t="s">
        <v>1593</v>
      </c>
      <c r="D64" s="39" t="s">
        <v>1594</v>
      </c>
      <c r="E64" s="39"/>
      <c r="F64" s="39" t="s">
        <v>1578</v>
      </c>
      <c r="G64" s="39" t="s">
        <v>1595</v>
      </c>
      <c r="H64" s="39"/>
      <c r="I64" s="39" t="s">
        <v>1512</v>
      </c>
      <c r="J64" s="39" t="s">
        <v>1491</v>
      </c>
      <c r="K64" s="39" t="s">
        <v>1596</v>
      </c>
      <c r="L64" s="39"/>
    </row>
    <row r="65" spans="1:12">
      <c r="A65" s="39" t="s">
        <v>1429</v>
      </c>
      <c r="B65" s="39" t="s">
        <v>1597</v>
      </c>
      <c r="C65" s="39" t="s">
        <v>1598</v>
      </c>
      <c r="D65" s="39" t="s">
        <v>1490</v>
      </c>
      <c r="E65" s="39"/>
      <c r="F65" s="39" t="s">
        <v>1583</v>
      </c>
      <c r="G65" s="39" t="s">
        <v>1599</v>
      </c>
      <c r="H65" s="39" t="s">
        <v>1273</v>
      </c>
      <c r="I65" s="39" t="s">
        <v>1516</v>
      </c>
      <c r="J65" s="39" t="s">
        <v>1512</v>
      </c>
      <c r="K65" s="39" t="s">
        <v>1600</v>
      </c>
      <c r="L65" s="39" t="s">
        <v>1601</v>
      </c>
    </row>
    <row r="66" spans="1:12">
      <c r="A66" s="36"/>
      <c r="B66" s="39" t="s">
        <v>1602</v>
      </c>
      <c r="C66" s="39" t="s">
        <v>1548</v>
      </c>
      <c r="D66" s="39" t="s">
        <v>1478</v>
      </c>
      <c r="E66" s="39" t="s">
        <v>1273</v>
      </c>
      <c r="F66" s="39" t="s">
        <v>1589</v>
      </c>
      <c r="G66" s="39" t="s">
        <v>1603</v>
      </c>
      <c r="H66" s="39" t="s">
        <v>1522</v>
      </c>
      <c r="I66" s="39" t="s">
        <v>1520</v>
      </c>
      <c r="J66" s="39" t="s">
        <v>1516</v>
      </c>
      <c r="K66" s="39" t="s">
        <v>1259</v>
      </c>
      <c r="L66" s="39" t="s">
        <v>1604</v>
      </c>
    </row>
    <row r="67" spans="1:12">
      <c r="A67" s="39" t="s">
        <v>1605</v>
      </c>
      <c r="B67" s="39" t="s">
        <v>1606</v>
      </c>
      <c r="C67" s="39" t="s">
        <v>1527</v>
      </c>
      <c r="D67" s="39" t="s">
        <v>1500</v>
      </c>
      <c r="E67" s="39" t="s">
        <v>1522</v>
      </c>
      <c r="F67" s="39"/>
      <c r="G67" s="39" t="s">
        <v>1607</v>
      </c>
      <c r="H67" s="39" t="s">
        <v>1280</v>
      </c>
      <c r="I67" s="39" t="s">
        <v>1525</v>
      </c>
      <c r="J67" s="39" t="s">
        <v>1520</v>
      </c>
      <c r="K67" s="39" t="s">
        <v>1608</v>
      </c>
      <c r="L67" s="39" t="s">
        <v>1609</v>
      </c>
    </row>
    <row r="68" spans="1:12">
      <c r="A68" s="39" t="s">
        <v>1610</v>
      </c>
      <c r="B68" s="39" t="s">
        <v>1611</v>
      </c>
      <c r="C68" s="39" t="s">
        <v>1534</v>
      </c>
      <c r="D68" s="39" t="s">
        <v>1505</v>
      </c>
      <c r="E68" s="39" t="s">
        <v>1280</v>
      </c>
      <c r="F68" s="39"/>
      <c r="G68" s="39" t="s">
        <v>1452</v>
      </c>
      <c r="H68" s="39" t="s">
        <v>1612</v>
      </c>
      <c r="I68" s="39" t="s">
        <v>1259</v>
      </c>
      <c r="J68" s="39" t="s">
        <v>1525</v>
      </c>
      <c r="K68" s="39" t="s">
        <v>1596</v>
      </c>
      <c r="L68" s="39" t="s">
        <v>1613</v>
      </c>
    </row>
    <row r="69" spans="1:12">
      <c r="A69" s="36"/>
      <c r="B69" s="39" t="s">
        <v>1420</v>
      </c>
      <c r="C69" s="39" t="s">
        <v>1527</v>
      </c>
      <c r="D69" s="39" t="s">
        <v>1491</v>
      </c>
      <c r="E69" s="39" t="s">
        <v>1612</v>
      </c>
      <c r="F69" s="39" t="s">
        <v>1273</v>
      </c>
      <c r="G69" s="39" t="s">
        <v>1452</v>
      </c>
      <c r="H69" s="39" t="s">
        <v>1280</v>
      </c>
      <c r="I69" s="39" t="s">
        <v>1522</v>
      </c>
      <c r="J69" s="39" t="s">
        <v>1259</v>
      </c>
      <c r="K69" s="39" t="s">
        <v>1614</v>
      </c>
      <c r="L69" s="39"/>
    </row>
    <row r="70" spans="1:12">
      <c r="A70" s="39" t="s">
        <v>1615</v>
      </c>
      <c r="B70" s="39" t="s">
        <v>1616</v>
      </c>
      <c r="C70" s="39" t="s">
        <v>1542</v>
      </c>
      <c r="D70" s="39" t="s">
        <v>1512</v>
      </c>
      <c r="E70" s="39" t="s">
        <v>1280</v>
      </c>
      <c r="F70" s="39" t="s">
        <v>1522</v>
      </c>
      <c r="G70" s="39" t="s">
        <v>1274</v>
      </c>
      <c r="H70" s="39" t="s">
        <v>1617</v>
      </c>
      <c r="I70" s="39" t="s">
        <v>1259</v>
      </c>
      <c r="J70" s="39" t="s">
        <v>1522</v>
      </c>
      <c r="K70" s="39" t="s">
        <v>1618</v>
      </c>
      <c r="L70" s="39" t="s">
        <v>1619</v>
      </c>
    </row>
    <row r="71" spans="1:12">
      <c r="A71" s="39" t="s">
        <v>1620</v>
      </c>
      <c r="B71" s="39" t="s">
        <v>1548</v>
      </c>
      <c r="C71" s="39" t="s">
        <v>1553</v>
      </c>
      <c r="D71" s="39" t="s">
        <v>1516</v>
      </c>
      <c r="E71" s="39" t="s">
        <v>1617</v>
      </c>
      <c r="F71" s="39" t="s">
        <v>1280</v>
      </c>
      <c r="G71" s="39" t="s">
        <v>1621</v>
      </c>
      <c r="H71" s="39"/>
      <c r="I71" s="39" t="s">
        <v>1546</v>
      </c>
      <c r="J71" s="39" t="s">
        <v>1259</v>
      </c>
      <c r="K71" s="39" t="s">
        <v>1259</v>
      </c>
      <c r="L71" s="39" t="s">
        <v>1622</v>
      </c>
    </row>
    <row r="72" spans="1:12">
      <c r="A72" s="36"/>
      <c r="B72" s="39" t="s">
        <v>1623</v>
      </c>
      <c r="C72" s="39" t="s">
        <v>1556</v>
      </c>
      <c r="D72" s="39" t="s">
        <v>1520</v>
      </c>
      <c r="E72" s="39"/>
      <c r="F72" s="39" t="s">
        <v>1612</v>
      </c>
      <c r="G72" s="39" t="s">
        <v>1281</v>
      </c>
      <c r="H72" s="39" t="s">
        <v>1624</v>
      </c>
      <c r="I72" s="39" t="s">
        <v>1625</v>
      </c>
      <c r="J72" s="39" t="s">
        <v>1546</v>
      </c>
      <c r="K72" s="39" t="s">
        <v>1626</v>
      </c>
      <c r="L72" s="39" t="s">
        <v>1627</v>
      </c>
    </row>
    <row r="73" spans="1:12">
      <c r="A73" s="39" t="s">
        <v>1450</v>
      </c>
      <c r="B73" s="39" t="s">
        <v>1548</v>
      </c>
      <c r="C73" s="39" t="s">
        <v>1561</v>
      </c>
      <c r="D73" s="39" t="s">
        <v>1525</v>
      </c>
      <c r="E73" s="39" t="s">
        <v>1624</v>
      </c>
      <c r="F73" s="39" t="s">
        <v>1280</v>
      </c>
      <c r="G73" s="39" t="s">
        <v>1628</v>
      </c>
      <c r="H73" s="39" t="s">
        <v>1629</v>
      </c>
      <c r="I73" s="39" t="s">
        <v>1554</v>
      </c>
      <c r="J73" s="39" t="s">
        <v>1625</v>
      </c>
      <c r="K73" s="39" t="s">
        <v>1630</v>
      </c>
      <c r="L73" s="39" t="s">
        <v>1631</v>
      </c>
    </row>
    <row r="74" spans="1:12">
      <c r="A74" s="39" t="s">
        <v>1454</v>
      </c>
      <c r="B74" s="39" t="s">
        <v>1420</v>
      </c>
      <c r="C74" s="39" t="s">
        <v>1548</v>
      </c>
      <c r="D74" s="39" t="s">
        <v>1259</v>
      </c>
      <c r="E74" s="39" t="s">
        <v>1629</v>
      </c>
      <c r="F74" s="39" t="s">
        <v>1617</v>
      </c>
      <c r="G74" s="39" t="s">
        <v>1281</v>
      </c>
      <c r="H74" s="39"/>
      <c r="I74" s="39" t="s">
        <v>1559</v>
      </c>
      <c r="J74" s="39" t="s">
        <v>1554</v>
      </c>
      <c r="K74" s="39" t="s">
        <v>1259</v>
      </c>
      <c r="L74" s="39"/>
    </row>
    <row r="75" spans="1:12">
      <c r="A75" s="39" t="s">
        <v>1459</v>
      </c>
      <c r="B75" s="39" t="s">
        <v>1632</v>
      </c>
      <c r="C75" s="39" t="s">
        <v>1570</v>
      </c>
      <c r="D75" s="39" t="s">
        <v>1522</v>
      </c>
      <c r="E75" s="39" t="s">
        <v>1633</v>
      </c>
      <c r="F75" s="39"/>
      <c r="G75" s="39" t="s">
        <v>1634</v>
      </c>
      <c r="H75" s="39" t="s">
        <v>1280</v>
      </c>
      <c r="I75" s="39" t="s">
        <v>1635</v>
      </c>
      <c r="J75" s="39" t="s">
        <v>1559</v>
      </c>
      <c r="K75" s="39" t="s">
        <v>1636</v>
      </c>
      <c r="L75" s="39" t="s">
        <v>1637</v>
      </c>
    </row>
    <row r="76" spans="1:12">
      <c r="A76" s="39" t="s">
        <v>1485</v>
      </c>
      <c r="B76" s="39" t="s">
        <v>1638</v>
      </c>
      <c r="C76" s="39" t="s">
        <v>1575</v>
      </c>
      <c r="D76" s="39" t="s">
        <v>1259</v>
      </c>
      <c r="E76" s="39"/>
      <c r="F76" s="39" t="s">
        <v>1624</v>
      </c>
      <c r="G76" s="39" t="s">
        <v>1452</v>
      </c>
      <c r="H76" s="39" t="s">
        <v>1639</v>
      </c>
      <c r="I76" s="39" t="s">
        <v>1640</v>
      </c>
      <c r="J76" s="39" t="s">
        <v>1635</v>
      </c>
      <c r="K76" s="39" t="s">
        <v>1641</v>
      </c>
      <c r="L76" s="39"/>
    </row>
    <row r="77" spans="1:12">
      <c r="A77" s="39" t="s">
        <v>1467</v>
      </c>
      <c r="B77" s="39" t="s">
        <v>1642</v>
      </c>
      <c r="C77" s="39" t="s">
        <v>1580</v>
      </c>
      <c r="D77" s="39" t="s">
        <v>1546</v>
      </c>
      <c r="E77" s="39" t="s">
        <v>1643</v>
      </c>
      <c r="F77" s="39" t="s">
        <v>1629</v>
      </c>
      <c r="G77" s="39" t="s">
        <v>1644</v>
      </c>
      <c r="H77" s="39" t="s">
        <v>1280</v>
      </c>
      <c r="I77" s="39" t="s">
        <v>1645</v>
      </c>
      <c r="J77" s="39" t="s">
        <v>1640</v>
      </c>
      <c r="K77" s="39" t="s">
        <v>1646</v>
      </c>
      <c r="L77" s="39" t="s">
        <v>1647</v>
      </c>
    </row>
    <row r="78" spans="1:12">
      <c r="A78" s="39" t="s">
        <v>1648</v>
      </c>
      <c r="B78" s="39" t="s">
        <v>1649</v>
      </c>
      <c r="C78" s="39" t="s">
        <v>1548</v>
      </c>
      <c r="D78" s="39" t="s">
        <v>1625</v>
      </c>
      <c r="E78" s="39" t="s">
        <v>1650</v>
      </c>
      <c r="F78" s="39" t="s">
        <v>1633</v>
      </c>
      <c r="G78" s="39" t="s">
        <v>1651</v>
      </c>
      <c r="H78" s="39" t="s">
        <v>1652</v>
      </c>
      <c r="I78" s="39" t="s">
        <v>1653</v>
      </c>
      <c r="J78" s="39" t="s">
        <v>1645</v>
      </c>
      <c r="K78" s="39" t="s">
        <v>1654</v>
      </c>
      <c r="L78" s="39" t="s">
        <v>1655</v>
      </c>
    </row>
    <row r="79" spans="1:12">
      <c r="A79" s="36"/>
      <c r="B79" s="39" t="s">
        <v>1656</v>
      </c>
      <c r="C79" s="39" t="s">
        <v>1657</v>
      </c>
      <c r="D79" s="39" t="s">
        <v>1554</v>
      </c>
      <c r="E79" s="39" t="s">
        <v>1658</v>
      </c>
      <c r="F79" s="39"/>
      <c r="G79" s="39" t="s">
        <v>1659</v>
      </c>
      <c r="H79" s="39"/>
      <c r="I79" s="39" t="s">
        <v>1660</v>
      </c>
      <c r="J79" s="39" t="s">
        <v>1653</v>
      </c>
      <c r="K79" s="39" t="s">
        <v>1661</v>
      </c>
      <c r="L79" s="39" t="s">
        <v>1662</v>
      </c>
    </row>
    <row r="80" spans="1:12">
      <c r="A80" s="39" t="s">
        <v>1490</v>
      </c>
      <c r="B80" s="39" t="s">
        <v>1663</v>
      </c>
      <c r="C80" s="39" t="s">
        <v>1664</v>
      </c>
      <c r="D80" s="39" t="s">
        <v>1665</v>
      </c>
      <c r="E80" s="39"/>
      <c r="F80" s="39" t="s">
        <v>1643</v>
      </c>
      <c r="G80" s="39" t="s">
        <v>1452</v>
      </c>
      <c r="H80" s="39" t="s">
        <v>1666</v>
      </c>
      <c r="I80" s="39" t="s">
        <v>1573</v>
      </c>
      <c r="J80" s="39" t="s">
        <v>1660</v>
      </c>
      <c r="K80" s="39" t="s">
        <v>1667</v>
      </c>
      <c r="L80" s="39" t="s">
        <v>1668</v>
      </c>
    </row>
    <row r="81" spans="1:12">
      <c r="A81" s="39" t="s">
        <v>1478</v>
      </c>
      <c r="B81" s="39" t="s">
        <v>1669</v>
      </c>
      <c r="C81" s="39" t="s">
        <v>1670</v>
      </c>
      <c r="D81" s="39" t="s">
        <v>1635</v>
      </c>
      <c r="E81" s="39" t="s">
        <v>1671</v>
      </c>
      <c r="F81" s="39" t="s">
        <v>1650</v>
      </c>
      <c r="G81" s="39" t="s">
        <v>1672</v>
      </c>
      <c r="H81" s="39" t="s">
        <v>1673</v>
      </c>
      <c r="I81" s="39" t="s">
        <v>1579</v>
      </c>
      <c r="J81" s="39" t="s">
        <v>1573</v>
      </c>
      <c r="K81" s="39" t="s">
        <v>1674</v>
      </c>
      <c r="L81" s="39" t="s">
        <v>1675</v>
      </c>
    </row>
    <row r="82" spans="1:12">
      <c r="A82" s="39" t="s">
        <v>1500</v>
      </c>
      <c r="B82" s="39" t="s">
        <v>1676</v>
      </c>
      <c r="C82" s="39" t="s">
        <v>1677</v>
      </c>
      <c r="D82" s="39" t="s">
        <v>1640</v>
      </c>
      <c r="E82" s="39" t="s">
        <v>1678</v>
      </c>
      <c r="F82" s="39" t="s">
        <v>1658</v>
      </c>
      <c r="G82" s="39" t="s">
        <v>1679</v>
      </c>
      <c r="H82" s="39" t="s">
        <v>1680</v>
      </c>
      <c r="I82" s="39"/>
      <c r="J82" s="39" t="s">
        <v>1579</v>
      </c>
      <c r="K82" s="39" t="s">
        <v>1681</v>
      </c>
      <c r="L82" s="39"/>
    </row>
    <row r="83" spans="1:12">
      <c r="A83" s="39" t="s">
        <v>1505</v>
      </c>
      <c r="B83" s="39" t="s">
        <v>1682</v>
      </c>
      <c r="C83" s="39" t="s">
        <v>1683</v>
      </c>
      <c r="D83" s="39" t="s">
        <v>1573</v>
      </c>
      <c r="E83" s="39" t="s">
        <v>1684</v>
      </c>
      <c r="F83" s="39"/>
      <c r="G83" s="39" t="s">
        <v>1685</v>
      </c>
      <c r="H83" s="39"/>
      <c r="I83" s="39" t="s">
        <v>1259</v>
      </c>
      <c r="J83" s="39"/>
      <c r="K83" s="39" t="s">
        <v>1686</v>
      </c>
      <c r="L83" s="39" t="s">
        <v>1687</v>
      </c>
    </row>
    <row r="84" spans="1:12">
      <c r="A84" s="39" t="s">
        <v>1491</v>
      </c>
      <c r="B84" s="39" t="s">
        <v>1548</v>
      </c>
      <c r="C84" s="39" t="s">
        <v>1688</v>
      </c>
      <c r="D84" s="39" t="s">
        <v>1579</v>
      </c>
      <c r="E84" s="39"/>
      <c r="F84" s="39" t="s">
        <v>1671</v>
      </c>
      <c r="G84" s="39" t="s">
        <v>1452</v>
      </c>
      <c r="H84" s="39" t="s">
        <v>1689</v>
      </c>
      <c r="I84" s="39" t="s">
        <v>1664</v>
      </c>
      <c r="J84" s="39" t="s">
        <v>1259</v>
      </c>
      <c r="K84" s="39" t="s">
        <v>1690</v>
      </c>
      <c r="L84" s="39" t="s">
        <v>1691</v>
      </c>
    </row>
    <row r="85" spans="1:12">
      <c r="A85" s="39" t="s">
        <v>1512</v>
      </c>
      <c r="B85" s="39" t="s">
        <v>1278</v>
      </c>
      <c r="C85" s="39"/>
      <c r="D85" s="39"/>
      <c r="E85" s="39" t="s">
        <v>1280</v>
      </c>
      <c r="F85" s="39" t="s">
        <v>1678</v>
      </c>
      <c r="G85" s="39" t="s">
        <v>1692</v>
      </c>
      <c r="H85" s="39" t="s">
        <v>1693</v>
      </c>
      <c r="I85" s="39" t="s">
        <v>1694</v>
      </c>
      <c r="J85" s="39" t="s">
        <v>1664</v>
      </c>
      <c r="K85" s="39" t="s">
        <v>1695</v>
      </c>
      <c r="L85" s="39" t="s">
        <v>1696</v>
      </c>
    </row>
    <row r="86" spans="1:12">
      <c r="A86" s="39" t="s">
        <v>1697</v>
      </c>
      <c r="B86" s="39" t="s">
        <v>1698</v>
      </c>
      <c r="C86" s="39" t="s">
        <v>1278</v>
      </c>
      <c r="D86" s="39" t="s">
        <v>1259</v>
      </c>
      <c r="E86" s="39" t="s">
        <v>1639</v>
      </c>
      <c r="F86" s="39" t="s">
        <v>1684</v>
      </c>
      <c r="G86" s="39" t="s">
        <v>1699</v>
      </c>
      <c r="H86" s="39" t="s">
        <v>1700</v>
      </c>
      <c r="I86" s="39" t="s">
        <v>1596</v>
      </c>
      <c r="J86" s="39" t="s">
        <v>1701</v>
      </c>
      <c r="K86" s="39" t="s">
        <v>1702</v>
      </c>
      <c r="L86" s="39" t="s">
        <v>1703</v>
      </c>
    </row>
    <row r="87" spans="1:12">
      <c r="A87" s="39" t="s">
        <v>1704</v>
      </c>
      <c r="B87" s="39" t="s">
        <v>1705</v>
      </c>
      <c r="C87" s="39" t="s">
        <v>1706</v>
      </c>
      <c r="D87" s="39" t="s">
        <v>1664</v>
      </c>
      <c r="E87" s="39" t="s">
        <v>1280</v>
      </c>
      <c r="F87" s="39"/>
      <c r="G87" s="39" t="s">
        <v>1707</v>
      </c>
      <c r="H87" s="39"/>
      <c r="I87" s="39" t="s">
        <v>1608</v>
      </c>
      <c r="J87" s="39" t="s">
        <v>1596</v>
      </c>
      <c r="K87" s="39" t="s">
        <v>1278</v>
      </c>
      <c r="L87" s="39" t="s">
        <v>1696</v>
      </c>
    </row>
    <row r="88" spans="1:12">
      <c r="A88" s="36"/>
      <c r="B88" s="39" t="s">
        <v>1708</v>
      </c>
      <c r="C88" s="39" t="s">
        <v>1709</v>
      </c>
      <c r="D88" s="39" t="s">
        <v>1709</v>
      </c>
      <c r="E88" s="39" t="s">
        <v>1652</v>
      </c>
      <c r="F88" s="39" t="s">
        <v>1710</v>
      </c>
      <c r="G88" s="39" t="s">
        <v>1452</v>
      </c>
      <c r="H88" s="39" t="s">
        <v>1273</v>
      </c>
      <c r="I88" s="39" t="s">
        <v>1596</v>
      </c>
      <c r="J88" s="39" t="s">
        <v>1608</v>
      </c>
      <c r="K88" s="39" t="s">
        <v>1711</v>
      </c>
      <c r="L88" s="39" t="s">
        <v>1712</v>
      </c>
    </row>
    <row r="89" spans="1:12">
      <c r="A89" s="39" t="s">
        <v>1259</v>
      </c>
      <c r="B89" s="39" t="s">
        <v>1713</v>
      </c>
      <c r="C89" s="39" t="s">
        <v>1278</v>
      </c>
      <c r="D89" s="39" t="s">
        <v>1596</v>
      </c>
      <c r="E89" s="39"/>
      <c r="F89" s="39" t="s">
        <v>1714</v>
      </c>
      <c r="G89" s="39" t="s">
        <v>1281</v>
      </c>
      <c r="H89" s="39" t="s">
        <v>1715</v>
      </c>
      <c r="I89" s="39" t="s">
        <v>1614</v>
      </c>
      <c r="J89" s="39" t="s">
        <v>1596</v>
      </c>
      <c r="K89" s="39" t="s">
        <v>1716</v>
      </c>
      <c r="L89" s="39"/>
    </row>
    <row r="90" spans="1:12">
      <c r="A90" s="39" t="s">
        <v>1522</v>
      </c>
      <c r="B90" s="39" t="s">
        <v>1717</v>
      </c>
      <c r="C90" s="39" t="s">
        <v>1715</v>
      </c>
      <c r="D90" s="39" t="s">
        <v>1608</v>
      </c>
      <c r="E90" s="39" t="s">
        <v>1666</v>
      </c>
      <c r="F90" s="39" t="s">
        <v>1718</v>
      </c>
      <c r="G90" s="39" t="s">
        <v>1719</v>
      </c>
      <c r="H90" s="39"/>
      <c r="I90" s="39" t="s">
        <v>1618</v>
      </c>
      <c r="J90" s="39" t="s">
        <v>1720</v>
      </c>
      <c r="K90" s="39" t="s">
        <v>1721</v>
      </c>
      <c r="L90" s="39" t="s">
        <v>1722</v>
      </c>
    </row>
    <row r="91" spans="1:12">
      <c r="A91" s="39" t="s">
        <v>1657</v>
      </c>
      <c r="B91" s="39" t="s">
        <v>1723</v>
      </c>
      <c r="C91" s="39" t="s">
        <v>1724</v>
      </c>
      <c r="D91" s="39" t="s">
        <v>1596</v>
      </c>
      <c r="E91" s="39" t="s">
        <v>1673</v>
      </c>
      <c r="F91" s="39"/>
      <c r="G91" s="39" t="s">
        <v>1281</v>
      </c>
      <c r="H91" s="39" t="s">
        <v>1725</v>
      </c>
      <c r="I91" s="39" t="s">
        <v>1259</v>
      </c>
      <c r="J91" s="39" t="s">
        <v>1618</v>
      </c>
      <c r="K91" s="39" t="s">
        <v>1726</v>
      </c>
      <c r="L91" s="39" t="s">
        <v>1727</v>
      </c>
    </row>
    <row r="92" spans="1:12">
      <c r="A92" s="36"/>
      <c r="B92" s="39" t="s">
        <v>1728</v>
      </c>
      <c r="C92" s="39" t="s">
        <v>1548</v>
      </c>
      <c r="D92" s="39" t="s">
        <v>1614</v>
      </c>
      <c r="E92" s="39" t="s">
        <v>1680</v>
      </c>
      <c r="F92" s="39" t="s">
        <v>1729</v>
      </c>
      <c r="G92" s="39" t="s">
        <v>1730</v>
      </c>
      <c r="H92" s="39" t="s">
        <v>1731</v>
      </c>
      <c r="I92" s="39" t="s">
        <v>1626</v>
      </c>
      <c r="J92" s="39" t="s">
        <v>1259</v>
      </c>
      <c r="K92" s="39" t="s">
        <v>1732</v>
      </c>
      <c r="L92" s="39" t="s">
        <v>1733</v>
      </c>
    </row>
    <row r="93" spans="1:12">
      <c r="A93" s="39" t="s">
        <v>1734</v>
      </c>
      <c r="B93" s="39"/>
      <c r="C93" s="39" t="s">
        <v>1623</v>
      </c>
      <c r="D93" s="39" t="s">
        <v>1618</v>
      </c>
      <c r="E93" s="39"/>
      <c r="F93" s="39" t="s">
        <v>1735</v>
      </c>
      <c r="G93" s="39" t="s">
        <v>1452</v>
      </c>
      <c r="H93" s="39"/>
      <c r="I93" s="39" t="s">
        <v>1630</v>
      </c>
      <c r="J93" s="39" t="s">
        <v>1626</v>
      </c>
      <c r="K93" s="39" t="s">
        <v>1736</v>
      </c>
      <c r="L93" s="39" t="s">
        <v>1737</v>
      </c>
    </row>
    <row r="94" spans="1:12">
      <c r="A94" s="39" t="s">
        <v>1738</v>
      </c>
      <c r="B94" s="39" t="s">
        <v>1739</v>
      </c>
      <c r="C94" s="39" t="s">
        <v>1548</v>
      </c>
      <c r="D94" s="39" t="s">
        <v>1259</v>
      </c>
      <c r="E94" s="39" t="s">
        <v>1689</v>
      </c>
      <c r="F94" s="39"/>
      <c r="G94" s="39" t="s">
        <v>1740</v>
      </c>
      <c r="H94" s="39" t="s">
        <v>1273</v>
      </c>
      <c r="I94" s="39" t="s">
        <v>1741</v>
      </c>
      <c r="J94" s="39" t="s">
        <v>1630</v>
      </c>
      <c r="K94" s="39" t="s">
        <v>1742</v>
      </c>
      <c r="L94" s="39"/>
    </row>
    <row r="95" spans="1:12">
      <c r="A95" s="39" t="s">
        <v>1743</v>
      </c>
      <c r="B95" s="39" t="s">
        <v>1744</v>
      </c>
      <c r="C95" s="39" t="s">
        <v>1278</v>
      </c>
      <c r="D95" s="39" t="s">
        <v>1626</v>
      </c>
      <c r="E95" s="39" t="s">
        <v>1693</v>
      </c>
      <c r="F95" s="39" t="s">
        <v>1280</v>
      </c>
      <c r="G95" s="39" t="s">
        <v>1745</v>
      </c>
      <c r="H95" s="39" t="s">
        <v>1746</v>
      </c>
      <c r="I95" s="39" t="s">
        <v>1747</v>
      </c>
      <c r="J95" s="39" t="s">
        <v>1259</v>
      </c>
      <c r="K95" s="39" t="s">
        <v>1273</v>
      </c>
      <c r="L95" s="39" t="s">
        <v>1748</v>
      </c>
    </row>
    <row r="96" spans="1:12">
      <c r="A96" s="39" t="s">
        <v>1749</v>
      </c>
      <c r="B96" s="39" t="s">
        <v>1750</v>
      </c>
      <c r="C96" s="39" t="s">
        <v>1751</v>
      </c>
      <c r="D96" s="39" t="s">
        <v>1630</v>
      </c>
      <c r="E96" s="39"/>
      <c r="F96" s="39" t="s">
        <v>1639</v>
      </c>
      <c r="G96" s="39" t="s">
        <v>1752</v>
      </c>
      <c r="H96" s="39"/>
      <c r="I96" s="39" t="s">
        <v>1753</v>
      </c>
      <c r="J96" s="39" t="s">
        <v>1754</v>
      </c>
      <c r="K96" s="39" t="s">
        <v>1755</v>
      </c>
      <c r="L96" s="39" t="s">
        <v>1756</v>
      </c>
    </row>
    <row r="97" spans="1:12">
      <c r="A97" s="39" t="s">
        <v>1757</v>
      </c>
      <c r="B97" s="39" t="s">
        <v>1758</v>
      </c>
      <c r="C97" s="39" t="s">
        <v>1630</v>
      </c>
      <c r="D97" s="39" t="s">
        <v>1259</v>
      </c>
      <c r="E97" s="39" t="s">
        <v>1273</v>
      </c>
      <c r="F97" s="39" t="s">
        <v>1280</v>
      </c>
      <c r="G97" s="39" t="s">
        <v>1452</v>
      </c>
      <c r="H97" s="39" t="s">
        <v>1759</v>
      </c>
      <c r="I97" s="39" t="s">
        <v>1760</v>
      </c>
      <c r="J97" s="39" t="s">
        <v>1761</v>
      </c>
      <c r="K97" s="39" t="s">
        <v>1273</v>
      </c>
      <c r="L97" s="39" t="s">
        <v>1762</v>
      </c>
    </row>
    <row r="98" spans="1:12">
      <c r="A98" s="39" t="s">
        <v>1763</v>
      </c>
      <c r="B98" s="39" t="s">
        <v>1764</v>
      </c>
      <c r="C98" s="39" t="s">
        <v>1278</v>
      </c>
      <c r="D98" s="39" t="s">
        <v>1765</v>
      </c>
      <c r="E98" s="39" t="s">
        <v>1766</v>
      </c>
      <c r="F98" s="39" t="s">
        <v>1652</v>
      </c>
      <c r="G98" s="39" t="s">
        <v>1767</v>
      </c>
      <c r="H98" s="39"/>
      <c r="I98" s="39" t="s">
        <v>1768</v>
      </c>
      <c r="J98" s="39" t="s">
        <v>1769</v>
      </c>
      <c r="K98" s="39" t="s">
        <v>1770</v>
      </c>
      <c r="L98" s="39" t="s">
        <v>1771</v>
      </c>
    </row>
    <row r="99" spans="1:12">
      <c r="A99" s="39" t="s">
        <v>1772</v>
      </c>
      <c r="B99" s="39" t="s">
        <v>1758</v>
      </c>
      <c r="C99" s="39" t="s">
        <v>1773</v>
      </c>
      <c r="D99" s="39" t="s">
        <v>1774</v>
      </c>
      <c r="E99" s="39"/>
      <c r="F99" s="39"/>
      <c r="G99" s="39" t="s">
        <v>1775</v>
      </c>
      <c r="H99" s="39" t="s">
        <v>1273</v>
      </c>
      <c r="I99" s="39" t="s">
        <v>1776</v>
      </c>
      <c r="J99" s="39" t="s">
        <v>1777</v>
      </c>
      <c r="K99" s="39" t="s">
        <v>1778</v>
      </c>
      <c r="L99" s="39" t="s">
        <v>1779</v>
      </c>
    </row>
    <row r="100" spans="1:12">
      <c r="A100" s="39" t="s">
        <v>1780</v>
      </c>
      <c r="B100" s="39" t="s">
        <v>1781</v>
      </c>
      <c r="C100" s="39" t="s">
        <v>1548</v>
      </c>
      <c r="D100" s="39" t="s">
        <v>1782</v>
      </c>
      <c r="E100" s="39" t="s">
        <v>1783</v>
      </c>
      <c r="F100" s="39" t="s">
        <v>1666</v>
      </c>
      <c r="G100" s="39" t="s">
        <v>1452</v>
      </c>
      <c r="H100" s="39" t="s">
        <v>1784</v>
      </c>
      <c r="I100" s="39" t="s">
        <v>1259</v>
      </c>
      <c r="J100" s="39" t="s">
        <v>1785</v>
      </c>
      <c r="K100" s="39" t="s">
        <v>1786</v>
      </c>
      <c r="L100" s="39" t="s">
        <v>1787</v>
      </c>
    </row>
    <row r="101" spans="1:12">
      <c r="A101" s="39" t="s">
        <v>1657</v>
      </c>
      <c r="B101" s="39"/>
      <c r="C101" s="39" t="s">
        <v>1420</v>
      </c>
      <c r="D101" s="39" t="s">
        <v>1788</v>
      </c>
      <c r="E101" s="39" t="s">
        <v>1789</v>
      </c>
      <c r="F101" s="39" t="s">
        <v>1673</v>
      </c>
      <c r="G101" s="39" t="s">
        <v>1274</v>
      </c>
      <c r="H101" s="39" t="s">
        <v>1790</v>
      </c>
      <c r="I101" s="39" t="s">
        <v>1765</v>
      </c>
      <c r="J101" s="39" t="s">
        <v>1259</v>
      </c>
      <c r="K101" s="39" t="s">
        <v>1791</v>
      </c>
      <c r="L101" s="39" t="s">
        <v>1792</v>
      </c>
    </row>
    <row r="102" spans="1:12">
      <c r="A102" s="39" t="s">
        <v>1793</v>
      </c>
      <c r="B102" s="39" t="s">
        <v>1794</v>
      </c>
      <c r="C102" s="39" t="s">
        <v>1632</v>
      </c>
      <c r="D102" s="39" t="s">
        <v>1795</v>
      </c>
      <c r="E102" s="39"/>
      <c r="F102" s="39" t="s">
        <v>1680</v>
      </c>
      <c r="G102" s="39" t="s">
        <v>1796</v>
      </c>
      <c r="H102" s="39" t="s">
        <v>1797</v>
      </c>
      <c r="I102" s="39" t="s">
        <v>1774</v>
      </c>
      <c r="J102" s="39" t="s">
        <v>1765</v>
      </c>
      <c r="K102" s="39" t="s">
        <v>1786</v>
      </c>
      <c r="L102" s="39" t="s">
        <v>1798</v>
      </c>
    </row>
    <row r="103" spans="1:12">
      <c r="A103" s="39" t="s">
        <v>1657</v>
      </c>
      <c r="B103" s="39" t="s">
        <v>1799</v>
      </c>
      <c r="C103" s="39" t="s">
        <v>1638</v>
      </c>
      <c r="D103" s="39" t="s">
        <v>1800</v>
      </c>
      <c r="E103" s="39" t="s">
        <v>1273</v>
      </c>
      <c r="F103" s="39"/>
      <c r="G103" s="39" t="s">
        <v>1452</v>
      </c>
      <c r="H103" s="39" t="s">
        <v>1801</v>
      </c>
      <c r="I103" s="39" t="s">
        <v>1802</v>
      </c>
      <c r="J103" s="39" t="s">
        <v>1774</v>
      </c>
      <c r="K103" s="39" t="s">
        <v>1803</v>
      </c>
      <c r="L103" s="39" t="s">
        <v>1273</v>
      </c>
    </row>
    <row r="104" spans="1:12">
      <c r="A104" s="39" t="s">
        <v>1804</v>
      </c>
      <c r="B104" s="39" t="s">
        <v>1805</v>
      </c>
      <c r="C104" s="39" t="s">
        <v>1642</v>
      </c>
      <c r="D104" s="39" t="s">
        <v>1806</v>
      </c>
      <c r="E104" s="39" t="s">
        <v>1746</v>
      </c>
      <c r="F104" s="39" t="s">
        <v>1689</v>
      </c>
      <c r="G104" s="39" t="s">
        <v>1807</v>
      </c>
      <c r="H104" s="39" t="s">
        <v>1808</v>
      </c>
      <c r="I104" s="39" t="s">
        <v>1809</v>
      </c>
      <c r="J104" s="39" t="s">
        <v>1788</v>
      </c>
      <c r="K104" s="39" t="s">
        <v>1810</v>
      </c>
      <c r="L104" s="39" t="s">
        <v>1811</v>
      </c>
    </row>
    <row r="105" spans="1:12">
      <c r="A105" s="39" t="s">
        <v>1812</v>
      </c>
      <c r="B105" s="39" t="s">
        <v>1813</v>
      </c>
      <c r="C105" s="39" t="s">
        <v>1649</v>
      </c>
      <c r="D105" s="39" t="s">
        <v>1814</v>
      </c>
      <c r="E105" s="39"/>
      <c r="F105" s="39" t="s">
        <v>1693</v>
      </c>
      <c r="G105" s="39" t="s">
        <v>1815</v>
      </c>
      <c r="H105" s="39" t="s">
        <v>1816</v>
      </c>
      <c r="I105" s="39" t="s">
        <v>1702</v>
      </c>
      <c r="J105" s="39" t="s">
        <v>1809</v>
      </c>
      <c r="K105" s="39" t="s">
        <v>1817</v>
      </c>
      <c r="L105" s="39" t="s">
        <v>1818</v>
      </c>
    </row>
    <row r="106" spans="1:12">
      <c r="A106" s="39" t="s">
        <v>1819</v>
      </c>
      <c r="B106" s="39" t="s">
        <v>1820</v>
      </c>
      <c r="C106" s="39" t="s">
        <v>1656</v>
      </c>
      <c r="D106" s="39" t="s">
        <v>1278</v>
      </c>
      <c r="E106" s="39" t="s">
        <v>1821</v>
      </c>
      <c r="F106" s="39"/>
      <c r="G106" s="39" t="s">
        <v>1452</v>
      </c>
      <c r="H106" s="39" t="s">
        <v>1822</v>
      </c>
      <c r="I106" s="39" t="s">
        <v>1800</v>
      </c>
      <c r="J106" s="39" t="s">
        <v>1800</v>
      </c>
      <c r="K106" s="39" t="s">
        <v>1823</v>
      </c>
      <c r="L106" s="39" t="s">
        <v>1824</v>
      </c>
    </row>
    <row r="107" spans="1:12">
      <c r="A107" s="39" t="s">
        <v>1825</v>
      </c>
      <c r="B107" s="39" t="s">
        <v>1826</v>
      </c>
      <c r="C107" s="39" t="s">
        <v>1663</v>
      </c>
      <c r="D107" s="39" t="s">
        <v>1584</v>
      </c>
      <c r="E107" s="39" t="s">
        <v>1827</v>
      </c>
      <c r="F107" s="39" t="s">
        <v>1273</v>
      </c>
      <c r="G107" s="39" t="s">
        <v>1828</v>
      </c>
      <c r="H107" s="39" t="s">
        <v>1829</v>
      </c>
      <c r="I107" s="39" t="s">
        <v>1806</v>
      </c>
      <c r="J107" s="39" t="s">
        <v>1806</v>
      </c>
      <c r="K107" s="39" t="s">
        <v>1830</v>
      </c>
      <c r="L107" s="39" t="s">
        <v>1831</v>
      </c>
    </row>
    <row r="108" spans="1:12">
      <c r="A108" s="39" t="s">
        <v>1832</v>
      </c>
      <c r="B108" s="39" t="s">
        <v>1833</v>
      </c>
      <c r="C108" s="39" t="s">
        <v>1669</v>
      </c>
      <c r="D108" s="39" t="s">
        <v>1834</v>
      </c>
      <c r="E108" s="39"/>
      <c r="F108" s="39" t="s">
        <v>1766</v>
      </c>
      <c r="G108" s="39" t="s">
        <v>1835</v>
      </c>
      <c r="H108" s="39" t="s">
        <v>1836</v>
      </c>
      <c r="I108" s="39" t="s">
        <v>1814</v>
      </c>
      <c r="J108" s="39" t="s">
        <v>1814</v>
      </c>
      <c r="K108" s="39" t="s">
        <v>1823</v>
      </c>
      <c r="L108" s="39" t="s">
        <v>1837</v>
      </c>
    </row>
    <row r="109" spans="1:12">
      <c r="A109" s="39" t="s">
        <v>1838</v>
      </c>
      <c r="B109" s="39"/>
      <c r="C109" s="39" t="s">
        <v>1676</v>
      </c>
      <c r="D109" s="39" t="s">
        <v>1839</v>
      </c>
      <c r="E109" s="39" t="s">
        <v>1840</v>
      </c>
      <c r="F109" s="39"/>
      <c r="G109" s="39" t="s">
        <v>1452</v>
      </c>
      <c r="H109" s="39" t="s">
        <v>1841</v>
      </c>
      <c r="I109" s="39" t="s">
        <v>1842</v>
      </c>
      <c r="J109" s="39" t="s">
        <v>1842</v>
      </c>
      <c r="K109" s="39" t="s">
        <v>1843</v>
      </c>
      <c r="L109" s="39" t="s">
        <v>1273</v>
      </c>
    </row>
    <row r="110" spans="1:12">
      <c r="A110" s="39" t="s">
        <v>1844</v>
      </c>
      <c r="B110" s="39" t="s">
        <v>1711</v>
      </c>
      <c r="C110" s="39" t="s">
        <v>1682</v>
      </c>
      <c r="D110" s="45"/>
      <c r="E110" s="39" t="s">
        <v>1845</v>
      </c>
      <c r="F110" s="39" t="s">
        <v>1783</v>
      </c>
      <c r="G110" s="39" t="s">
        <v>1846</v>
      </c>
      <c r="H110" s="39" t="s">
        <v>1847</v>
      </c>
      <c r="I110" s="39" t="s">
        <v>1848</v>
      </c>
      <c r="J110" s="39" t="s">
        <v>1848</v>
      </c>
      <c r="K110" s="39" t="s">
        <v>1278</v>
      </c>
      <c r="L110" s="39" t="s">
        <v>1784</v>
      </c>
    </row>
    <row r="111" spans="1:12">
      <c r="A111" s="36"/>
      <c r="B111" s="39" t="s">
        <v>1716</v>
      </c>
      <c r="C111" s="39" t="s">
        <v>1548</v>
      </c>
      <c r="D111" s="45" t="s">
        <v>1849</v>
      </c>
      <c r="E111" s="39"/>
      <c r="F111" s="39" t="s">
        <v>1789</v>
      </c>
      <c r="G111" s="39" t="s">
        <v>1452</v>
      </c>
      <c r="H111" s="39" t="s">
        <v>1850</v>
      </c>
      <c r="I111" s="39" t="s">
        <v>1278</v>
      </c>
      <c r="J111" s="39" t="s">
        <v>1278</v>
      </c>
      <c r="K111" s="39" t="s">
        <v>1851</v>
      </c>
      <c r="L111" s="39" t="s">
        <v>1852</v>
      </c>
    </row>
    <row r="112" spans="1:12">
      <c r="A112" s="39" t="s">
        <v>1657</v>
      </c>
      <c r="B112" s="39" t="s">
        <v>1721</v>
      </c>
      <c r="C112" s="39" t="s">
        <v>1278</v>
      </c>
      <c r="D112" s="45"/>
      <c r="E112" s="39" t="s">
        <v>1853</v>
      </c>
      <c r="F112" s="39" t="s">
        <v>1725</v>
      </c>
      <c r="G112" s="39" t="s">
        <v>1274</v>
      </c>
      <c r="H112" s="39" t="s">
        <v>1854</v>
      </c>
      <c r="I112" s="39" t="s">
        <v>1855</v>
      </c>
      <c r="J112" s="39" t="s">
        <v>1856</v>
      </c>
      <c r="K112" s="39" t="s">
        <v>1857</v>
      </c>
      <c r="L112" s="39" t="s">
        <v>1858</v>
      </c>
    </row>
    <row r="113" spans="1:12">
      <c r="A113" s="39" t="s">
        <v>1859</v>
      </c>
      <c r="B113" s="39" t="s">
        <v>1726</v>
      </c>
      <c r="C113" s="39" t="s">
        <v>1698</v>
      </c>
      <c r="D113" s="39" t="s">
        <v>1860</v>
      </c>
      <c r="E113" s="39"/>
      <c r="F113" s="39"/>
      <c r="G113" s="39" t="s">
        <v>1861</v>
      </c>
      <c r="H113" s="39" t="s">
        <v>1862</v>
      </c>
      <c r="I113" s="39" t="s">
        <v>1863</v>
      </c>
      <c r="J113" s="39" t="s">
        <v>1864</v>
      </c>
      <c r="K113" s="39" t="s">
        <v>1865</v>
      </c>
      <c r="L113" s="39" t="s">
        <v>1866</v>
      </c>
    </row>
    <row r="114" spans="1:12">
      <c r="A114" s="39" t="s">
        <v>1657</v>
      </c>
      <c r="B114" s="39" t="s">
        <v>1732</v>
      </c>
      <c r="C114" s="39" t="s">
        <v>1705</v>
      </c>
      <c r="D114" s="39" t="s">
        <v>1867</v>
      </c>
      <c r="E114" s="39" t="s">
        <v>1868</v>
      </c>
      <c r="F114" s="39" t="s">
        <v>1869</v>
      </c>
      <c r="G114" s="39" t="s">
        <v>1452</v>
      </c>
      <c r="H114" s="39" t="s">
        <v>1870</v>
      </c>
      <c r="I114" s="39" t="s">
        <v>1871</v>
      </c>
      <c r="J114" s="39" t="s">
        <v>1872</v>
      </c>
      <c r="K114" s="39" t="s">
        <v>1873</v>
      </c>
      <c r="L114" s="39" t="s">
        <v>1874</v>
      </c>
    </row>
    <row r="115" spans="1:12">
      <c r="A115" s="39" t="s">
        <v>1551</v>
      </c>
      <c r="B115" s="39" t="s">
        <v>1736</v>
      </c>
      <c r="C115" s="39" t="s">
        <v>1713</v>
      </c>
      <c r="D115" s="39" t="s">
        <v>1273</v>
      </c>
      <c r="E115" s="39"/>
      <c r="F115" s="39"/>
      <c r="G115" s="39" t="s">
        <v>1875</v>
      </c>
      <c r="H115" s="39" t="s">
        <v>1876</v>
      </c>
      <c r="I115" s="39" t="s">
        <v>1877</v>
      </c>
      <c r="J115" s="39" t="s">
        <v>1878</v>
      </c>
      <c r="K115" s="39" t="s">
        <v>1879</v>
      </c>
      <c r="L115" s="39" t="s">
        <v>1880</v>
      </c>
    </row>
    <row r="116" spans="1:12">
      <c r="A116" s="39" t="s">
        <v>1881</v>
      </c>
      <c r="B116" s="39"/>
      <c r="C116" s="39" t="s">
        <v>1717</v>
      </c>
      <c r="D116" s="39" t="s">
        <v>1882</v>
      </c>
      <c r="E116" s="39" t="s">
        <v>1883</v>
      </c>
      <c r="F116" s="39" t="s">
        <v>1884</v>
      </c>
      <c r="G116" s="39" t="s">
        <v>1452</v>
      </c>
      <c r="H116" s="39" t="s">
        <v>1885</v>
      </c>
      <c r="I116" s="39" t="s">
        <v>1886</v>
      </c>
      <c r="J116" s="39" t="s">
        <v>1887</v>
      </c>
      <c r="K116" s="39" t="s">
        <v>1888</v>
      </c>
      <c r="L116" s="39" t="s">
        <v>1889</v>
      </c>
    </row>
    <row r="117" spans="1:12">
      <c r="A117" s="39" t="s">
        <v>1890</v>
      </c>
      <c r="B117" s="39" t="s">
        <v>1891</v>
      </c>
      <c r="C117" s="39" t="s">
        <v>1892</v>
      </c>
      <c r="D117" s="39" t="s">
        <v>1273</v>
      </c>
      <c r="E117" s="39" t="s">
        <v>1893</v>
      </c>
      <c r="F117" s="39" t="s">
        <v>1894</v>
      </c>
      <c r="G117" s="39" t="s">
        <v>1895</v>
      </c>
      <c r="H117" s="39" t="s">
        <v>1896</v>
      </c>
      <c r="I117" s="39" t="s">
        <v>1897</v>
      </c>
      <c r="J117" s="39" t="s">
        <v>1898</v>
      </c>
      <c r="K117" s="39" t="s">
        <v>1899</v>
      </c>
      <c r="L117" s="39" t="s">
        <v>1900</v>
      </c>
    </row>
    <row r="118" spans="1:12">
      <c r="A118" s="39" t="s">
        <v>1901</v>
      </c>
      <c r="B118" s="39" t="s">
        <v>1857</v>
      </c>
      <c r="C118" s="39" t="s">
        <v>1728</v>
      </c>
      <c r="D118" s="39" t="s">
        <v>1902</v>
      </c>
      <c r="E118" s="39"/>
      <c r="F118" s="39" t="s">
        <v>1903</v>
      </c>
      <c r="G118" s="39" t="s">
        <v>1904</v>
      </c>
      <c r="H118" s="39" t="s">
        <v>1905</v>
      </c>
      <c r="I118" s="39" t="s">
        <v>1906</v>
      </c>
      <c r="J118" s="39" t="s">
        <v>1906</v>
      </c>
      <c r="K118" s="39" t="s">
        <v>1907</v>
      </c>
      <c r="L118" s="39" t="s">
        <v>1908</v>
      </c>
    </row>
    <row r="119" spans="1:12">
      <c r="A119" s="39" t="s">
        <v>1909</v>
      </c>
      <c r="B119" s="39" t="s">
        <v>1865</v>
      </c>
      <c r="C119" s="39"/>
      <c r="D119" s="39" t="s">
        <v>1910</v>
      </c>
      <c r="E119" s="39" t="s">
        <v>1911</v>
      </c>
      <c r="F119" s="39" t="s">
        <v>1912</v>
      </c>
      <c r="G119" s="39" t="s">
        <v>1452</v>
      </c>
      <c r="H119" s="39" t="s">
        <v>1913</v>
      </c>
      <c r="I119" s="39" t="s">
        <v>1914</v>
      </c>
      <c r="J119" s="39" t="s">
        <v>1914</v>
      </c>
      <c r="K119" s="39" t="s">
        <v>1915</v>
      </c>
      <c r="L119" s="39" t="s">
        <v>1916</v>
      </c>
    </row>
    <row r="120" spans="1:12">
      <c r="A120" s="39" t="s">
        <v>1917</v>
      </c>
      <c r="B120" s="39" t="s">
        <v>1873</v>
      </c>
      <c r="C120" s="39" t="s">
        <v>1918</v>
      </c>
      <c r="D120" s="39" t="s">
        <v>1919</v>
      </c>
      <c r="E120" s="39" t="s">
        <v>1869</v>
      </c>
      <c r="F120" s="39"/>
      <c r="G120" s="39" t="s">
        <v>1920</v>
      </c>
      <c r="H120" s="39"/>
      <c r="I120" s="39" t="s">
        <v>1921</v>
      </c>
      <c r="J120" s="39" t="s">
        <v>1921</v>
      </c>
      <c r="K120" s="39" t="s">
        <v>1922</v>
      </c>
      <c r="L120" s="39" t="s">
        <v>1923</v>
      </c>
    </row>
    <row r="121" spans="1:12">
      <c r="A121" s="39" t="s">
        <v>1924</v>
      </c>
      <c r="B121" s="39" t="s">
        <v>1879</v>
      </c>
      <c r="C121" s="39" t="s">
        <v>1925</v>
      </c>
      <c r="D121" s="39" t="s">
        <v>1926</v>
      </c>
      <c r="E121" s="39"/>
      <c r="F121" s="39" t="s">
        <v>1273</v>
      </c>
      <c r="G121" s="39" t="s">
        <v>1927</v>
      </c>
      <c r="H121" s="39" t="s">
        <v>1928</v>
      </c>
      <c r="I121" s="39" t="s">
        <v>1929</v>
      </c>
      <c r="J121" s="39" t="s">
        <v>1929</v>
      </c>
      <c r="K121" s="39" t="s">
        <v>1930</v>
      </c>
      <c r="L121" s="39" t="s">
        <v>1931</v>
      </c>
    </row>
    <row r="122" spans="1:12">
      <c r="A122" s="39" t="s">
        <v>1932</v>
      </c>
      <c r="B122" s="39" t="s">
        <v>1888</v>
      </c>
      <c r="C122" s="39" t="s">
        <v>1933</v>
      </c>
      <c r="D122" s="39" t="s">
        <v>1919</v>
      </c>
      <c r="E122" s="39" t="s">
        <v>1273</v>
      </c>
      <c r="F122" s="39" t="s">
        <v>1746</v>
      </c>
      <c r="G122" s="39" t="s">
        <v>1452</v>
      </c>
      <c r="H122" s="39" t="s">
        <v>1934</v>
      </c>
      <c r="I122" s="39" t="s">
        <v>1935</v>
      </c>
      <c r="J122" s="39" t="s">
        <v>1935</v>
      </c>
      <c r="K122" s="39" t="s">
        <v>1936</v>
      </c>
      <c r="L122" s="39" t="s">
        <v>1937</v>
      </c>
    </row>
    <row r="123" spans="1:12">
      <c r="A123" s="39" t="s">
        <v>1938</v>
      </c>
      <c r="B123" s="39" t="s">
        <v>1899</v>
      </c>
      <c r="C123" s="39" t="s">
        <v>1939</v>
      </c>
      <c r="D123" s="39" t="s">
        <v>1940</v>
      </c>
      <c r="E123" s="39" t="s">
        <v>1941</v>
      </c>
      <c r="F123" s="39"/>
      <c r="G123" s="39" t="s">
        <v>1942</v>
      </c>
      <c r="H123" s="39" t="s">
        <v>1943</v>
      </c>
      <c r="I123" s="39" t="s">
        <v>1929</v>
      </c>
      <c r="J123" s="39" t="s">
        <v>1929</v>
      </c>
      <c r="K123" s="39" t="s">
        <v>1944</v>
      </c>
      <c r="L123" s="39" t="s">
        <v>1862</v>
      </c>
    </row>
    <row r="124" spans="1:12">
      <c r="A124" s="39" t="s">
        <v>1945</v>
      </c>
      <c r="B124" s="39" t="s">
        <v>1907</v>
      </c>
      <c r="C124" s="39" t="s">
        <v>1946</v>
      </c>
      <c r="D124" s="39" t="s">
        <v>1273</v>
      </c>
      <c r="E124" s="39" t="s">
        <v>1784</v>
      </c>
      <c r="F124" s="39" t="s">
        <v>1821</v>
      </c>
      <c r="G124" s="39" t="s">
        <v>1947</v>
      </c>
      <c r="H124" s="39" t="s">
        <v>1948</v>
      </c>
      <c r="I124" s="39" t="s">
        <v>1949</v>
      </c>
      <c r="J124" s="39" t="s">
        <v>1949</v>
      </c>
      <c r="K124" s="39" t="s">
        <v>1950</v>
      </c>
      <c r="L124" s="39" t="s">
        <v>1870</v>
      </c>
    </row>
    <row r="125" spans="1:12">
      <c r="A125" s="39" t="s">
        <v>1951</v>
      </c>
      <c r="B125" s="39" t="s">
        <v>1915</v>
      </c>
      <c r="C125" s="39"/>
      <c r="D125" s="39" t="s">
        <v>1952</v>
      </c>
      <c r="E125" s="39" t="s">
        <v>1953</v>
      </c>
      <c r="F125" s="39" t="s">
        <v>1827</v>
      </c>
      <c r="G125" s="39" t="s">
        <v>1954</v>
      </c>
      <c r="H125" s="39"/>
      <c r="I125" s="39" t="s">
        <v>1955</v>
      </c>
      <c r="J125" s="39" t="s">
        <v>1955</v>
      </c>
      <c r="K125" s="39" t="s">
        <v>1956</v>
      </c>
      <c r="L125" s="39" t="s">
        <v>1876</v>
      </c>
    </row>
    <row r="126" spans="1:12">
      <c r="A126" s="39" t="s">
        <v>1957</v>
      </c>
      <c r="B126" s="39" t="s">
        <v>1922</v>
      </c>
      <c r="C126" s="39" t="s">
        <v>1958</v>
      </c>
      <c r="D126" s="39" t="s">
        <v>1959</v>
      </c>
      <c r="E126" s="39" t="s">
        <v>1960</v>
      </c>
      <c r="F126" s="39"/>
      <c r="G126" s="39" t="s">
        <v>1961</v>
      </c>
      <c r="H126" s="39" t="s">
        <v>1962</v>
      </c>
      <c r="I126" s="39" t="s">
        <v>1963</v>
      </c>
      <c r="J126" s="39" t="s">
        <v>1963</v>
      </c>
      <c r="K126" s="39" t="s">
        <v>1964</v>
      </c>
      <c r="L126" s="39" t="s">
        <v>1885</v>
      </c>
    </row>
    <row r="127" spans="1:12">
      <c r="A127" s="39" t="s">
        <v>1965</v>
      </c>
      <c r="B127" s="39" t="s">
        <v>1930</v>
      </c>
      <c r="C127" s="39" t="s">
        <v>1966</v>
      </c>
      <c r="D127" s="39" t="s">
        <v>1919</v>
      </c>
      <c r="E127" s="39" t="s">
        <v>1967</v>
      </c>
      <c r="F127" s="39" t="s">
        <v>1968</v>
      </c>
      <c r="G127" s="39" t="s">
        <v>1969</v>
      </c>
      <c r="H127" s="39" t="s">
        <v>1970</v>
      </c>
      <c r="I127" s="39" t="s">
        <v>1971</v>
      </c>
      <c r="J127" s="39" t="s">
        <v>1971</v>
      </c>
      <c r="K127" s="39" t="s">
        <v>1972</v>
      </c>
      <c r="L127" s="39" t="s">
        <v>1896</v>
      </c>
    </row>
    <row r="128" spans="1:12">
      <c r="A128" s="39" t="s">
        <v>1973</v>
      </c>
      <c r="B128" s="39" t="s">
        <v>1936</v>
      </c>
      <c r="C128" s="39"/>
      <c r="D128" s="39" t="s">
        <v>1974</v>
      </c>
      <c r="E128" s="39" t="s">
        <v>1975</v>
      </c>
      <c r="F128" s="39" t="s">
        <v>1976</v>
      </c>
      <c r="G128" s="39" t="s">
        <v>1977</v>
      </c>
      <c r="H128" s="39" t="s">
        <v>1978</v>
      </c>
      <c r="I128" s="39" t="s">
        <v>1979</v>
      </c>
      <c r="J128" s="39" t="s">
        <v>1979</v>
      </c>
      <c r="K128" s="39" t="s">
        <v>1980</v>
      </c>
      <c r="L128" s="39" t="s">
        <v>1905</v>
      </c>
    </row>
    <row r="129" spans="1:12">
      <c r="A129" s="36"/>
      <c r="B129" s="39" t="s">
        <v>1944</v>
      </c>
      <c r="C129" s="39" t="s">
        <v>1981</v>
      </c>
      <c r="D129" s="39" t="s">
        <v>1919</v>
      </c>
      <c r="E129" s="39" t="s">
        <v>1982</v>
      </c>
      <c r="F129" s="39"/>
      <c r="G129" s="39" t="s">
        <v>1452</v>
      </c>
      <c r="H129" s="39" t="s">
        <v>1983</v>
      </c>
      <c r="I129" s="39" t="s">
        <v>1971</v>
      </c>
      <c r="J129" s="39" t="s">
        <v>1971</v>
      </c>
      <c r="K129" s="39" t="s">
        <v>1984</v>
      </c>
      <c r="L129" s="39" t="s">
        <v>1913</v>
      </c>
    </row>
    <row r="130" spans="1:12">
      <c r="A130" s="39" t="s">
        <v>1985</v>
      </c>
      <c r="B130" s="39" t="s">
        <v>1986</v>
      </c>
      <c r="C130" s="39" t="s">
        <v>1739</v>
      </c>
      <c r="D130" s="39" t="s">
        <v>1987</v>
      </c>
      <c r="E130" s="39" t="s">
        <v>1988</v>
      </c>
      <c r="F130" s="39" t="s">
        <v>1989</v>
      </c>
      <c r="G130" s="39" t="s">
        <v>1990</v>
      </c>
      <c r="H130" s="39" t="s">
        <v>1978</v>
      </c>
      <c r="I130" s="39" t="s">
        <v>1991</v>
      </c>
      <c r="J130" s="39" t="s">
        <v>1991</v>
      </c>
      <c r="K130" s="39" t="s">
        <v>1992</v>
      </c>
      <c r="L130" s="39"/>
    </row>
    <row r="131" spans="1:12">
      <c r="A131" s="39" t="s">
        <v>1993</v>
      </c>
      <c r="B131" s="39" t="s">
        <v>1994</v>
      </c>
      <c r="C131" s="39" t="s">
        <v>1744</v>
      </c>
      <c r="D131" s="39" t="s">
        <v>1273</v>
      </c>
      <c r="E131" s="39" t="s">
        <v>1995</v>
      </c>
      <c r="F131" s="39" t="s">
        <v>1996</v>
      </c>
      <c r="G131" s="39" t="s">
        <v>1997</v>
      </c>
      <c r="H131" s="39" t="s">
        <v>1998</v>
      </c>
      <c r="I131" s="39"/>
      <c r="J131" s="39"/>
      <c r="K131" s="39" t="s">
        <v>1999</v>
      </c>
      <c r="L131" s="39" t="s">
        <v>1278</v>
      </c>
    </row>
    <row r="132" spans="1:12">
      <c r="A132" s="39" t="s">
        <v>2000</v>
      </c>
      <c r="B132" s="39" t="s">
        <v>2001</v>
      </c>
      <c r="C132" s="39" t="s">
        <v>1750</v>
      </c>
      <c r="D132" s="45"/>
      <c r="E132" s="39" t="s">
        <v>2002</v>
      </c>
      <c r="F132" s="39"/>
      <c r="G132" s="39" t="s">
        <v>1452</v>
      </c>
      <c r="H132" s="39" t="s">
        <v>2003</v>
      </c>
      <c r="I132" s="39" t="s">
        <v>2004</v>
      </c>
      <c r="J132" s="39" t="s">
        <v>2005</v>
      </c>
      <c r="K132" s="39" t="s">
        <v>2006</v>
      </c>
      <c r="L132" s="39" t="s">
        <v>2007</v>
      </c>
    </row>
    <row r="133" spans="1:12">
      <c r="A133" s="39" t="s">
        <v>2008</v>
      </c>
      <c r="B133" s="39" t="s">
        <v>1972</v>
      </c>
      <c r="C133" s="39" t="s">
        <v>1758</v>
      </c>
      <c r="D133" s="45" t="s">
        <v>1849</v>
      </c>
      <c r="E133" s="39" t="s">
        <v>2009</v>
      </c>
      <c r="F133" s="39" t="s">
        <v>1273</v>
      </c>
      <c r="G133" s="39" t="s">
        <v>1274</v>
      </c>
      <c r="H133" s="39" t="s">
        <v>2010</v>
      </c>
      <c r="I133" s="39" t="s">
        <v>2011</v>
      </c>
      <c r="J133" s="39" t="s">
        <v>2012</v>
      </c>
      <c r="K133" s="39" t="s">
        <v>2013</v>
      </c>
      <c r="L133" s="39" t="s">
        <v>2014</v>
      </c>
    </row>
    <row r="134" spans="1:12">
      <c r="A134" s="39" t="s">
        <v>2015</v>
      </c>
      <c r="B134" s="39" t="s">
        <v>2016</v>
      </c>
      <c r="C134" s="39" t="s">
        <v>1764</v>
      </c>
      <c r="D134" s="45"/>
      <c r="E134" s="39" t="s">
        <v>2017</v>
      </c>
      <c r="F134" s="39" t="s">
        <v>2018</v>
      </c>
      <c r="G134" s="39" t="s">
        <v>2019</v>
      </c>
      <c r="H134" s="39" t="s">
        <v>2020</v>
      </c>
      <c r="I134" s="39" t="s">
        <v>2021</v>
      </c>
      <c r="J134" s="39" t="s">
        <v>2022</v>
      </c>
      <c r="K134" s="39" t="s">
        <v>2023</v>
      </c>
      <c r="L134" s="39" t="s">
        <v>2024</v>
      </c>
    </row>
    <row r="135" spans="1:12">
      <c r="A135" s="39" t="s">
        <v>2025</v>
      </c>
      <c r="B135" s="39" t="s">
        <v>1984</v>
      </c>
      <c r="C135" s="39" t="s">
        <v>1758</v>
      </c>
      <c r="D135" s="39" t="s">
        <v>1273</v>
      </c>
      <c r="E135" s="39" t="s">
        <v>2026</v>
      </c>
      <c r="F135" s="39" t="s">
        <v>2027</v>
      </c>
      <c r="G135" s="39" t="s">
        <v>2028</v>
      </c>
      <c r="H135" s="39" t="s">
        <v>2029</v>
      </c>
      <c r="I135" s="39" t="s">
        <v>2030</v>
      </c>
      <c r="J135" s="39" t="s">
        <v>2031</v>
      </c>
      <c r="K135" s="39" t="s">
        <v>2032</v>
      </c>
      <c r="L135" s="39" t="s">
        <v>2033</v>
      </c>
    </row>
    <row r="136" spans="1:12">
      <c r="A136" s="36"/>
      <c r="B136" s="39" t="s">
        <v>2034</v>
      </c>
      <c r="C136" s="39" t="s">
        <v>1781</v>
      </c>
      <c r="D136" s="39" t="s">
        <v>1278</v>
      </c>
      <c r="E136" s="39" t="s">
        <v>2035</v>
      </c>
      <c r="F136" s="39" t="s">
        <v>2036</v>
      </c>
      <c r="G136" s="39" t="s">
        <v>1953</v>
      </c>
      <c r="H136" s="39" t="s">
        <v>2020</v>
      </c>
      <c r="I136" s="39" t="s">
        <v>1278</v>
      </c>
      <c r="J136" s="39" t="s">
        <v>1278</v>
      </c>
      <c r="K136" s="39" t="s">
        <v>2037</v>
      </c>
      <c r="L136" s="39" t="s">
        <v>1278</v>
      </c>
    </row>
    <row r="137" spans="1:12">
      <c r="A137" s="39" t="s">
        <v>2038</v>
      </c>
      <c r="B137" s="39" t="s">
        <v>1278</v>
      </c>
      <c r="C137" s="39"/>
      <c r="D137" s="39" t="s">
        <v>2039</v>
      </c>
      <c r="E137" s="39" t="s">
        <v>1862</v>
      </c>
      <c r="F137" s="39" t="s">
        <v>2040</v>
      </c>
      <c r="G137" s="39" t="s">
        <v>1960</v>
      </c>
      <c r="H137" s="39" t="s">
        <v>2041</v>
      </c>
      <c r="I137" s="39" t="s">
        <v>2039</v>
      </c>
      <c r="J137" s="39" t="s">
        <v>1711</v>
      </c>
      <c r="K137" s="39" t="s">
        <v>2042</v>
      </c>
      <c r="L137" s="39" t="s">
        <v>2039</v>
      </c>
    </row>
    <row r="138" spans="1:12">
      <c r="A138" s="39" t="s">
        <v>2043</v>
      </c>
      <c r="B138" s="39" t="s">
        <v>2044</v>
      </c>
      <c r="C138" s="39" t="s">
        <v>1794</v>
      </c>
      <c r="D138" s="39" t="s">
        <v>2045</v>
      </c>
      <c r="E138" s="39" t="s">
        <v>1870</v>
      </c>
      <c r="F138" s="39" t="s">
        <v>2046</v>
      </c>
      <c r="G138" s="39" t="s">
        <v>1967</v>
      </c>
      <c r="H138" s="39"/>
      <c r="I138" s="39" t="s">
        <v>2045</v>
      </c>
      <c r="J138" s="39" t="s">
        <v>1716</v>
      </c>
      <c r="K138" s="39" t="s">
        <v>2047</v>
      </c>
      <c r="L138" s="39" t="s">
        <v>2045</v>
      </c>
    </row>
    <row r="139" spans="1:12">
      <c r="A139" s="39" t="s">
        <v>2048</v>
      </c>
      <c r="B139" s="39" t="s">
        <v>2049</v>
      </c>
      <c r="C139" s="39" t="s">
        <v>1799</v>
      </c>
      <c r="D139" s="39" t="s">
        <v>2050</v>
      </c>
      <c r="E139" s="39" t="s">
        <v>2051</v>
      </c>
      <c r="F139" s="39"/>
      <c r="G139" s="39" t="s">
        <v>1975</v>
      </c>
      <c r="H139" s="39"/>
      <c r="I139" s="39" t="s">
        <v>2050</v>
      </c>
      <c r="J139" s="39" t="s">
        <v>1721</v>
      </c>
      <c r="K139" s="39" t="s">
        <v>2052</v>
      </c>
      <c r="L139" s="39" t="s">
        <v>2050</v>
      </c>
    </row>
    <row r="140" spans="1:12">
      <c r="A140" s="39" t="s">
        <v>2053</v>
      </c>
      <c r="B140" s="39" t="s">
        <v>1278</v>
      </c>
      <c r="C140" s="39" t="s">
        <v>1805</v>
      </c>
      <c r="D140" s="39" t="s">
        <v>2054</v>
      </c>
      <c r="E140" s="39" t="s">
        <v>2055</v>
      </c>
      <c r="F140" s="39" t="s">
        <v>1273</v>
      </c>
      <c r="G140" s="39" t="s">
        <v>1982</v>
      </c>
      <c r="H140" s="39" t="s">
        <v>1280</v>
      </c>
      <c r="I140" s="39" t="s">
        <v>2054</v>
      </c>
      <c r="J140" s="39" t="s">
        <v>1726</v>
      </c>
      <c r="K140" s="39" t="s">
        <v>2056</v>
      </c>
      <c r="L140" s="39" t="s">
        <v>2054</v>
      </c>
    </row>
    <row r="141" spans="1:12">
      <c r="A141" s="39" t="s">
        <v>2057</v>
      </c>
      <c r="B141" s="39" t="s">
        <v>2058</v>
      </c>
      <c r="C141" s="39" t="s">
        <v>1813</v>
      </c>
      <c r="D141" s="39" t="s">
        <v>2059</v>
      </c>
      <c r="E141" s="39" t="s">
        <v>2060</v>
      </c>
      <c r="F141" s="39" t="s">
        <v>1941</v>
      </c>
      <c r="G141" s="39" t="s">
        <v>1988</v>
      </c>
      <c r="H141" s="39" t="s">
        <v>2061</v>
      </c>
      <c r="I141" s="39" t="s">
        <v>2059</v>
      </c>
      <c r="J141" s="39" t="s">
        <v>1732</v>
      </c>
      <c r="K141" s="39" t="s">
        <v>2062</v>
      </c>
      <c r="L141" s="39" t="s">
        <v>2059</v>
      </c>
    </row>
    <row r="142" spans="1:12">
      <c r="A142" s="39" t="s">
        <v>2063</v>
      </c>
      <c r="B142" s="39" t="s">
        <v>2064</v>
      </c>
      <c r="C142" s="39" t="s">
        <v>1820</v>
      </c>
      <c r="D142" s="39" t="s">
        <v>2065</v>
      </c>
      <c r="E142" s="39" t="s">
        <v>2066</v>
      </c>
      <c r="F142" s="39" t="s">
        <v>1784</v>
      </c>
      <c r="G142" s="39" t="s">
        <v>1995</v>
      </c>
      <c r="H142" s="39" t="s">
        <v>1280</v>
      </c>
      <c r="I142" s="39" t="s">
        <v>2065</v>
      </c>
      <c r="J142" s="39" t="s">
        <v>1736</v>
      </c>
      <c r="K142" s="39" t="s">
        <v>2067</v>
      </c>
      <c r="L142" s="39" t="s">
        <v>2065</v>
      </c>
    </row>
    <row r="143" spans="1:12">
      <c r="A143" s="39" t="s">
        <v>2068</v>
      </c>
      <c r="B143" s="39" t="s">
        <v>1278</v>
      </c>
      <c r="C143" s="39" t="s">
        <v>1826</v>
      </c>
      <c r="D143" s="39" t="s">
        <v>2069</v>
      </c>
      <c r="E143" s="39" t="s">
        <v>2070</v>
      </c>
      <c r="F143" s="39" t="s">
        <v>1953</v>
      </c>
      <c r="G143" s="39" t="s">
        <v>2002</v>
      </c>
      <c r="H143" s="39" t="s">
        <v>1698</v>
      </c>
      <c r="I143" s="39" t="s">
        <v>2071</v>
      </c>
      <c r="J143" s="39" t="s">
        <v>1742</v>
      </c>
      <c r="K143" s="39" t="s">
        <v>2072</v>
      </c>
      <c r="L143" s="39" t="s">
        <v>2069</v>
      </c>
    </row>
    <row r="144" spans="1:12">
      <c r="A144" s="39" t="s">
        <v>2073</v>
      </c>
      <c r="B144" s="39"/>
      <c r="C144" s="39" t="s">
        <v>1833</v>
      </c>
      <c r="D144" s="39" t="s">
        <v>1278</v>
      </c>
      <c r="E144" s="39"/>
      <c r="F144" s="39" t="s">
        <v>1960</v>
      </c>
      <c r="G144" s="39" t="s">
        <v>2009</v>
      </c>
      <c r="H144" s="39" t="s">
        <v>2074</v>
      </c>
      <c r="I144" s="39" t="s">
        <v>1278</v>
      </c>
      <c r="J144" s="39" t="s">
        <v>1278</v>
      </c>
      <c r="K144" s="39"/>
      <c r="L144" s="39" t="s">
        <v>1273</v>
      </c>
    </row>
    <row r="145" spans="1:12">
      <c r="A145" s="39" t="s">
        <v>2075</v>
      </c>
      <c r="B145" s="39" t="s">
        <v>1420</v>
      </c>
      <c r="C145" s="39"/>
      <c r="D145" s="39" t="s">
        <v>1851</v>
      </c>
      <c r="E145" s="39" t="s">
        <v>1273</v>
      </c>
      <c r="F145" s="39" t="s">
        <v>1967</v>
      </c>
      <c r="G145" s="39" t="s">
        <v>2017</v>
      </c>
      <c r="H145" s="39" t="s">
        <v>2076</v>
      </c>
      <c r="I145" s="39" t="s">
        <v>2077</v>
      </c>
      <c r="J145" s="39" t="s">
        <v>2039</v>
      </c>
      <c r="K145" s="39" t="s">
        <v>1259</v>
      </c>
      <c r="L145" s="39" t="s">
        <v>2078</v>
      </c>
    </row>
    <row r="146" spans="1:12">
      <c r="A146" s="39" t="s">
        <v>2079</v>
      </c>
      <c r="B146" s="39" t="s">
        <v>2080</v>
      </c>
      <c r="C146" s="39" t="s">
        <v>1711</v>
      </c>
      <c r="D146" s="39" t="s">
        <v>2081</v>
      </c>
      <c r="E146" s="39" t="s">
        <v>2082</v>
      </c>
      <c r="F146" s="39" t="s">
        <v>1975</v>
      </c>
      <c r="G146" s="39" t="s">
        <v>2026</v>
      </c>
      <c r="H146" s="39"/>
      <c r="I146" s="39" t="s">
        <v>2083</v>
      </c>
      <c r="J146" s="39" t="s">
        <v>2045</v>
      </c>
      <c r="K146" s="39" t="s">
        <v>2084</v>
      </c>
      <c r="L146" s="39" t="s">
        <v>2085</v>
      </c>
    </row>
    <row r="147" spans="1:12">
      <c r="A147" s="39" t="s">
        <v>2086</v>
      </c>
      <c r="B147" s="39" t="s">
        <v>2087</v>
      </c>
      <c r="C147" s="39" t="s">
        <v>1716</v>
      </c>
      <c r="D147" s="39" t="s">
        <v>2088</v>
      </c>
      <c r="E147" s="39" t="s">
        <v>2089</v>
      </c>
      <c r="F147" s="39" t="s">
        <v>1982</v>
      </c>
      <c r="G147" s="39" t="s">
        <v>2035</v>
      </c>
      <c r="H147" s="39" t="s">
        <v>2090</v>
      </c>
      <c r="I147" s="39" t="s">
        <v>2091</v>
      </c>
      <c r="J147" s="39" t="s">
        <v>2050</v>
      </c>
      <c r="K147" s="39" t="s">
        <v>1259</v>
      </c>
      <c r="L147" s="39"/>
    </row>
    <row r="148" spans="1:12">
      <c r="A148" s="39" t="s">
        <v>2092</v>
      </c>
      <c r="B148" s="39" t="s">
        <v>1548</v>
      </c>
      <c r="C148" s="39" t="s">
        <v>1721</v>
      </c>
      <c r="D148" s="39" t="s">
        <v>2093</v>
      </c>
      <c r="E148" s="39" t="s">
        <v>2094</v>
      </c>
      <c r="F148" s="39" t="s">
        <v>1988</v>
      </c>
      <c r="G148" s="39" t="s">
        <v>2095</v>
      </c>
      <c r="H148" s="39" t="s">
        <v>2096</v>
      </c>
      <c r="I148" s="39" t="s">
        <v>2097</v>
      </c>
      <c r="J148" s="39" t="s">
        <v>2054</v>
      </c>
      <c r="K148" s="39"/>
      <c r="L148" s="39" t="s">
        <v>1273</v>
      </c>
    </row>
    <row r="149" spans="1:12">
      <c r="A149" s="39" t="s">
        <v>2098</v>
      </c>
      <c r="B149" s="39" t="s">
        <v>1548</v>
      </c>
      <c r="C149" s="39" t="s">
        <v>1726</v>
      </c>
      <c r="D149" s="39" t="s">
        <v>2099</v>
      </c>
      <c r="E149" s="39" t="s">
        <v>2100</v>
      </c>
      <c r="F149" s="39" t="s">
        <v>1995</v>
      </c>
      <c r="G149" s="39" t="s">
        <v>2101</v>
      </c>
      <c r="H149" s="39"/>
      <c r="I149" s="39" t="s">
        <v>2102</v>
      </c>
      <c r="J149" s="39" t="s">
        <v>2059</v>
      </c>
      <c r="K149" s="39" t="s">
        <v>2103</v>
      </c>
      <c r="L149" s="39" t="s">
        <v>2104</v>
      </c>
    </row>
    <row r="150" spans="1:12">
      <c r="A150" s="39" t="s">
        <v>2105</v>
      </c>
      <c r="B150" s="39" t="s">
        <v>1420</v>
      </c>
      <c r="C150" s="39" t="s">
        <v>1732</v>
      </c>
      <c r="D150" s="39" t="s">
        <v>2106</v>
      </c>
      <c r="E150" s="39" t="s">
        <v>2094</v>
      </c>
      <c r="F150" s="39" t="s">
        <v>2002</v>
      </c>
      <c r="G150" s="39" t="s">
        <v>2107</v>
      </c>
      <c r="H150" s="39" t="s">
        <v>1280</v>
      </c>
      <c r="I150" s="39" t="s">
        <v>2108</v>
      </c>
      <c r="J150" s="39" t="s">
        <v>2065</v>
      </c>
      <c r="K150" s="39" t="s">
        <v>2109</v>
      </c>
      <c r="L150" s="39" t="s">
        <v>2110</v>
      </c>
    </row>
    <row r="151" spans="1:12">
      <c r="A151" s="39" t="s">
        <v>2111</v>
      </c>
      <c r="B151" s="39" t="s">
        <v>2112</v>
      </c>
      <c r="C151" s="39" t="s">
        <v>1736</v>
      </c>
      <c r="D151" s="39" t="s">
        <v>2113</v>
      </c>
      <c r="E151" s="39" t="s">
        <v>2114</v>
      </c>
      <c r="F151" s="39" t="s">
        <v>2009</v>
      </c>
      <c r="G151" s="39" t="s">
        <v>2115</v>
      </c>
      <c r="H151" s="39" t="s">
        <v>2116</v>
      </c>
      <c r="I151" s="39" t="s">
        <v>2117</v>
      </c>
      <c r="J151" s="39" t="s">
        <v>2118</v>
      </c>
      <c r="K151" s="39" t="s">
        <v>2119</v>
      </c>
      <c r="L151" s="39" t="s">
        <v>1978</v>
      </c>
    </row>
    <row r="152" spans="1:12">
      <c r="A152" s="39" t="s">
        <v>2120</v>
      </c>
      <c r="B152" s="39" t="s">
        <v>2121</v>
      </c>
      <c r="C152" s="39"/>
      <c r="D152" s="39" t="s">
        <v>2122</v>
      </c>
      <c r="E152" s="39" t="s">
        <v>2094</v>
      </c>
      <c r="F152" s="39" t="s">
        <v>2017</v>
      </c>
      <c r="G152" s="39" t="s">
        <v>2123</v>
      </c>
      <c r="H152" s="39" t="s">
        <v>1280</v>
      </c>
      <c r="I152" s="39" t="s">
        <v>2124</v>
      </c>
      <c r="J152" s="39" t="s">
        <v>2125</v>
      </c>
      <c r="K152" s="39" t="s">
        <v>2126</v>
      </c>
      <c r="L152" s="39" t="s">
        <v>2127</v>
      </c>
    </row>
    <row r="153" spans="1:12">
      <c r="A153" s="39" t="s">
        <v>2128</v>
      </c>
      <c r="B153" s="39" t="s">
        <v>2129</v>
      </c>
      <c r="C153" s="39" t="s">
        <v>2130</v>
      </c>
      <c r="D153" s="39" t="s">
        <v>2131</v>
      </c>
      <c r="E153" s="39" t="s">
        <v>2132</v>
      </c>
      <c r="F153" s="39" t="s">
        <v>2026</v>
      </c>
      <c r="G153" s="39" t="s">
        <v>2133</v>
      </c>
      <c r="H153" s="39" t="s">
        <v>2134</v>
      </c>
      <c r="I153" s="39" t="s">
        <v>2135</v>
      </c>
      <c r="J153" s="39" t="s">
        <v>1278</v>
      </c>
      <c r="K153" s="39" t="s">
        <v>2136</v>
      </c>
      <c r="L153" s="39" t="s">
        <v>1978</v>
      </c>
    </row>
    <row r="154" spans="1:12">
      <c r="A154" s="39" t="s">
        <v>2137</v>
      </c>
      <c r="B154" s="39" t="s">
        <v>2138</v>
      </c>
      <c r="C154" s="39" t="s">
        <v>2139</v>
      </c>
      <c r="D154" s="39" t="s">
        <v>2140</v>
      </c>
      <c r="E154" s="39" t="s">
        <v>2094</v>
      </c>
      <c r="F154" s="39" t="s">
        <v>2035</v>
      </c>
      <c r="G154" s="39" t="s">
        <v>2141</v>
      </c>
      <c r="H154" s="39" t="s">
        <v>2142</v>
      </c>
      <c r="I154" s="39" t="s">
        <v>2143</v>
      </c>
      <c r="J154" s="39" t="s">
        <v>2144</v>
      </c>
      <c r="K154" s="39"/>
      <c r="L154" s="39" t="s">
        <v>2145</v>
      </c>
    </row>
    <row r="155" spans="1:12">
      <c r="A155" s="39" t="s">
        <v>2146</v>
      </c>
      <c r="B155" s="39" t="s">
        <v>1548</v>
      </c>
      <c r="C155" s="39" t="s">
        <v>2147</v>
      </c>
      <c r="D155" s="39" t="s">
        <v>2148</v>
      </c>
      <c r="E155" s="39" t="s">
        <v>2149</v>
      </c>
      <c r="F155" s="39" t="s">
        <v>1862</v>
      </c>
      <c r="G155" s="39" t="s">
        <v>1452</v>
      </c>
      <c r="H155" s="39" t="s">
        <v>1280</v>
      </c>
      <c r="I155" s="39" t="s">
        <v>2150</v>
      </c>
      <c r="J155" s="39" t="s">
        <v>2151</v>
      </c>
      <c r="K155" s="39" t="s">
        <v>2152</v>
      </c>
      <c r="L155" s="39" t="s">
        <v>2003</v>
      </c>
    </row>
    <row r="156" spans="1:12">
      <c r="A156" s="39" t="s">
        <v>2153</v>
      </c>
      <c r="B156" s="39" t="s">
        <v>1420</v>
      </c>
      <c r="C156" s="39" t="s">
        <v>2154</v>
      </c>
      <c r="D156" s="39" t="s">
        <v>2155</v>
      </c>
      <c r="E156" s="39" t="s">
        <v>2094</v>
      </c>
      <c r="F156" s="39" t="s">
        <v>1870</v>
      </c>
      <c r="G156" s="39" t="s">
        <v>1274</v>
      </c>
      <c r="H156" s="39" t="s">
        <v>2156</v>
      </c>
      <c r="I156" s="39" t="s">
        <v>2157</v>
      </c>
      <c r="J156" s="39" t="s">
        <v>2158</v>
      </c>
      <c r="K156" s="39" t="s">
        <v>2159</v>
      </c>
      <c r="L156" s="39" t="s">
        <v>2160</v>
      </c>
    </row>
    <row r="157" spans="1:12">
      <c r="A157" s="39" t="s">
        <v>2161</v>
      </c>
      <c r="B157" s="39" t="s">
        <v>2162</v>
      </c>
      <c r="C157" s="39"/>
      <c r="D157" s="39" t="s">
        <v>2163</v>
      </c>
      <c r="E157" s="39" t="s">
        <v>2164</v>
      </c>
      <c r="F157" s="39" t="s">
        <v>2051</v>
      </c>
      <c r="G157" s="39" t="s">
        <v>2165</v>
      </c>
      <c r="H157" s="39" t="s">
        <v>1280</v>
      </c>
      <c r="I157" s="39" t="s">
        <v>2166</v>
      </c>
      <c r="J157" s="39" t="s">
        <v>2167</v>
      </c>
      <c r="K157" s="39" t="s">
        <v>2168</v>
      </c>
      <c r="L157" s="39" t="s">
        <v>2020</v>
      </c>
    </row>
    <row r="158" spans="1:12">
      <c r="A158" s="39" t="s">
        <v>2169</v>
      </c>
      <c r="B158" s="39" t="s">
        <v>1259</v>
      </c>
      <c r="C158" s="39" t="s">
        <v>1891</v>
      </c>
      <c r="D158" s="39" t="s">
        <v>1950</v>
      </c>
      <c r="E158" s="39" t="s">
        <v>2094</v>
      </c>
      <c r="F158" s="39" t="s">
        <v>1885</v>
      </c>
      <c r="G158" s="39" t="s">
        <v>2170</v>
      </c>
      <c r="H158" s="39" t="s">
        <v>2171</v>
      </c>
      <c r="I158" s="39" t="s">
        <v>2172</v>
      </c>
      <c r="J158" s="39" t="s">
        <v>2173</v>
      </c>
      <c r="K158" s="39" t="s">
        <v>2174</v>
      </c>
      <c r="L158" s="39" t="s">
        <v>2175</v>
      </c>
    </row>
    <row r="159" spans="1:12">
      <c r="A159" s="39" t="s">
        <v>2176</v>
      </c>
      <c r="B159" s="39"/>
      <c r="C159" s="39" t="s">
        <v>1857</v>
      </c>
      <c r="D159" s="39" t="s">
        <v>2177</v>
      </c>
      <c r="E159" s="39" t="s">
        <v>2178</v>
      </c>
      <c r="F159" s="39" t="s">
        <v>2060</v>
      </c>
      <c r="G159" s="39" t="s">
        <v>2179</v>
      </c>
      <c r="H159" s="39" t="s">
        <v>2180</v>
      </c>
      <c r="I159" s="39" t="s">
        <v>2181</v>
      </c>
      <c r="J159" s="39" t="s">
        <v>2182</v>
      </c>
      <c r="K159" s="39" t="s">
        <v>2183</v>
      </c>
      <c r="L159" s="39" t="s">
        <v>2020</v>
      </c>
    </row>
    <row r="160" spans="1:12">
      <c r="A160" s="39" t="s">
        <v>2184</v>
      </c>
      <c r="B160" s="39" t="s">
        <v>2185</v>
      </c>
      <c r="C160" s="39" t="s">
        <v>1865</v>
      </c>
      <c r="D160" s="39" t="s">
        <v>2186</v>
      </c>
      <c r="E160" s="39" t="s">
        <v>2187</v>
      </c>
      <c r="F160" s="39" t="s">
        <v>2066</v>
      </c>
      <c r="G160" s="39" t="s">
        <v>2188</v>
      </c>
      <c r="H160" s="39" t="s">
        <v>2189</v>
      </c>
      <c r="I160" s="39" t="s">
        <v>2190</v>
      </c>
      <c r="J160" s="39" t="s">
        <v>2191</v>
      </c>
      <c r="K160" s="39" t="s">
        <v>2192</v>
      </c>
      <c r="L160" s="39" t="s">
        <v>2193</v>
      </c>
    </row>
    <row r="161" spans="1:12">
      <c r="A161" s="36"/>
      <c r="B161" s="39" t="s">
        <v>2194</v>
      </c>
      <c r="C161" s="39" t="s">
        <v>1873</v>
      </c>
      <c r="D161" s="39" t="s">
        <v>1972</v>
      </c>
      <c r="E161" s="39" t="s">
        <v>2195</v>
      </c>
      <c r="F161" s="39" t="s">
        <v>2070</v>
      </c>
      <c r="G161" s="39" t="s">
        <v>2179</v>
      </c>
      <c r="H161" s="39" t="s">
        <v>2196</v>
      </c>
      <c r="I161" s="39" t="s">
        <v>2197</v>
      </c>
      <c r="J161" s="39" t="s">
        <v>1278</v>
      </c>
      <c r="K161" s="39" t="s">
        <v>2198</v>
      </c>
      <c r="L161" s="39"/>
    </row>
    <row r="162" spans="1:12">
      <c r="A162" s="39" t="s">
        <v>2199</v>
      </c>
      <c r="B162" s="39"/>
      <c r="C162" s="39" t="s">
        <v>1879</v>
      </c>
      <c r="D162" s="39" t="s">
        <v>2200</v>
      </c>
      <c r="E162" s="39" t="s">
        <v>2201</v>
      </c>
      <c r="F162" s="39" t="s">
        <v>1273</v>
      </c>
      <c r="G162" s="39" t="s">
        <v>2202</v>
      </c>
      <c r="H162" s="39" t="s">
        <v>2203</v>
      </c>
      <c r="I162" s="39" t="s">
        <v>2204</v>
      </c>
      <c r="J162" s="39" t="s">
        <v>2135</v>
      </c>
      <c r="K162" s="39" t="s">
        <v>2205</v>
      </c>
      <c r="L162" s="39" t="s">
        <v>1273</v>
      </c>
    </row>
    <row r="163" spans="1:12">
      <c r="A163" s="39" t="s">
        <v>2206</v>
      </c>
      <c r="B163" s="39" t="s">
        <v>2207</v>
      </c>
      <c r="C163" s="39" t="s">
        <v>1888</v>
      </c>
      <c r="D163" s="39" t="s">
        <v>1984</v>
      </c>
      <c r="E163" s="39" t="s">
        <v>2208</v>
      </c>
      <c r="F163" s="39" t="s">
        <v>2209</v>
      </c>
      <c r="G163" s="39" t="s">
        <v>2210</v>
      </c>
      <c r="H163" s="39" t="s">
        <v>2211</v>
      </c>
      <c r="I163" s="39" t="s">
        <v>2212</v>
      </c>
      <c r="J163" s="39" t="s">
        <v>2143</v>
      </c>
      <c r="K163" s="39" t="s">
        <v>2213</v>
      </c>
      <c r="L163" s="39" t="s">
        <v>2214</v>
      </c>
    </row>
    <row r="164" spans="1:12">
      <c r="A164" s="39" t="s">
        <v>2215</v>
      </c>
      <c r="B164" s="39" t="s">
        <v>2216</v>
      </c>
      <c r="C164" s="39" t="s">
        <v>1899</v>
      </c>
      <c r="D164" s="39" t="s">
        <v>2217</v>
      </c>
      <c r="E164" s="39" t="s">
        <v>2218</v>
      </c>
      <c r="F164" s="39" t="s">
        <v>2219</v>
      </c>
      <c r="G164" s="39" t="s">
        <v>2220</v>
      </c>
      <c r="H164" s="39" t="s">
        <v>2221</v>
      </c>
      <c r="I164" s="39" t="s">
        <v>2222</v>
      </c>
      <c r="J164" s="39" t="s">
        <v>2150</v>
      </c>
      <c r="K164" s="39" t="s">
        <v>2152</v>
      </c>
      <c r="L164" s="39" t="s">
        <v>1278</v>
      </c>
    </row>
    <row r="165" spans="1:12">
      <c r="A165" s="39" t="s">
        <v>2223</v>
      </c>
      <c r="B165" s="39"/>
      <c r="C165" s="39" t="s">
        <v>1907</v>
      </c>
      <c r="D165" s="39"/>
      <c r="E165" s="39" t="s">
        <v>2066</v>
      </c>
      <c r="F165" s="39" t="s">
        <v>2224</v>
      </c>
      <c r="G165" s="39" t="s">
        <v>2225</v>
      </c>
      <c r="H165" s="39" t="s">
        <v>2226</v>
      </c>
      <c r="I165" s="39" t="s">
        <v>2227</v>
      </c>
      <c r="J165" s="39" t="s">
        <v>2157</v>
      </c>
      <c r="K165" s="39" t="s">
        <v>2228</v>
      </c>
      <c r="L165" s="39" t="s">
        <v>2229</v>
      </c>
    </row>
    <row r="166" spans="1:12">
      <c r="A166" s="39" t="s">
        <v>2230</v>
      </c>
      <c r="B166" s="39" t="s">
        <v>2231</v>
      </c>
      <c r="C166" s="39" t="s">
        <v>1915</v>
      </c>
      <c r="D166" s="39" t="s">
        <v>1278</v>
      </c>
      <c r="E166" s="39" t="s">
        <v>2232</v>
      </c>
      <c r="F166" s="39" t="s">
        <v>2233</v>
      </c>
      <c r="G166" s="39" t="s">
        <v>2234</v>
      </c>
      <c r="H166" s="39" t="s">
        <v>2235</v>
      </c>
      <c r="I166" s="39" t="s">
        <v>2236</v>
      </c>
      <c r="J166" s="39" t="s">
        <v>2172</v>
      </c>
      <c r="K166" s="39" t="s">
        <v>2237</v>
      </c>
      <c r="L166" s="39" t="s">
        <v>2238</v>
      </c>
    </row>
    <row r="167" spans="1:12">
      <c r="A167" s="36"/>
      <c r="B167" s="39" t="s">
        <v>2239</v>
      </c>
      <c r="C167" s="39" t="s">
        <v>1922</v>
      </c>
      <c r="D167" s="39" t="s">
        <v>1755</v>
      </c>
      <c r="E167" s="39" t="s">
        <v>1273</v>
      </c>
      <c r="F167" s="39" t="s">
        <v>2224</v>
      </c>
      <c r="G167" s="39" t="s">
        <v>2225</v>
      </c>
      <c r="H167" s="39" t="s">
        <v>2240</v>
      </c>
      <c r="I167" s="39" t="s">
        <v>2241</v>
      </c>
      <c r="J167" s="39" t="s">
        <v>2181</v>
      </c>
      <c r="K167" s="39" t="s">
        <v>1657</v>
      </c>
      <c r="L167" s="39" t="s">
        <v>1278</v>
      </c>
    </row>
    <row r="168" spans="1:12">
      <c r="A168" s="39" t="s">
        <v>1259</v>
      </c>
      <c r="B168" s="39" t="s">
        <v>2242</v>
      </c>
      <c r="C168" s="39" t="s">
        <v>1930</v>
      </c>
      <c r="D168" s="39" t="s">
        <v>1278</v>
      </c>
      <c r="E168" s="39" t="s">
        <v>2209</v>
      </c>
      <c r="F168" s="39" t="s">
        <v>2243</v>
      </c>
      <c r="G168" s="39" t="s">
        <v>2244</v>
      </c>
      <c r="H168" s="39" t="s">
        <v>2245</v>
      </c>
      <c r="I168" s="39" t="s">
        <v>2246</v>
      </c>
      <c r="J168" s="39" t="s">
        <v>2190</v>
      </c>
      <c r="K168" s="39" t="s">
        <v>1259</v>
      </c>
      <c r="L168" s="39" t="s">
        <v>1614</v>
      </c>
    </row>
    <row r="169" spans="1:12">
      <c r="A169" s="39" t="s">
        <v>2247</v>
      </c>
      <c r="B169" s="39" t="s">
        <v>2248</v>
      </c>
      <c r="C169" s="39" t="s">
        <v>1936</v>
      </c>
      <c r="D169" s="39" t="s">
        <v>1770</v>
      </c>
      <c r="E169" s="39" t="s">
        <v>2219</v>
      </c>
      <c r="F169" s="39" t="s">
        <v>2249</v>
      </c>
      <c r="G169" s="39" t="s">
        <v>1452</v>
      </c>
      <c r="H169" s="39" t="s">
        <v>2250</v>
      </c>
      <c r="I169" s="39" t="s">
        <v>2251</v>
      </c>
      <c r="J169" s="39" t="s">
        <v>2197</v>
      </c>
      <c r="K169" s="39" t="s">
        <v>2252</v>
      </c>
      <c r="L169" s="39" t="s">
        <v>1618</v>
      </c>
    </row>
    <row r="170" spans="1:12">
      <c r="A170" s="39" t="s">
        <v>1657</v>
      </c>
      <c r="B170" s="39" t="s">
        <v>2237</v>
      </c>
      <c r="C170" s="39" t="s">
        <v>1944</v>
      </c>
      <c r="D170" s="39" t="s">
        <v>1778</v>
      </c>
      <c r="E170" s="39" t="s">
        <v>2224</v>
      </c>
      <c r="F170" s="39" t="s">
        <v>2253</v>
      </c>
      <c r="G170" s="39" t="s">
        <v>1274</v>
      </c>
      <c r="H170" s="39" t="s">
        <v>2254</v>
      </c>
      <c r="I170" s="39" t="s">
        <v>2255</v>
      </c>
      <c r="J170" s="39" t="s">
        <v>2204</v>
      </c>
      <c r="K170" s="39"/>
      <c r="L170" s="39" t="s">
        <v>2256</v>
      </c>
    </row>
    <row r="171" spans="1:12">
      <c r="A171" s="39" t="s">
        <v>2257</v>
      </c>
      <c r="B171" s="39" t="s">
        <v>2258</v>
      </c>
      <c r="C171" s="39" t="s">
        <v>1986</v>
      </c>
      <c r="D171" s="39" t="s">
        <v>1786</v>
      </c>
      <c r="E171" s="39" t="s">
        <v>2233</v>
      </c>
      <c r="F171" s="39" t="s">
        <v>2259</v>
      </c>
      <c r="G171" s="39" t="s">
        <v>2260</v>
      </c>
      <c r="H171" s="39" t="s">
        <v>2261</v>
      </c>
      <c r="I171" s="39" t="s">
        <v>2262</v>
      </c>
      <c r="J171" s="39" t="s">
        <v>2212</v>
      </c>
      <c r="K171" s="39" t="s">
        <v>2263</v>
      </c>
      <c r="L171" s="39" t="s">
        <v>1626</v>
      </c>
    </row>
    <row r="172" spans="1:12">
      <c r="A172" s="39" t="s">
        <v>2264</v>
      </c>
      <c r="B172" s="39" t="s">
        <v>2265</v>
      </c>
      <c r="C172" s="39" t="s">
        <v>1994</v>
      </c>
      <c r="D172" s="39" t="s">
        <v>1791</v>
      </c>
      <c r="E172" s="39" t="s">
        <v>2224</v>
      </c>
      <c r="F172" s="39" t="s">
        <v>2266</v>
      </c>
      <c r="G172" s="39" t="s">
        <v>2267</v>
      </c>
      <c r="H172" s="39" t="s">
        <v>2268</v>
      </c>
      <c r="I172" s="39" t="s">
        <v>2269</v>
      </c>
      <c r="J172" s="39" t="s">
        <v>2270</v>
      </c>
      <c r="K172" s="39" t="s">
        <v>2271</v>
      </c>
      <c r="L172" s="39" t="s">
        <v>1630</v>
      </c>
    </row>
    <row r="173" spans="1:12">
      <c r="A173" s="36"/>
      <c r="B173" s="39" t="s">
        <v>1278</v>
      </c>
      <c r="C173" s="39" t="s">
        <v>2001</v>
      </c>
      <c r="D173" s="39" t="s">
        <v>1786</v>
      </c>
      <c r="E173" s="39" t="s">
        <v>2243</v>
      </c>
      <c r="F173" s="39" t="s">
        <v>2259</v>
      </c>
      <c r="G173" s="39" t="s">
        <v>2272</v>
      </c>
      <c r="H173" s="39" t="s">
        <v>2273</v>
      </c>
      <c r="I173" s="39" t="s">
        <v>2274</v>
      </c>
      <c r="J173" s="39" t="s">
        <v>2227</v>
      </c>
      <c r="K173" s="39" t="s">
        <v>2275</v>
      </c>
      <c r="L173" s="39" t="s">
        <v>1278</v>
      </c>
    </row>
    <row r="174" spans="1:12">
      <c r="A174" s="39" t="s">
        <v>2276</v>
      </c>
      <c r="B174" s="39" t="s">
        <v>2277</v>
      </c>
      <c r="C174" s="39" t="s">
        <v>1972</v>
      </c>
      <c r="D174" s="39" t="s">
        <v>1803</v>
      </c>
      <c r="E174" s="39" t="s">
        <v>2249</v>
      </c>
      <c r="F174" s="39" t="s">
        <v>2278</v>
      </c>
      <c r="G174" s="39" t="s">
        <v>2279</v>
      </c>
      <c r="H174" s="39" t="s">
        <v>2280</v>
      </c>
      <c r="I174" s="39" t="s">
        <v>2281</v>
      </c>
      <c r="J174" s="39" t="s">
        <v>2236</v>
      </c>
      <c r="K174" s="39" t="s">
        <v>2282</v>
      </c>
      <c r="L174" s="39" t="s">
        <v>1273</v>
      </c>
    </row>
    <row r="175" spans="1:12">
      <c r="A175" s="39" t="s">
        <v>2283</v>
      </c>
      <c r="B175" s="39" t="s">
        <v>2284</v>
      </c>
      <c r="C175" s="39" t="s">
        <v>2016</v>
      </c>
      <c r="D175" s="39" t="s">
        <v>1810</v>
      </c>
      <c r="E175" s="39" t="s">
        <v>2253</v>
      </c>
      <c r="F175" s="39"/>
      <c r="G175" s="39" t="s">
        <v>2285</v>
      </c>
      <c r="H175" s="39" t="s">
        <v>2286</v>
      </c>
      <c r="I175" s="39" t="s">
        <v>2287</v>
      </c>
      <c r="J175" s="39" t="s">
        <v>2241</v>
      </c>
      <c r="K175" s="39" t="s">
        <v>2288</v>
      </c>
      <c r="L175" s="39" t="s">
        <v>1273</v>
      </c>
    </row>
    <row r="176" spans="1:12">
      <c r="A176" s="36"/>
      <c r="B176" s="39" t="s">
        <v>2289</v>
      </c>
      <c r="C176" s="39" t="s">
        <v>1984</v>
      </c>
      <c r="D176" s="39" t="s">
        <v>1817</v>
      </c>
      <c r="E176" s="39" t="s">
        <v>2259</v>
      </c>
      <c r="F176" s="39" t="s">
        <v>1273</v>
      </c>
      <c r="G176" s="39" t="s">
        <v>2290</v>
      </c>
      <c r="H176" s="39" t="s">
        <v>2291</v>
      </c>
      <c r="I176" s="39" t="s">
        <v>2292</v>
      </c>
      <c r="J176" s="39" t="s">
        <v>2246</v>
      </c>
      <c r="K176" s="39" t="s">
        <v>2293</v>
      </c>
      <c r="L176" s="39" t="s">
        <v>1278</v>
      </c>
    </row>
    <row r="177" spans="1:12">
      <c r="A177" s="39" t="s">
        <v>2294</v>
      </c>
      <c r="B177" s="39" t="s">
        <v>1548</v>
      </c>
      <c r="C177" s="39" t="s">
        <v>2034</v>
      </c>
      <c r="D177" s="39" t="s">
        <v>1823</v>
      </c>
      <c r="E177" s="39" t="s">
        <v>2266</v>
      </c>
      <c r="F177" s="39" t="s">
        <v>2295</v>
      </c>
      <c r="G177" s="39" t="s">
        <v>2296</v>
      </c>
      <c r="H177" s="39" t="s">
        <v>2297</v>
      </c>
      <c r="I177" s="39" t="s">
        <v>2298</v>
      </c>
      <c r="J177" s="39" t="s">
        <v>2251</v>
      </c>
      <c r="K177" s="39" t="s">
        <v>2299</v>
      </c>
      <c r="L177" s="39" t="s">
        <v>2084</v>
      </c>
    </row>
    <row r="178" spans="1:12">
      <c r="A178" s="39" t="s">
        <v>2300</v>
      </c>
      <c r="B178" s="39" t="s">
        <v>2301</v>
      </c>
      <c r="C178" s="39" t="s">
        <v>1548</v>
      </c>
      <c r="D178" s="39" t="s">
        <v>1830</v>
      </c>
      <c r="E178" s="39" t="s">
        <v>2259</v>
      </c>
      <c r="F178" s="39" t="s">
        <v>2302</v>
      </c>
      <c r="G178" s="39" t="s">
        <v>2303</v>
      </c>
      <c r="H178" s="39" t="s">
        <v>2304</v>
      </c>
      <c r="I178" s="39" t="s">
        <v>2305</v>
      </c>
      <c r="J178" s="39" t="s">
        <v>2255</v>
      </c>
      <c r="K178" s="39" t="s">
        <v>2306</v>
      </c>
      <c r="L178" s="39" t="s">
        <v>2307</v>
      </c>
    </row>
    <row r="179" spans="1:12">
      <c r="A179" s="39" t="s">
        <v>2308</v>
      </c>
      <c r="B179" s="39" t="s">
        <v>2309</v>
      </c>
      <c r="C179" s="39" t="s">
        <v>2080</v>
      </c>
      <c r="D179" s="39" t="s">
        <v>1823</v>
      </c>
      <c r="E179" s="39" t="s">
        <v>2278</v>
      </c>
      <c r="F179" s="39" t="s">
        <v>2310</v>
      </c>
      <c r="G179" s="39" t="s">
        <v>2311</v>
      </c>
      <c r="H179" s="39">
        <v>213</v>
      </c>
      <c r="I179" s="39" t="s">
        <v>2312</v>
      </c>
      <c r="J179" s="39" t="s">
        <v>2262</v>
      </c>
      <c r="K179" s="39" t="s">
        <v>2313</v>
      </c>
      <c r="L179" s="39" t="s">
        <v>2314</v>
      </c>
    </row>
    <row r="180" spans="1:12">
      <c r="A180" s="39" t="s">
        <v>2315</v>
      </c>
      <c r="B180" s="39" t="s">
        <v>2316</v>
      </c>
      <c r="C180" s="39" t="s">
        <v>2087</v>
      </c>
      <c r="D180" s="39" t="s">
        <v>1843</v>
      </c>
      <c r="E180" s="39"/>
      <c r="F180" s="39" t="s">
        <v>2317</v>
      </c>
      <c r="G180" s="39" t="s">
        <v>1452</v>
      </c>
      <c r="H180" s="39" t="s">
        <v>1273</v>
      </c>
      <c r="I180" s="39" t="s">
        <v>1278</v>
      </c>
      <c r="J180" s="39" t="s">
        <v>2318</v>
      </c>
      <c r="K180" s="39" t="s">
        <v>2319</v>
      </c>
      <c r="L180" s="39" t="s">
        <v>2320</v>
      </c>
    </row>
    <row r="181" spans="1:12">
      <c r="A181" s="39" t="s">
        <v>2321</v>
      </c>
      <c r="B181" s="39" t="s">
        <v>2322</v>
      </c>
      <c r="C181" s="39" t="s">
        <v>1548</v>
      </c>
      <c r="D181" s="39" t="s">
        <v>1259</v>
      </c>
      <c r="E181" s="39" t="s">
        <v>1273</v>
      </c>
      <c r="F181" s="39" t="s">
        <v>2323</v>
      </c>
      <c r="G181" s="39" t="s">
        <v>1281</v>
      </c>
      <c r="H181" s="39" t="s">
        <v>2324</v>
      </c>
      <c r="I181" s="39" t="s">
        <v>2006</v>
      </c>
      <c r="J181" s="39" t="s">
        <v>2325</v>
      </c>
      <c r="K181" s="39" t="s">
        <v>2326</v>
      </c>
      <c r="L181" s="39"/>
    </row>
    <row r="182" spans="1:12">
      <c r="A182" s="39" t="s">
        <v>2327</v>
      </c>
      <c r="B182" s="39"/>
      <c r="C182" s="39" t="s">
        <v>1548</v>
      </c>
      <c r="D182" s="39" t="s">
        <v>2084</v>
      </c>
      <c r="E182" s="39" t="s">
        <v>2295</v>
      </c>
      <c r="F182" s="39" t="s">
        <v>2328</v>
      </c>
      <c r="G182" s="39" t="s">
        <v>2329</v>
      </c>
      <c r="H182" s="39" t="s">
        <v>2330</v>
      </c>
      <c r="I182" s="39" t="s">
        <v>2013</v>
      </c>
      <c r="J182" s="39" t="s">
        <v>2331</v>
      </c>
      <c r="K182" s="39" t="s">
        <v>2332</v>
      </c>
      <c r="L182" s="39" t="s">
        <v>2333</v>
      </c>
    </row>
    <row r="183" spans="1:12">
      <c r="A183" s="39" t="s">
        <v>2334</v>
      </c>
      <c r="B183" s="39" t="s">
        <v>2335</v>
      </c>
      <c r="C183" s="39" t="s">
        <v>1420</v>
      </c>
      <c r="D183" s="39" t="s">
        <v>1259</v>
      </c>
      <c r="E183" s="39" t="s">
        <v>2302</v>
      </c>
      <c r="F183" s="39" t="s">
        <v>2336</v>
      </c>
      <c r="G183" s="39" t="s">
        <v>1281</v>
      </c>
      <c r="H183" s="39" t="s">
        <v>2337</v>
      </c>
      <c r="I183" s="39" t="s">
        <v>2023</v>
      </c>
      <c r="J183" s="39" t="s">
        <v>2269</v>
      </c>
      <c r="K183" s="39" t="s">
        <v>2338</v>
      </c>
      <c r="L183" s="39" t="s">
        <v>2339</v>
      </c>
    </row>
    <row r="184" spans="1:12">
      <c r="A184" s="39" t="s">
        <v>2340</v>
      </c>
      <c r="B184" s="39" t="s">
        <v>2341</v>
      </c>
      <c r="C184" s="39" t="s">
        <v>2112</v>
      </c>
      <c r="D184" s="39" t="s">
        <v>2307</v>
      </c>
      <c r="E184" s="39" t="s">
        <v>2310</v>
      </c>
      <c r="F184" s="39" t="s">
        <v>2342</v>
      </c>
      <c r="G184" s="39" t="s">
        <v>2343</v>
      </c>
      <c r="H184" s="39" t="s">
        <v>2344</v>
      </c>
      <c r="I184" s="39" t="s">
        <v>2032</v>
      </c>
      <c r="J184" s="39" t="s">
        <v>2274</v>
      </c>
      <c r="K184" s="39" t="s">
        <v>2345</v>
      </c>
      <c r="L184" s="39" t="s">
        <v>2248</v>
      </c>
    </row>
    <row r="185" spans="1:12">
      <c r="A185" s="36"/>
      <c r="B185" s="39" t="s">
        <v>2346</v>
      </c>
      <c r="C185" s="39" t="s">
        <v>2121</v>
      </c>
      <c r="D185" s="39" t="s">
        <v>2347</v>
      </c>
      <c r="E185" s="39" t="s">
        <v>2317</v>
      </c>
      <c r="F185" s="39" t="s">
        <v>2348</v>
      </c>
      <c r="G185" s="39" t="s">
        <v>1452</v>
      </c>
      <c r="H185" s="39" t="s">
        <v>2349</v>
      </c>
      <c r="I185" s="39" t="s">
        <v>2037</v>
      </c>
      <c r="J185" s="39" t="s">
        <v>2281</v>
      </c>
      <c r="K185" s="39"/>
      <c r="L185" s="39"/>
    </row>
    <row r="186" spans="1:12">
      <c r="A186" s="39" t="s">
        <v>1278</v>
      </c>
      <c r="B186" s="39" t="s">
        <v>2350</v>
      </c>
      <c r="C186" s="39" t="s">
        <v>2129</v>
      </c>
      <c r="D186" s="39" t="s">
        <v>2351</v>
      </c>
      <c r="E186" s="39" t="s">
        <v>2323</v>
      </c>
      <c r="F186" s="39"/>
      <c r="G186" s="39" t="s">
        <v>2352</v>
      </c>
      <c r="H186" s="39" t="s">
        <v>1273</v>
      </c>
      <c r="I186" s="39" t="s">
        <v>2042</v>
      </c>
      <c r="J186" s="39" t="s">
        <v>2287</v>
      </c>
      <c r="K186" s="39" t="s">
        <v>2353</v>
      </c>
      <c r="L186" s="39" t="s">
        <v>1278</v>
      </c>
    </row>
    <row r="187" spans="1:12">
      <c r="A187" s="39" t="s">
        <v>1755</v>
      </c>
      <c r="B187" s="39" t="s">
        <v>2354</v>
      </c>
      <c r="C187" s="39" t="s">
        <v>2138</v>
      </c>
      <c r="D187" s="39" t="s">
        <v>2355</v>
      </c>
      <c r="E187" s="39" t="s">
        <v>2328</v>
      </c>
      <c r="F187" s="39" t="s">
        <v>1280</v>
      </c>
      <c r="G187" s="39" t="s">
        <v>1452</v>
      </c>
      <c r="H187" s="39" t="s">
        <v>1626</v>
      </c>
      <c r="I187" s="39" t="s">
        <v>2047</v>
      </c>
      <c r="J187" s="39" t="s">
        <v>2356</v>
      </c>
      <c r="K187" s="39" t="s">
        <v>2237</v>
      </c>
      <c r="L187" s="39" t="s">
        <v>1278</v>
      </c>
    </row>
    <row r="188" spans="1:12">
      <c r="A188" s="39" t="s">
        <v>1278</v>
      </c>
      <c r="B188" s="39" t="s">
        <v>2357</v>
      </c>
      <c r="C188" s="39" t="s">
        <v>1548</v>
      </c>
      <c r="D188" s="39" t="s">
        <v>2354</v>
      </c>
      <c r="E188" s="39" t="s">
        <v>2336</v>
      </c>
      <c r="F188" s="39" t="s">
        <v>2061</v>
      </c>
      <c r="G188" s="39" t="s">
        <v>2358</v>
      </c>
      <c r="H188" s="39" t="s">
        <v>1630</v>
      </c>
      <c r="I188" s="39" t="s">
        <v>2052</v>
      </c>
      <c r="J188" s="39" t="s">
        <v>2359</v>
      </c>
      <c r="K188" s="39" t="s">
        <v>2360</v>
      </c>
      <c r="L188" s="39" t="s">
        <v>2361</v>
      </c>
    </row>
    <row r="189" spans="1:12">
      <c r="A189" s="39" t="s">
        <v>1770</v>
      </c>
      <c r="B189" s="39"/>
      <c r="C189" s="39" t="s">
        <v>1420</v>
      </c>
      <c r="D189" s="39" t="s">
        <v>2357</v>
      </c>
      <c r="E189" s="39" t="s">
        <v>2342</v>
      </c>
      <c r="F189" s="39" t="s">
        <v>1280</v>
      </c>
      <c r="G189" s="39" t="s">
        <v>1452</v>
      </c>
      <c r="H189" s="39" t="s">
        <v>1273</v>
      </c>
      <c r="I189" s="39" t="s">
        <v>2056</v>
      </c>
      <c r="J189" s="39" t="s">
        <v>2292</v>
      </c>
      <c r="K189" s="39" t="s">
        <v>2265</v>
      </c>
      <c r="L189" s="39"/>
    </row>
    <row r="190" spans="1:12">
      <c r="A190" s="39" t="s">
        <v>1778</v>
      </c>
      <c r="B190" s="39" t="s">
        <v>2362</v>
      </c>
      <c r="C190" s="39" t="s">
        <v>1278</v>
      </c>
      <c r="D190" s="39"/>
      <c r="E190" s="39" t="s">
        <v>2348</v>
      </c>
      <c r="F190" s="39" t="s">
        <v>1698</v>
      </c>
      <c r="G190" s="39" t="s">
        <v>2363</v>
      </c>
      <c r="H190" s="39" t="s">
        <v>2364</v>
      </c>
      <c r="I190" s="39" t="s">
        <v>2062</v>
      </c>
      <c r="J190" s="39" t="s">
        <v>2298</v>
      </c>
      <c r="K190" s="39" t="s">
        <v>1259</v>
      </c>
      <c r="L190" s="39" t="s">
        <v>2365</v>
      </c>
    </row>
    <row r="191" spans="1:12">
      <c r="A191" s="39" t="s">
        <v>1786</v>
      </c>
      <c r="B191" s="39" t="s">
        <v>2366</v>
      </c>
      <c r="C191" s="39" t="s">
        <v>2367</v>
      </c>
      <c r="D191" s="39" t="s">
        <v>2368</v>
      </c>
      <c r="E191" s="39"/>
      <c r="F191" s="39"/>
      <c r="G191" s="39" t="s">
        <v>2369</v>
      </c>
      <c r="H191" s="39" t="s">
        <v>2370</v>
      </c>
      <c r="I191" s="39" t="s">
        <v>2067</v>
      </c>
      <c r="J191" s="39" t="s">
        <v>2305</v>
      </c>
      <c r="K191" s="39" t="s">
        <v>2371</v>
      </c>
      <c r="L191" s="39" t="s">
        <v>2372</v>
      </c>
    </row>
    <row r="192" spans="1:12">
      <c r="A192" s="39" t="s">
        <v>1791</v>
      </c>
      <c r="B192" s="39" t="s">
        <v>2373</v>
      </c>
      <c r="C192" s="39" t="s">
        <v>2162</v>
      </c>
      <c r="D192" s="39" t="s">
        <v>2374</v>
      </c>
      <c r="E192" s="39" t="s">
        <v>1280</v>
      </c>
      <c r="F192" s="39" t="s">
        <v>2076</v>
      </c>
      <c r="G192" s="39" t="s">
        <v>1452</v>
      </c>
      <c r="H192" s="39" t="s">
        <v>2375</v>
      </c>
      <c r="I192" s="39" t="s">
        <v>2072</v>
      </c>
      <c r="J192" s="39" t="s">
        <v>2312</v>
      </c>
      <c r="K192" s="39"/>
      <c r="L192" s="39" t="s">
        <v>2376</v>
      </c>
    </row>
    <row r="193" spans="1:12">
      <c r="A193" s="39" t="s">
        <v>1786</v>
      </c>
      <c r="B193" s="39" t="s">
        <v>2377</v>
      </c>
      <c r="C193" s="39" t="s">
        <v>1259</v>
      </c>
      <c r="D193" s="39" t="s">
        <v>2378</v>
      </c>
      <c r="E193" s="39" t="s">
        <v>2061</v>
      </c>
      <c r="F193" s="39"/>
      <c r="G193" s="39" t="s">
        <v>1281</v>
      </c>
      <c r="H193" s="39" t="s">
        <v>1273</v>
      </c>
      <c r="I193" s="39" t="s">
        <v>1278</v>
      </c>
      <c r="J193" s="39" t="s">
        <v>2379</v>
      </c>
      <c r="K193" s="39" t="s">
        <v>2380</v>
      </c>
      <c r="L193" s="39" t="s">
        <v>2381</v>
      </c>
    </row>
    <row r="194" spans="1:12">
      <c r="A194" s="39" t="s">
        <v>1803</v>
      </c>
      <c r="B194" s="39" t="s">
        <v>2354</v>
      </c>
      <c r="C194" s="39" t="s">
        <v>2307</v>
      </c>
      <c r="D194" s="39" t="s">
        <v>2354</v>
      </c>
      <c r="E194" s="39" t="s">
        <v>1280</v>
      </c>
      <c r="F194" s="39" t="s">
        <v>2382</v>
      </c>
      <c r="G194" s="39" t="s">
        <v>2383</v>
      </c>
      <c r="H194" s="39" t="s">
        <v>2084</v>
      </c>
      <c r="I194" s="39" t="s">
        <v>2384</v>
      </c>
      <c r="J194" s="39" t="s">
        <v>2385</v>
      </c>
      <c r="K194" s="39" t="s">
        <v>2386</v>
      </c>
      <c r="L194" s="39" t="s">
        <v>2357</v>
      </c>
    </row>
    <row r="195" spans="1:12">
      <c r="A195" s="39" t="s">
        <v>1810</v>
      </c>
      <c r="B195" s="39" t="s">
        <v>2357</v>
      </c>
      <c r="C195" s="39" t="s">
        <v>2289</v>
      </c>
      <c r="D195" s="39" t="s">
        <v>2357</v>
      </c>
      <c r="E195" s="39" t="s">
        <v>1698</v>
      </c>
      <c r="F195" s="39" t="s">
        <v>2387</v>
      </c>
      <c r="G195" s="39" t="s">
        <v>1281</v>
      </c>
      <c r="H195" s="39" t="s">
        <v>2388</v>
      </c>
      <c r="I195" s="39" t="s">
        <v>2389</v>
      </c>
      <c r="J195" s="39" t="s">
        <v>2390</v>
      </c>
      <c r="K195" s="39" t="s">
        <v>2391</v>
      </c>
      <c r="L195" s="39" t="s">
        <v>2368</v>
      </c>
    </row>
    <row r="196" spans="1:12">
      <c r="A196" s="39" t="s">
        <v>1817</v>
      </c>
      <c r="B196" s="39"/>
      <c r="C196" s="39" t="s">
        <v>1548</v>
      </c>
      <c r="D196" s="39"/>
      <c r="E196" s="39"/>
      <c r="F196" s="39" t="s">
        <v>2392</v>
      </c>
      <c r="G196" s="39" t="s">
        <v>2393</v>
      </c>
      <c r="H196" s="39" t="s">
        <v>1280</v>
      </c>
      <c r="I196" s="39" t="s">
        <v>2394</v>
      </c>
      <c r="J196" s="39" t="s">
        <v>2395</v>
      </c>
      <c r="K196" s="39" t="s">
        <v>2396</v>
      </c>
      <c r="L196" s="39" t="s">
        <v>2397</v>
      </c>
    </row>
    <row r="197" spans="1:12">
      <c r="A197" s="39" t="s">
        <v>1823</v>
      </c>
      <c r="B197" s="39" t="s">
        <v>2398</v>
      </c>
      <c r="C197" s="39" t="s">
        <v>2301</v>
      </c>
      <c r="D197" s="39" t="s">
        <v>1657</v>
      </c>
      <c r="E197" s="39" t="s">
        <v>2076</v>
      </c>
      <c r="F197" s="39"/>
      <c r="G197" s="39" t="s">
        <v>1452</v>
      </c>
      <c r="H197" s="39" t="s">
        <v>2399</v>
      </c>
      <c r="I197" s="39" t="s">
        <v>2400</v>
      </c>
      <c r="J197" s="39" t="s">
        <v>2401</v>
      </c>
      <c r="K197" s="39" t="s">
        <v>2402</v>
      </c>
      <c r="L197" s="39" t="s">
        <v>2403</v>
      </c>
    </row>
    <row r="198" spans="1:12">
      <c r="A198" s="39" t="s">
        <v>1830</v>
      </c>
      <c r="B198" s="39" t="s">
        <v>2404</v>
      </c>
      <c r="C198" s="39" t="s">
        <v>2309</v>
      </c>
      <c r="D198" s="39" t="s">
        <v>2405</v>
      </c>
      <c r="E198" s="39"/>
      <c r="F198" s="39" t="s">
        <v>2406</v>
      </c>
      <c r="G198" s="39" t="s">
        <v>2407</v>
      </c>
      <c r="H198" s="39" t="s">
        <v>2408</v>
      </c>
      <c r="I198" s="39" t="s">
        <v>2124</v>
      </c>
      <c r="J198" s="39" t="s">
        <v>2409</v>
      </c>
      <c r="K198" s="39" t="s">
        <v>2410</v>
      </c>
      <c r="L198" s="39" t="s">
        <v>2381</v>
      </c>
    </row>
    <row r="199" spans="1:12">
      <c r="A199" s="39" t="s">
        <v>1823</v>
      </c>
      <c r="B199" s="39" t="s">
        <v>2411</v>
      </c>
      <c r="C199" s="39" t="s">
        <v>2316</v>
      </c>
      <c r="D199" s="39" t="s">
        <v>2412</v>
      </c>
      <c r="E199" s="39" t="s">
        <v>2413</v>
      </c>
      <c r="F199" s="39"/>
      <c r="G199" s="39" t="s">
        <v>1452</v>
      </c>
      <c r="H199" s="39" t="s">
        <v>1280</v>
      </c>
      <c r="I199" s="39" t="s">
        <v>2414</v>
      </c>
      <c r="J199" s="39" t="s">
        <v>2415</v>
      </c>
      <c r="K199" s="39" t="s">
        <v>2416</v>
      </c>
      <c r="L199" s="39" t="s">
        <v>2357</v>
      </c>
    </row>
    <row r="200" spans="1:12">
      <c r="A200" s="39" t="s">
        <v>1843</v>
      </c>
      <c r="B200" s="39" t="s">
        <v>2417</v>
      </c>
      <c r="C200" s="39" t="s">
        <v>2322</v>
      </c>
      <c r="D200" s="39" t="s">
        <v>2418</v>
      </c>
      <c r="E200" s="39" t="s">
        <v>2419</v>
      </c>
      <c r="F200" s="39" t="s">
        <v>2420</v>
      </c>
      <c r="G200" s="39" t="s">
        <v>1281</v>
      </c>
      <c r="H200" s="39" t="s">
        <v>2421</v>
      </c>
      <c r="I200" s="39" t="s">
        <v>2422</v>
      </c>
      <c r="J200" s="39" t="s">
        <v>2423</v>
      </c>
      <c r="K200" s="39" t="s">
        <v>2424</v>
      </c>
      <c r="L200" s="39"/>
    </row>
    <row r="201" spans="1:12">
      <c r="A201" s="39" t="s">
        <v>1278</v>
      </c>
      <c r="B201" s="39" t="s">
        <v>2425</v>
      </c>
      <c r="C201" s="39" t="s">
        <v>1548</v>
      </c>
      <c r="D201" s="39" t="s">
        <v>2426</v>
      </c>
      <c r="E201" s="39"/>
      <c r="F201" s="39" t="s">
        <v>2427</v>
      </c>
      <c r="G201" s="39" t="s">
        <v>2428</v>
      </c>
      <c r="H201" s="39" t="s">
        <v>2429</v>
      </c>
      <c r="I201" s="39" t="s">
        <v>2430</v>
      </c>
      <c r="J201" s="39" t="s">
        <v>2431</v>
      </c>
      <c r="K201" s="39" t="s">
        <v>2432</v>
      </c>
      <c r="L201" s="39" t="s">
        <v>2433</v>
      </c>
    </row>
    <row r="202" spans="1:12">
      <c r="A202" s="39" t="s">
        <v>2434</v>
      </c>
      <c r="B202" s="39" t="s">
        <v>2435</v>
      </c>
      <c r="C202" s="39" t="s">
        <v>2365</v>
      </c>
      <c r="D202" s="39"/>
      <c r="E202" s="39" t="s">
        <v>1273</v>
      </c>
      <c r="F202" s="39"/>
      <c r="G202" s="39" t="s">
        <v>1281</v>
      </c>
      <c r="H202" s="39" t="s">
        <v>2436</v>
      </c>
      <c r="I202" s="39" t="s">
        <v>2437</v>
      </c>
      <c r="J202" s="39" t="s">
        <v>2438</v>
      </c>
      <c r="K202" s="39" t="s">
        <v>2439</v>
      </c>
      <c r="L202" s="39" t="s">
        <v>2440</v>
      </c>
    </row>
    <row r="203" spans="1:12">
      <c r="A203" s="39" t="s">
        <v>2441</v>
      </c>
      <c r="B203" s="39" t="s">
        <v>1548</v>
      </c>
      <c r="C203" s="39" t="s">
        <v>2442</v>
      </c>
      <c r="D203" s="39" t="s">
        <v>1657</v>
      </c>
      <c r="E203" s="39" t="s">
        <v>2406</v>
      </c>
      <c r="F203" s="39" t="s">
        <v>1273</v>
      </c>
      <c r="G203" s="39" t="s">
        <v>2443</v>
      </c>
      <c r="H203" s="39" t="s">
        <v>2444</v>
      </c>
      <c r="I203" s="39" t="s">
        <v>2445</v>
      </c>
      <c r="J203" s="39" t="s">
        <v>2446</v>
      </c>
      <c r="K203" s="39" t="s">
        <v>2447</v>
      </c>
      <c r="L203" s="39" t="s">
        <v>2448</v>
      </c>
    </row>
    <row r="204" spans="1:12">
      <c r="A204" s="39" t="s">
        <v>2449</v>
      </c>
      <c r="B204" s="39" t="s">
        <v>2450</v>
      </c>
      <c r="C204" s="39" t="s">
        <v>2451</v>
      </c>
      <c r="D204" s="39"/>
      <c r="E204" s="39"/>
      <c r="F204" s="39" t="s">
        <v>2452</v>
      </c>
      <c r="G204" s="39" t="s">
        <v>2453</v>
      </c>
      <c r="H204" s="39" t="s">
        <v>2429</v>
      </c>
      <c r="I204" s="39" t="s">
        <v>2454</v>
      </c>
      <c r="J204" s="39" t="s">
        <v>2455</v>
      </c>
      <c r="K204" s="39" t="s">
        <v>2456</v>
      </c>
      <c r="L204" s="39" t="s">
        <v>2457</v>
      </c>
    </row>
    <row r="205" spans="1:12">
      <c r="A205" s="39" t="s">
        <v>2458</v>
      </c>
      <c r="B205" s="39" t="s">
        <v>2459</v>
      </c>
      <c r="C205" s="39" t="s">
        <v>2354</v>
      </c>
      <c r="D205" s="39" t="s">
        <v>2460</v>
      </c>
      <c r="E205" s="39" t="s">
        <v>2420</v>
      </c>
      <c r="F205" s="39" t="s">
        <v>2461</v>
      </c>
      <c r="G205" s="39" t="s">
        <v>2462</v>
      </c>
      <c r="H205" s="39"/>
      <c r="I205" s="39" t="s">
        <v>2463</v>
      </c>
      <c r="J205" s="39" t="s">
        <v>2464</v>
      </c>
      <c r="K205" s="39" t="s">
        <v>2465</v>
      </c>
      <c r="L205" s="39" t="s">
        <v>2381</v>
      </c>
    </row>
    <row r="206" spans="1:12">
      <c r="A206" s="39" t="s">
        <v>2466</v>
      </c>
      <c r="B206" s="39" t="s">
        <v>2237</v>
      </c>
      <c r="C206" s="39" t="s">
        <v>2357</v>
      </c>
      <c r="D206" s="39" t="s">
        <v>2351</v>
      </c>
      <c r="E206" s="39" t="s">
        <v>2427</v>
      </c>
      <c r="F206" s="39" t="s">
        <v>2467</v>
      </c>
      <c r="G206" s="39" t="s">
        <v>2468</v>
      </c>
      <c r="H206" s="39" t="s">
        <v>2469</v>
      </c>
      <c r="I206" s="39" t="s">
        <v>2470</v>
      </c>
      <c r="J206" s="39" t="s">
        <v>2471</v>
      </c>
      <c r="K206" s="39" t="s">
        <v>2472</v>
      </c>
      <c r="L206" s="39" t="s">
        <v>2357</v>
      </c>
    </row>
    <row r="207" spans="1:12">
      <c r="A207" s="39" t="s">
        <v>2473</v>
      </c>
      <c r="B207" s="39" t="s">
        <v>2474</v>
      </c>
      <c r="C207" s="39"/>
      <c r="D207" s="39" t="s">
        <v>2475</v>
      </c>
      <c r="E207" s="39"/>
      <c r="F207" s="39" t="s">
        <v>2476</v>
      </c>
      <c r="G207" s="39" t="s">
        <v>2477</v>
      </c>
      <c r="H207" s="39"/>
      <c r="I207" s="39" t="s">
        <v>2478</v>
      </c>
      <c r="J207" s="39" t="s">
        <v>2479</v>
      </c>
      <c r="K207" s="39" t="s">
        <v>2357</v>
      </c>
      <c r="L207" s="39"/>
    </row>
    <row r="208" spans="1:12">
      <c r="A208" s="39" t="s">
        <v>2480</v>
      </c>
      <c r="B208" s="39" t="s">
        <v>2265</v>
      </c>
      <c r="C208" s="39" t="s">
        <v>2362</v>
      </c>
      <c r="D208" s="39" t="s">
        <v>2354</v>
      </c>
      <c r="E208" s="39" t="s">
        <v>1280</v>
      </c>
      <c r="F208" s="39" t="s">
        <v>2481</v>
      </c>
      <c r="G208" s="39" t="s">
        <v>1274</v>
      </c>
      <c r="H208" s="39" t="s">
        <v>2482</v>
      </c>
      <c r="I208" s="39" t="s">
        <v>2483</v>
      </c>
      <c r="J208" s="39" t="s">
        <v>2484</v>
      </c>
      <c r="K208" s="39" t="s">
        <v>2485</v>
      </c>
      <c r="L208" s="39" t="s">
        <v>2486</v>
      </c>
    </row>
    <row r="209" spans="1:12">
      <c r="A209" s="39" t="s">
        <v>2487</v>
      </c>
      <c r="B209" s="39" t="s">
        <v>1657</v>
      </c>
      <c r="C209" s="39" t="s">
        <v>2351</v>
      </c>
      <c r="D209" s="39" t="s">
        <v>2357</v>
      </c>
      <c r="E209" s="39" t="s">
        <v>2116</v>
      </c>
      <c r="F209" s="39" t="s">
        <v>2488</v>
      </c>
      <c r="G209" s="39" t="s">
        <v>2489</v>
      </c>
      <c r="H209" s="39" t="s">
        <v>2490</v>
      </c>
      <c r="I209" s="39" t="s">
        <v>2491</v>
      </c>
      <c r="J209" s="39" t="s">
        <v>2492</v>
      </c>
      <c r="K209" s="39" t="s">
        <v>2493</v>
      </c>
      <c r="L209" s="39"/>
    </row>
    <row r="210" spans="1:12">
      <c r="A210" s="39" t="s">
        <v>2494</v>
      </c>
      <c r="B210" s="39" t="s">
        <v>2495</v>
      </c>
      <c r="C210" s="39" t="s">
        <v>2496</v>
      </c>
      <c r="D210" s="39"/>
      <c r="E210" s="39" t="s">
        <v>1280</v>
      </c>
      <c r="F210" s="39"/>
      <c r="G210" s="39" t="s">
        <v>2497</v>
      </c>
      <c r="H210" s="39" t="s">
        <v>2498</v>
      </c>
      <c r="I210" s="39" t="s">
        <v>2499</v>
      </c>
      <c r="J210" s="39" t="s">
        <v>2500</v>
      </c>
      <c r="K210" s="39" t="s">
        <v>2424</v>
      </c>
      <c r="L210" s="39" t="s">
        <v>2501</v>
      </c>
    </row>
    <row r="211" spans="1:12">
      <c r="A211" s="39" t="s">
        <v>2502</v>
      </c>
      <c r="B211" s="39"/>
      <c r="C211" s="39" t="s">
        <v>2354</v>
      </c>
      <c r="D211" s="39" t="s">
        <v>2503</v>
      </c>
      <c r="E211" s="39" t="s">
        <v>2134</v>
      </c>
      <c r="F211" s="39" t="s">
        <v>1280</v>
      </c>
      <c r="G211" s="39" t="s">
        <v>2504</v>
      </c>
      <c r="H211" s="39"/>
      <c r="I211" s="39" t="s">
        <v>2505</v>
      </c>
      <c r="J211" s="39" t="s">
        <v>2506</v>
      </c>
      <c r="K211" s="39" t="s">
        <v>2493</v>
      </c>
      <c r="L211" s="39" t="s">
        <v>2507</v>
      </c>
    </row>
    <row r="212" spans="1:12">
      <c r="A212" s="39" t="s">
        <v>2508</v>
      </c>
      <c r="B212" s="39" t="s">
        <v>2509</v>
      </c>
      <c r="C212" s="39" t="s">
        <v>2357</v>
      </c>
      <c r="D212" s="39" t="s">
        <v>2374</v>
      </c>
      <c r="E212" s="39"/>
      <c r="F212" s="39" t="s">
        <v>2116</v>
      </c>
      <c r="G212" s="39" t="s">
        <v>2510</v>
      </c>
      <c r="H212" s="39" t="s">
        <v>2511</v>
      </c>
      <c r="I212" s="39" t="s">
        <v>2512</v>
      </c>
      <c r="J212" s="39" t="s">
        <v>2513</v>
      </c>
      <c r="K212" s="39" t="s">
        <v>2514</v>
      </c>
      <c r="L212" s="39" t="s">
        <v>2515</v>
      </c>
    </row>
    <row r="213" spans="1:12">
      <c r="A213" s="39" t="s">
        <v>2516</v>
      </c>
      <c r="B213" s="39" t="s">
        <v>2517</v>
      </c>
      <c r="C213" s="39"/>
      <c r="D213" s="39" t="s">
        <v>2518</v>
      </c>
      <c r="E213" s="39" t="s">
        <v>2519</v>
      </c>
      <c r="F213" s="39" t="s">
        <v>1280</v>
      </c>
      <c r="G213" s="39" t="s">
        <v>2520</v>
      </c>
      <c r="H213" s="39"/>
      <c r="I213" s="39" t="s">
        <v>2521</v>
      </c>
      <c r="J213" s="39" t="s">
        <v>1278</v>
      </c>
      <c r="K213" s="39" t="s">
        <v>2522</v>
      </c>
      <c r="L213" s="39" t="s">
        <v>2523</v>
      </c>
    </row>
    <row r="214" spans="1:12">
      <c r="A214" s="39" t="s">
        <v>2524</v>
      </c>
      <c r="B214" s="39" t="s">
        <v>2525</v>
      </c>
      <c r="C214" s="39" t="s">
        <v>2398</v>
      </c>
      <c r="D214" s="39" t="s">
        <v>2354</v>
      </c>
      <c r="E214" s="39"/>
      <c r="F214" s="39" t="s">
        <v>2134</v>
      </c>
      <c r="G214" s="39" t="s">
        <v>2526</v>
      </c>
      <c r="H214" s="39" t="s">
        <v>2527</v>
      </c>
      <c r="I214" s="39" t="s">
        <v>2528</v>
      </c>
      <c r="J214" s="39" t="s">
        <v>2384</v>
      </c>
      <c r="K214" s="39" t="s">
        <v>2529</v>
      </c>
      <c r="L214" s="39" t="s">
        <v>2530</v>
      </c>
    </row>
    <row r="215" spans="1:12">
      <c r="A215" s="39" t="s">
        <v>2531</v>
      </c>
      <c r="B215" s="39" t="s">
        <v>2532</v>
      </c>
      <c r="C215" s="39" t="s">
        <v>2404</v>
      </c>
      <c r="D215" s="39" t="s">
        <v>2357</v>
      </c>
      <c r="E215" s="39" t="s">
        <v>2533</v>
      </c>
      <c r="F215" s="39"/>
      <c r="G215" s="39" t="s">
        <v>2534</v>
      </c>
      <c r="H215" s="39" t="s">
        <v>2535</v>
      </c>
      <c r="I215" s="39" t="s">
        <v>2536</v>
      </c>
      <c r="J215" s="39" t="s">
        <v>2389</v>
      </c>
      <c r="K215" s="39" t="s">
        <v>2357</v>
      </c>
      <c r="L215" s="39" t="s">
        <v>2537</v>
      </c>
    </row>
    <row r="216" spans="1:12">
      <c r="A216" s="39" t="s">
        <v>2538</v>
      </c>
      <c r="B216" s="39" t="s">
        <v>2341</v>
      </c>
      <c r="C216" s="39" t="s">
        <v>2411</v>
      </c>
      <c r="D216" s="39"/>
      <c r="E216" s="39" t="s">
        <v>2539</v>
      </c>
      <c r="F216" s="39" t="s">
        <v>2540</v>
      </c>
      <c r="G216" s="39" t="s">
        <v>2541</v>
      </c>
      <c r="H216" s="39" t="s">
        <v>2542</v>
      </c>
      <c r="I216" s="39" t="s">
        <v>2543</v>
      </c>
      <c r="J216" s="39" t="s">
        <v>2394</v>
      </c>
      <c r="K216" s="39" t="s">
        <v>2544</v>
      </c>
      <c r="L216" s="39" t="s">
        <v>2545</v>
      </c>
    </row>
    <row r="217" spans="1:12">
      <c r="A217" s="39" t="s">
        <v>2546</v>
      </c>
      <c r="B217" s="39" t="s">
        <v>2547</v>
      </c>
      <c r="C217" s="39" t="s">
        <v>2417</v>
      </c>
      <c r="D217" s="39" t="s">
        <v>2548</v>
      </c>
      <c r="E217" s="39" t="s">
        <v>2549</v>
      </c>
      <c r="F217" s="39"/>
      <c r="G217" s="39" t="s">
        <v>2550</v>
      </c>
      <c r="H217" s="39" t="s">
        <v>2429</v>
      </c>
      <c r="I217" s="39" t="s">
        <v>2551</v>
      </c>
      <c r="J217" s="39" t="s">
        <v>2400</v>
      </c>
      <c r="K217" s="39" t="s">
        <v>2552</v>
      </c>
      <c r="L217" s="39" t="s">
        <v>2553</v>
      </c>
    </row>
    <row r="218" spans="1:12">
      <c r="A218" s="39" t="s">
        <v>1972</v>
      </c>
      <c r="B218" s="39" t="s">
        <v>2354</v>
      </c>
      <c r="C218" s="39" t="s">
        <v>2425</v>
      </c>
      <c r="D218" s="39" t="s">
        <v>2554</v>
      </c>
      <c r="E218" s="39" t="s">
        <v>2555</v>
      </c>
      <c r="F218" s="39" t="s">
        <v>1280</v>
      </c>
      <c r="G218" s="39" t="s">
        <v>2556</v>
      </c>
      <c r="H218" s="39" t="s">
        <v>2557</v>
      </c>
      <c r="I218" s="39" t="s">
        <v>2558</v>
      </c>
      <c r="J218" s="39" t="s">
        <v>1278</v>
      </c>
      <c r="K218" s="39" t="s">
        <v>2559</v>
      </c>
      <c r="L218" s="39" t="s">
        <v>2560</v>
      </c>
    </row>
    <row r="219" spans="1:12">
      <c r="A219" s="39" t="s">
        <v>2561</v>
      </c>
      <c r="B219" s="39" t="s">
        <v>2357</v>
      </c>
      <c r="C219" s="39" t="s">
        <v>2435</v>
      </c>
      <c r="D219" s="39" t="s">
        <v>2562</v>
      </c>
      <c r="E219" s="39" t="s">
        <v>2563</v>
      </c>
      <c r="F219" s="39" t="s">
        <v>2564</v>
      </c>
      <c r="G219" s="39" t="s">
        <v>2565</v>
      </c>
      <c r="H219" s="39" t="s">
        <v>2566</v>
      </c>
      <c r="I219" s="39"/>
      <c r="J219" s="39" t="s">
        <v>1851</v>
      </c>
      <c r="K219" s="39" t="s">
        <v>2567</v>
      </c>
      <c r="L219" s="39" t="s">
        <v>2568</v>
      </c>
    </row>
    <row r="220" spans="1:12">
      <c r="A220" s="39" t="s">
        <v>2569</v>
      </c>
      <c r="B220" s="39" t="s">
        <v>2237</v>
      </c>
      <c r="C220" s="39" t="s">
        <v>1548</v>
      </c>
      <c r="D220" s="39" t="s">
        <v>2228</v>
      </c>
      <c r="E220" s="39" t="s">
        <v>2570</v>
      </c>
      <c r="F220" s="39" t="s">
        <v>1280</v>
      </c>
      <c r="G220" s="39" t="s">
        <v>2571</v>
      </c>
      <c r="H220" s="39" t="s">
        <v>2429</v>
      </c>
      <c r="I220" s="39" t="s">
        <v>1259</v>
      </c>
      <c r="J220" s="39" t="s">
        <v>1857</v>
      </c>
      <c r="K220" s="39"/>
      <c r="L220" s="39" t="s">
        <v>2572</v>
      </c>
    </row>
    <row r="221" spans="1:12">
      <c r="A221" s="39" t="s">
        <v>2573</v>
      </c>
      <c r="B221" s="39" t="s">
        <v>2574</v>
      </c>
      <c r="C221" s="39" t="s">
        <v>1420</v>
      </c>
      <c r="D221" s="39" t="s">
        <v>2237</v>
      </c>
      <c r="E221" s="39" t="s">
        <v>2575</v>
      </c>
      <c r="F221" s="39" t="s">
        <v>2576</v>
      </c>
      <c r="G221" s="39" t="s">
        <v>2577</v>
      </c>
      <c r="H221" s="39"/>
      <c r="I221" s="39" t="s">
        <v>2084</v>
      </c>
      <c r="J221" s="39" t="s">
        <v>1865</v>
      </c>
      <c r="K221" s="39" t="s">
        <v>2578</v>
      </c>
      <c r="L221" s="39" t="s">
        <v>2579</v>
      </c>
    </row>
    <row r="222" spans="1:12">
      <c r="A222" s="39" t="s">
        <v>1596</v>
      </c>
      <c r="B222" s="39" t="s">
        <v>2580</v>
      </c>
      <c r="C222" s="39" t="s">
        <v>2450</v>
      </c>
      <c r="D222" s="39" t="s">
        <v>2581</v>
      </c>
      <c r="E222" s="39" t="s">
        <v>2582</v>
      </c>
      <c r="F222" s="39" t="s">
        <v>2330</v>
      </c>
      <c r="G222" s="39" t="s">
        <v>2583</v>
      </c>
      <c r="H222" s="39" t="s">
        <v>2584</v>
      </c>
      <c r="I222" s="39" t="s">
        <v>1259</v>
      </c>
      <c r="J222" s="39" t="s">
        <v>1873</v>
      </c>
      <c r="K222" s="39" t="s">
        <v>2585</v>
      </c>
      <c r="L222" s="39"/>
    </row>
    <row r="223" spans="1:12">
      <c r="A223" s="39" t="s">
        <v>1590</v>
      </c>
      <c r="B223" s="39" t="s">
        <v>2586</v>
      </c>
      <c r="C223" s="39" t="s">
        <v>2587</v>
      </c>
      <c r="D223" s="39" t="s">
        <v>2265</v>
      </c>
      <c r="E223" s="39" t="s">
        <v>2588</v>
      </c>
      <c r="F223" s="39" t="s">
        <v>2337</v>
      </c>
      <c r="G223" s="39" t="s">
        <v>2589</v>
      </c>
      <c r="H223" s="39" t="s">
        <v>2590</v>
      </c>
      <c r="I223" s="39" t="s">
        <v>2307</v>
      </c>
      <c r="J223" s="39" t="s">
        <v>1879</v>
      </c>
      <c r="K223" s="39" t="s">
        <v>2591</v>
      </c>
      <c r="L223" s="39" t="s">
        <v>2592</v>
      </c>
    </row>
    <row r="224" spans="1:12">
      <c r="A224" s="39" t="s">
        <v>1596</v>
      </c>
      <c r="B224" s="39" t="s">
        <v>2593</v>
      </c>
      <c r="C224" s="39" t="s">
        <v>2412</v>
      </c>
      <c r="D224" s="39" t="s">
        <v>1259</v>
      </c>
      <c r="E224" s="39" t="s">
        <v>2594</v>
      </c>
      <c r="F224" s="39" t="s">
        <v>2344</v>
      </c>
      <c r="G224" s="39" t="s">
        <v>2595</v>
      </c>
      <c r="H224" s="39" t="s">
        <v>2596</v>
      </c>
      <c r="I224" s="39" t="s">
        <v>2597</v>
      </c>
      <c r="J224" s="39" t="s">
        <v>1888</v>
      </c>
      <c r="K224" s="39" t="s">
        <v>2598</v>
      </c>
      <c r="L224" s="39" t="s">
        <v>2599</v>
      </c>
    </row>
    <row r="225" spans="1:12">
      <c r="A225" s="39" t="s">
        <v>2600</v>
      </c>
      <c r="B225" s="39" t="s">
        <v>2601</v>
      </c>
      <c r="C225" s="39" t="s">
        <v>2602</v>
      </c>
      <c r="D225" s="39" t="s">
        <v>2603</v>
      </c>
      <c r="E225" s="39"/>
      <c r="F225" s="39" t="s">
        <v>2349</v>
      </c>
      <c r="G225" s="39" t="s">
        <v>2604</v>
      </c>
      <c r="H225" s="39"/>
      <c r="I225" s="39"/>
      <c r="J225" s="39" t="s">
        <v>1899</v>
      </c>
      <c r="K225" s="39" t="s">
        <v>2605</v>
      </c>
      <c r="L225" s="39" t="s">
        <v>2606</v>
      </c>
    </row>
    <row r="226" spans="1:12">
      <c r="A226" s="39" t="s">
        <v>2607</v>
      </c>
      <c r="B226" s="39" t="s">
        <v>2608</v>
      </c>
      <c r="C226" s="39"/>
      <c r="D226" s="39" t="s">
        <v>2609</v>
      </c>
      <c r="E226" s="39" t="s">
        <v>1280</v>
      </c>
      <c r="F226" s="39" t="s">
        <v>1273</v>
      </c>
      <c r="G226" s="39" t="s">
        <v>2610</v>
      </c>
      <c r="H226" s="39" t="s">
        <v>2258</v>
      </c>
      <c r="I226" s="39" t="s">
        <v>2611</v>
      </c>
      <c r="J226" s="39" t="s">
        <v>1907</v>
      </c>
      <c r="K226" s="39"/>
      <c r="L226" s="39" t="s">
        <v>2457</v>
      </c>
    </row>
    <row r="227" spans="1:12">
      <c r="A227" s="39" t="s">
        <v>2612</v>
      </c>
      <c r="B227" s="39" t="s">
        <v>2613</v>
      </c>
      <c r="C227" s="39" t="s">
        <v>2614</v>
      </c>
      <c r="D227" s="39" t="s">
        <v>2615</v>
      </c>
      <c r="E227" s="39" t="s">
        <v>2564</v>
      </c>
      <c r="F227" s="39" t="s">
        <v>2616</v>
      </c>
      <c r="G227" s="39" t="s">
        <v>2617</v>
      </c>
      <c r="H227" s="39" t="s">
        <v>2248</v>
      </c>
      <c r="I227" s="39" t="s">
        <v>2618</v>
      </c>
      <c r="J227" s="39" t="s">
        <v>1915</v>
      </c>
      <c r="K227" s="39" t="s">
        <v>2263</v>
      </c>
      <c r="L227" s="39" t="s">
        <v>2619</v>
      </c>
    </row>
    <row r="228" spans="1:12">
      <c r="A228" s="39" t="s">
        <v>1596</v>
      </c>
      <c r="B228" s="39" t="s">
        <v>2620</v>
      </c>
      <c r="C228" s="39" t="s">
        <v>2621</v>
      </c>
      <c r="D228" s="39" t="s">
        <v>2622</v>
      </c>
      <c r="E228" s="39" t="s">
        <v>1280</v>
      </c>
      <c r="F228" s="45" t="s">
        <v>2623</v>
      </c>
      <c r="G228" s="39" t="s">
        <v>2624</v>
      </c>
      <c r="H228" s="39"/>
      <c r="I228" s="39" t="s">
        <v>2625</v>
      </c>
      <c r="J228" s="39" t="s">
        <v>1922</v>
      </c>
      <c r="K228" s="39"/>
      <c r="L228" s="39" t="s">
        <v>2626</v>
      </c>
    </row>
    <row r="229" spans="1:12">
      <c r="A229" s="39" t="s">
        <v>1608</v>
      </c>
      <c r="B229" s="39" t="s">
        <v>2627</v>
      </c>
      <c r="C229" s="39"/>
      <c r="D229" s="39" t="s">
        <v>1273</v>
      </c>
      <c r="E229" s="39" t="s">
        <v>2576</v>
      </c>
      <c r="F229" s="45" t="s">
        <v>2628</v>
      </c>
      <c r="G229" s="39" t="s">
        <v>2629</v>
      </c>
      <c r="H229" s="39"/>
      <c r="I229" s="39" t="s">
        <v>2354</v>
      </c>
      <c r="J229" s="39" t="s">
        <v>1930</v>
      </c>
      <c r="K229" s="39" t="s">
        <v>2630</v>
      </c>
      <c r="L229" s="39" t="s">
        <v>2631</v>
      </c>
    </row>
    <row r="230" spans="1:12">
      <c r="A230" s="39" t="s">
        <v>1596</v>
      </c>
      <c r="B230" s="39" t="s">
        <v>2632</v>
      </c>
      <c r="C230" s="39" t="s">
        <v>1273</v>
      </c>
      <c r="D230" s="39" t="s">
        <v>2351</v>
      </c>
      <c r="E230" s="39" t="s">
        <v>2633</v>
      </c>
      <c r="F230" s="39" t="s">
        <v>2634</v>
      </c>
      <c r="G230" s="39" t="s">
        <v>2635</v>
      </c>
      <c r="H230" s="39" t="s">
        <v>1273</v>
      </c>
      <c r="I230" s="39" t="s">
        <v>2357</v>
      </c>
      <c r="J230" s="39" t="s">
        <v>1936</v>
      </c>
      <c r="K230" s="39" t="s">
        <v>2271</v>
      </c>
      <c r="L230" s="39"/>
    </row>
    <row r="231" spans="1:12">
      <c r="A231" s="39" t="s">
        <v>2636</v>
      </c>
      <c r="B231" s="39" t="s">
        <v>2637</v>
      </c>
      <c r="C231" s="39" t="s">
        <v>2460</v>
      </c>
      <c r="D231" s="39" t="s">
        <v>2638</v>
      </c>
      <c r="E231" s="39" t="s">
        <v>2337</v>
      </c>
      <c r="F231" s="39" t="s">
        <v>2639</v>
      </c>
      <c r="G231" s="39" t="s">
        <v>2640</v>
      </c>
      <c r="H231" s="39" t="s">
        <v>2641</v>
      </c>
      <c r="I231" s="39"/>
      <c r="J231" s="39" t="s">
        <v>1944</v>
      </c>
      <c r="K231" s="39" t="s">
        <v>2642</v>
      </c>
      <c r="L231" s="39" t="s">
        <v>2643</v>
      </c>
    </row>
    <row r="232" spans="1:12">
      <c r="A232" s="39" t="s">
        <v>2644</v>
      </c>
      <c r="B232" s="39" t="s">
        <v>2645</v>
      </c>
      <c r="C232" s="39" t="s">
        <v>2351</v>
      </c>
      <c r="D232" s="39" t="s">
        <v>2354</v>
      </c>
      <c r="E232" s="39" t="s">
        <v>2344</v>
      </c>
      <c r="F232" s="39" t="s">
        <v>2646</v>
      </c>
      <c r="G232" s="39" t="s">
        <v>2647</v>
      </c>
      <c r="H232" s="39" t="s">
        <v>1280</v>
      </c>
      <c r="I232" s="39" t="s">
        <v>2365</v>
      </c>
      <c r="J232" s="39" t="s">
        <v>1950</v>
      </c>
      <c r="K232" s="39" t="s">
        <v>2648</v>
      </c>
      <c r="L232" s="39" t="s">
        <v>2649</v>
      </c>
    </row>
    <row r="233" spans="1:12">
      <c r="A233" s="39" t="s">
        <v>2650</v>
      </c>
      <c r="B233" s="39" t="s">
        <v>2651</v>
      </c>
      <c r="C233" s="39" t="s">
        <v>2652</v>
      </c>
      <c r="D233" s="39" t="s">
        <v>2357</v>
      </c>
      <c r="E233" s="39" t="s">
        <v>2653</v>
      </c>
      <c r="F233" s="39" t="s">
        <v>2654</v>
      </c>
      <c r="G233" s="39" t="s">
        <v>2655</v>
      </c>
      <c r="H233" s="39" t="s">
        <v>2399</v>
      </c>
      <c r="I233" s="39" t="s">
        <v>2351</v>
      </c>
      <c r="J233" s="39" t="s">
        <v>2177</v>
      </c>
      <c r="K233" s="39" t="s">
        <v>2656</v>
      </c>
      <c r="L233" s="39" t="s">
        <v>2657</v>
      </c>
    </row>
    <row r="234" spans="1:12">
      <c r="A234" s="39" t="s">
        <v>2658</v>
      </c>
      <c r="B234" s="39" t="s">
        <v>2659</v>
      </c>
      <c r="C234" s="39" t="s">
        <v>2354</v>
      </c>
      <c r="D234" s="39" t="s">
        <v>2660</v>
      </c>
      <c r="E234" s="39"/>
      <c r="F234" s="39" t="s">
        <v>2661</v>
      </c>
      <c r="G234" s="39" t="s">
        <v>2662</v>
      </c>
      <c r="H234" s="39" t="s">
        <v>2663</v>
      </c>
      <c r="I234" s="39" t="s">
        <v>2664</v>
      </c>
      <c r="J234" s="39" t="s">
        <v>2186</v>
      </c>
      <c r="K234" s="39" t="s">
        <v>2665</v>
      </c>
      <c r="L234" s="39" t="s">
        <v>2666</v>
      </c>
    </row>
    <row r="235" spans="1:12">
      <c r="A235" s="36"/>
      <c r="B235" s="39" t="s">
        <v>1548</v>
      </c>
      <c r="C235" s="39" t="s">
        <v>2357</v>
      </c>
      <c r="D235" s="39" t="s">
        <v>2237</v>
      </c>
      <c r="E235" s="39" t="s">
        <v>2667</v>
      </c>
      <c r="F235" s="39" t="s">
        <v>2668</v>
      </c>
      <c r="G235" s="39" t="s">
        <v>2669</v>
      </c>
      <c r="H235" s="39" t="s">
        <v>1280</v>
      </c>
      <c r="I235" s="39" t="s">
        <v>2354</v>
      </c>
      <c r="J235" s="39" t="s">
        <v>1972</v>
      </c>
      <c r="K235" s="39" t="s">
        <v>2670</v>
      </c>
      <c r="L235" s="39" t="s">
        <v>2671</v>
      </c>
    </row>
    <row r="236" spans="1:12">
      <c r="A236" s="39" t="s">
        <v>2672</v>
      </c>
      <c r="B236" s="39" t="s">
        <v>2404</v>
      </c>
      <c r="C236" s="39"/>
      <c r="D236" s="39" t="s">
        <v>2673</v>
      </c>
      <c r="E236" s="39" t="s">
        <v>2674</v>
      </c>
      <c r="F236" s="39" t="s">
        <v>2675</v>
      </c>
      <c r="G236" s="39" t="s">
        <v>1452</v>
      </c>
      <c r="H236" s="39" t="s">
        <v>2676</v>
      </c>
      <c r="I236" s="39" t="s">
        <v>2357</v>
      </c>
      <c r="J236" s="39" t="s">
        <v>2200</v>
      </c>
      <c r="K236" s="39" t="s">
        <v>2648</v>
      </c>
      <c r="L236" s="39" t="s">
        <v>2677</v>
      </c>
    </row>
    <row r="237" spans="1:12">
      <c r="A237" s="39" t="s">
        <v>2678</v>
      </c>
      <c r="B237" s="39" t="s">
        <v>2679</v>
      </c>
      <c r="C237" s="39" t="s">
        <v>2680</v>
      </c>
      <c r="D237" s="39" t="s">
        <v>2265</v>
      </c>
      <c r="E237" s="39" t="s">
        <v>2681</v>
      </c>
      <c r="F237" s="39" t="s">
        <v>2682</v>
      </c>
      <c r="G237" s="39" t="s">
        <v>2683</v>
      </c>
      <c r="H237" s="39" t="s">
        <v>2684</v>
      </c>
      <c r="I237" s="39"/>
      <c r="J237" s="39" t="s">
        <v>1984</v>
      </c>
      <c r="K237" s="39" t="s">
        <v>2656</v>
      </c>
      <c r="L237" s="39" t="s">
        <v>2685</v>
      </c>
    </row>
    <row r="238" spans="1:12">
      <c r="A238" s="39" t="s">
        <v>2686</v>
      </c>
      <c r="B238" s="39" t="s">
        <v>2687</v>
      </c>
      <c r="C238" s="39" t="s">
        <v>2442</v>
      </c>
      <c r="D238" s="39" t="s">
        <v>1259</v>
      </c>
      <c r="E238" s="39" t="s">
        <v>2688</v>
      </c>
      <c r="F238" s="39" t="s">
        <v>2689</v>
      </c>
      <c r="G238" s="39" t="s">
        <v>2690</v>
      </c>
      <c r="H238" s="39" t="s">
        <v>2691</v>
      </c>
      <c r="I238" s="39" t="s">
        <v>2368</v>
      </c>
      <c r="J238" s="39" t="s">
        <v>2217</v>
      </c>
      <c r="K238" s="39" t="s">
        <v>2665</v>
      </c>
      <c r="L238" s="39" t="s">
        <v>2357</v>
      </c>
    </row>
    <row r="239" spans="1:12">
      <c r="A239" s="39" t="s">
        <v>2692</v>
      </c>
      <c r="B239" s="39" t="s">
        <v>2693</v>
      </c>
      <c r="C239" s="39" t="s">
        <v>2694</v>
      </c>
      <c r="D239" s="39" t="s">
        <v>2695</v>
      </c>
      <c r="E239" s="39" t="s">
        <v>2696</v>
      </c>
      <c r="F239" s="45" t="s">
        <v>2697</v>
      </c>
      <c r="G239" s="39" t="s">
        <v>2698</v>
      </c>
      <c r="H239" s="39"/>
      <c r="I239" s="39" t="s">
        <v>2699</v>
      </c>
      <c r="J239" s="39"/>
      <c r="K239" s="39" t="s">
        <v>2700</v>
      </c>
      <c r="L239" s="39"/>
    </row>
    <row r="240" spans="1:12">
      <c r="A240" s="39" t="s">
        <v>2701</v>
      </c>
      <c r="B240" s="39" t="s">
        <v>2702</v>
      </c>
      <c r="C240" s="39" t="s">
        <v>2354</v>
      </c>
      <c r="D240" s="39"/>
      <c r="E240" s="39" t="s">
        <v>2703</v>
      </c>
      <c r="F240" s="45" t="s">
        <v>2704</v>
      </c>
      <c r="G240" s="39" t="s">
        <v>2705</v>
      </c>
      <c r="H240" s="39" t="s">
        <v>2706</v>
      </c>
      <c r="I240" s="39" t="s">
        <v>2707</v>
      </c>
      <c r="J240" s="39" t="s">
        <v>1259</v>
      </c>
      <c r="K240" s="39" t="s">
        <v>2708</v>
      </c>
      <c r="L240" s="39" t="s">
        <v>2709</v>
      </c>
    </row>
    <row r="241" spans="1:12">
      <c r="A241" s="39" t="s">
        <v>2710</v>
      </c>
      <c r="B241" s="39" t="s">
        <v>2435</v>
      </c>
      <c r="C241" s="39" t="s">
        <v>2357</v>
      </c>
      <c r="D241" s="39" t="s">
        <v>2263</v>
      </c>
      <c r="E241" s="39" t="s">
        <v>2711</v>
      </c>
      <c r="F241" s="45" t="s">
        <v>2712</v>
      </c>
      <c r="G241" s="39" t="s">
        <v>2713</v>
      </c>
      <c r="H241" s="39" t="s">
        <v>2714</v>
      </c>
      <c r="I241" s="39" t="s">
        <v>2715</v>
      </c>
      <c r="J241" s="39" t="s">
        <v>2084</v>
      </c>
      <c r="K241" s="39" t="s">
        <v>2716</v>
      </c>
      <c r="L241" s="39" t="s">
        <v>2717</v>
      </c>
    </row>
    <row r="242" spans="1:12">
      <c r="A242" s="36"/>
      <c r="B242" s="39" t="s">
        <v>1548</v>
      </c>
      <c r="C242" s="39"/>
      <c r="D242" s="39" t="s">
        <v>2718</v>
      </c>
      <c r="E242" s="39" t="s">
        <v>2719</v>
      </c>
      <c r="F242" s="45" t="s">
        <v>2720</v>
      </c>
      <c r="G242" s="39" t="s">
        <v>2721</v>
      </c>
      <c r="H242" s="39" t="s">
        <v>2722</v>
      </c>
      <c r="I242" s="39" t="s">
        <v>2723</v>
      </c>
      <c r="J242" s="39" t="s">
        <v>1259</v>
      </c>
      <c r="K242" s="39" t="s">
        <v>2724</v>
      </c>
      <c r="L242" s="39" t="s">
        <v>2725</v>
      </c>
    </row>
    <row r="243" spans="1:12">
      <c r="A243" s="39" t="s">
        <v>2726</v>
      </c>
      <c r="B243" s="39" t="s">
        <v>2727</v>
      </c>
      <c r="C243" s="39" t="s">
        <v>2728</v>
      </c>
      <c r="D243" s="39" t="s">
        <v>2729</v>
      </c>
      <c r="E243" s="39" t="s">
        <v>2730</v>
      </c>
      <c r="F243" s="39" t="s">
        <v>2731</v>
      </c>
      <c r="G243" s="39" t="s">
        <v>2732</v>
      </c>
      <c r="H243" s="39" t="s">
        <v>2733</v>
      </c>
      <c r="I243" s="39"/>
      <c r="J243" s="39" t="s">
        <v>2307</v>
      </c>
      <c r="K243" s="39" t="s">
        <v>2734</v>
      </c>
      <c r="L243" s="39" t="s">
        <v>2357</v>
      </c>
    </row>
    <row r="244" spans="1:12">
      <c r="A244" s="39" t="s">
        <v>2735</v>
      </c>
      <c r="B244" s="39" t="s">
        <v>2736</v>
      </c>
      <c r="C244" s="39" t="s">
        <v>2404</v>
      </c>
      <c r="D244" s="39" t="s">
        <v>2737</v>
      </c>
      <c r="E244" s="39" t="s">
        <v>2738</v>
      </c>
      <c r="F244" s="39" t="s">
        <v>2739</v>
      </c>
      <c r="G244" s="39" t="s">
        <v>2740</v>
      </c>
      <c r="H244" s="39"/>
      <c r="I244" s="39" t="s">
        <v>1657</v>
      </c>
      <c r="J244" s="39" t="s">
        <v>2597</v>
      </c>
      <c r="K244" s="39" t="s">
        <v>2741</v>
      </c>
      <c r="L244" s="39" t="s">
        <v>2742</v>
      </c>
    </row>
    <row r="245" spans="1:12">
      <c r="A245" s="39" t="s">
        <v>2743</v>
      </c>
      <c r="B245" s="39" t="s">
        <v>2411</v>
      </c>
      <c r="C245" s="39" t="s">
        <v>2411</v>
      </c>
      <c r="D245" s="45" t="s">
        <v>2744</v>
      </c>
      <c r="E245" s="39" t="s">
        <v>2745</v>
      </c>
      <c r="F245" s="45" t="s">
        <v>2746</v>
      </c>
      <c r="G245" s="39" t="s">
        <v>2747</v>
      </c>
      <c r="H245" s="39" t="s">
        <v>2748</v>
      </c>
      <c r="I245" s="39" t="s">
        <v>2405</v>
      </c>
      <c r="J245" s="39"/>
      <c r="K245" s="39" t="s">
        <v>2749</v>
      </c>
      <c r="L245" s="39" t="s">
        <v>2750</v>
      </c>
    </row>
    <row r="246" spans="1:12">
      <c r="A246" s="39" t="s">
        <v>2751</v>
      </c>
      <c r="B246" s="39" t="s">
        <v>1548</v>
      </c>
      <c r="C246" s="39" t="s">
        <v>2752</v>
      </c>
      <c r="D246" s="45"/>
      <c r="E246" s="39" t="s">
        <v>2753</v>
      </c>
      <c r="F246" s="39"/>
      <c r="G246" s="39" t="s">
        <v>2754</v>
      </c>
      <c r="H246" s="110" t="s">
        <v>2755</v>
      </c>
      <c r="I246" s="39" t="s">
        <v>2756</v>
      </c>
      <c r="J246" s="39" t="s">
        <v>2611</v>
      </c>
      <c r="K246" s="39" t="s">
        <v>2757</v>
      </c>
      <c r="L246" s="39" t="s">
        <v>2758</v>
      </c>
    </row>
    <row r="247" spans="1:12">
      <c r="A247" s="39" t="s">
        <v>2759</v>
      </c>
      <c r="B247" s="39" t="s">
        <v>2760</v>
      </c>
      <c r="C247" s="39" t="s">
        <v>2425</v>
      </c>
      <c r="D247" s="39" t="s">
        <v>2761</v>
      </c>
      <c r="E247" s="39" t="s">
        <v>2762</v>
      </c>
      <c r="F247" s="39" t="s">
        <v>2763</v>
      </c>
      <c r="G247" s="39" t="s">
        <v>2764</v>
      </c>
      <c r="H247" s="39" t="s">
        <v>2765</v>
      </c>
      <c r="I247" s="39" t="s">
        <v>2766</v>
      </c>
      <c r="J247" s="39" t="s">
        <v>2618</v>
      </c>
      <c r="K247" s="39" t="s">
        <v>2767</v>
      </c>
      <c r="L247" s="39" t="s">
        <v>2768</v>
      </c>
    </row>
    <row r="248" spans="1:12">
      <c r="A248" s="39" t="s">
        <v>2769</v>
      </c>
      <c r="B248" s="39" t="s">
        <v>2770</v>
      </c>
      <c r="C248" s="39" t="s">
        <v>2435</v>
      </c>
      <c r="D248" s="39" t="s">
        <v>2771</v>
      </c>
      <c r="E248" s="39" t="s">
        <v>2772</v>
      </c>
      <c r="F248" s="39" t="s">
        <v>2773</v>
      </c>
      <c r="G248" s="39" t="s">
        <v>2774</v>
      </c>
      <c r="H248" s="39" t="s">
        <v>2775</v>
      </c>
      <c r="I248" s="39" t="s">
        <v>2776</v>
      </c>
      <c r="J248" s="39" t="s">
        <v>2777</v>
      </c>
      <c r="K248" s="39" t="s">
        <v>2778</v>
      </c>
      <c r="L248" s="39"/>
    </row>
    <row r="249" spans="1:12">
      <c r="A249" s="39" t="s">
        <v>2779</v>
      </c>
      <c r="B249" s="39" t="s">
        <v>2780</v>
      </c>
      <c r="C249" s="39" t="s">
        <v>1548</v>
      </c>
      <c r="D249" s="39" t="s">
        <v>2781</v>
      </c>
      <c r="E249" s="39" t="s">
        <v>2782</v>
      </c>
      <c r="F249" s="39" t="s">
        <v>2783</v>
      </c>
      <c r="G249" s="39" t="s">
        <v>1452</v>
      </c>
      <c r="H249" s="39" t="s">
        <v>2784</v>
      </c>
      <c r="I249" s="39" t="s">
        <v>2785</v>
      </c>
      <c r="J249" s="39" t="s">
        <v>2354</v>
      </c>
      <c r="K249" s="39" t="s">
        <v>2786</v>
      </c>
      <c r="L249" s="39"/>
    </row>
    <row r="250" spans="1:12">
      <c r="A250" s="39" t="s">
        <v>2787</v>
      </c>
      <c r="B250" s="39" t="s">
        <v>2788</v>
      </c>
      <c r="C250" s="39" t="s">
        <v>2789</v>
      </c>
      <c r="D250" s="39" t="s">
        <v>2790</v>
      </c>
      <c r="E250" s="39" t="s">
        <v>2791</v>
      </c>
      <c r="F250" s="39" t="s">
        <v>2792</v>
      </c>
      <c r="G250" s="39" t="s">
        <v>2793</v>
      </c>
      <c r="H250" s="39"/>
      <c r="I250" s="39" t="s">
        <v>2794</v>
      </c>
      <c r="J250" s="39" t="s">
        <v>2357</v>
      </c>
      <c r="K250" s="39" t="s">
        <v>2795</v>
      </c>
      <c r="L250" s="39" t="s">
        <v>2796</v>
      </c>
    </row>
    <row r="251" spans="1:12">
      <c r="A251" s="36"/>
      <c r="B251" s="39" t="s">
        <v>2797</v>
      </c>
      <c r="C251" s="39" t="s">
        <v>2798</v>
      </c>
      <c r="D251" s="39" t="s">
        <v>2799</v>
      </c>
      <c r="E251" s="39" t="s">
        <v>2800</v>
      </c>
      <c r="F251" s="39" t="s">
        <v>2801</v>
      </c>
      <c r="G251" s="39" t="s">
        <v>2802</v>
      </c>
      <c r="H251" s="39" t="s">
        <v>2803</v>
      </c>
      <c r="I251" s="39" t="s">
        <v>2804</v>
      </c>
      <c r="J251" s="39"/>
      <c r="K251" s="39" t="s">
        <v>2805</v>
      </c>
      <c r="L251" s="39" t="s">
        <v>2806</v>
      </c>
    </row>
    <row r="252" spans="1:12">
      <c r="A252" s="39" t="s">
        <v>2807</v>
      </c>
      <c r="B252" s="39" t="s">
        <v>2808</v>
      </c>
      <c r="C252" s="39" t="s">
        <v>2228</v>
      </c>
      <c r="D252" s="39" t="s">
        <v>2809</v>
      </c>
      <c r="E252" s="39" t="s">
        <v>2810</v>
      </c>
      <c r="F252" s="39" t="s">
        <v>2811</v>
      </c>
      <c r="G252" s="39" t="s">
        <v>2812</v>
      </c>
      <c r="H252" s="39" t="s">
        <v>2335</v>
      </c>
      <c r="I252" s="39" t="s">
        <v>2813</v>
      </c>
      <c r="J252" s="39" t="s">
        <v>2365</v>
      </c>
      <c r="K252" s="39" t="s">
        <v>2814</v>
      </c>
      <c r="L252" s="39" t="s">
        <v>2815</v>
      </c>
    </row>
    <row r="253" spans="1:12">
      <c r="A253" s="39" t="s">
        <v>2816</v>
      </c>
      <c r="B253" s="39" t="s">
        <v>2817</v>
      </c>
      <c r="C253" s="39" t="s">
        <v>2237</v>
      </c>
      <c r="D253" s="39" t="s">
        <v>2818</v>
      </c>
      <c r="E253" s="39" t="s">
        <v>2819</v>
      </c>
      <c r="F253" s="39" t="s">
        <v>2820</v>
      </c>
      <c r="G253" s="39" t="s">
        <v>2821</v>
      </c>
      <c r="H253" s="39" t="s">
        <v>2822</v>
      </c>
      <c r="I253" s="39" t="s">
        <v>2823</v>
      </c>
      <c r="J253" s="39" t="s">
        <v>2351</v>
      </c>
      <c r="K253" s="39" t="s">
        <v>2824</v>
      </c>
      <c r="L253" s="39" t="s">
        <v>2825</v>
      </c>
    </row>
    <row r="254" spans="1:12">
      <c r="A254" s="39" t="s">
        <v>2826</v>
      </c>
      <c r="B254" s="39" t="s">
        <v>2827</v>
      </c>
      <c r="C254" s="39" t="s">
        <v>2581</v>
      </c>
      <c r="D254" s="39" t="s">
        <v>2828</v>
      </c>
      <c r="E254" s="39" t="s">
        <v>2829</v>
      </c>
      <c r="F254" s="39" t="s">
        <v>2830</v>
      </c>
      <c r="G254" s="39" t="s">
        <v>1274</v>
      </c>
      <c r="H254" s="39"/>
      <c r="I254" s="39" t="s">
        <v>2831</v>
      </c>
      <c r="J254" s="39" t="s">
        <v>2832</v>
      </c>
      <c r="K254" s="39" t="s">
        <v>2833</v>
      </c>
      <c r="L254" s="39"/>
    </row>
    <row r="255" spans="1:12">
      <c r="A255" s="39" t="s">
        <v>2834</v>
      </c>
      <c r="B255" s="39" t="s">
        <v>2835</v>
      </c>
      <c r="C255" s="39" t="s">
        <v>2265</v>
      </c>
      <c r="D255" s="39" t="s">
        <v>2836</v>
      </c>
      <c r="E255" s="39"/>
      <c r="F255" s="39" t="s">
        <v>2837</v>
      </c>
      <c r="G255" s="39" t="s">
        <v>2838</v>
      </c>
      <c r="H255" s="39" t="s">
        <v>2839</v>
      </c>
      <c r="I255" s="39" t="s">
        <v>2840</v>
      </c>
      <c r="J255" s="39" t="s">
        <v>2354</v>
      </c>
      <c r="K255" s="39" t="s">
        <v>2841</v>
      </c>
      <c r="L255" s="39" t="s">
        <v>1278</v>
      </c>
    </row>
    <row r="256" spans="1:12">
      <c r="A256" s="39" t="s">
        <v>2842</v>
      </c>
      <c r="B256" s="39" t="s">
        <v>2843</v>
      </c>
      <c r="C256" s="39" t="s">
        <v>1259</v>
      </c>
      <c r="D256" s="39" t="s">
        <v>2345</v>
      </c>
      <c r="E256" s="39" t="s">
        <v>2844</v>
      </c>
      <c r="F256" s="45" t="s">
        <v>2845</v>
      </c>
      <c r="G256" s="39" t="s">
        <v>2846</v>
      </c>
      <c r="H256" s="39" t="s">
        <v>2847</v>
      </c>
      <c r="I256" s="39" t="s">
        <v>2848</v>
      </c>
      <c r="J256" s="39" t="s">
        <v>2357</v>
      </c>
      <c r="K256" s="39" t="s">
        <v>2849</v>
      </c>
      <c r="L256" s="39" t="s">
        <v>1273</v>
      </c>
    </row>
    <row r="257" spans="1:12">
      <c r="A257" s="39" t="s">
        <v>2850</v>
      </c>
      <c r="B257" s="39" t="s">
        <v>2851</v>
      </c>
      <c r="C257" s="39" t="s">
        <v>2603</v>
      </c>
      <c r="D257" s="39"/>
      <c r="E257" s="39" t="s">
        <v>2852</v>
      </c>
      <c r="F257" s="39" t="s">
        <v>2853</v>
      </c>
      <c r="G257" s="39" t="s">
        <v>2854</v>
      </c>
      <c r="H257" s="39" t="s">
        <v>2855</v>
      </c>
      <c r="I257" s="39" t="s">
        <v>2856</v>
      </c>
      <c r="J257" s="39"/>
      <c r="K257" s="39"/>
      <c r="L257" s="39" t="s">
        <v>2857</v>
      </c>
    </row>
    <row r="258" spans="1:12">
      <c r="A258" s="39" t="s">
        <v>2858</v>
      </c>
      <c r="B258" s="39" t="s">
        <v>2859</v>
      </c>
      <c r="C258" s="39" t="s">
        <v>2860</v>
      </c>
      <c r="D258" s="39" t="s">
        <v>2412</v>
      </c>
      <c r="E258" s="39" t="s">
        <v>2861</v>
      </c>
      <c r="F258" s="39" t="s">
        <v>2862</v>
      </c>
      <c r="G258" s="39" t="s">
        <v>2863</v>
      </c>
      <c r="H258" s="39" t="s">
        <v>2357</v>
      </c>
      <c r="I258" s="39" t="s">
        <v>2864</v>
      </c>
      <c r="J258" s="39" t="s">
        <v>2368</v>
      </c>
      <c r="K258" s="39" t="s">
        <v>2865</v>
      </c>
      <c r="L258" s="39" t="s">
        <v>2372</v>
      </c>
    </row>
    <row r="259" spans="1:12">
      <c r="A259" s="39" t="s">
        <v>2866</v>
      </c>
      <c r="B259" s="39" t="s">
        <v>2867</v>
      </c>
      <c r="C259" s="39" t="s">
        <v>2868</v>
      </c>
      <c r="D259" s="39" t="s">
        <v>2237</v>
      </c>
      <c r="E259" s="39"/>
      <c r="F259" s="39" t="s">
        <v>2869</v>
      </c>
      <c r="G259" s="39" t="s">
        <v>2870</v>
      </c>
      <c r="H259" s="39"/>
      <c r="I259" s="39" t="s">
        <v>2871</v>
      </c>
      <c r="J259" s="39" t="s">
        <v>2699</v>
      </c>
      <c r="K259" s="39" t="s">
        <v>2872</v>
      </c>
      <c r="L259" s="39" t="s">
        <v>2873</v>
      </c>
    </row>
    <row r="260" spans="1:12">
      <c r="A260" s="36"/>
      <c r="B260" s="39" t="s">
        <v>2874</v>
      </c>
      <c r="C260" s="39" t="s">
        <v>2622</v>
      </c>
      <c r="D260" s="39" t="s">
        <v>2875</v>
      </c>
      <c r="E260" s="39" t="s">
        <v>2876</v>
      </c>
      <c r="F260" s="39" t="s">
        <v>2877</v>
      </c>
      <c r="G260" s="39" t="s">
        <v>2878</v>
      </c>
      <c r="H260" s="39" t="s">
        <v>2879</v>
      </c>
      <c r="I260" s="39" t="s">
        <v>1548</v>
      </c>
      <c r="J260" s="39" t="s">
        <v>2880</v>
      </c>
      <c r="K260" s="39" t="s">
        <v>2881</v>
      </c>
      <c r="L260" s="39" t="s">
        <v>2381</v>
      </c>
    </row>
    <row r="261" spans="1:12">
      <c r="A261" s="39" t="s">
        <v>2882</v>
      </c>
      <c r="B261" s="39" t="s">
        <v>1548</v>
      </c>
      <c r="C261" s="39" t="s">
        <v>1273</v>
      </c>
      <c r="D261" s="39" t="s">
        <v>2265</v>
      </c>
      <c r="E261" s="39" t="s">
        <v>2883</v>
      </c>
      <c r="F261" s="39" t="s">
        <v>2884</v>
      </c>
      <c r="G261" s="39" t="s">
        <v>2885</v>
      </c>
      <c r="H261" s="39" t="s">
        <v>2886</v>
      </c>
      <c r="I261" s="39" t="s">
        <v>2887</v>
      </c>
      <c r="J261" s="39" t="s">
        <v>2715</v>
      </c>
      <c r="K261" s="39" t="s">
        <v>2648</v>
      </c>
      <c r="L261" s="39" t="s">
        <v>2357</v>
      </c>
    </row>
    <row r="262" spans="1:12">
      <c r="A262" s="39" t="s">
        <v>2888</v>
      </c>
      <c r="B262" s="39" t="s">
        <v>2889</v>
      </c>
      <c r="C262" s="39" t="s">
        <v>2442</v>
      </c>
      <c r="D262" s="39" t="s">
        <v>1259</v>
      </c>
      <c r="E262" s="39" t="s">
        <v>2890</v>
      </c>
      <c r="F262" s="39" t="s">
        <v>2891</v>
      </c>
      <c r="G262" s="39" t="s">
        <v>2892</v>
      </c>
      <c r="H262" s="39" t="s">
        <v>2855</v>
      </c>
      <c r="I262" s="39" t="s">
        <v>2893</v>
      </c>
      <c r="J262" s="39" t="s">
        <v>2723</v>
      </c>
      <c r="K262" s="39" t="s">
        <v>2656</v>
      </c>
      <c r="L262" s="39" t="s">
        <v>2397</v>
      </c>
    </row>
    <row r="263" spans="1:12">
      <c r="A263" s="39" t="s">
        <v>2894</v>
      </c>
      <c r="B263" s="39" t="s">
        <v>2895</v>
      </c>
      <c r="C263" s="39" t="s">
        <v>2896</v>
      </c>
      <c r="D263" s="39" t="s">
        <v>2897</v>
      </c>
      <c r="E263" s="39" t="s">
        <v>2898</v>
      </c>
      <c r="F263" s="39" t="s">
        <v>2899</v>
      </c>
      <c r="G263" s="39" t="s">
        <v>2900</v>
      </c>
      <c r="H263" s="39" t="s">
        <v>2357</v>
      </c>
      <c r="I263" s="39" t="s">
        <v>2901</v>
      </c>
      <c r="J263" s="39"/>
      <c r="K263" s="39" t="s">
        <v>2665</v>
      </c>
      <c r="L263" s="39" t="s">
        <v>2902</v>
      </c>
    </row>
    <row r="264" spans="1:12">
      <c r="A264" s="39" t="s">
        <v>2903</v>
      </c>
      <c r="B264" s="39" t="s">
        <v>2904</v>
      </c>
      <c r="C264" s="39" t="s">
        <v>2354</v>
      </c>
      <c r="D264" s="39" t="s">
        <v>2905</v>
      </c>
      <c r="E264" s="39" t="s">
        <v>2906</v>
      </c>
      <c r="F264" s="39" t="s">
        <v>2907</v>
      </c>
      <c r="G264" s="39" t="s">
        <v>2908</v>
      </c>
      <c r="H264" s="39"/>
      <c r="I264" s="39" t="s">
        <v>2909</v>
      </c>
      <c r="J264" s="39" t="s">
        <v>1657</v>
      </c>
      <c r="K264" s="39" t="s">
        <v>2910</v>
      </c>
      <c r="L264" s="39" t="s">
        <v>2381</v>
      </c>
    </row>
    <row r="265" spans="1:12">
      <c r="A265" s="39" t="s">
        <v>2911</v>
      </c>
      <c r="B265" s="39" t="s">
        <v>2912</v>
      </c>
      <c r="C265" s="39" t="s">
        <v>2357</v>
      </c>
      <c r="D265" s="39" t="s">
        <v>2263</v>
      </c>
      <c r="E265" s="39"/>
      <c r="F265" s="39" t="s">
        <v>2913</v>
      </c>
      <c r="G265" s="39" t="s">
        <v>2914</v>
      </c>
      <c r="H265" s="39" t="s">
        <v>2915</v>
      </c>
      <c r="I265" s="39" t="s">
        <v>2916</v>
      </c>
      <c r="J265" s="39" t="s">
        <v>2917</v>
      </c>
      <c r="K265" s="39"/>
      <c r="L265" s="39" t="s">
        <v>2357</v>
      </c>
    </row>
    <row r="266" spans="1:12">
      <c r="A266" s="39" t="s">
        <v>2918</v>
      </c>
      <c r="B266" s="39" t="s">
        <v>2919</v>
      </c>
      <c r="C266" s="39"/>
      <c r="D266" s="39" t="s">
        <v>2920</v>
      </c>
      <c r="E266" s="39" t="s">
        <v>2921</v>
      </c>
      <c r="F266" s="39" t="s">
        <v>2922</v>
      </c>
      <c r="G266" s="39" t="s">
        <v>2923</v>
      </c>
      <c r="H266" s="39" t="s">
        <v>2924</v>
      </c>
      <c r="I266" s="39" t="s">
        <v>2925</v>
      </c>
      <c r="J266" s="39" t="s">
        <v>2926</v>
      </c>
      <c r="K266" s="39" t="s">
        <v>2927</v>
      </c>
      <c r="L266" s="39"/>
    </row>
    <row r="267" spans="1:12">
      <c r="A267" s="39" t="s">
        <v>2928</v>
      </c>
      <c r="B267" s="39" t="s">
        <v>2425</v>
      </c>
      <c r="C267" s="39" t="s">
        <v>2929</v>
      </c>
      <c r="D267" s="39" t="s">
        <v>2930</v>
      </c>
      <c r="E267" s="39" t="s">
        <v>2931</v>
      </c>
      <c r="F267" s="39"/>
      <c r="G267" s="39" t="s">
        <v>1452</v>
      </c>
      <c r="H267" s="39"/>
      <c r="I267" s="39" t="s">
        <v>2932</v>
      </c>
      <c r="J267" s="39" t="s">
        <v>2766</v>
      </c>
      <c r="K267" s="39" t="s">
        <v>2275</v>
      </c>
      <c r="L267" s="39" t="s">
        <v>2933</v>
      </c>
    </row>
    <row r="268" spans="1:12">
      <c r="A268" s="39" t="s">
        <v>2934</v>
      </c>
      <c r="B268" s="39" t="s">
        <v>2435</v>
      </c>
      <c r="C268" s="39" t="s">
        <v>2935</v>
      </c>
      <c r="D268" s="39" t="s">
        <v>2936</v>
      </c>
      <c r="E268" s="39" t="s">
        <v>2937</v>
      </c>
      <c r="F268" s="39" t="s">
        <v>2938</v>
      </c>
      <c r="G268" s="39" t="s">
        <v>2939</v>
      </c>
      <c r="H268" s="39" t="s">
        <v>2940</v>
      </c>
      <c r="I268" s="39" t="s">
        <v>1548</v>
      </c>
      <c r="J268" s="39" t="s">
        <v>2941</v>
      </c>
      <c r="K268" s="39" t="s">
        <v>2942</v>
      </c>
      <c r="L268" s="39" t="s">
        <v>2943</v>
      </c>
    </row>
    <row r="269" spans="1:12">
      <c r="A269" s="39" t="s">
        <v>2944</v>
      </c>
      <c r="B269" s="39" t="s">
        <v>1548</v>
      </c>
      <c r="C269" s="39" t="s">
        <v>2945</v>
      </c>
      <c r="D269" s="39" t="s">
        <v>2946</v>
      </c>
      <c r="E269" s="39" t="s">
        <v>2947</v>
      </c>
      <c r="F269" s="39" t="s">
        <v>2948</v>
      </c>
      <c r="G269" s="39" t="s">
        <v>2949</v>
      </c>
      <c r="H269" s="39" t="s">
        <v>2265</v>
      </c>
      <c r="I269" s="39" t="s">
        <v>2412</v>
      </c>
      <c r="J269" s="39" t="s">
        <v>2776</v>
      </c>
      <c r="K269" s="39" t="s">
        <v>2648</v>
      </c>
      <c r="L269" s="39" t="s">
        <v>2265</v>
      </c>
    </row>
    <row r="270" spans="1:12">
      <c r="A270" s="39" t="s">
        <v>2950</v>
      </c>
      <c r="B270" s="39" t="s">
        <v>2951</v>
      </c>
      <c r="C270" s="39" t="s">
        <v>2952</v>
      </c>
      <c r="D270" s="39" t="s">
        <v>2953</v>
      </c>
      <c r="E270" s="39" t="s">
        <v>2954</v>
      </c>
      <c r="F270" s="39" t="s">
        <v>2955</v>
      </c>
      <c r="G270" s="39" t="s">
        <v>1452</v>
      </c>
      <c r="H270" s="39" t="s">
        <v>1273</v>
      </c>
      <c r="I270" s="39" t="s">
        <v>2418</v>
      </c>
      <c r="J270" s="39" t="s">
        <v>2785</v>
      </c>
      <c r="K270" s="39" t="s">
        <v>2656</v>
      </c>
      <c r="L270" s="39" t="s">
        <v>2956</v>
      </c>
    </row>
    <row r="271" spans="1:12">
      <c r="A271" s="39" t="s">
        <v>2957</v>
      </c>
      <c r="B271" s="39" t="s">
        <v>2265</v>
      </c>
      <c r="C271" s="39" t="s">
        <v>2958</v>
      </c>
      <c r="D271" s="39" t="s">
        <v>2959</v>
      </c>
      <c r="E271" s="39" t="s">
        <v>2960</v>
      </c>
      <c r="F271" s="39" t="s">
        <v>2961</v>
      </c>
      <c r="G271" s="39" t="s">
        <v>1274</v>
      </c>
      <c r="H271" s="39"/>
      <c r="I271" s="39" t="s">
        <v>2962</v>
      </c>
      <c r="J271" s="39" t="s">
        <v>2963</v>
      </c>
      <c r="K271" s="39" t="s">
        <v>2665</v>
      </c>
      <c r="L271" s="39" t="s">
        <v>2263</v>
      </c>
    </row>
    <row r="272" spans="1:12">
      <c r="A272" s="39" t="s">
        <v>2964</v>
      </c>
      <c r="B272" s="39" t="s">
        <v>1278</v>
      </c>
      <c r="C272" s="39" t="s">
        <v>2965</v>
      </c>
      <c r="D272" s="39" t="s">
        <v>2966</v>
      </c>
      <c r="E272" s="39" t="s">
        <v>2967</v>
      </c>
      <c r="F272" s="39"/>
      <c r="G272" s="39" t="s">
        <v>2968</v>
      </c>
      <c r="H272" s="39"/>
      <c r="I272" s="39"/>
      <c r="J272" s="39" t="s">
        <v>2804</v>
      </c>
      <c r="K272" s="39" t="s">
        <v>2969</v>
      </c>
      <c r="L272" s="39" t="s">
        <v>2970</v>
      </c>
    </row>
    <row r="273" spans="1:12">
      <c r="A273" s="39" t="s">
        <v>2971</v>
      </c>
      <c r="B273" s="39" t="s">
        <v>2972</v>
      </c>
      <c r="C273" s="39" t="s">
        <v>2357</v>
      </c>
      <c r="D273" s="39" t="s">
        <v>2973</v>
      </c>
      <c r="E273" s="39" t="s">
        <v>2974</v>
      </c>
      <c r="F273" s="39" t="s">
        <v>1273</v>
      </c>
      <c r="G273" s="39" t="s">
        <v>2975</v>
      </c>
      <c r="H273" s="39" t="s">
        <v>2976</v>
      </c>
      <c r="I273" s="39" t="s">
        <v>1657</v>
      </c>
      <c r="J273" s="39" t="s">
        <v>2813</v>
      </c>
      <c r="K273" s="39" t="s">
        <v>2648</v>
      </c>
      <c r="L273" s="39" t="s">
        <v>2977</v>
      </c>
    </row>
    <row r="274" spans="1:12">
      <c r="A274" s="36"/>
      <c r="B274" s="39"/>
      <c r="C274" s="39" t="s">
        <v>2237</v>
      </c>
      <c r="D274" s="39" t="s">
        <v>2930</v>
      </c>
      <c r="E274" s="39" t="s">
        <v>2978</v>
      </c>
      <c r="F274" s="39" t="s">
        <v>2979</v>
      </c>
      <c r="G274" s="39" t="s">
        <v>2980</v>
      </c>
      <c r="H274" s="39" t="s">
        <v>1280</v>
      </c>
      <c r="I274" s="39"/>
      <c r="J274" s="39" t="s">
        <v>2823</v>
      </c>
      <c r="K274" s="39" t="s">
        <v>2656</v>
      </c>
      <c r="L274" s="39" t="s">
        <v>2981</v>
      </c>
    </row>
    <row r="275" spans="1:12">
      <c r="A275" s="39" t="s">
        <v>2982</v>
      </c>
      <c r="B275" s="39" t="s">
        <v>2983</v>
      </c>
      <c r="C275" s="39" t="s">
        <v>1548</v>
      </c>
      <c r="D275" s="39" t="s">
        <v>2984</v>
      </c>
      <c r="E275" s="39" t="s">
        <v>2985</v>
      </c>
      <c r="F275" s="39" t="s">
        <v>1626</v>
      </c>
      <c r="G275" s="39" t="s">
        <v>1274</v>
      </c>
      <c r="H275" s="39" t="s">
        <v>2399</v>
      </c>
      <c r="I275" s="39" t="s">
        <v>2986</v>
      </c>
      <c r="J275" s="39" t="s">
        <v>2831</v>
      </c>
      <c r="K275" s="39" t="s">
        <v>2665</v>
      </c>
      <c r="L275" s="39" t="s">
        <v>2987</v>
      </c>
    </row>
    <row r="276" spans="1:12">
      <c r="A276" s="39" t="s">
        <v>2988</v>
      </c>
      <c r="B276" s="39" t="s">
        <v>2989</v>
      </c>
      <c r="C276" s="39" t="s">
        <v>2990</v>
      </c>
      <c r="D276" s="39" t="s">
        <v>2991</v>
      </c>
      <c r="E276" s="39" t="s">
        <v>2992</v>
      </c>
      <c r="F276" s="39" t="s">
        <v>1630</v>
      </c>
      <c r="G276" s="39" t="s">
        <v>2993</v>
      </c>
      <c r="H276" s="39" t="s">
        <v>2994</v>
      </c>
      <c r="I276" s="39" t="s">
        <v>2618</v>
      </c>
      <c r="J276" s="39" t="s">
        <v>2840</v>
      </c>
      <c r="K276" s="39" t="s">
        <v>2700</v>
      </c>
      <c r="L276" s="39"/>
    </row>
    <row r="277" spans="1:12">
      <c r="A277" s="39" t="s">
        <v>2995</v>
      </c>
      <c r="B277" s="39" t="s">
        <v>2649</v>
      </c>
      <c r="C277" s="39" t="s">
        <v>2580</v>
      </c>
      <c r="D277" s="39" t="s">
        <v>2966</v>
      </c>
      <c r="E277" s="39" t="s">
        <v>2996</v>
      </c>
      <c r="F277" s="39" t="s">
        <v>1273</v>
      </c>
      <c r="G277" s="39" t="s">
        <v>2997</v>
      </c>
      <c r="H277" s="39" t="s">
        <v>1280</v>
      </c>
      <c r="I277" s="39" t="s">
        <v>2998</v>
      </c>
      <c r="J277" s="39" t="s">
        <v>2848</v>
      </c>
      <c r="K277" s="39" t="s">
        <v>2999</v>
      </c>
      <c r="L277" s="39" t="s">
        <v>3000</v>
      </c>
    </row>
    <row r="278" spans="1:12">
      <c r="A278" s="39" t="s">
        <v>3001</v>
      </c>
      <c r="B278" s="39" t="s">
        <v>3002</v>
      </c>
      <c r="C278" s="39" t="s">
        <v>2586</v>
      </c>
      <c r="D278" s="39" t="s">
        <v>3003</v>
      </c>
      <c r="E278" s="39" t="s">
        <v>3004</v>
      </c>
      <c r="F278" s="39" t="s">
        <v>3005</v>
      </c>
      <c r="G278" s="39" t="s">
        <v>3006</v>
      </c>
      <c r="H278" s="39" t="s">
        <v>3007</v>
      </c>
      <c r="I278" s="39" t="s">
        <v>2354</v>
      </c>
      <c r="J278" s="39" t="s">
        <v>2856</v>
      </c>
      <c r="K278" s="39" t="s">
        <v>3008</v>
      </c>
      <c r="L278" s="39" t="s">
        <v>3009</v>
      </c>
    </row>
    <row r="279" spans="1:12">
      <c r="A279" s="39" t="s">
        <v>3010</v>
      </c>
      <c r="B279" s="39" t="s">
        <v>3011</v>
      </c>
      <c r="C279" s="39" t="s">
        <v>2593</v>
      </c>
      <c r="D279" s="39" t="s">
        <v>2930</v>
      </c>
      <c r="E279" s="39" t="s">
        <v>3012</v>
      </c>
      <c r="F279" s="39" t="s">
        <v>3013</v>
      </c>
      <c r="G279" s="39" t="s">
        <v>1274</v>
      </c>
      <c r="H279" s="39"/>
      <c r="I279" s="39" t="s">
        <v>2357</v>
      </c>
      <c r="J279" s="39" t="s">
        <v>2864</v>
      </c>
      <c r="K279" s="39" t="s">
        <v>3014</v>
      </c>
      <c r="L279" s="39" t="s">
        <v>3015</v>
      </c>
    </row>
    <row r="280" spans="1:12">
      <c r="A280" s="39" t="s">
        <v>3016</v>
      </c>
      <c r="B280" s="39" t="s">
        <v>3017</v>
      </c>
      <c r="C280" s="39" t="s">
        <v>2601</v>
      </c>
      <c r="D280" s="39" t="s">
        <v>3018</v>
      </c>
      <c r="E280" s="39" t="s">
        <v>3019</v>
      </c>
      <c r="F280" s="39" t="s">
        <v>2085</v>
      </c>
      <c r="G280" s="39" t="s">
        <v>3020</v>
      </c>
      <c r="H280" s="39" t="s">
        <v>3021</v>
      </c>
      <c r="I280" s="39"/>
      <c r="J280" s="39" t="s">
        <v>2871</v>
      </c>
      <c r="K280" s="39" t="s">
        <v>2734</v>
      </c>
      <c r="L280" s="39" t="s">
        <v>3022</v>
      </c>
    </row>
    <row r="281" spans="1:12">
      <c r="A281" s="39" t="s">
        <v>3023</v>
      </c>
      <c r="B281" s="39" t="s">
        <v>3024</v>
      </c>
      <c r="C281" s="39" t="s">
        <v>2608</v>
      </c>
      <c r="D281" s="39" t="s">
        <v>3025</v>
      </c>
      <c r="E281" s="39" t="s">
        <v>3026</v>
      </c>
      <c r="F281" s="39" t="s">
        <v>1273</v>
      </c>
      <c r="G281" s="39" t="s">
        <v>3027</v>
      </c>
      <c r="H281" s="39" t="s">
        <v>1273</v>
      </c>
      <c r="I281" s="39" t="s">
        <v>2680</v>
      </c>
      <c r="J281" s="39" t="s">
        <v>3028</v>
      </c>
      <c r="K281" s="39" t="s">
        <v>3029</v>
      </c>
      <c r="L281" s="39" t="s">
        <v>3030</v>
      </c>
    </row>
    <row r="282" spans="1:12">
      <c r="A282" s="39" t="s">
        <v>3031</v>
      </c>
      <c r="B282" s="39" t="s">
        <v>3032</v>
      </c>
      <c r="C282" s="39" t="s">
        <v>2613</v>
      </c>
      <c r="D282" s="39" t="s">
        <v>3033</v>
      </c>
      <c r="E282" s="39" t="s">
        <v>3034</v>
      </c>
      <c r="F282" s="39" t="s">
        <v>3035</v>
      </c>
      <c r="G282" s="39" t="s">
        <v>1452</v>
      </c>
      <c r="H282" s="39" t="s">
        <v>3036</v>
      </c>
      <c r="I282" s="39" t="s">
        <v>2351</v>
      </c>
      <c r="J282" s="39" t="s">
        <v>3037</v>
      </c>
      <c r="K282" s="39" t="s">
        <v>2749</v>
      </c>
      <c r="L282" s="39" t="s">
        <v>3038</v>
      </c>
    </row>
    <row r="283" spans="1:12">
      <c r="A283" s="39" t="s">
        <v>3039</v>
      </c>
      <c r="B283" s="39" t="s">
        <v>3040</v>
      </c>
      <c r="C283" s="39" t="s">
        <v>2620</v>
      </c>
      <c r="D283" s="39" t="s">
        <v>3041</v>
      </c>
      <c r="E283" s="39" t="s">
        <v>3042</v>
      </c>
      <c r="F283" s="39" t="s">
        <v>3043</v>
      </c>
      <c r="G283" s="39" t="s">
        <v>1452</v>
      </c>
      <c r="H283" s="39" t="s">
        <v>1273</v>
      </c>
      <c r="I283" s="39" t="s">
        <v>3044</v>
      </c>
      <c r="J283" s="39"/>
      <c r="K283" s="39" t="s">
        <v>3045</v>
      </c>
      <c r="L283" s="39" t="s">
        <v>3046</v>
      </c>
    </row>
    <row r="284" spans="1:12">
      <c r="A284" s="39" t="s">
        <v>3047</v>
      </c>
      <c r="B284" s="39" t="s">
        <v>3048</v>
      </c>
      <c r="C284" s="39" t="s">
        <v>2627</v>
      </c>
      <c r="D284" s="39" t="s">
        <v>2966</v>
      </c>
      <c r="E284" s="39" t="s">
        <v>3049</v>
      </c>
      <c r="F284" s="39" t="s">
        <v>3050</v>
      </c>
      <c r="G284" s="39" t="s">
        <v>1274</v>
      </c>
      <c r="H284" s="39" t="s">
        <v>3051</v>
      </c>
      <c r="I284" s="39" t="s">
        <v>2354</v>
      </c>
      <c r="J284" s="39" t="s">
        <v>3052</v>
      </c>
      <c r="K284" s="39" t="s">
        <v>3053</v>
      </c>
      <c r="L284" s="39" t="s">
        <v>3054</v>
      </c>
    </row>
    <row r="285" spans="1:12">
      <c r="A285" s="39" t="s">
        <v>3055</v>
      </c>
      <c r="B285" s="39" t="s">
        <v>3056</v>
      </c>
      <c r="C285" s="39" t="s">
        <v>2632</v>
      </c>
      <c r="D285" s="39" t="s">
        <v>3057</v>
      </c>
      <c r="E285" s="39" t="s">
        <v>3058</v>
      </c>
      <c r="F285" s="39" t="s">
        <v>1273</v>
      </c>
      <c r="G285" s="39" t="s">
        <v>3059</v>
      </c>
      <c r="H285" s="39" t="s">
        <v>1273</v>
      </c>
      <c r="I285" s="39" t="s">
        <v>2357</v>
      </c>
      <c r="J285" s="39" t="s">
        <v>3060</v>
      </c>
      <c r="K285" s="39" t="s">
        <v>3061</v>
      </c>
      <c r="L285" s="39" t="s">
        <v>3062</v>
      </c>
    </row>
    <row r="286" spans="1:12">
      <c r="A286" s="39" t="s">
        <v>3063</v>
      </c>
      <c r="B286" s="39" t="s">
        <v>3064</v>
      </c>
      <c r="C286" s="39" t="s">
        <v>2637</v>
      </c>
      <c r="D286" s="39" t="s">
        <v>2930</v>
      </c>
      <c r="E286" s="39"/>
      <c r="F286" s="39" t="s">
        <v>3065</v>
      </c>
      <c r="G286" s="39" t="s">
        <v>3066</v>
      </c>
      <c r="H286" s="39" t="s">
        <v>3067</v>
      </c>
      <c r="I286" s="39"/>
      <c r="J286" s="39" t="s">
        <v>3068</v>
      </c>
      <c r="K286" s="39" t="s">
        <v>3069</v>
      </c>
      <c r="L286" s="39" t="s">
        <v>2265</v>
      </c>
    </row>
    <row r="287" spans="1:12">
      <c r="A287" s="36"/>
      <c r="B287" s="39" t="s">
        <v>3070</v>
      </c>
      <c r="C287" s="39" t="s">
        <v>2645</v>
      </c>
      <c r="D287" s="39" t="s">
        <v>3071</v>
      </c>
      <c r="E287" s="39" t="s">
        <v>3072</v>
      </c>
      <c r="F287" s="39" t="s">
        <v>3073</v>
      </c>
      <c r="G287" s="39" t="s">
        <v>3074</v>
      </c>
      <c r="H287" s="39" t="s">
        <v>3075</v>
      </c>
      <c r="I287" s="39" t="s">
        <v>2503</v>
      </c>
      <c r="J287" s="39" t="s">
        <v>3076</v>
      </c>
      <c r="K287" s="39" t="s">
        <v>3077</v>
      </c>
      <c r="L287" s="39" t="s">
        <v>3078</v>
      </c>
    </row>
    <row r="288" spans="1:12">
      <c r="A288" s="39" t="s">
        <v>3079</v>
      </c>
      <c r="B288" s="39" t="s">
        <v>3080</v>
      </c>
      <c r="C288" s="39" t="s">
        <v>2651</v>
      </c>
      <c r="D288" s="39" t="s">
        <v>3081</v>
      </c>
      <c r="E288" s="39" t="s">
        <v>3082</v>
      </c>
      <c r="F288" s="39"/>
      <c r="G288" s="39" t="s">
        <v>3083</v>
      </c>
      <c r="H288" s="39" t="s">
        <v>3084</v>
      </c>
      <c r="I288" s="39" t="s">
        <v>2374</v>
      </c>
      <c r="J288" s="39" t="s">
        <v>3085</v>
      </c>
      <c r="K288" s="39" t="s">
        <v>2824</v>
      </c>
      <c r="L288" s="39" t="s">
        <v>2263</v>
      </c>
    </row>
    <row r="289" spans="1:12">
      <c r="A289" s="39" t="s">
        <v>3086</v>
      </c>
      <c r="B289" s="39" t="s">
        <v>3087</v>
      </c>
      <c r="C289" s="39" t="s">
        <v>2659</v>
      </c>
      <c r="D289" s="39" t="s">
        <v>2966</v>
      </c>
      <c r="E289" s="39" t="s">
        <v>3088</v>
      </c>
      <c r="F289" s="39"/>
      <c r="G289" s="39" t="s">
        <v>1452</v>
      </c>
      <c r="H289" s="39" t="s">
        <v>3089</v>
      </c>
      <c r="I289" s="39" t="s">
        <v>3090</v>
      </c>
      <c r="J289" s="39" t="s">
        <v>3091</v>
      </c>
      <c r="K289" s="39" t="s">
        <v>2833</v>
      </c>
      <c r="L289" s="39" t="s">
        <v>2970</v>
      </c>
    </row>
    <row r="290" spans="1:12">
      <c r="A290" s="39" t="s">
        <v>3092</v>
      </c>
      <c r="B290" s="39" t="s">
        <v>3093</v>
      </c>
      <c r="C290" s="39" t="s">
        <v>1548</v>
      </c>
      <c r="D290" s="39" t="s">
        <v>2345</v>
      </c>
      <c r="E290" s="39" t="s">
        <v>3094</v>
      </c>
      <c r="F290" s="39" t="s">
        <v>1273</v>
      </c>
      <c r="G290" s="39" t="s">
        <v>1274</v>
      </c>
      <c r="H290" s="39" t="s">
        <v>3095</v>
      </c>
      <c r="I290" s="39" t="s">
        <v>2354</v>
      </c>
      <c r="J290" s="39" t="s">
        <v>3096</v>
      </c>
      <c r="K290" s="39" t="s">
        <v>2841</v>
      </c>
      <c r="L290" s="39" t="s">
        <v>2981</v>
      </c>
    </row>
    <row r="291" spans="1:12">
      <c r="A291" s="39" t="s">
        <v>3097</v>
      </c>
      <c r="B291" s="39" t="s">
        <v>2685</v>
      </c>
      <c r="C291" s="39" t="s">
        <v>2404</v>
      </c>
      <c r="D291" s="39"/>
      <c r="E291" s="39" t="s">
        <v>3098</v>
      </c>
      <c r="F291" s="39" t="s">
        <v>3099</v>
      </c>
      <c r="G291" s="39" t="s">
        <v>3100</v>
      </c>
      <c r="H291" s="39" t="s">
        <v>3101</v>
      </c>
      <c r="I291" s="39" t="s">
        <v>2357</v>
      </c>
      <c r="J291" s="39" t="s">
        <v>3102</v>
      </c>
      <c r="K291" s="39" t="s">
        <v>2849</v>
      </c>
      <c r="L291" s="39" t="s">
        <v>2987</v>
      </c>
    </row>
    <row r="292" spans="1:12">
      <c r="A292" s="39" t="s">
        <v>3103</v>
      </c>
      <c r="B292" s="39" t="s">
        <v>2435</v>
      </c>
      <c r="C292" s="39" t="s">
        <v>2679</v>
      </c>
      <c r="D292" s="46" t="s">
        <v>3104</v>
      </c>
      <c r="E292" s="39" t="s">
        <v>3105</v>
      </c>
      <c r="F292" s="39" t="s">
        <v>3106</v>
      </c>
      <c r="G292" s="39" t="s">
        <v>3107</v>
      </c>
      <c r="H292" s="39" t="s">
        <v>3108</v>
      </c>
      <c r="I292" s="39"/>
      <c r="J292" s="39" t="s">
        <v>3109</v>
      </c>
      <c r="K292" s="39"/>
      <c r="L292" s="39"/>
    </row>
    <row r="293" spans="1:12">
      <c r="A293" s="39" t="s">
        <v>3110</v>
      </c>
      <c r="B293" s="39"/>
      <c r="C293" s="39" t="s">
        <v>2687</v>
      </c>
      <c r="D293" s="39" t="s">
        <v>3111</v>
      </c>
      <c r="E293" s="39" t="s">
        <v>3112</v>
      </c>
      <c r="F293" s="39" t="s">
        <v>3113</v>
      </c>
      <c r="G293" s="39" t="s">
        <v>1281</v>
      </c>
      <c r="H293" s="39" t="s">
        <v>3114</v>
      </c>
      <c r="I293" s="39" t="s">
        <v>3115</v>
      </c>
      <c r="J293" s="39" t="s">
        <v>3116</v>
      </c>
      <c r="K293" s="39" t="s">
        <v>2872</v>
      </c>
      <c r="L293" s="39" t="s">
        <v>3022</v>
      </c>
    </row>
    <row r="294" spans="1:12">
      <c r="A294" s="39" t="s">
        <v>3117</v>
      </c>
      <c r="B294" s="39" t="s">
        <v>3118</v>
      </c>
      <c r="C294" s="39" t="s">
        <v>2693</v>
      </c>
      <c r="D294" s="39" t="s">
        <v>3119</v>
      </c>
      <c r="E294" s="39" t="s">
        <v>3120</v>
      </c>
      <c r="F294" s="39" t="s">
        <v>3121</v>
      </c>
      <c r="G294" s="39" t="s">
        <v>3122</v>
      </c>
      <c r="H294" s="39"/>
      <c r="I294" s="39" t="s">
        <v>3123</v>
      </c>
      <c r="J294" s="39" t="s">
        <v>3124</v>
      </c>
      <c r="K294" s="39" t="s">
        <v>3125</v>
      </c>
      <c r="L294" s="39" t="s">
        <v>3126</v>
      </c>
    </row>
    <row r="295" spans="1:12">
      <c r="A295" s="39" t="s">
        <v>3127</v>
      </c>
      <c r="B295" s="39" t="s">
        <v>2237</v>
      </c>
      <c r="C295" s="39" t="s">
        <v>2702</v>
      </c>
      <c r="D295" s="39" t="s">
        <v>3128</v>
      </c>
      <c r="E295" s="39"/>
      <c r="F295" s="39"/>
      <c r="G295" s="39" t="s">
        <v>3129</v>
      </c>
      <c r="H295" s="39" t="s">
        <v>3130</v>
      </c>
      <c r="I295" s="39" t="s">
        <v>3131</v>
      </c>
      <c r="J295" s="39" t="s">
        <v>3132</v>
      </c>
      <c r="K295" s="39" t="s">
        <v>3133</v>
      </c>
      <c r="L295" s="39" t="s">
        <v>3038</v>
      </c>
    </row>
    <row r="296" spans="1:12">
      <c r="A296" s="39" t="s">
        <v>3134</v>
      </c>
      <c r="B296" s="39" t="s">
        <v>3135</v>
      </c>
      <c r="C296" s="39" t="s">
        <v>2435</v>
      </c>
      <c r="D296" s="46" t="s">
        <v>3136</v>
      </c>
      <c r="E296" s="39" t="s">
        <v>1280</v>
      </c>
      <c r="F296" s="39" t="s">
        <v>1273</v>
      </c>
      <c r="G296" s="39" t="s">
        <v>1281</v>
      </c>
      <c r="H296" s="39"/>
      <c r="I296" s="39" t="s">
        <v>2228</v>
      </c>
      <c r="J296" s="39" t="s">
        <v>3137</v>
      </c>
      <c r="K296" s="39" t="s">
        <v>3138</v>
      </c>
      <c r="L296" s="39" t="s">
        <v>3046</v>
      </c>
    </row>
    <row r="297" spans="1:12">
      <c r="A297" s="39" t="s">
        <v>3139</v>
      </c>
      <c r="B297" s="39" t="s">
        <v>2265</v>
      </c>
      <c r="C297" s="39" t="s">
        <v>1548</v>
      </c>
      <c r="D297" s="39" t="s">
        <v>3140</v>
      </c>
      <c r="E297" s="39" t="s">
        <v>3141</v>
      </c>
      <c r="F297" s="39" t="s">
        <v>3142</v>
      </c>
      <c r="G297" s="39" t="s">
        <v>3143</v>
      </c>
      <c r="H297" s="39" t="s">
        <v>3144</v>
      </c>
      <c r="I297" s="39" t="s">
        <v>2237</v>
      </c>
      <c r="J297" s="39" t="s">
        <v>3145</v>
      </c>
      <c r="K297" s="39" t="s">
        <v>2809</v>
      </c>
      <c r="L297" s="39" t="s">
        <v>2345</v>
      </c>
    </row>
    <row r="298" spans="1:12">
      <c r="A298" s="39" t="s">
        <v>3146</v>
      </c>
      <c r="B298" s="39" t="s">
        <v>1278</v>
      </c>
      <c r="C298" s="39" t="s">
        <v>1548</v>
      </c>
      <c r="D298" s="39" t="s">
        <v>3147</v>
      </c>
      <c r="E298" s="39" t="s">
        <v>1280</v>
      </c>
      <c r="F298" s="39" t="s">
        <v>2388</v>
      </c>
      <c r="G298" s="39" t="s">
        <v>3148</v>
      </c>
      <c r="H298" s="39" t="s">
        <v>3149</v>
      </c>
      <c r="I298" s="39" t="s">
        <v>2581</v>
      </c>
      <c r="J298" s="39" t="s">
        <v>3150</v>
      </c>
      <c r="K298" s="39" t="s">
        <v>3151</v>
      </c>
      <c r="L298" s="39" t="s">
        <v>2263</v>
      </c>
    </row>
    <row r="299" spans="1:12">
      <c r="A299" s="39" t="s">
        <v>3152</v>
      </c>
      <c r="B299" s="39"/>
      <c r="C299" s="39" t="s">
        <v>2727</v>
      </c>
      <c r="D299" s="39" t="s">
        <v>3153</v>
      </c>
      <c r="E299" s="39" t="s">
        <v>3154</v>
      </c>
      <c r="F299" s="39" t="s">
        <v>1280</v>
      </c>
      <c r="G299" s="39" t="s">
        <v>3155</v>
      </c>
      <c r="H299" s="39" t="s">
        <v>3156</v>
      </c>
      <c r="I299" s="39" t="s">
        <v>2265</v>
      </c>
      <c r="J299" s="39"/>
      <c r="K299" s="39" t="s">
        <v>3138</v>
      </c>
      <c r="L299" s="39" t="s">
        <v>3157</v>
      </c>
    </row>
    <row r="300" spans="1:12">
      <c r="A300" s="39" t="s">
        <v>3158</v>
      </c>
      <c r="B300" s="39" t="s">
        <v>3159</v>
      </c>
      <c r="C300" s="39" t="s">
        <v>2736</v>
      </c>
      <c r="D300" s="39" t="s">
        <v>3160</v>
      </c>
      <c r="E300" s="39" t="s">
        <v>3161</v>
      </c>
      <c r="F300" s="39" t="s">
        <v>2399</v>
      </c>
      <c r="G300" s="39" t="s">
        <v>3162</v>
      </c>
      <c r="H300" s="39" t="s">
        <v>3163</v>
      </c>
      <c r="I300" s="39" t="s">
        <v>1278</v>
      </c>
      <c r="J300" s="39" t="s">
        <v>3164</v>
      </c>
      <c r="K300" s="39" t="s">
        <v>2836</v>
      </c>
      <c r="L300" s="39" t="s">
        <v>3165</v>
      </c>
    </row>
    <row r="301" spans="1:12">
      <c r="A301" s="36"/>
      <c r="B301" s="39"/>
      <c r="C301" s="39" t="s">
        <v>2411</v>
      </c>
      <c r="D301" s="39" t="s">
        <v>3166</v>
      </c>
      <c r="E301" s="39" t="s">
        <v>3167</v>
      </c>
      <c r="F301" s="39" t="s">
        <v>2408</v>
      </c>
      <c r="G301" s="39" t="s">
        <v>3148</v>
      </c>
      <c r="H301" s="39" t="s">
        <v>3168</v>
      </c>
      <c r="I301" s="39" t="s">
        <v>3169</v>
      </c>
      <c r="J301" s="39" t="s">
        <v>3170</v>
      </c>
      <c r="K301" s="39"/>
      <c r="L301" s="39" t="s">
        <v>3171</v>
      </c>
    </row>
    <row r="302" spans="1:12">
      <c r="A302" s="39" t="s">
        <v>3172</v>
      </c>
      <c r="B302" s="39" t="s">
        <v>3173</v>
      </c>
      <c r="C302" s="39" t="s">
        <v>1548</v>
      </c>
      <c r="D302" s="39" t="s">
        <v>3174</v>
      </c>
      <c r="E302" s="39" t="s">
        <v>3175</v>
      </c>
      <c r="F302" s="39" t="s">
        <v>1280</v>
      </c>
      <c r="G302" s="39" t="s">
        <v>1452</v>
      </c>
      <c r="H302" s="39"/>
      <c r="I302" s="39" t="s">
        <v>3176</v>
      </c>
      <c r="J302" s="39" t="s">
        <v>3177</v>
      </c>
      <c r="K302" s="39" t="s">
        <v>3178</v>
      </c>
      <c r="L302" s="39" t="s">
        <v>3179</v>
      </c>
    </row>
    <row r="303" spans="1:12">
      <c r="A303" s="39" t="s">
        <v>3180</v>
      </c>
      <c r="B303" s="39" t="s">
        <v>3181</v>
      </c>
      <c r="C303" s="39" t="s">
        <v>2760</v>
      </c>
      <c r="D303" s="39" t="s">
        <v>2357</v>
      </c>
      <c r="E303" s="39"/>
      <c r="F303" s="39" t="s">
        <v>2421</v>
      </c>
      <c r="G303" s="39" t="s">
        <v>3182</v>
      </c>
      <c r="H303" s="39" t="s">
        <v>3183</v>
      </c>
      <c r="I303" s="39"/>
      <c r="J303" s="39" t="s">
        <v>3184</v>
      </c>
      <c r="K303" s="39" t="s">
        <v>2648</v>
      </c>
      <c r="L303" s="39" t="s">
        <v>3054</v>
      </c>
    </row>
    <row r="304" spans="1:12">
      <c r="A304" s="39" t="s">
        <v>3185</v>
      </c>
      <c r="B304" s="39" t="s">
        <v>3186</v>
      </c>
      <c r="C304" s="39" t="s">
        <v>2770</v>
      </c>
      <c r="D304" s="46" t="s">
        <v>3187</v>
      </c>
      <c r="E304" s="39" t="s">
        <v>1273</v>
      </c>
      <c r="F304" s="39" t="s">
        <v>2429</v>
      </c>
      <c r="G304" s="39" t="s">
        <v>1452</v>
      </c>
      <c r="H304" s="39" t="s">
        <v>3188</v>
      </c>
      <c r="I304" s="39" t="s">
        <v>2365</v>
      </c>
      <c r="J304" s="39" t="s">
        <v>3189</v>
      </c>
      <c r="K304" s="39" t="s">
        <v>2656</v>
      </c>
      <c r="L304" s="39" t="s">
        <v>3190</v>
      </c>
    </row>
    <row r="305" spans="1:12">
      <c r="A305" s="39" t="s">
        <v>3191</v>
      </c>
      <c r="B305" s="39" t="s">
        <v>3192</v>
      </c>
      <c r="C305" s="39" t="s">
        <v>2780</v>
      </c>
      <c r="D305" s="39" t="s">
        <v>3193</v>
      </c>
      <c r="E305" s="39" t="s">
        <v>1626</v>
      </c>
      <c r="F305" s="39" t="s">
        <v>3194</v>
      </c>
      <c r="G305" s="39" t="s">
        <v>3195</v>
      </c>
      <c r="H305" s="39" t="s">
        <v>3196</v>
      </c>
      <c r="I305" s="39" t="s">
        <v>2351</v>
      </c>
      <c r="J305" s="39" t="s">
        <v>3197</v>
      </c>
      <c r="K305" s="39" t="s">
        <v>2665</v>
      </c>
      <c r="L305" s="39" t="s">
        <v>2265</v>
      </c>
    </row>
    <row r="306" spans="1:12">
      <c r="A306" s="39" t="s">
        <v>3198</v>
      </c>
      <c r="B306" s="39" t="s">
        <v>3199</v>
      </c>
      <c r="C306" s="39" t="s">
        <v>2788</v>
      </c>
      <c r="D306" s="39" t="s">
        <v>3200</v>
      </c>
      <c r="E306" s="39" t="s">
        <v>1630</v>
      </c>
      <c r="F306" s="39" t="s">
        <v>3201</v>
      </c>
      <c r="G306" s="39" t="s">
        <v>3202</v>
      </c>
      <c r="H306" s="39" t="s">
        <v>1273</v>
      </c>
      <c r="I306" s="39" t="s">
        <v>3203</v>
      </c>
      <c r="J306" s="39" t="s">
        <v>3204</v>
      </c>
      <c r="K306" s="39" t="s">
        <v>3205</v>
      </c>
      <c r="L306" s="39" t="s">
        <v>1278</v>
      </c>
    </row>
    <row r="307" spans="1:12">
      <c r="A307" s="39" t="s">
        <v>1596</v>
      </c>
      <c r="B307" s="39" t="s">
        <v>3206</v>
      </c>
      <c r="C307" s="39" t="s">
        <v>2797</v>
      </c>
      <c r="D307" s="39" t="s">
        <v>3128</v>
      </c>
      <c r="E307" s="39" t="s">
        <v>1273</v>
      </c>
      <c r="F307" s="39" t="s">
        <v>2429</v>
      </c>
      <c r="G307" s="39" t="s">
        <v>3207</v>
      </c>
      <c r="H307" s="39" t="s">
        <v>3208</v>
      </c>
      <c r="I307" s="39" t="s">
        <v>2354</v>
      </c>
      <c r="J307" s="39" t="s">
        <v>3209</v>
      </c>
      <c r="K307" s="39"/>
      <c r="L307" s="39" t="s">
        <v>3210</v>
      </c>
    </row>
    <row r="308" spans="1:12">
      <c r="A308" s="39" t="s">
        <v>3211</v>
      </c>
      <c r="B308" s="39" t="s">
        <v>3212</v>
      </c>
      <c r="C308" s="39" t="s">
        <v>2808</v>
      </c>
      <c r="D308" s="46" t="s">
        <v>3213</v>
      </c>
      <c r="E308" s="39" t="s">
        <v>3035</v>
      </c>
      <c r="F308" s="39"/>
      <c r="G308" s="39" t="s">
        <v>1452</v>
      </c>
      <c r="H308" s="39" t="s">
        <v>3214</v>
      </c>
      <c r="I308" s="39" t="s">
        <v>2357</v>
      </c>
      <c r="J308" s="39"/>
      <c r="K308" s="39" t="s">
        <v>3215</v>
      </c>
      <c r="L308" s="39" t="s">
        <v>2643</v>
      </c>
    </row>
    <row r="309" spans="1:12">
      <c r="A309" s="39" t="s">
        <v>3216</v>
      </c>
      <c r="B309" s="39" t="s">
        <v>3217</v>
      </c>
      <c r="C309" s="39" t="s">
        <v>2817</v>
      </c>
      <c r="D309" s="46" t="s">
        <v>3218</v>
      </c>
      <c r="E309" s="39" t="s">
        <v>3043</v>
      </c>
      <c r="F309" s="39" t="s">
        <v>2469</v>
      </c>
      <c r="G309" s="39" t="s">
        <v>3219</v>
      </c>
      <c r="H309" s="39" t="s">
        <v>3220</v>
      </c>
      <c r="I309" s="39"/>
      <c r="J309" s="39" t="s">
        <v>3221</v>
      </c>
      <c r="K309" s="39" t="s">
        <v>2282</v>
      </c>
      <c r="L309" s="39" t="s">
        <v>2649</v>
      </c>
    </row>
    <row r="310" spans="1:12">
      <c r="A310" s="36"/>
      <c r="B310" s="39" t="s">
        <v>3222</v>
      </c>
      <c r="C310" s="39" t="s">
        <v>2827</v>
      </c>
      <c r="D310" s="46" t="s">
        <v>3223</v>
      </c>
      <c r="E310" s="39" t="s">
        <v>3224</v>
      </c>
      <c r="F310" s="39"/>
      <c r="G310" s="39" t="s">
        <v>1452</v>
      </c>
      <c r="H310" s="39" t="s">
        <v>3225</v>
      </c>
      <c r="I310" s="39" t="s">
        <v>3226</v>
      </c>
      <c r="J310" s="39" t="s">
        <v>3227</v>
      </c>
      <c r="K310" s="39" t="s">
        <v>3228</v>
      </c>
      <c r="L310" s="39" t="s">
        <v>2657</v>
      </c>
    </row>
    <row r="311" spans="1:12">
      <c r="A311" s="39" t="s">
        <v>1278</v>
      </c>
      <c r="B311" s="39" t="s">
        <v>3229</v>
      </c>
      <c r="C311" s="39" t="s">
        <v>2835</v>
      </c>
      <c r="D311" s="46" t="s">
        <v>3230</v>
      </c>
      <c r="E311" s="39" t="s">
        <v>1273</v>
      </c>
      <c r="F311" s="39" t="s">
        <v>2482</v>
      </c>
      <c r="G311" s="39" t="s">
        <v>3231</v>
      </c>
      <c r="H311" s="39" t="s">
        <v>3232</v>
      </c>
      <c r="I311" s="39" t="s">
        <v>2618</v>
      </c>
      <c r="J311" s="39" t="s">
        <v>3233</v>
      </c>
      <c r="K311" s="39" t="s">
        <v>2648</v>
      </c>
      <c r="L311" s="39" t="s">
        <v>2666</v>
      </c>
    </row>
    <row r="312" spans="1:12">
      <c r="A312" s="39" t="s">
        <v>3234</v>
      </c>
      <c r="B312" s="39" t="s">
        <v>3235</v>
      </c>
      <c r="C312" s="39" t="s">
        <v>2843</v>
      </c>
      <c r="D312" s="46" t="s">
        <v>3236</v>
      </c>
      <c r="E312" s="39" t="s">
        <v>3065</v>
      </c>
      <c r="F312" s="39" t="s">
        <v>2490</v>
      </c>
      <c r="G312" s="39" t="s">
        <v>3237</v>
      </c>
      <c r="H312" s="39" t="s">
        <v>3238</v>
      </c>
      <c r="I312" s="39" t="s">
        <v>2625</v>
      </c>
      <c r="J312" s="39" t="s">
        <v>3239</v>
      </c>
      <c r="K312" s="39" t="s">
        <v>2656</v>
      </c>
      <c r="L312" s="39" t="s">
        <v>2671</v>
      </c>
    </row>
    <row r="313" spans="1:12">
      <c r="A313" s="39" t="s">
        <v>1278</v>
      </c>
      <c r="B313" s="39" t="s">
        <v>3240</v>
      </c>
      <c r="C313" s="39" t="s">
        <v>2851</v>
      </c>
      <c r="D313" s="39" t="s">
        <v>3140</v>
      </c>
      <c r="E313" s="39" t="s">
        <v>3073</v>
      </c>
      <c r="F313" s="39" t="s">
        <v>2498</v>
      </c>
      <c r="G313" s="39" t="s">
        <v>3241</v>
      </c>
      <c r="H313" s="39" t="s">
        <v>3242</v>
      </c>
      <c r="I313" s="39" t="s">
        <v>2354</v>
      </c>
      <c r="J313" s="39" t="s">
        <v>3243</v>
      </c>
      <c r="K313" s="39" t="s">
        <v>2665</v>
      </c>
      <c r="L313" s="39" t="s">
        <v>2677</v>
      </c>
    </row>
    <row r="314" spans="1:12">
      <c r="A314" s="39" t="s">
        <v>3244</v>
      </c>
      <c r="B314" s="39" t="s">
        <v>3245</v>
      </c>
      <c r="C314" s="39" t="s">
        <v>2859</v>
      </c>
      <c r="D314" s="39" t="s">
        <v>3147</v>
      </c>
      <c r="E314" s="39"/>
      <c r="F314" s="39"/>
      <c r="G314" s="39" t="s">
        <v>3148</v>
      </c>
      <c r="H314" s="39" t="s">
        <v>3246</v>
      </c>
      <c r="I314" s="39" t="s">
        <v>2357</v>
      </c>
      <c r="J314" s="39" t="s">
        <v>3247</v>
      </c>
      <c r="K314" s="39" t="s">
        <v>3248</v>
      </c>
      <c r="L314" s="39" t="s">
        <v>2685</v>
      </c>
    </row>
    <row r="315" spans="1:12">
      <c r="A315" s="39" t="s">
        <v>3249</v>
      </c>
      <c r="B315" s="39"/>
      <c r="C315" s="39" t="s">
        <v>2867</v>
      </c>
      <c r="D315" s="39" t="s">
        <v>3153</v>
      </c>
      <c r="E315" s="39"/>
      <c r="F315" s="39" t="s">
        <v>2511</v>
      </c>
      <c r="G315" s="39" t="s">
        <v>3250</v>
      </c>
      <c r="H315" s="39" t="s">
        <v>3251</v>
      </c>
      <c r="I315" s="39" t="s">
        <v>2412</v>
      </c>
      <c r="J315" s="39" t="s">
        <v>3252</v>
      </c>
      <c r="K315" s="39" t="s">
        <v>2648</v>
      </c>
      <c r="L315" s="39" t="s">
        <v>2357</v>
      </c>
    </row>
    <row r="316" spans="1:12">
      <c r="A316" s="39" t="s">
        <v>3253</v>
      </c>
      <c r="B316" s="39" t="s">
        <v>3254</v>
      </c>
      <c r="C316" s="39" t="s">
        <v>2874</v>
      </c>
      <c r="D316" s="39" t="s">
        <v>3160</v>
      </c>
      <c r="E316" s="39" t="s">
        <v>1273</v>
      </c>
      <c r="F316" s="39"/>
      <c r="G316" s="39" t="s">
        <v>3255</v>
      </c>
      <c r="H316" s="39" t="s">
        <v>3246</v>
      </c>
      <c r="I316" s="39" t="s">
        <v>1278</v>
      </c>
      <c r="J316" s="39"/>
      <c r="K316" s="39" t="s">
        <v>2656</v>
      </c>
      <c r="L316" s="39" t="s">
        <v>2709</v>
      </c>
    </row>
    <row r="317" spans="1:12">
      <c r="A317" s="36"/>
      <c r="B317" s="39" t="s">
        <v>3256</v>
      </c>
      <c r="C317" s="39" t="s">
        <v>1548</v>
      </c>
      <c r="D317" s="39" t="s">
        <v>3257</v>
      </c>
      <c r="E317" s="39" t="s">
        <v>3099</v>
      </c>
      <c r="F317" s="39" t="s">
        <v>2527</v>
      </c>
      <c r="G317" s="39" t="s">
        <v>3148</v>
      </c>
      <c r="H317" s="39" t="s">
        <v>3258</v>
      </c>
      <c r="I317" s="39" t="s">
        <v>3259</v>
      </c>
      <c r="J317" s="39" t="s">
        <v>2412</v>
      </c>
      <c r="K317" s="39" t="s">
        <v>2665</v>
      </c>
      <c r="L317" s="39" t="s">
        <v>2717</v>
      </c>
    </row>
    <row r="318" spans="1:12">
      <c r="A318" s="39" t="s">
        <v>1278</v>
      </c>
      <c r="B318" s="39" t="s">
        <v>3260</v>
      </c>
      <c r="C318" s="39" t="s">
        <v>2889</v>
      </c>
      <c r="D318" s="39" t="s">
        <v>3261</v>
      </c>
      <c r="E318" s="39" t="s">
        <v>3106</v>
      </c>
      <c r="F318" s="39" t="s">
        <v>3262</v>
      </c>
      <c r="G318" s="39" t="s">
        <v>1452</v>
      </c>
      <c r="H318" s="39" t="s">
        <v>3263</v>
      </c>
      <c r="I318" s="39"/>
      <c r="J318" s="39" t="s">
        <v>2418</v>
      </c>
      <c r="K318" s="39" t="s">
        <v>2700</v>
      </c>
      <c r="L318" s="39" t="s">
        <v>2725</v>
      </c>
    </row>
    <row r="319" spans="1:12">
      <c r="A319" s="39" t="s">
        <v>3264</v>
      </c>
      <c r="B319" s="39" t="s">
        <v>3265</v>
      </c>
      <c r="C319" s="39" t="s">
        <v>3266</v>
      </c>
      <c r="D319" s="39" t="s">
        <v>3267</v>
      </c>
      <c r="E319" s="39" t="s">
        <v>3113</v>
      </c>
      <c r="F319" s="39" t="s">
        <v>3268</v>
      </c>
      <c r="G319" s="39" t="s">
        <v>3269</v>
      </c>
      <c r="H319" s="39" t="s">
        <v>3270</v>
      </c>
      <c r="I319" s="39" t="s">
        <v>3271</v>
      </c>
      <c r="J319" s="39" t="s">
        <v>2962</v>
      </c>
      <c r="K319" s="39" t="s">
        <v>3272</v>
      </c>
      <c r="L319" s="39" t="s">
        <v>2357</v>
      </c>
    </row>
    <row r="320" spans="1:12">
      <c r="A320" s="39" t="s">
        <v>1278</v>
      </c>
      <c r="B320" s="39" t="s">
        <v>3273</v>
      </c>
      <c r="C320" s="39" t="s">
        <v>2904</v>
      </c>
      <c r="D320" s="39" t="s">
        <v>3274</v>
      </c>
      <c r="E320" s="39" t="s">
        <v>3121</v>
      </c>
      <c r="F320" s="39" t="s">
        <v>2429</v>
      </c>
      <c r="G320" s="39" t="s">
        <v>3275</v>
      </c>
      <c r="H320" s="39" t="s">
        <v>3209</v>
      </c>
      <c r="I320" s="39" t="s">
        <v>3276</v>
      </c>
      <c r="J320" s="39"/>
      <c r="K320" s="39" t="s">
        <v>3277</v>
      </c>
      <c r="L320" s="39"/>
    </row>
    <row r="321" spans="1:12">
      <c r="A321" s="36"/>
      <c r="B321" s="39" t="s">
        <v>3278</v>
      </c>
      <c r="C321" s="39" t="s">
        <v>3279</v>
      </c>
      <c r="D321" s="39" t="s">
        <v>3280</v>
      </c>
      <c r="E321" s="39"/>
      <c r="F321" s="39" t="s">
        <v>2557</v>
      </c>
      <c r="G321" s="39" t="s">
        <v>3281</v>
      </c>
      <c r="H321" s="39"/>
      <c r="I321" s="39" t="s">
        <v>3282</v>
      </c>
      <c r="J321" s="39" t="s">
        <v>1657</v>
      </c>
      <c r="K321" s="39" t="s">
        <v>3283</v>
      </c>
      <c r="L321" s="39" t="s">
        <v>2263</v>
      </c>
    </row>
    <row r="322" spans="1:12">
      <c r="A322" s="39" t="s">
        <v>3284</v>
      </c>
      <c r="B322" s="39" t="s">
        <v>3285</v>
      </c>
      <c r="C322" s="39" t="s">
        <v>3286</v>
      </c>
      <c r="D322" s="39" t="s">
        <v>3174</v>
      </c>
      <c r="E322" s="39" t="s">
        <v>1273</v>
      </c>
      <c r="F322" s="39" t="s">
        <v>3287</v>
      </c>
      <c r="G322" s="39" t="s">
        <v>1452</v>
      </c>
      <c r="H322" s="39" t="s">
        <v>3288</v>
      </c>
      <c r="I322" s="39" t="s">
        <v>3289</v>
      </c>
      <c r="J322" s="39"/>
      <c r="K322" s="39" t="s">
        <v>2734</v>
      </c>
      <c r="L322" s="39" t="s">
        <v>3290</v>
      </c>
    </row>
    <row r="323" spans="1:12">
      <c r="A323" s="39" t="s">
        <v>3291</v>
      </c>
      <c r="B323" s="39" t="s">
        <v>2626</v>
      </c>
      <c r="C323" s="39" t="s">
        <v>2425</v>
      </c>
      <c r="D323" s="39" t="s">
        <v>2357</v>
      </c>
      <c r="E323" s="39" t="s">
        <v>3142</v>
      </c>
      <c r="F323" s="39" t="s">
        <v>2429</v>
      </c>
      <c r="G323" s="39" t="s">
        <v>3292</v>
      </c>
      <c r="H323" s="39" t="s">
        <v>3293</v>
      </c>
      <c r="I323" s="39" t="s">
        <v>3294</v>
      </c>
      <c r="J323" s="39" t="s">
        <v>2986</v>
      </c>
      <c r="K323" s="39" t="s">
        <v>3295</v>
      </c>
      <c r="L323" s="39" t="s">
        <v>3296</v>
      </c>
    </row>
    <row r="324" spans="1:12">
      <c r="A324" s="39" t="s">
        <v>3297</v>
      </c>
      <c r="B324" s="39" t="s">
        <v>2424</v>
      </c>
      <c r="C324" s="39" t="s">
        <v>2435</v>
      </c>
      <c r="D324" s="46" t="s">
        <v>3298</v>
      </c>
      <c r="E324" s="39" t="s">
        <v>2388</v>
      </c>
      <c r="F324" s="39"/>
      <c r="G324" s="39" t="s">
        <v>3299</v>
      </c>
      <c r="H324" s="39" t="s">
        <v>3300</v>
      </c>
      <c r="I324" s="39" t="s">
        <v>3301</v>
      </c>
      <c r="J324" s="39" t="s">
        <v>2618</v>
      </c>
      <c r="K324" s="39" t="s">
        <v>3302</v>
      </c>
      <c r="L324" s="39" t="s">
        <v>3303</v>
      </c>
    </row>
    <row r="325" spans="1:12">
      <c r="A325" s="39" t="s">
        <v>3304</v>
      </c>
      <c r="B325" s="39" t="s">
        <v>3305</v>
      </c>
      <c r="C325" s="39" t="s">
        <v>1548</v>
      </c>
      <c r="D325" s="39" t="s">
        <v>3306</v>
      </c>
      <c r="E325" s="39" t="s">
        <v>1280</v>
      </c>
      <c r="F325" s="39" t="s">
        <v>2584</v>
      </c>
      <c r="G325" s="39" t="s">
        <v>1452</v>
      </c>
      <c r="H325" s="39"/>
      <c r="I325" s="39" t="s">
        <v>3307</v>
      </c>
      <c r="J325" s="39" t="s">
        <v>3308</v>
      </c>
      <c r="K325" s="39" t="s">
        <v>3309</v>
      </c>
      <c r="L325" s="39" t="s">
        <v>3310</v>
      </c>
    </row>
    <row r="326" spans="1:12">
      <c r="A326" s="39" t="s">
        <v>3311</v>
      </c>
      <c r="B326" s="39" t="s">
        <v>3312</v>
      </c>
      <c r="C326" s="39" t="s">
        <v>2673</v>
      </c>
      <c r="D326" s="39" t="s">
        <v>3119</v>
      </c>
      <c r="E326" s="39" t="s">
        <v>2399</v>
      </c>
      <c r="F326" s="39" t="s">
        <v>2590</v>
      </c>
      <c r="G326" s="39" t="s">
        <v>1452</v>
      </c>
      <c r="H326" s="39" t="s">
        <v>3313</v>
      </c>
      <c r="I326" s="39" t="s">
        <v>3314</v>
      </c>
      <c r="J326" s="39" t="s">
        <v>2354</v>
      </c>
      <c r="K326" s="39" t="s">
        <v>2749</v>
      </c>
      <c r="L326" s="39" t="s">
        <v>3157</v>
      </c>
    </row>
    <row r="327" spans="1:12">
      <c r="A327" s="36"/>
      <c r="B327" s="39" t="s">
        <v>2357</v>
      </c>
      <c r="C327" s="39" t="s">
        <v>2265</v>
      </c>
      <c r="D327" s="39" t="s">
        <v>3128</v>
      </c>
      <c r="E327" s="39" t="s">
        <v>2408</v>
      </c>
      <c r="F327" s="39" t="s">
        <v>2596</v>
      </c>
      <c r="G327" s="39" t="s">
        <v>1274</v>
      </c>
      <c r="H327" s="39" t="s">
        <v>3315</v>
      </c>
      <c r="I327" s="39" t="s">
        <v>3316</v>
      </c>
      <c r="J327" s="39" t="s">
        <v>2357</v>
      </c>
      <c r="K327" s="39" t="s">
        <v>3317</v>
      </c>
      <c r="L327" s="39" t="s">
        <v>3318</v>
      </c>
    </row>
    <row r="328" spans="1:12">
      <c r="A328" s="39" t="s">
        <v>3319</v>
      </c>
      <c r="B328" s="39"/>
      <c r="C328" s="39" t="s">
        <v>1259</v>
      </c>
      <c r="D328" s="46" t="s">
        <v>3136</v>
      </c>
      <c r="E328" s="39" t="s">
        <v>1280</v>
      </c>
      <c r="F328" s="39"/>
      <c r="G328" s="39" t="s">
        <v>3320</v>
      </c>
      <c r="H328" s="39"/>
      <c r="I328" s="39" t="s">
        <v>3321</v>
      </c>
      <c r="J328" s="39"/>
      <c r="K328" s="39" t="s">
        <v>3322</v>
      </c>
      <c r="L328" s="39" t="s">
        <v>3171</v>
      </c>
    </row>
    <row r="329" spans="1:12">
      <c r="A329" s="39" t="s">
        <v>3323</v>
      </c>
      <c r="B329" s="39" t="s">
        <v>3324</v>
      </c>
      <c r="C329" s="39" t="s">
        <v>2695</v>
      </c>
      <c r="D329" s="39" t="s">
        <v>3140</v>
      </c>
      <c r="E329" s="39" t="s">
        <v>2421</v>
      </c>
      <c r="F329" s="39" t="s">
        <v>2258</v>
      </c>
      <c r="G329" s="39" t="s">
        <v>1281</v>
      </c>
      <c r="H329" s="39" t="s">
        <v>3325</v>
      </c>
      <c r="I329" s="39" t="s">
        <v>3326</v>
      </c>
      <c r="J329" s="39" t="s">
        <v>2680</v>
      </c>
      <c r="K329" s="39" t="s">
        <v>3327</v>
      </c>
      <c r="L329" s="39" t="s">
        <v>3328</v>
      </c>
    </row>
    <row r="330" spans="1:12">
      <c r="A330" s="39" t="s">
        <v>3329</v>
      </c>
      <c r="B330" s="39" t="s">
        <v>3330</v>
      </c>
      <c r="C330" s="39"/>
      <c r="D330" s="39" t="s">
        <v>3147</v>
      </c>
      <c r="E330" s="39" t="s">
        <v>2429</v>
      </c>
      <c r="F330" s="39" t="s">
        <v>2248</v>
      </c>
      <c r="G330" s="39" t="s">
        <v>3122</v>
      </c>
      <c r="H330" s="39" t="s">
        <v>3331</v>
      </c>
      <c r="I330" s="39" t="s">
        <v>3332</v>
      </c>
      <c r="J330" s="39" t="s">
        <v>2351</v>
      </c>
      <c r="K330" s="39" t="s">
        <v>3333</v>
      </c>
      <c r="L330" s="39" t="s">
        <v>2345</v>
      </c>
    </row>
    <row r="331" spans="1:12">
      <c r="A331" s="39" t="s">
        <v>3334</v>
      </c>
      <c r="B331" s="39" t="s">
        <v>2424</v>
      </c>
      <c r="C331" s="39" t="s">
        <v>2989</v>
      </c>
      <c r="D331" s="39" t="s">
        <v>3153</v>
      </c>
      <c r="E331" s="39" t="s">
        <v>3194</v>
      </c>
      <c r="F331" s="39"/>
      <c r="G331" s="39" t="s">
        <v>3335</v>
      </c>
      <c r="H331" s="39">
        <v>407</v>
      </c>
      <c r="I331" s="39" t="s">
        <v>3336</v>
      </c>
      <c r="J331" s="39" t="s">
        <v>3337</v>
      </c>
      <c r="K331" s="39" t="s">
        <v>3338</v>
      </c>
      <c r="L331" s="39" t="s">
        <v>2405</v>
      </c>
    </row>
    <row r="332" spans="1:12">
      <c r="A332" s="39" t="s">
        <v>3339</v>
      </c>
      <c r="B332" s="39" t="s">
        <v>3340</v>
      </c>
      <c r="C332" s="39" t="s">
        <v>1548</v>
      </c>
      <c r="D332" s="39" t="s">
        <v>3160</v>
      </c>
      <c r="E332" s="39" t="s">
        <v>3201</v>
      </c>
      <c r="F332" s="39"/>
      <c r="G332" s="39" t="s">
        <v>1281</v>
      </c>
      <c r="H332" s="39" t="s">
        <v>3341</v>
      </c>
      <c r="I332" s="39" t="s">
        <v>3342</v>
      </c>
      <c r="J332" s="39" t="s">
        <v>2354</v>
      </c>
      <c r="K332" s="39" t="s">
        <v>2824</v>
      </c>
      <c r="L332" s="39" t="s">
        <v>3343</v>
      </c>
    </row>
    <row r="333" spans="1:12">
      <c r="A333" s="39" t="s">
        <v>3344</v>
      </c>
      <c r="B333" s="39" t="s">
        <v>3345</v>
      </c>
      <c r="C333" s="39" t="s">
        <v>3346</v>
      </c>
      <c r="D333" s="39" t="s">
        <v>3166</v>
      </c>
      <c r="E333" s="39" t="s">
        <v>2429</v>
      </c>
      <c r="F333" s="39" t="s">
        <v>1273</v>
      </c>
      <c r="G333" s="39" t="s">
        <v>3347</v>
      </c>
      <c r="H333" s="39" t="s">
        <v>3348</v>
      </c>
      <c r="I333" s="39" t="s">
        <v>2836</v>
      </c>
      <c r="J333" s="39" t="s">
        <v>2357</v>
      </c>
      <c r="K333" s="39" t="s">
        <v>2833</v>
      </c>
      <c r="L333" s="39" t="s">
        <v>3349</v>
      </c>
    </row>
    <row r="334" spans="1:12">
      <c r="A334" s="39" t="s">
        <v>3350</v>
      </c>
      <c r="B334" s="39" t="s">
        <v>3351</v>
      </c>
      <c r="C334" s="39" t="s">
        <v>3352</v>
      </c>
      <c r="D334" s="39" t="s">
        <v>3174</v>
      </c>
      <c r="E334" s="39"/>
      <c r="F334" s="39" t="s">
        <v>2641</v>
      </c>
      <c r="G334" s="39" t="s">
        <v>3353</v>
      </c>
      <c r="H334" s="39"/>
      <c r="I334" s="39" t="s">
        <v>3354</v>
      </c>
      <c r="J334" s="39"/>
      <c r="K334" s="39" t="s">
        <v>2841</v>
      </c>
      <c r="L334" s="39" t="s">
        <v>3355</v>
      </c>
    </row>
    <row r="335" spans="1:12">
      <c r="A335" s="39" t="s">
        <v>3356</v>
      </c>
      <c r="B335" s="39" t="s">
        <v>3357</v>
      </c>
      <c r="C335" s="39" t="s">
        <v>3358</v>
      </c>
      <c r="D335" s="39" t="s">
        <v>2357</v>
      </c>
      <c r="E335" s="39" t="s">
        <v>2469</v>
      </c>
      <c r="F335" s="39" t="s">
        <v>1280</v>
      </c>
      <c r="G335" s="39" t="s">
        <v>3359</v>
      </c>
      <c r="H335" s="39" t="s">
        <v>3360</v>
      </c>
      <c r="I335" s="39" t="s">
        <v>3361</v>
      </c>
      <c r="J335" s="39" t="s">
        <v>2503</v>
      </c>
      <c r="K335" s="39" t="s">
        <v>2849</v>
      </c>
      <c r="L335" s="39" t="s">
        <v>3362</v>
      </c>
    </row>
    <row r="336" spans="1:12">
      <c r="A336" s="39" t="s">
        <v>3319</v>
      </c>
      <c r="B336" s="39" t="s">
        <v>3363</v>
      </c>
      <c r="C336" s="39" t="s">
        <v>3364</v>
      </c>
      <c r="D336" s="39"/>
      <c r="E336" s="39"/>
      <c r="F336" s="39" t="s">
        <v>2399</v>
      </c>
      <c r="G336" s="39" t="s">
        <v>3365</v>
      </c>
      <c r="H336" s="39" t="s">
        <v>3366</v>
      </c>
      <c r="I336" s="39" t="s">
        <v>3367</v>
      </c>
      <c r="J336" s="39" t="s">
        <v>2374</v>
      </c>
      <c r="K336" s="39"/>
      <c r="L336" s="39" t="s">
        <v>2722</v>
      </c>
    </row>
    <row r="337" spans="1:12">
      <c r="A337" s="36"/>
      <c r="B337" s="39" t="s">
        <v>3368</v>
      </c>
      <c r="C337" s="39"/>
      <c r="D337" s="39" t="s">
        <v>3369</v>
      </c>
      <c r="E337" s="39" t="s">
        <v>2482</v>
      </c>
      <c r="F337" s="39" t="s">
        <v>2663</v>
      </c>
      <c r="G337" s="39" t="s">
        <v>1452</v>
      </c>
      <c r="H337" s="39" t="s">
        <v>3370</v>
      </c>
      <c r="I337" s="39" t="s">
        <v>3371</v>
      </c>
      <c r="J337" s="39" t="s">
        <v>3372</v>
      </c>
      <c r="K337" s="39" t="s">
        <v>3373</v>
      </c>
      <c r="L337" s="39"/>
    </row>
    <row r="338" spans="1:12">
      <c r="A338" s="39" t="s">
        <v>2248</v>
      </c>
      <c r="B338" s="39" t="s">
        <v>2357</v>
      </c>
      <c r="C338" s="39" t="s">
        <v>3374</v>
      </c>
      <c r="D338" s="39" t="s">
        <v>2263</v>
      </c>
      <c r="E338" s="39" t="s">
        <v>2490</v>
      </c>
      <c r="F338" s="39" t="s">
        <v>1280</v>
      </c>
      <c r="G338" s="39" t="s">
        <v>3375</v>
      </c>
      <c r="H338" s="39">
        <v>444</v>
      </c>
      <c r="I338" s="39"/>
      <c r="J338" s="39" t="s">
        <v>2354</v>
      </c>
      <c r="K338" s="39" t="s">
        <v>3138</v>
      </c>
      <c r="L338" s="39" t="s">
        <v>3376</v>
      </c>
    </row>
    <row r="339" spans="1:12">
      <c r="A339" s="36"/>
      <c r="B339" s="39"/>
      <c r="C339" s="39" t="s">
        <v>2929</v>
      </c>
      <c r="D339" s="39" t="s">
        <v>2718</v>
      </c>
      <c r="E339" s="39" t="s">
        <v>2498</v>
      </c>
      <c r="F339" s="39" t="s">
        <v>2676</v>
      </c>
      <c r="G339" s="39" t="s">
        <v>3377</v>
      </c>
      <c r="H339" s="39" t="s">
        <v>3378</v>
      </c>
      <c r="I339" s="39" t="s">
        <v>3379</v>
      </c>
      <c r="J339" s="39" t="s">
        <v>2357</v>
      </c>
      <c r="K339" s="39" t="s">
        <v>2872</v>
      </c>
      <c r="L339" s="39" t="s">
        <v>3380</v>
      </c>
    </row>
    <row r="340" spans="1:12">
      <c r="A340" s="39" t="s">
        <v>1278</v>
      </c>
      <c r="B340" s="39" t="s">
        <v>3381</v>
      </c>
      <c r="C340" s="39" t="s">
        <v>3382</v>
      </c>
      <c r="D340" s="39" t="s">
        <v>2729</v>
      </c>
      <c r="E340" s="39"/>
      <c r="F340" s="39" t="s">
        <v>2706</v>
      </c>
      <c r="G340" s="39" t="s">
        <v>3383</v>
      </c>
      <c r="H340" s="39" t="s">
        <v>3384</v>
      </c>
      <c r="I340" s="39" t="s">
        <v>3385</v>
      </c>
      <c r="J340" s="39"/>
      <c r="K340" s="39" t="s">
        <v>3386</v>
      </c>
      <c r="L340" s="39" t="s">
        <v>3387</v>
      </c>
    </row>
    <row r="341" spans="1:12">
      <c r="A341" s="39" t="s">
        <v>3388</v>
      </c>
      <c r="B341" s="39" t="s">
        <v>3389</v>
      </c>
      <c r="C341" s="39" t="s">
        <v>3390</v>
      </c>
      <c r="D341" s="39" t="s">
        <v>2737</v>
      </c>
      <c r="E341" s="39" t="s">
        <v>2511</v>
      </c>
      <c r="F341" s="39" t="s">
        <v>2684</v>
      </c>
      <c r="G341" s="39" t="s">
        <v>3391</v>
      </c>
      <c r="H341" s="39" t="s">
        <v>3392</v>
      </c>
      <c r="I341" s="39" t="s">
        <v>3393</v>
      </c>
      <c r="J341" s="39" t="s">
        <v>3394</v>
      </c>
      <c r="K341" s="39" t="s">
        <v>3395</v>
      </c>
      <c r="L341" s="39" t="s">
        <v>3396</v>
      </c>
    </row>
    <row r="342" spans="1:12">
      <c r="A342" s="36"/>
      <c r="B342" s="39" t="s">
        <v>3397</v>
      </c>
      <c r="C342" s="39" t="s">
        <v>3398</v>
      </c>
      <c r="D342" s="110" t="s">
        <v>3399</v>
      </c>
      <c r="E342" s="39"/>
      <c r="F342" s="39" t="s">
        <v>3400</v>
      </c>
      <c r="G342" s="39" t="s">
        <v>3401</v>
      </c>
      <c r="H342" s="39"/>
      <c r="I342" s="39" t="s">
        <v>3402</v>
      </c>
      <c r="J342" s="39" t="s">
        <v>3123</v>
      </c>
      <c r="K342" s="39"/>
      <c r="L342" s="39" t="s">
        <v>3403</v>
      </c>
    </row>
    <row r="343" spans="1:12">
      <c r="A343" s="39" t="s">
        <v>2335</v>
      </c>
      <c r="B343" s="39" t="s">
        <v>3389</v>
      </c>
      <c r="C343" s="39" t="s">
        <v>3404</v>
      </c>
      <c r="D343" s="45" t="s">
        <v>2744</v>
      </c>
      <c r="E343" s="39" t="s">
        <v>2527</v>
      </c>
      <c r="F343" s="39"/>
      <c r="G343" s="39" t="s">
        <v>1452</v>
      </c>
      <c r="H343" s="39" t="s">
        <v>3405</v>
      </c>
      <c r="I343" s="39" t="s">
        <v>3406</v>
      </c>
      <c r="J343" s="39" t="s">
        <v>3131</v>
      </c>
      <c r="K343" s="39" t="s">
        <v>3407</v>
      </c>
      <c r="L343" s="39"/>
    </row>
    <row r="344" spans="1:12">
      <c r="A344" s="39" t="s">
        <v>2442</v>
      </c>
      <c r="B344" s="39" t="s">
        <v>3408</v>
      </c>
      <c r="C344" s="39" t="s">
        <v>3409</v>
      </c>
      <c r="D344" s="39" t="s">
        <v>2345</v>
      </c>
      <c r="E344" s="39" t="s">
        <v>3262</v>
      </c>
      <c r="F344" s="39" t="s">
        <v>3410</v>
      </c>
      <c r="G344" s="39" t="s">
        <v>3411</v>
      </c>
      <c r="H344" s="39"/>
      <c r="I344" s="39" t="s">
        <v>3412</v>
      </c>
      <c r="J344" s="39" t="s">
        <v>2228</v>
      </c>
      <c r="K344" s="39" t="s">
        <v>2648</v>
      </c>
      <c r="L344" s="39" t="s">
        <v>3413</v>
      </c>
    </row>
    <row r="345" spans="1:12">
      <c r="A345" s="39" t="s">
        <v>3414</v>
      </c>
      <c r="B345" s="39" t="s">
        <v>3415</v>
      </c>
      <c r="C345" s="39" t="s">
        <v>3416</v>
      </c>
      <c r="D345" s="39"/>
      <c r="E345" s="39" t="s">
        <v>3268</v>
      </c>
      <c r="F345" s="39" t="s">
        <v>3417</v>
      </c>
      <c r="G345" s="39" t="s">
        <v>3418</v>
      </c>
      <c r="H345" s="39" t="s">
        <v>3419</v>
      </c>
      <c r="I345" s="39" t="s">
        <v>3420</v>
      </c>
      <c r="J345" s="39" t="s">
        <v>2237</v>
      </c>
      <c r="K345" s="39" t="s">
        <v>2656</v>
      </c>
      <c r="L345" s="39" t="s">
        <v>3421</v>
      </c>
    </row>
    <row r="346" spans="1:12">
      <c r="A346" s="39" t="s">
        <v>2354</v>
      </c>
      <c r="B346" s="39"/>
      <c r="C346" s="39" t="s">
        <v>3422</v>
      </c>
      <c r="D346" s="39" t="s">
        <v>3423</v>
      </c>
      <c r="E346" s="39" t="s">
        <v>2429</v>
      </c>
      <c r="F346" s="39" t="s">
        <v>3424</v>
      </c>
      <c r="G346" s="39" t="s">
        <v>3425</v>
      </c>
      <c r="H346" s="39" t="s">
        <v>3426</v>
      </c>
      <c r="I346" s="39" t="s">
        <v>3427</v>
      </c>
      <c r="J346" s="39" t="s">
        <v>2581</v>
      </c>
      <c r="K346" s="39" t="s">
        <v>2665</v>
      </c>
      <c r="L346" s="39" t="s">
        <v>3428</v>
      </c>
    </row>
    <row r="347" spans="1:12">
      <c r="A347" s="39" t="s">
        <v>2357</v>
      </c>
      <c r="B347" s="39" t="s">
        <v>3429</v>
      </c>
      <c r="C347" s="39" t="s">
        <v>3430</v>
      </c>
      <c r="D347" s="39"/>
      <c r="E347" s="39" t="s">
        <v>2557</v>
      </c>
      <c r="F347" s="39" t="s">
        <v>3431</v>
      </c>
      <c r="G347" s="39" t="s">
        <v>3432</v>
      </c>
      <c r="H347" s="39" t="s">
        <v>3433</v>
      </c>
      <c r="I347" s="39" t="s">
        <v>2836</v>
      </c>
      <c r="J347" s="39" t="s">
        <v>2265</v>
      </c>
      <c r="K347" s="39" t="s">
        <v>3434</v>
      </c>
      <c r="L347" s="39" t="s">
        <v>3435</v>
      </c>
    </row>
    <row r="348" spans="1:12">
      <c r="A348" s="36"/>
      <c r="B348" s="39" t="s">
        <v>3436</v>
      </c>
      <c r="C348" s="39" t="s">
        <v>3437</v>
      </c>
      <c r="D348" s="39" t="s">
        <v>3438</v>
      </c>
      <c r="E348" s="39" t="s">
        <v>3287</v>
      </c>
      <c r="F348" s="39" t="s">
        <v>3439</v>
      </c>
      <c r="G348" s="39" t="s">
        <v>3440</v>
      </c>
      <c r="H348" s="39" t="s">
        <v>3441</v>
      </c>
      <c r="I348" s="39" t="s">
        <v>3371</v>
      </c>
      <c r="J348" s="39" t="s">
        <v>1278</v>
      </c>
      <c r="K348" s="39"/>
      <c r="L348" s="39" t="s">
        <v>3442</v>
      </c>
    </row>
    <row r="349" spans="1:12">
      <c r="A349" s="39" t="s">
        <v>2368</v>
      </c>
      <c r="B349" s="39" t="s">
        <v>2424</v>
      </c>
      <c r="C349" s="39" t="s">
        <v>3443</v>
      </c>
      <c r="D349" s="39" t="s">
        <v>3444</v>
      </c>
      <c r="E349" s="39" t="s">
        <v>2429</v>
      </c>
      <c r="F349" s="39"/>
      <c r="G349" s="39" t="s">
        <v>3445</v>
      </c>
      <c r="H349" s="39" t="s">
        <v>3446</v>
      </c>
      <c r="I349" s="39" t="s">
        <v>3447</v>
      </c>
      <c r="J349" s="39" t="s">
        <v>3169</v>
      </c>
      <c r="K349" s="39" t="s">
        <v>3448</v>
      </c>
      <c r="L349" s="39" t="s">
        <v>3449</v>
      </c>
    </row>
    <row r="350" spans="1:12">
      <c r="A350" s="39" t="s">
        <v>2374</v>
      </c>
      <c r="B350" s="39" t="s">
        <v>3450</v>
      </c>
      <c r="C350" s="39"/>
      <c r="D350" s="39"/>
      <c r="E350" s="39"/>
      <c r="F350" s="39" t="s">
        <v>2775</v>
      </c>
      <c r="G350" s="39" t="s">
        <v>3451</v>
      </c>
      <c r="H350" s="39" t="s">
        <v>3452</v>
      </c>
      <c r="I350" s="39" t="s">
        <v>3453</v>
      </c>
      <c r="J350" s="39" t="s">
        <v>3454</v>
      </c>
      <c r="K350" s="39" t="s">
        <v>2288</v>
      </c>
      <c r="L350" s="39" t="s">
        <v>3442</v>
      </c>
    </row>
    <row r="351" spans="1:12">
      <c r="A351" s="39" t="s">
        <v>3455</v>
      </c>
      <c r="B351" s="39" t="s">
        <v>3456</v>
      </c>
      <c r="C351" s="39" t="s">
        <v>3457</v>
      </c>
      <c r="D351" s="39" t="s">
        <v>3458</v>
      </c>
      <c r="E351" s="39" t="s">
        <v>2584</v>
      </c>
      <c r="F351" s="39" t="s">
        <v>3459</v>
      </c>
      <c r="G351" s="39" t="s">
        <v>3460</v>
      </c>
      <c r="H351" s="39" t="s">
        <v>3461</v>
      </c>
      <c r="I351" s="39" t="s">
        <v>3462</v>
      </c>
      <c r="J351" s="39"/>
      <c r="K351" s="39" t="s">
        <v>3463</v>
      </c>
      <c r="L351" s="39" t="s">
        <v>2345</v>
      </c>
    </row>
    <row r="352" spans="1:12">
      <c r="A352" s="39" t="s">
        <v>2354</v>
      </c>
      <c r="B352" s="39" t="s">
        <v>3464</v>
      </c>
      <c r="C352" s="39" t="s">
        <v>3465</v>
      </c>
      <c r="D352" s="39" t="s">
        <v>3466</v>
      </c>
      <c r="E352" s="39" t="s">
        <v>2590</v>
      </c>
      <c r="F352" s="39" t="s">
        <v>3467</v>
      </c>
      <c r="G352" s="39" t="s">
        <v>1452</v>
      </c>
      <c r="H352" s="39" t="s">
        <v>3468</v>
      </c>
      <c r="I352" s="39" t="s">
        <v>2631</v>
      </c>
      <c r="J352" s="39" t="s">
        <v>2365</v>
      </c>
      <c r="K352" s="39" t="s">
        <v>2648</v>
      </c>
      <c r="L352" s="39" t="s">
        <v>3403</v>
      </c>
    </row>
    <row r="353" spans="1:12">
      <c r="A353" s="39" t="s">
        <v>2357</v>
      </c>
      <c r="B353" s="39" t="s">
        <v>3469</v>
      </c>
      <c r="C353" s="39" t="s">
        <v>3470</v>
      </c>
      <c r="D353" s="39" t="s">
        <v>3471</v>
      </c>
      <c r="E353" s="39" t="s">
        <v>2596</v>
      </c>
      <c r="F353" s="39" t="s">
        <v>3472</v>
      </c>
      <c r="G353" s="39" t="s">
        <v>3473</v>
      </c>
      <c r="H353" s="39"/>
      <c r="I353" s="39" t="s">
        <v>3474</v>
      </c>
      <c r="J353" s="39" t="s">
        <v>2351</v>
      </c>
      <c r="K353" s="39" t="s">
        <v>2656</v>
      </c>
      <c r="L353" s="39"/>
    </row>
    <row r="354" spans="1:12">
      <c r="A354" s="36"/>
      <c r="B354" s="39" t="s">
        <v>3475</v>
      </c>
      <c r="C354" s="39" t="s">
        <v>3273</v>
      </c>
      <c r="D354" s="39"/>
      <c r="E354" s="39"/>
      <c r="F354" s="39" t="s">
        <v>3476</v>
      </c>
      <c r="G354" s="39" t="s">
        <v>3477</v>
      </c>
      <c r="H354" s="39" t="s">
        <v>3478</v>
      </c>
      <c r="I354" s="39"/>
      <c r="J354" s="39" t="s">
        <v>3479</v>
      </c>
      <c r="K354" s="39" t="s">
        <v>2665</v>
      </c>
      <c r="L354" s="39" t="s">
        <v>1273</v>
      </c>
    </row>
    <row r="355" spans="1:12">
      <c r="A355" s="39" t="s">
        <v>3480</v>
      </c>
      <c r="B355" s="39" t="s">
        <v>3481</v>
      </c>
      <c r="C355" s="39" t="s">
        <v>3482</v>
      </c>
      <c r="D355" s="39" t="s">
        <v>3483</v>
      </c>
      <c r="E355" s="39" t="s">
        <v>2258</v>
      </c>
      <c r="F355" s="39" t="s">
        <v>3484</v>
      </c>
      <c r="G355" s="39" t="s">
        <v>3485</v>
      </c>
      <c r="H355" s="39" t="s">
        <v>3486</v>
      </c>
      <c r="I355" s="39" t="s">
        <v>2986</v>
      </c>
      <c r="J355" s="39" t="s">
        <v>2354</v>
      </c>
      <c r="K355" s="39" t="s">
        <v>3487</v>
      </c>
      <c r="L355" s="39" t="s">
        <v>3488</v>
      </c>
    </row>
    <row r="356" spans="1:12">
      <c r="A356" s="39" t="s">
        <v>3489</v>
      </c>
      <c r="B356" s="39" t="s">
        <v>3490</v>
      </c>
      <c r="C356" s="39" t="s">
        <v>3491</v>
      </c>
      <c r="D356" s="39" t="s">
        <v>3076</v>
      </c>
      <c r="E356" s="39" t="s">
        <v>2248</v>
      </c>
      <c r="F356" s="39" t="s">
        <v>3492</v>
      </c>
      <c r="G356" s="39" t="s">
        <v>3493</v>
      </c>
      <c r="H356" s="39" t="s">
        <v>3494</v>
      </c>
      <c r="I356" s="39" t="s">
        <v>2618</v>
      </c>
      <c r="J356" s="39" t="s">
        <v>2357</v>
      </c>
      <c r="K356" s="39"/>
      <c r="L356" s="39" t="s">
        <v>3495</v>
      </c>
    </row>
    <row r="357" spans="1:12">
      <c r="A357" s="39" t="s">
        <v>3496</v>
      </c>
      <c r="B357" s="39" t="s">
        <v>3497</v>
      </c>
      <c r="C357" s="39" t="s">
        <v>3498</v>
      </c>
      <c r="D357" s="39" t="s">
        <v>3499</v>
      </c>
      <c r="E357" s="39"/>
      <c r="F357" s="39" t="s">
        <v>3500</v>
      </c>
      <c r="G357" s="39" t="s">
        <v>1452</v>
      </c>
      <c r="H357" s="39" t="s">
        <v>3501</v>
      </c>
      <c r="I357" s="39" t="s">
        <v>3502</v>
      </c>
      <c r="J357" s="39"/>
      <c r="K357" s="39" t="s">
        <v>3054</v>
      </c>
      <c r="L357" s="39" t="s">
        <v>3503</v>
      </c>
    </row>
    <row r="358" spans="1:12">
      <c r="A358" s="36"/>
      <c r="B358" s="39" t="s">
        <v>3504</v>
      </c>
      <c r="C358" s="39" t="s">
        <v>3505</v>
      </c>
      <c r="D358" s="39" t="s">
        <v>3506</v>
      </c>
      <c r="E358" s="39"/>
      <c r="F358" s="39"/>
      <c r="G358" s="39" t="s">
        <v>3507</v>
      </c>
      <c r="H358" s="39" t="s">
        <v>3508</v>
      </c>
      <c r="I358" s="39" t="s">
        <v>2354</v>
      </c>
      <c r="J358" s="39" t="s">
        <v>3226</v>
      </c>
      <c r="K358" s="39"/>
      <c r="L358" s="39" t="s">
        <v>3509</v>
      </c>
    </row>
    <row r="359" spans="1:12">
      <c r="A359" s="39" t="s">
        <v>3510</v>
      </c>
      <c r="B359" s="39" t="s">
        <v>3511</v>
      </c>
      <c r="C359" s="39" t="s">
        <v>3512</v>
      </c>
      <c r="D359" s="39" t="s">
        <v>3513</v>
      </c>
      <c r="E359" s="39" t="s">
        <v>1273</v>
      </c>
      <c r="F359" s="39" t="s">
        <v>3514</v>
      </c>
      <c r="G359" s="39" t="s">
        <v>3515</v>
      </c>
      <c r="H359" s="39" t="s">
        <v>3516</v>
      </c>
      <c r="I359" s="39" t="s">
        <v>2357</v>
      </c>
      <c r="J359" s="39" t="s">
        <v>2618</v>
      </c>
      <c r="K359" s="39" t="s">
        <v>3517</v>
      </c>
      <c r="L359" s="39" t="s">
        <v>3518</v>
      </c>
    </row>
    <row r="360" spans="1:12">
      <c r="A360" s="39" t="s">
        <v>3519</v>
      </c>
      <c r="B360" s="39" t="s">
        <v>3520</v>
      </c>
      <c r="C360" s="39" t="s">
        <v>3521</v>
      </c>
      <c r="D360" s="39" t="s">
        <v>3522</v>
      </c>
      <c r="E360" s="39" t="s">
        <v>2641</v>
      </c>
      <c r="F360" s="39" t="s">
        <v>3523</v>
      </c>
      <c r="G360" s="39" t="s">
        <v>1452</v>
      </c>
      <c r="H360" s="39" t="s">
        <v>1273</v>
      </c>
      <c r="I360" s="39"/>
      <c r="J360" s="39" t="s">
        <v>2777</v>
      </c>
      <c r="K360" s="39" t="s">
        <v>2265</v>
      </c>
      <c r="L360" s="39" t="s">
        <v>3524</v>
      </c>
    </row>
    <row r="361" spans="1:12">
      <c r="A361" s="39" t="s">
        <v>3525</v>
      </c>
      <c r="B361" s="39" t="s">
        <v>3526</v>
      </c>
      <c r="C361" s="39" t="s">
        <v>2626</v>
      </c>
      <c r="D361" s="39" t="s">
        <v>3527</v>
      </c>
      <c r="E361" s="39" t="s">
        <v>1280</v>
      </c>
      <c r="F361" s="39" t="s">
        <v>3528</v>
      </c>
      <c r="G361" s="39" t="s">
        <v>3529</v>
      </c>
      <c r="H361" s="39" t="s">
        <v>3530</v>
      </c>
      <c r="I361" s="39" t="s">
        <v>2680</v>
      </c>
      <c r="J361" s="39" t="s">
        <v>2354</v>
      </c>
      <c r="K361" s="39" t="s">
        <v>1657</v>
      </c>
      <c r="L361" s="39" t="s">
        <v>3531</v>
      </c>
    </row>
    <row r="362" spans="1:12">
      <c r="A362" s="39" t="s">
        <v>3532</v>
      </c>
      <c r="B362" s="39" t="s">
        <v>3533</v>
      </c>
      <c r="C362" s="39" t="s">
        <v>3534</v>
      </c>
      <c r="D362" s="39" t="s">
        <v>3535</v>
      </c>
      <c r="E362" s="39" t="s">
        <v>2399</v>
      </c>
      <c r="F362" s="39" t="s">
        <v>3536</v>
      </c>
      <c r="G362" s="39" t="s">
        <v>3537</v>
      </c>
      <c r="H362" s="39" t="s">
        <v>3421</v>
      </c>
      <c r="I362" s="39" t="s">
        <v>2351</v>
      </c>
      <c r="J362" s="39" t="s">
        <v>2357</v>
      </c>
      <c r="K362" s="39" t="s">
        <v>3538</v>
      </c>
      <c r="L362" s="39" t="s">
        <v>3539</v>
      </c>
    </row>
    <row r="363" spans="1:12">
      <c r="A363" s="36"/>
      <c r="B363" s="39" t="s">
        <v>3540</v>
      </c>
      <c r="C363" s="39" t="s">
        <v>3541</v>
      </c>
      <c r="D363" s="39"/>
      <c r="E363" s="39" t="s">
        <v>2663</v>
      </c>
      <c r="F363" s="39"/>
      <c r="G363" s="39" t="s">
        <v>3542</v>
      </c>
      <c r="H363" s="39" t="s">
        <v>3543</v>
      </c>
      <c r="I363" s="39" t="s">
        <v>3544</v>
      </c>
      <c r="J363" s="39" t="s">
        <v>2412</v>
      </c>
      <c r="K363" s="39"/>
      <c r="L363" s="39" t="s">
        <v>3545</v>
      </c>
    </row>
    <row r="364" spans="1:12">
      <c r="A364" s="39" t="s">
        <v>3546</v>
      </c>
      <c r="B364" s="39" t="s">
        <v>3547</v>
      </c>
      <c r="C364" s="39" t="s">
        <v>3273</v>
      </c>
      <c r="D364" s="39" t="s">
        <v>2263</v>
      </c>
      <c r="E364" s="39" t="s">
        <v>1280</v>
      </c>
      <c r="F364" s="39" t="s">
        <v>3548</v>
      </c>
      <c r="G364" s="39" t="s">
        <v>3281</v>
      </c>
      <c r="H364" s="39" t="s">
        <v>3435</v>
      </c>
      <c r="I364" s="39" t="s">
        <v>2354</v>
      </c>
      <c r="J364" s="39" t="s">
        <v>1278</v>
      </c>
      <c r="K364" s="39" t="s">
        <v>3549</v>
      </c>
      <c r="L364" s="39"/>
    </row>
    <row r="365" spans="1:12">
      <c r="A365" s="39" t="s">
        <v>3550</v>
      </c>
      <c r="B365" s="39" t="s">
        <v>2357</v>
      </c>
      <c r="C365" s="39" t="s">
        <v>3551</v>
      </c>
      <c r="D365" s="39" t="s">
        <v>2718</v>
      </c>
      <c r="E365" s="39" t="s">
        <v>2676</v>
      </c>
      <c r="F365" s="39" t="s">
        <v>3552</v>
      </c>
      <c r="G365" s="39" t="s">
        <v>1452</v>
      </c>
      <c r="H365" s="39" t="s">
        <v>3553</v>
      </c>
      <c r="I365" s="39" t="s">
        <v>2357</v>
      </c>
      <c r="J365" s="39" t="s">
        <v>3259</v>
      </c>
      <c r="K365" s="39" t="s">
        <v>3554</v>
      </c>
      <c r="L365" s="39" t="s">
        <v>3555</v>
      </c>
    </row>
    <row r="366" spans="1:12">
      <c r="A366" s="39" t="s">
        <v>3556</v>
      </c>
      <c r="B366" s="39" t="s">
        <v>3557</v>
      </c>
      <c r="C366" s="39" t="s">
        <v>3558</v>
      </c>
      <c r="D366" s="39" t="s">
        <v>2729</v>
      </c>
      <c r="E366" s="39" t="s">
        <v>2706</v>
      </c>
      <c r="F366" s="39"/>
      <c r="G366" s="39" t="s">
        <v>3559</v>
      </c>
      <c r="H366" s="39" t="s">
        <v>3449</v>
      </c>
      <c r="I366" s="39"/>
      <c r="J366" s="39"/>
      <c r="K366" s="39" t="s">
        <v>3560</v>
      </c>
      <c r="L366" s="39" t="s">
        <v>3561</v>
      </c>
    </row>
    <row r="367" spans="1:12">
      <c r="A367" s="39" t="s">
        <v>3562</v>
      </c>
      <c r="B367" s="39" t="s">
        <v>3563</v>
      </c>
      <c r="C367" s="39" t="s">
        <v>3564</v>
      </c>
      <c r="D367" s="39" t="s">
        <v>2737</v>
      </c>
      <c r="E367" s="39" t="s">
        <v>2684</v>
      </c>
      <c r="F367" s="39" t="s">
        <v>2839</v>
      </c>
      <c r="G367" s="39" t="s">
        <v>3565</v>
      </c>
      <c r="H367" s="39" t="s">
        <v>3553</v>
      </c>
      <c r="I367" s="39" t="s">
        <v>3566</v>
      </c>
      <c r="J367" s="39" t="s">
        <v>3271</v>
      </c>
      <c r="K367" s="39" t="s">
        <v>3567</v>
      </c>
      <c r="L367" s="39" t="s">
        <v>3568</v>
      </c>
    </row>
    <row r="368" spans="1:12">
      <c r="A368" s="39" t="s">
        <v>3569</v>
      </c>
      <c r="B368" s="39" t="s">
        <v>3570</v>
      </c>
      <c r="C368" s="39" t="s">
        <v>3571</v>
      </c>
      <c r="D368" s="45"/>
      <c r="E368" s="39" t="s">
        <v>3400</v>
      </c>
      <c r="F368" s="39" t="s">
        <v>2847</v>
      </c>
      <c r="G368" s="39" t="s">
        <v>1452</v>
      </c>
      <c r="H368" s="39" t="s">
        <v>2345</v>
      </c>
      <c r="I368" s="39" t="s">
        <v>2237</v>
      </c>
      <c r="J368" s="39" t="s">
        <v>3572</v>
      </c>
      <c r="K368" s="39" t="s">
        <v>3573</v>
      </c>
      <c r="L368" s="39" t="s">
        <v>3574</v>
      </c>
    </row>
    <row r="369" spans="1:12">
      <c r="A369" s="39" t="s">
        <v>3575</v>
      </c>
      <c r="B369" s="39" t="s">
        <v>2424</v>
      </c>
      <c r="C369" s="39" t="s">
        <v>3576</v>
      </c>
      <c r="D369" s="45" t="s">
        <v>2744</v>
      </c>
      <c r="E369" s="39"/>
      <c r="F369" s="39" t="s">
        <v>2855</v>
      </c>
      <c r="G369" s="39" t="s">
        <v>3577</v>
      </c>
      <c r="H369" s="39" t="s">
        <v>3578</v>
      </c>
      <c r="I369" s="39" t="s">
        <v>3579</v>
      </c>
      <c r="J369" s="39" t="s">
        <v>3580</v>
      </c>
      <c r="K369" s="39" t="s">
        <v>2357</v>
      </c>
      <c r="L369" s="39" t="s">
        <v>3581</v>
      </c>
    </row>
    <row r="370" spans="1:12">
      <c r="A370" s="36"/>
      <c r="B370" s="39" t="s">
        <v>3582</v>
      </c>
      <c r="C370" s="39" t="s">
        <v>3583</v>
      </c>
      <c r="D370" s="39" t="s">
        <v>3584</v>
      </c>
      <c r="E370" s="39" t="s">
        <v>3514</v>
      </c>
      <c r="F370" s="39" t="s">
        <v>2596</v>
      </c>
      <c r="G370" s="39" t="s">
        <v>3585</v>
      </c>
      <c r="H370" s="39" t="s">
        <v>3586</v>
      </c>
      <c r="I370" s="39" t="s">
        <v>2265</v>
      </c>
      <c r="J370" s="39" t="s">
        <v>3587</v>
      </c>
      <c r="K370" s="39"/>
      <c r="L370" s="39" t="s">
        <v>3588</v>
      </c>
    </row>
    <row r="371" spans="1:12">
      <c r="A371" s="39" t="s">
        <v>3589</v>
      </c>
      <c r="B371" s="39" t="s">
        <v>3345</v>
      </c>
      <c r="C371" s="39" t="s">
        <v>2626</v>
      </c>
      <c r="D371" s="39" t="s">
        <v>3590</v>
      </c>
      <c r="E371" s="39" t="s">
        <v>3523</v>
      </c>
      <c r="F371" s="39"/>
      <c r="G371" s="39" t="s">
        <v>3542</v>
      </c>
      <c r="H371" s="39" t="s">
        <v>3516</v>
      </c>
      <c r="I371" s="39" t="s">
        <v>1278</v>
      </c>
      <c r="J371" s="39" t="s">
        <v>3591</v>
      </c>
      <c r="K371" s="39" t="s">
        <v>3592</v>
      </c>
      <c r="L371" s="39" t="s">
        <v>3593</v>
      </c>
    </row>
    <row r="372" spans="1:12">
      <c r="A372" s="39" t="s">
        <v>3085</v>
      </c>
      <c r="B372" s="39" t="s">
        <v>3351</v>
      </c>
      <c r="C372" s="39" t="s">
        <v>1273</v>
      </c>
      <c r="D372" s="45" t="s">
        <v>2744</v>
      </c>
      <c r="E372" s="39" t="s">
        <v>3528</v>
      </c>
      <c r="F372" s="39" t="s">
        <v>3594</v>
      </c>
      <c r="G372" s="39" t="s">
        <v>3281</v>
      </c>
      <c r="H372" s="39" t="s">
        <v>1273</v>
      </c>
      <c r="I372" s="39" t="s">
        <v>3595</v>
      </c>
      <c r="J372" s="39" t="s">
        <v>3596</v>
      </c>
      <c r="K372" s="39" t="s">
        <v>3597</v>
      </c>
      <c r="L372" s="39" t="s">
        <v>3598</v>
      </c>
    </row>
    <row r="373" spans="1:12">
      <c r="A373" s="39" t="s">
        <v>3091</v>
      </c>
      <c r="B373" s="39" t="s">
        <v>3357</v>
      </c>
      <c r="C373" s="39" t="s">
        <v>3599</v>
      </c>
      <c r="D373" s="45"/>
      <c r="E373" s="39" t="s">
        <v>3536</v>
      </c>
      <c r="F373" s="39" t="s">
        <v>3600</v>
      </c>
      <c r="G373" s="39" t="s">
        <v>1452</v>
      </c>
      <c r="H373" s="39" t="s">
        <v>3601</v>
      </c>
      <c r="I373" s="39"/>
      <c r="J373" s="39" t="s">
        <v>3602</v>
      </c>
      <c r="K373" s="39" t="s">
        <v>3603</v>
      </c>
      <c r="L373" s="39" t="s">
        <v>3604</v>
      </c>
    </row>
    <row r="374" spans="1:12">
      <c r="A374" s="39" t="s">
        <v>3096</v>
      </c>
      <c r="B374" s="39" t="s">
        <v>3363</v>
      </c>
      <c r="C374" s="39" t="s">
        <v>3605</v>
      </c>
      <c r="D374" s="39" t="s">
        <v>2579</v>
      </c>
      <c r="E374" s="39"/>
      <c r="F374" s="39"/>
      <c r="G374" s="39" t="s">
        <v>3606</v>
      </c>
      <c r="H374" s="39" t="s">
        <v>3586</v>
      </c>
      <c r="I374" s="39" t="s">
        <v>3607</v>
      </c>
      <c r="J374" s="39" t="s">
        <v>3608</v>
      </c>
      <c r="K374" s="39" t="s">
        <v>3609</v>
      </c>
      <c r="L374" s="39" t="s">
        <v>3610</v>
      </c>
    </row>
    <row r="375" spans="1:12">
      <c r="A375" s="39" t="s">
        <v>3102</v>
      </c>
      <c r="B375" s="39" t="s">
        <v>3611</v>
      </c>
      <c r="C375" s="39" t="s">
        <v>3612</v>
      </c>
      <c r="D375" s="39"/>
      <c r="E375" s="39" t="s">
        <v>3613</v>
      </c>
      <c r="F375" s="39" t="s">
        <v>2879</v>
      </c>
      <c r="G375" s="39" t="s">
        <v>3614</v>
      </c>
      <c r="H375" s="39" t="s">
        <v>3615</v>
      </c>
      <c r="I375" s="39" t="s">
        <v>3616</v>
      </c>
      <c r="J375" s="39" t="s">
        <v>3617</v>
      </c>
      <c r="K375" s="39" t="s">
        <v>3618</v>
      </c>
      <c r="L375" s="39" t="s">
        <v>3619</v>
      </c>
    </row>
    <row r="376" spans="1:12">
      <c r="A376" s="39" t="s">
        <v>3109</v>
      </c>
      <c r="B376" s="39" t="s">
        <v>2357</v>
      </c>
      <c r="C376" s="39" t="s">
        <v>3620</v>
      </c>
      <c r="D376" s="39" t="s">
        <v>3621</v>
      </c>
      <c r="E376" s="39" t="s">
        <v>3410</v>
      </c>
      <c r="F376" s="39" t="s">
        <v>2886</v>
      </c>
      <c r="G376" s="39" t="s">
        <v>3622</v>
      </c>
      <c r="H376" s="39" t="s">
        <v>3623</v>
      </c>
      <c r="I376" s="39" t="s">
        <v>3624</v>
      </c>
      <c r="J376" s="39" t="s">
        <v>2715</v>
      </c>
      <c r="K376" s="39" t="s">
        <v>2263</v>
      </c>
      <c r="L376" s="39" t="s">
        <v>3625</v>
      </c>
    </row>
    <row r="377" spans="1:12">
      <c r="A377" s="39" t="s">
        <v>3116</v>
      </c>
      <c r="B377" s="39"/>
      <c r="C377" s="39" t="s">
        <v>2809</v>
      </c>
      <c r="D377" s="39" t="s">
        <v>3626</v>
      </c>
      <c r="E377" s="39" t="s">
        <v>3417</v>
      </c>
      <c r="F377" s="39" t="s">
        <v>2855</v>
      </c>
      <c r="G377" s="39" t="s">
        <v>3627</v>
      </c>
      <c r="H377" s="39" t="s">
        <v>3516</v>
      </c>
      <c r="I377" s="39" t="s">
        <v>3628</v>
      </c>
      <c r="J377" s="39" t="s">
        <v>3371</v>
      </c>
      <c r="K377" s="39" t="s">
        <v>2271</v>
      </c>
      <c r="L377" s="39" t="s">
        <v>3629</v>
      </c>
    </row>
    <row r="378" spans="1:12">
      <c r="A378" s="36"/>
      <c r="B378" s="39" t="s">
        <v>3630</v>
      </c>
      <c r="C378" s="39" t="s">
        <v>3631</v>
      </c>
      <c r="D378" s="39" t="s">
        <v>3632</v>
      </c>
      <c r="E378" s="39" t="s">
        <v>3439</v>
      </c>
      <c r="F378" s="39" t="s">
        <v>2596</v>
      </c>
      <c r="G378" s="39" t="s">
        <v>3633</v>
      </c>
      <c r="H378" s="39" t="s">
        <v>1273</v>
      </c>
      <c r="I378" s="39" t="s">
        <v>3354</v>
      </c>
      <c r="J378" s="39"/>
      <c r="K378" s="39" t="s">
        <v>3634</v>
      </c>
      <c r="L378" s="39" t="s">
        <v>3635</v>
      </c>
    </row>
    <row r="379" spans="1:12">
      <c r="A379" s="39" t="s">
        <v>3636</v>
      </c>
      <c r="B379" s="39" t="s">
        <v>3637</v>
      </c>
      <c r="C379" s="39" t="s">
        <v>3638</v>
      </c>
      <c r="D379" s="39" t="s">
        <v>3639</v>
      </c>
      <c r="E379" s="39" t="s">
        <v>3431</v>
      </c>
      <c r="F379" s="39"/>
      <c r="G379" s="39" t="s">
        <v>3281</v>
      </c>
      <c r="H379" s="39" t="s">
        <v>1273</v>
      </c>
      <c r="I379" s="39" t="s">
        <v>3640</v>
      </c>
      <c r="J379" s="39" t="s">
        <v>3276</v>
      </c>
      <c r="K379" s="110" t="s">
        <v>3641</v>
      </c>
      <c r="L379" s="39"/>
    </row>
    <row r="380" spans="1:12">
      <c r="A380" s="39" t="s">
        <v>2265</v>
      </c>
      <c r="B380" s="39" t="s">
        <v>2424</v>
      </c>
      <c r="C380" s="39" t="s">
        <v>3642</v>
      </c>
      <c r="D380" s="39" t="s">
        <v>3643</v>
      </c>
      <c r="E380" s="39" t="s">
        <v>3459</v>
      </c>
      <c r="F380" s="39" t="s">
        <v>3644</v>
      </c>
      <c r="G380" s="39" t="s">
        <v>1452</v>
      </c>
      <c r="H380" s="39"/>
      <c r="I380" s="39" t="s">
        <v>3645</v>
      </c>
      <c r="J380" s="39" t="s">
        <v>3646</v>
      </c>
      <c r="K380" s="39" t="s">
        <v>3647</v>
      </c>
      <c r="L380" s="39" t="s">
        <v>3648</v>
      </c>
    </row>
    <row r="381" spans="1:12">
      <c r="A381" s="36"/>
      <c r="B381" s="39" t="s">
        <v>3649</v>
      </c>
      <c r="C381" s="39" t="s">
        <v>3650</v>
      </c>
      <c r="D381" s="39" t="s">
        <v>2424</v>
      </c>
      <c r="E381" s="39" t="s">
        <v>3467</v>
      </c>
      <c r="F381" s="39" t="s">
        <v>3651</v>
      </c>
      <c r="G381" s="39" t="s">
        <v>3652</v>
      </c>
      <c r="H381" s="39" t="s">
        <v>3653</v>
      </c>
      <c r="I381" s="39" t="s">
        <v>3654</v>
      </c>
      <c r="J381" s="39" t="s">
        <v>3655</v>
      </c>
      <c r="K381" s="39" t="s">
        <v>3656</v>
      </c>
      <c r="L381" s="39" t="s">
        <v>3657</v>
      </c>
    </row>
    <row r="382" spans="1:12">
      <c r="A382" s="39" t="s">
        <v>1259</v>
      </c>
      <c r="B382" s="39" t="s">
        <v>3345</v>
      </c>
      <c r="C382" s="39" t="s">
        <v>3658</v>
      </c>
      <c r="D382" s="39" t="s">
        <v>3659</v>
      </c>
      <c r="E382" s="39" t="s">
        <v>3472</v>
      </c>
      <c r="F382" s="39" t="s">
        <v>3660</v>
      </c>
      <c r="G382" s="39" t="s">
        <v>3661</v>
      </c>
      <c r="H382" s="39" t="s">
        <v>3662</v>
      </c>
      <c r="I382" s="39" t="s">
        <v>3663</v>
      </c>
      <c r="J382" s="39" t="s">
        <v>3326</v>
      </c>
      <c r="K382" s="39" t="s">
        <v>3664</v>
      </c>
      <c r="L382" s="39" t="s">
        <v>3665</v>
      </c>
    </row>
    <row r="383" spans="1:12">
      <c r="A383" s="39" t="s">
        <v>2495</v>
      </c>
      <c r="B383" s="39" t="s">
        <v>3351</v>
      </c>
      <c r="C383" s="39" t="s">
        <v>3666</v>
      </c>
      <c r="D383" s="39" t="s">
        <v>3667</v>
      </c>
      <c r="E383" s="39" t="s">
        <v>3476</v>
      </c>
      <c r="F383" s="39" t="s">
        <v>3668</v>
      </c>
      <c r="G383" s="39" t="s">
        <v>1452</v>
      </c>
      <c r="H383" s="39" t="s">
        <v>3669</v>
      </c>
      <c r="I383" s="39" t="s">
        <v>3670</v>
      </c>
      <c r="J383" s="39" t="s">
        <v>3332</v>
      </c>
      <c r="K383" s="39" t="s">
        <v>3671</v>
      </c>
      <c r="L383" s="39" t="s">
        <v>3672</v>
      </c>
    </row>
    <row r="384" spans="1:12">
      <c r="A384" s="36"/>
      <c r="B384" s="39" t="s">
        <v>3357</v>
      </c>
      <c r="C384" s="39" t="s">
        <v>2836</v>
      </c>
      <c r="D384" s="39" t="s">
        <v>2357</v>
      </c>
      <c r="E384" s="39" t="s">
        <v>3484</v>
      </c>
      <c r="F384" s="39" t="s">
        <v>3673</v>
      </c>
      <c r="G384" s="39" t="s">
        <v>3674</v>
      </c>
      <c r="H384" s="39" t="s">
        <v>2596</v>
      </c>
      <c r="I384" s="39" t="s">
        <v>3675</v>
      </c>
      <c r="J384" s="39" t="s">
        <v>3336</v>
      </c>
      <c r="K384" s="39" t="s">
        <v>3676</v>
      </c>
      <c r="L384" s="39" t="s">
        <v>3677</v>
      </c>
    </row>
    <row r="385" spans="1:12">
      <c r="A385" s="39" t="s">
        <v>3678</v>
      </c>
      <c r="B385" s="39" t="s">
        <v>3363</v>
      </c>
      <c r="C385" s="39" t="s">
        <v>3679</v>
      </c>
      <c r="D385" s="39"/>
      <c r="E385" s="39" t="s">
        <v>3492</v>
      </c>
      <c r="F385" s="39" t="s">
        <v>2596</v>
      </c>
      <c r="G385" s="39" t="s">
        <v>3680</v>
      </c>
      <c r="H385" s="39" t="s">
        <v>3681</v>
      </c>
      <c r="I385" s="39" t="s">
        <v>2715</v>
      </c>
      <c r="J385" s="39" t="s">
        <v>3342</v>
      </c>
      <c r="K385" s="39" t="s">
        <v>3682</v>
      </c>
      <c r="L385" s="39"/>
    </row>
    <row r="386" spans="1:12">
      <c r="A386" s="39" t="s">
        <v>2868</v>
      </c>
      <c r="B386" s="39" t="s">
        <v>3683</v>
      </c>
      <c r="C386" s="39" t="s">
        <v>3684</v>
      </c>
      <c r="D386" s="39" t="s">
        <v>3685</v>
      </c>
      <c r="E386" s="39" t="s">
        <v>3500</v>
      </c>
      <c r="F386" s="39"/>
      <c r="G386" s="39" t="s">
        <v>1452</v>
      </c>
      <c r="H386" s="39" t="s">
        <v>2265</v>
      </c>
      <c r="I386" s="39" t="s">
        <v>3686</v>
      </c>
      <c r="J386" s="39" t="s">
        <v>2836</v>
      </c>
      <c r="K386" s="39" t="s">
        <v>2275</v>
      </c>
      <c r="L386" s="39" t="s">
        <v>3687</v>
      </c>
    </row>
    <row r="387" spans="1:12">
      <c r="A387" s="39" t="s">
        <v>3688</v>
      </c>
      <c r="B387" s="39" t="s">
        <v>2357</v>
      </c>
      <c r="C387" s="39" t="s">
        <v>2809</v>
      </c>
      <c r="D387" s="39"/>
      <c r="E387" s="39"/>
      <c r="F387" s="39" t="s">
        <v>3689</v>
      </c>
      <c r="G387" s="39" t="s">
        <v>1452</v>
      </c>
      <c r="H387" s="39" t="s">
        <v>1273</v>
      </c>
      <c r="I387" s="39"/>
      <c r="J387" s="39" t="s">
        <v>3354</v>
      </c>
      <c r="K387" s="39" t="s">
        <v>3690</v>
      </c>
      <c r="L387" s="39" t="s">
        <v>3691</v>
      </c>
    </row>
    <row r="388" spans="1:12">
      <c r="A388" s="36"/>
      <c r="B388" s="39" t="s">
        <v>3692</v>
      </c>
      <c r="C388" s="39" t="s">
        <v>3693</v>
      </c>
      <c r="D388" s="39" t="s">
        <v>3694</v>
      </c>
      <c r="E388" s="39" t="s">
        <v>3548</v>
      </c>
      <c r="F388" s="39" t="s">
        <v>2924</v>
      </c>
      <c r="G388" s="39" t="s">
        <v>3695</v>
      </c>
      <c r="H388" s="39"/>
      <c r="I388" s="39" t="s">
        <v>3696</v>
      </c>
      <c r="J388" s="39" t="s">
        <v>3361</v>
      </c>
      <c r="K388" s="39" t="s">
        <v>3697</v>
      </c>
      <c r="L388" s="39"/>
    </row>
    <row r="389" spans="1:12">
      <c r="A389" s="39" t="s">
        <v>2442</v>
      </c>
      <c r="B389" s="39" t="s">
        <v>2237</v>
      </c>
      <c r="C389" s="39" t="s">
        <v>3698</v>
      </c>
      <c r="D389" s="39" t="s">
        <v>3699</v>
      </c>
      <c r="E389" s="39" t="s">
        <v>3552</v>
      </c>
      <c r="F389" s="39"/>
      <c r="G389" s="39" t="s">
        <v>1281</v>
      </c>
      <c r="H389" s="39"/>
      <c r="I389" s="39" t="s">
        <v>2265</v>
      </c>
      <c r="J389" s="39" t="s">
        <v>3367</v>
      </c>
      <c r="K389" s="39" t="s">
        <v>3700</v>
      </c>
      <c r="L389" s="39" t="s">
        <v>3701</v>
      </c>
    </row>
    <row r="390" spans="1:12">
      <c r="A390" s="39" t="s">
        <v>3702</v>
      </c>
      <c r="B390" s="39" t="s">
        <v>3703</v>
      </c>
      <c r="C390" s="39" t="s">
        <v>3704</v>
      </c>
      <c r="D390" s="39" t="s">
        <v>3705</v>
      </c>
      <c r="E390" s="39"/>
      <c r="F390" s="39" t="s">
        <v>3706</v>
      </c>
      <c r="G390" s="39" t="s">
        <v>3122</v>
      </c>
      <c r="H390" s="39" t="s">
        <v>3707</v>
      </c>
      <c r="I390" s="39" t="s">
        <v>1259</v>
      </c>
      <c r="J390" s="39" t="s">
        <v>3371</v>
      </c>
      <c r="K390" s="39" t="s">
        <v>3708</v>
      </c>
      <c r="L390" s="39" t="s">
        <v>3709</v>
      </c>
    </row>
    <row r="391" spans="1:12">
      <c r="A391" s="39" t="s">
        <v>2354</v>
      </c>
      <c r="B391" s="39" t="s">
        <v>2265</v>
      </c>
      <c r="C391" s="39" t="s">
        <v>3710</v>
      </c>
      <c r="D391" s="39" t="s">
        <v>3711</v>
      </c>
      <c r="E391" s="39" t="s">
        <v>2839</v>
      </c>
      <c r="F391" s="39" t="s">
        <v>3712</v>
      </c>
      <c r="G391" s="39" t="s">
        <v>3713</v>
      </c>
      <c r="H391" s="39" t="s">
        <v>1280</v>
      </c>
      <c r="I391" s="39" t="s">
        <v>2603</v>
      </c>
      <c r="J391" s="39"/>
      <c r="K391" s="39" t="s">
        <v>3714</v>
      </c>
      <c r="L391" s="39" t="s">
        <v>3715</v>
      </c>
    </row>
    <row r="392" spans="1:12">
      <c r="A392" s="39" t="s">
        <v>2596</v>
      </c>
      <c r="B392" s="39" t="s">
        <v>1657</v>
      </c>
      <c r="C392" s="39" t="s">
        <v>3716</v>
      </c>
      <c r="D392" s="39" t="s">
        <v>3717</v>
      </c>
      <c r="E392" s="39" t="s">
        <v>2847</v>
      </c>
      <c r="F392" s="39" t="s">
        <v>3718</v>
      </c>
      <c r="G392" s="39" t="s">
        <v>1281</v>
      </c>
      <c r="H392" s="39" t="s">
        <v>2399</v>
      </c>
      <c r="I392" s="39" t="s">
        <v>2517</v>
      </c>
      <c r="J392" s="39" t="s">
        <v>3379</v>
      </c>
      <c r="K392" s="39" t="s">
        <v>3719</v>
      </c>
      <c r="L392" s="39"/>
    </row>
    <row r="393" spans="1:12">
      <c r="A393" s="36"/>
      <c r="B393" s="39" t="s">
        <v>3720</v>
      </c>
      <c r="C393" s="39" t="s">
        <v>3721</v>
      </c>
      <c r="D393" s="39" t="s">
        <v>3722</v>
      </c>
      <c r="E393" s="39" t="s">
        <v>2855</v>
      </c>
      <c r="F393" s="39" t="s">
        <v>2596</v>
      </c>
      <c r="G393" s="39" t="s">
        <v>3723</v>
      </c>
      <c r="H393" s="39" t="s">
        <v>3724</v>
      </c>
      <c r="I393" s="39" t="s">
        <v>2615</v>
      </c>
      <c r="J393" s="39" t="s">
        <v>3385</v>
      </c>
      <c r="K393" s="39" t="s">
        <v>3725</v>
      </c>
      <c r="L393" s="39" t="s">
        <v>2263</v>
      </c>
    </row>
    <row r="394" spans="1:12">
      <c r="A394" s="39" t="s">
        <v>3726</v>
      </c>
      <c r="B394" s="39" t="s">
        <v>3727</v>
      </c>
      <c r="C394" s="39" t="s">
        <v>3728</v>
      </c>
      <c r="D394" s="39" t="s">
        <v>3729</v>
      </c>
      <c r="E394" s="39" t="s">
        <v>2596</v>
      </c>
      <c r="F394" s="39"/>
      <c r="G394" s="39" t="s">
        <v>3730</v>
      </c>
      <c r="H394" s="39" t="s">
        <v>1280</v>
      </c>
      <c r="I394" s="39" t="s">
        <v>2622</v>
      </c>
      <c r="J394" s="39" t="s">
        <v>3731</v>
      </c>
      <c r="K394" s="39" t="s">
        <v>3732</v>
      </c>
      <c r="L394" s="39" t="s">
        <v>3290</v>
      </c>
    </row>
    <row r="395" spans="1:12">
      <c r="A395" s="39" t="s">
        <v>3733</v>
      </c>
      <c r="B395" s="39" t="s">
        <v>3734</v>
      </c>
      <c r="C395" s="39" t="s">
        <v>3735</v>
      </c>
      <c r="D395" s="39" t="s">
        <v>3736</v>
      </c>
      <c r="E395" s="39"/>
      <c r="F395" s="39" t="s">
        <v>2940</v>
      </c>
      <c r="G395" s="39" t="s">
        <v>1452</v>
      </c>
      <c r="H395" s="39" t="s">
        <v>3737</v>
      </c>
      <c r="I395" s="39" t="s">
        <v>1273</v>
      </c>
      <c r="J395" s="39" t="s">
        <v>3738</v>
      </c>
      <c r="K395" s="39" t="s">
        <v>3739</v>
      </c>
      <c r="L395" s="39" t="s">
        <v>3157</v>
      </c>
    </row>
    <row r="396" spans="1:12">
      <c r="A396" s="39" t="s">
        <v>3740</v>
      </c>
      <c r="B396" s="39" t="s">
        <v>3741</v>
      </c>
      <c r="C396" s="39" t="s">
        <v>3742</v>
      </c>
      <c r="D396" s="39" t="s">
        <v>3743</v>
      </c>
      <c r="E396" s="39" t="s">
        <v>3594</v>
      </c>
      <c r="F396" s="39" t="s">
        <v>2265</v>
      </c>
      <c r="G396" s="39" t="s">
        <v>3744</v>
      </c>
      <c r="H396" s="39" t="s">
        <v>3745</v>
      </c>
      <c r="I396" s="39" t="s">
        <v>2351</v>
      </c>
      <c r="J396" s="39" t="s">
        <v>3746</v>
      </c>
      <c r="K396" s="39" t="s">
        <v>3747</v>
      </c>
      <c r="L396" s="39" t="s">
        <v>3748</v>
      </c>
    </row>
    <row r="397" spans="1:12">
      <c r="A397" s="39" t="s">
        <v>3749</v>
      </c>
      <c r="B397" s="39" t="s">
        <v>3750</v>
      </c>
      <c r="C397" s="39" t="s">
        <v>3751</v>
      </c>
      <c r="D397" s="39" t="s">
        <v>3752</v>
      </c>
      <c r="E397" s="39" t="s">
        <v>3600</v>
      </c>
      <c r="F397" s="39"/>
      <c r="G397" s="39" t="s">
        <v>3753</v>
      </c>
      <c r="H397" s="39" t="s">
        <v>2680</v>
      </c>
      <c r="I397" s="39" t="s">
        <v>3754</v>
      </c>
      <c r="J397" s="39" t="s">
        <v>2836</v>
      </c>
      <c r="K397" s="39" t="s">
        <v>3755</v>
      </c>
      <c r="L397" s="39" t="s">
        <v>3756</v>
      </c>
    </row>
    <row r="398" spans="1:12">
      <c r="A398" s="39" t="s">
        <v>3757</v>
      </c>
      <c r="B398" s="39" t="s">
        <v>3758</v>
      </c>
      <c r="C398" s="39" t="s">
        <v>3759</v>
      </c>
      <c r="D398" s="39" t="s">
        <v>3760</v>
      </c>
      <c r="E398" s="39"/>
      <c r="F398" s="39"/>
      <c r="G398" s="39" t="s">
        <v>3761</v>
      </c>
      <c r="H398" s="39" t="s">
        <v>3762</v>
      </c>
      <c r="I398" s="39" t="s">
        <v>2354</v>
      </c>
      <c r="J398" s="39" t="s">
        <v>3763</v>
      </c>
      <c r="K398" s="39" t="s">
        <v>3764</v>
      </c>
      <c r="L398" s="39" t="s">
        <v>3765</v>
      </c>
    </row>
    <row r="399" spans="1:12">
      <c r="A399" s="39" t="s">
        <v>3766</v>
      </c>
      <c r="B399" s="39" t="s">
        <v>3767</v>
      </c>
      <c r="C399" s="39" t="s">
        <v>3768</v>
      </c>
      <c r="D399" s="39" t="s">
        <v>3769</v>
      </c>
      <c r="E399" s="39" t="s">
        <v>2879</v>
      </c>
      <c r="F399" s="39" t="s">
        <v>2976</v>
      </c>
      <c r="G399" s="39" t="s">
        <v>3770</v>
      </c>
      <c r="H399" s="39"/>
      <c r="I399" s="39" t="s">
        <v>2357</v>
      </c>
      <c r="J399" s="39" t="s">
        <v>3393</v>
      </c>
      <c r="K399" s="39" t="s">
        <v>3771</v>
      </c>
      <c r="L399" s="39" t="s">
        <v>3772</v>
      </c>
    </row>
    <row r="400" spans="1:12">
      <c r="A400" s="39" t="s">
        <v>3773</v>
      </c>
      <c r="B400" s="39" t="s">
        <v>3774</v>
      </c>
      <c r="C400" s="39" t="s">
        <v>3775</v>
      </c>
      <c r="D400" s="39" t="s">
        <v>3776</v>
      </c>
      <c r="E400" s="39" t="s">
        <v>2886</v>
      </c>
      <c r="F400" s="39" t="s">
        <v>1280</v>
      </c>
      <c r="G400" s="39" t="s">
        <v>3777</v>
      </c>
      <c r="H400" s="39" t="s">
        <v>2839</v>
      </c>
      <c r="I400" s="39" t="s">
        <v>2660</v>
      </c>
      <c r="J400" s="39" t="s">
        <v>3402</v>
      </c>
      <c r="K400" s="39" t="s">
        <v>3778</v>
      </c>
      <c r="L400" s="39" t="s">
        <v>3779</v>
      </c>
    </row>
    <row r="401" spans="1:12">
      <c r="A401" s="39" t="s">
        <v>3780</v>
      </c>
      <c r="B401" s="39" t="s">
        <v>3781</v>
      </c>
      <c r="C401" s="39" t="s">
        <v>2836</v>
      </c>
      <c r="D401" s="39" t="s">
        <v>3782</v>
      </c>
      <c r="E401" s="39" t="s">
        <v>2855</v>
      </c>
      <c r="F401" s="39" t="s">
        <v>2399</v>
      </c>
      <c r="G401" s="39" t="s">
        <v>3783</v>
      </c>
      <c r="H401" s="39" t="s">
        <v>3784</v>
      </c>
      <c r="I401" s="39" t="s">
        <v>2237</v>
      </c>
      <c r="J401" s="39" t="s">
        <v>3406</v>
      </c>
      <c r="K401" s="39" t="s">
        <v>2799</v>
      </c>
      <c r="L401" s="39" t="s">
        <v>3785</v>
      </c>
    </row>
    <row r="402" spans="1:12">
      <c r="A402" s="39" t="s">
        <v>3786</v>
      </c>
      <c r="B402" s="39" t="s">
        <v>2237</v>
      </c>
      <c r="C402" s="39" t="s">
        <v>2626</v>
      </c>
      <c r="D402" s="39" t="s">
        <v>3787</v>
      </c>
      <c r="E402" s="39" t="s">
        <v>2596</v>
      </c>
      <c r="F402" s="39" t="s">
        <v>2994</v>
      </c>
      <c r="G402" s="39" t="s">
        <v>3788</v>
      </c>
      <c r="H402" s="39" t="s">
        <v>2855</v>
      </c>
      <c r="I402" s="39" t="s">
        <v>2673</v>
      </c>
      <c r="J402" s="39" t="s">
        <v>3789</v>
      </c>
      <c r="K402" s="110" t="s">
        <v>3790</v>
      </c>
      <c r="L402" s="39" t="s">
        <v>3791</v>
      </c>
    </row>
    <row r="403" spans="1:12">
      <c r="A403" s="39" t="s">
        <v>3792</v>
      </c>
      <c r="B403" s="39" t="s">
        <v>3793</v>
      </c>
      <c r="C403" s="39" t="s">
        <v>1273</v>
      </c>
      <c r="D403" s="39" t="s">
        <v>3794</v>
      </c>
      <c r="E403" s="39"/>
      <c r="F403" s="39" t="s">
        <v>1280</v>
      </c>
      <c r="G403" s="39" t="s">
        <v>3795</v>
      </c>
      <c r="H403" s="39" t="s">
        <v>2596</v>
      </c>
      <c r="I403" s="39" t="s">
        <v>2265</v>
      </c>
      <c r="J403" s="39" t="s">
        <v>3420</v>
      </c>
      <c r="K403" s="39" t="s">
        <v>2282</v>
      </c>
      <c r="L403" s="39" t="s">
        <v>3796</v>
      </c>
    </row>
    <row r="404" spans="1:12">
      <c r="A404" s="39" t="s">
        <v>3797</v>
      </c>
      <c r="B404" s="39" t="s">
        <v>2265</v>
      </c>
      <c r="C404" s="39" t="s">
        <v>3798</v>
      </c>
      <c r="D404" s="39" t="s">
        <v>2237</v>
      </c>
      <c r="E404" s="39" t="s">
        <v>3644</v>
      </c>
      <c r="F404" s="39" t="s">
        <v>3007</v>
      </c>
      <c r="G404" s="39" t="s">
        <v>3799</v>
      </c>
      <c r="H404" s="39"/>
      <c r="I404" s="39" t="s">
        <v>1259</v>
      </c>
      <c r="J404" s="39" t="s">
        <v>3427</v>
      </c>
      <c r="K404" s="39" t="s">
        <v>3800</v>
      </c>
      <c r="L404" s="39" t="s">
        <v>3801</v>
      </c>
    </row>
    <row r="405" spans="1:12">
      <c r="A405" s="39" t="s">
        <v>3802</v>
      </c>
      <c r="B405" s="39" t="s">
        <v>1657</v>
      </c>
      <c r="C405" s="39" t="s">
        <v>3803</v>
      </c>
      <c r="D405" s="39" t="s">
        <v>3804</v>
      </c>
      <c r="E405" s="39" t="s">
        <v>3651</v>
      </c>
      <c r="F405" s="39" t="s">
        <v>3805</v>
      </c>
      <c r="G405" s="39" t="s">
        <v>3806</v>
      </c>
      <c r="H405" s="39" t="s">
        <v>2879</v>
      </c>
      <c r="I405" s="39" t="s">
        <v>3807</v>
      </c>
      <c r="J405" s="39" t="s">
        <v>2836</v>
      </c>
      <c r="K405" s="110" t="s">
        <v>3808</v>
      </c>
      <c r="L405" s="39" t="s">
        <v>3303</v>
      </c>
    </row>
    <row r="406" spans="1:12">
      <c r="A406" s="39" t="s">
        <v>3809</v>
      </c>
      <c r="B406" s="39" t="s">
        <v>3810</v>
      </c>
      <c r="C406" s="39" t="s">
        <v>3273</v>
      </c>
      <c r="D406" s="39" t="s">
        <v>2265</v>
      </c>
      <c r="E406" s="39" t="s">
        <v>3660</v>
      </c>
      <c r="F406" s="39"/>
      <c r="G406" s="39" t="s">
        <v>3281</v>
      </c>
      <c r="H406" s="39" t="s">
        <v>3811</v>
      </c>
      <c r="I406" s="39" t="s">
        <v>3812</v>
      </c>
      <c r="J406" s="39" t="s">
        <v>3371</v>
      </c>
      <c r="K406" s="39" t="s">
        <v>2288</v>
      </c>
      <c r="L406" s="39" t="s">
        <v>3171</v>
      </c>
    </row>
    <row r="407" spans="1:12">
      <c r="A407" s="39" t="s">
        <v>3813</v>
      </c>
      <c r="B407" s="39" t="s">
        <v>3814</v>
      </c>
      <c r="C407" s="39" t="s">
        <v>3815</v>
      </c>
      <c r="D407" s="39" t="s">
        <v>1259</v>
      </c>
      <c r="E407" s="39" t="s">
        <v>3668</v>
      </c>
      <c r="F407" s="39" t="s">
        <v>3816</v>
      </c>
      <c r="G407" s="39" t="s">
        <v>1452</v>
      </c>
      <c r="H407" s="39" t="s">
        <v>2855</v>
      </c>
      <c r="I407" s="39" t="s">
        <v>3817</v>
      </c>
      <c r="J407" s="39" t="s">
        <v>3447</v>
      </c>
      <c r="K407" s="39" t="s">
        <v>3700</v>
      </c>
      <c r="L407" s="39" t="s">
        <v>3748</v>
      </c>
    </row>
    <row r="408" spans="1:12">
      <c r="A408" s="39" t="s">
        <v>3818</v>
      </c>
      <c r="B408" s="39" t="s">
        <v>3819</v>
      </c>
      <c r="C408" s="39" t="s">
        <v>3820</v>
      </c>
      <c r="D408" s="39" t="s">
        <v>3821</v>
      </c>
      <c r="E408" s="39" t="s">
        <v>3673</v>
      </c>
      <c r="F408" s="39" t="s">
        <v>3822</v>
      </c>
      <c r="G408" s="39" t="s">
        <v>3823</v>
      </c>
      <c r="H408" s="39" t="s">
        <v>2596</v>
      </c>
      <c r="I408" s="39" t="s">
        <v>3824</v>
      </c>
      <c r="J408" s="39" t="s">
        <v>3825</v>
      </c>
      <c r="K408" s="39" t="s">
        <v>3708</v>
      </c>
      <c r="L408" s="39" t="s">
        <v>3756</v>
      </c>
    </row>
    <row r="409" spans="1:12">
      <c r="A409" s="39" t="s">
        <v>3550</v>
      </c>
      <c r="B409" s="39" t="s">
        <v>3826</v>
      </c>
      <c r="C409" s="39" t="s">
        <v>3827</v>
      </c>
      <c r="D409" s="46" t="s">
        <v>3828</v>
      </c>
      <c r="E409" s="39" t="s">
        <v>2596</v>
      </c>
      <c r="F409" s="39" t="s">
        <v>3829</v>
      </c>
      <c r="G409" s="39" t="s">
        <v>3661</v>
      </c>
      <c r="H409" s="39"/>
      <c r="I409" s="39" t="s">
        <v>1273</v>
      </c>
      <c r="J409" s="39" t="s">
        <v>3462</v>
      </c>
      <c r="K409" s="39" t="s">
        <v>3714</v>
      </c>
      <c r="L409" s="39" t="s">
        <v>3765</v>
      </c>
    </row>
    <row r="410" spans="1:12">
      <c r="A410" s="39" t="s">
        <v>3830</v>
      </c>
      <c r="B410" s="39" t="s">
        <v>3831</v>
      </c>
      <c r="C410" s="39" t="s">
        <v>3832</v>
      </c>
      <c r="D410" s="39" t="s">
        <v>3833</v>
      </c>
      <c r="E410" s="39"/>
      <c r="F410" s="39"/>
      <c r="G410" s="39" t="s">
        <v>1452</v>
      </c>
      <c r="H410" s="39" t="s">
        <v>3834</v>
      </c>
      <c r="I410" s="39" t="s">
        <v>2618</v>
      </c>
      <c r="J410" s="39" t="s">
        <v>2631</v>
      </c>
      <c r="K410" s="39" t="s">
        <v>3719</v>
      </c>
      <c r="L410" s="39" t="s">
        <v>3772</v>
      </c>
    </row>
    <row r="411" spans="1:12">
      <c r="A411" s="39" t="s">
        <v>3835</v>
      </c>
      <c r="B411" s="39" t="s">
        <v>3836</v>
      </c>
      <c r="C411" s="39" t="s">
        <v>3837</v>
      </c>
      <c r="D411" s="39" t="s">
        <v>3838</v>
      </c>
      <c r="E411" s="39" t="s">
        <v>3689</v>
      </c>
      <c r="F411" s="39" t="s">
        <v>3839</v>
      </c>
      <c r="G411" s="39" t="s">
        <v>3840</v>
      </c>
      <c r="H411" s="39" t="s">
        <v>2265</v>
      </c>
      <c r="I411" s="39" t="s">
        <v>3841</v>
      </c>
      <c r="J411" s="39" t="s">
        <v>3842</v>
      </c>
      <c r="K411" s="39" t="s">
        <v>3725</v>
      </c>
      <c r="L411" s="39" t="s">
        <v>3779</v>
      </c>
    </row>
    <row r="412" spans="1:12">
      <c r="A412" s="39" t="s">
        <v>3843</v>
      </c>
      <c r="B412" s="39" t="s">
        <v>3844</v>
      </c>
      <c r="C412" s="39" t="s">
        <v>3845</v>
      </c>
      <c r="D412" s="39" t="s">
        <v>3846</v>
      </c>
      <c r="E412" s="39" t="s">
        <v>2924</v>
      </c>
      <c r="F412" s="39" t="s">
        <v>3847</v>
      </c>
      <c r="G412" s="39" t="s">
        <v>3680</v>
      </c>
      <c r="H412" s="39" t="s">
        <v>1273</v>
      </c>
      <c r="I412" s="39" t="s">
        <v>2354</v>
      </c>
      <c r="J412" s="39"/>
      <c r="K412" s="39" t="s">
        <v>3732</v>
      </c>
      <c r="L412" s="39" t="s">
        <v>3848</v>
      </c>
    </row>
    <row r="413" spans="1:12">
      <c r="A413" s="39" t="s">
        <v>3849</v>
      </c>
      <c r="B413" s="39" t="s">
        <v>3850</v>
      </c>
      <c r="C413" s="39" t="s">
        <v>3851</v>
      </c>
      <c r="D413" s="39" t="s">
        <v>3852</v>
      </c>
      <c r="E413" s="39"/>
      <c r="F413" s="39" t="s">
        <v>3853</v>
      </c>
      <c r="G413" s="39" t="s">
        <v>1452</v>
      </c>
      <c r="H413" s="39"/>
      <c r="I413" s="39" t="s">
        <v>2357</v>
      </c>
      <c r="J413" s="39" t="s">
        <v>2986</v>
      </c>
      <c r="K413" s="39" t="s">
        <v>3739</v>
      </c>
      <c r="L413" s="39" t="s">
        <v>3801</v>
      </c>
    </row>
    <row r="414" spans="1:12">
      <c r="A414" s="39" t="s">
        <v>3854</v>
      </c>
      <c r="B414" s="39" t="s">
        <v>3855</v>
      </c>
      <c r="C414" s="39" t="s">
        <v>3856</v>
      </c>
      <c r="D414" s="39" t="s">
        <v>2357</v>
      </c>
      <c r="E414" s="39" t="s">
        <v>2940</v>
      </c>
      <c r="F414" s="39" t="s">
        <v>3273</v>
      </c>
      <c r="G414" s="39" t="s">
        <v>1452</v>
      </c>
      <c r="H414" s="39"/>
      <c r="I414" s="39" t="s">
        <v>2237</v>
      </c>
      <c r="J414" s="39" t="s">
        <v>2618</v>
      </c>
      <c r="K414" s="39" t="s">
        <v>3747</v>
      </c>
      <c r="L414" s="39" t="s">
        <v>3857</v>
      </c>
    </row>
    <row r="415" spans="1:12">
      <c r="A415" s="39" t="s">
        <v>3818</v>
      </c>
      <c r="B415" s="39" t="s">
        <v>2237</v>
      </c>
      <c r="C415" s="39" t="s">
        <v>3858</v>
      </c>
      <c r="D415" s="39"/>
      <c r="E415" s="39" t="s">
        <v>2265</v>
      </c>
      <c r="F415" s="39" t="s">
        <v>3859</v>
      </c>
      <c r="G415" s="39" t="s">
        <v>3860</v>
      </c>
      <c r="H415" s="39"/>
      <c r="I415" s="39" t="s">
        <v>3861</v>
      </c>
      <c r="J415" s="39" t="s">
        <v>3862</v>
      </c>
      <c r="K415" s="39" t="s">
        <v>3755</v>
      </c>
      <c r="L415" s="39" t="s">
        <v>3863</v>
      </c>
    </row>
    <row r="416" spans="1:12">
      <c r="A416" s="39" t="s">
        <v>3864</v>
      </c>
      <c r="B416" s="39" t="s">
        <v>3865</v>
      </c>
      <c r="C416" s="39" t="s">
        <v>3866</v>
      </c>
      <c r="D416" s="39" t="s">
        <v>3867</v>
      </c>
      <c r="E416" s="39"/>
      <c r="F416" s="39" t="s">
        <v>3868</v>
      </c>
      <c r="G416" s="39" t="s">
        <v>1281</v>
      </c>
      <c r="H416" s="39" t="s">
        <v>3869</v>
      </c>
      <c r="I416" s="39" t="s">
        <v>2265</v>
      </c>
      <c r="J416" s="39" t="s">
        <v>2354</v>
      </c>
      <c r="K416" s="39" t="s">
        <v>3771</v>
      </c>
      <c r="L416" s="39" t="s">
        <v>3870</v>
      </c>
    </row>
    <row r="417" spans="1:12">
      <c r="A417" s="39" t="s">
        <v>3871</v>
      </c>
      <c r="B417" s="39" t="s">
        <v>2265</v>
      </c>
      <c r="C417" s="39" t="s">
        <v>3872</v>
      </c>
      <c r="D417" s="39" t="s">
        <v>3873</v>
      </c>
      <c r="E417" s="39"/>
      <c r="F417" s="39" t="s">
        <v>3874</v>
      </c>
      <c r="G417" s="39" t="s">
        <v>3122</v>
      </c>
      <c r="H417" s="39" t="s">
        <v>1280</v>
      </c>
      <c r="I417" s="39" t="s">
        <v>1259</v>
      </c>
      <c r="J417" s="39" t="s">
        <v>2357</v>
      </c>
      <c r="K417" s="39" t="s">
        <v>3778</v>
      </c>
      <c r="L417" s="39" t="s">
        <v>3875</v>
      </c>
    </row>
    <row r="418" spans="1:12">
      <c r="A418" s="39" t="s">
        <v>3876</v>
      </c>
      <c r="B418" s="39" t="s">
        <v>1657</v>
      </c>
      <c r="C418" s="39" t="s">
        <v>3877</v>
      </c>
      <c r="D418" s="39" t="s">
        <v>3878</v>
      </c>
      <c r="E418" s="39" t="s">
        <v>2976</v>
      </c>
      <c r="F418" s="39" t="s">
        <v>3853</v>
      </c>
      <c r="G418" s="39" t="s">
        <v>3879</v>
      </c>
      <c r="H418" s="39" t="s">
        <v>3880</v>
      </c>
      <c r="I418" s="39" t="s">
        <v>2695</v>
      </c>
      <c r="J418" s="39"/>
      <c r="K418" s="39" t="s">
        <v>2799</v>
      </c>
      <c r="L418" s="39" t="s">
        <v>2345</v>
      </c>
    </row>
    <row r="419" spans="1:12">
      <c r="A419" s="39" t="s">
        <v>3818</v>
      </c>
      <c r="B419" s="39" t="s">
        <v>3881</v>
      </c>
      <c r="C419" s="39" t="s">
        <v>3882</v>
      </c>
      <c r="D419" s="39" t="s">
        <v>3852</v>
      </c>
      <c r="E419" s="39" t="s">
        <v>1280</v>
      </c>
      <c r="F419" s="39" t="s">
        <v>2626</v>
      </c>
      <c r="G419" s="39" t="s">
        <v>1281</v>
      </c>
      <c r="H419" s="39" t="s">
        <v>1280</v>
      </c>
      <c r="I419" s="39"/>
      <c r="J419" s="39" t="s">
        <v>2680</v>
      </c>
      <c r="K419" s="110" t="s">
        <v>3883</v>
      </c>
      <c r="L419" s="39"/>
    </row>
    <row r="420" spans="1:12">
      <c r="A420" s="39" t="s">
        <v>3884</v>
      </c>
      <c r="B420" s="39" t="s">
        <v>3885</v>
      </c>
      <c r="C420" s="39" t="s">
        <v>3886</v>
      </c>
      <c r="D420" s="39" t="s">
        <v>2357</v>
      </c>
      <c r="E420" s="39" t="s">
        <v>2399</v>
      </c>
      <c r="F420" s="39" t="s">
        <v>2596</v>
      </c>
      <c r="G420" s="39" t="s">
        <v>3887</v>
      </c>
      <c r="H420" s="39" t="s">
        <v>3888</v>
      </c>
      <c r="I420" s="39" t="s">
        <v>3889</v>
      </c>
      <c r="J420" s="39" t="s">
        <v>2351</v>
      </c>
      <c r="K420" s="39" t="s">
        <v>2345</v>
      </c>
      <c r="L420" s="39" t="s">
        <v>3890</v>
      </c>
    </row>
    <row r="421" spans="1:12">
      <c r="A421" s="39" t="s">
        <v>3891</v>
      </c>
      <c r="B421" s="39"/>
      <c r="C421" s="39" t="s">
        <v>3892</v>
      </c>
      <c r="D421" s="39"/>
      <c r="E421" s="39" t="s">
        <v>2994</v>
      </c>
      <c r="F421" s="39"/>
      <c r="G421" s="39" t="s">
        <v>3893</v>
      </c>
      <c r="H421" s="39" t="s">
        <v>3894</v>
      </c>
      <c r="I421" s="39" t="s">
        <v>3895</v>
      </c>
      <c r="J421" s="39" t="s">
        <v>3896</v>
      </c>
      <c r="K421" s="39"/>
      <c r="L421" s="39" t="s">
        <v>3897</v>
      </c>
    </row>
    <row r="422" spans="1:12">
      <c r="A422" s="39" t="s">
        <v>3898</v>
      </c>
      <c r="B422" s="39" t="s">
        <v>3899</v>
      </c>
      <c r="C422" s="39" t="s">
        <v>3900</v>
      </c>
      <c r="D422" s="39" t="s">
        <v>3901</v>
      </c>
      <c r="E422" s="39" t="s">
        <v>1280</v>
      </c>
      <c r="F422" s="39" t="s">
        <v>3653</v>
      </c>
      <c r="G422" s="39" t="s">
        <v>3902</v>
      </c>
      <c r="H422" s="39" t="s">
        <v>3903</v>
      </c>
      <c r="I422" s="39" t="s">
        <v>3904</v>
      </c>
      <c r="J422" s="39" t="s">
        <v>2354</v>
      </c>
      <c r="K422" s="39" t="s">
        <v>3905</v>
      </c>
      <c r="L422" s="39"/>
    </row>
    <row r="423" spans="1:12">
      <c r="A423" s="39" t="s">
        <v>3906</v>
      </c>
      <c r="B423" s="39" t="s">
        <v>3907</v>
      </c>
      <c r="C423" s="39" t="s">
        <v>3908</v>
      </c>
      <c r="D423" s="39" t="s">
        <v>3909</v>
      </c>
      <c r="E423" s="39" t="s">
        <v>3007</v>
      </c>
      <c r="F423" s="39" t="s">
        <v>2924</v>
      </c>
      <c r="G423" s="39" t="s">
        <v>3910</v>
      </c>
      <c r="H423" s="39" t="s">
        <v>3911</v>
      </c>
      <c r="I423" s="39" t="s">
        <v>2424</v>
      </c>
      <c r="J423" s="39" t="s">
        <v>2357</v>
      </c>
      <c r="K423" s="39" t="s">
        <v>3912</v>
      </c>
      <c r="L423" s="39" t="s">
        <v>3913</v>
      </c>
    </row>
    <row r="424" spans="1:12">
      <c r="A424" s="39" t="s">
        <v>3914</v>
      </c>
      <c r="B424" s="39" t="s">
        <v>2424</v>
      </c>
      <c r="C424" s="39" t="s">
        <v>3915</v>
      </c>
      <c r="D424" s="39" t="s">
        <v>3846</v>
      </c>
      <c r="E424" s="39" t="s">
        <v>3805</v>
      </c>
      <c r="F424" s="39"/>
      <c r="G424" s="39" t="s">
        <v>1452</v>
      </c>
      <c r="H424" s="39" t="s">
        <v>3022</v>
      </c>
      <c r="I424" s="39" t="s">
        <v>3916</v>
      </c>
      <c r="J424" s="39"/>
      <c r="K424" s="39" t="s">
        <v>3917</v>
      </c>
      <c r="L424" s="39"/>
    </row>
    <row r="425" spans="1:12">
      <c r="A425" s="39" t="s">
        <v>3918</v>
      </c>
      <c r="B425" s="39" t="s">
        <v>3919</v>
      </c>
      <c r="C425" s="39" t="s">
        <v>3920</v>
      </c>
      <c r="D425" s="39" t="s">
        <v>3852</v>
      </c>
      <c r="E425" s="39"/>
      <c r="F425" s="39" t="s">
        <v>3681</v>
      </c>
      <c r="G425" s="39" t="s">
        <v>3529</v>
      </c>
      <c r="H425" s="39" t="s">
        <v>3921</v>
      </c>
      <c r="I425" s="39" t="s">
        <v>3922</v>
      </c>
      <c r="J425" s="39" t="s">
        <v>3923</v>
      </c>
      <c r="K425" s="39" t="s">
        <v>3924</v>
      </c>
      <c r="L425" s="39" t="s">
        <v>1273</v>
      </c>
    </row>
    <row r="426" spans="1:12">
      <c r="A426" s="39" t="s">
        <v>3906</v>
      </c>
      <c r="B426" s="39" t="s">
        <v>3345</v>
      </c>
      <c r="C426" s="39" t="s">
        <v>3925</v>
      </c>
      <c r="D426" s="39" t="s">
        <v>2357</v>
      </c>
      <c r="E426" s="39" t="s">
        <v>3926</v>
      </c>
      <c r="F426" s="39" t="s">
        <v>2265</v>
      </c>
      <c r="G426" s="39" t="s">
        <v>3927</v>
      </c>
      <c r="H426" s="39" t="s">
        <v>2345</v>
      </c>
      <c r="I426" s="39" t="s">
        <v>2357</v>
      </c>
      <c r="J426" s="39" t="s">
        <v>2237</v>
      </c>
      <c r="K426" s="39" t="s">
        <v>3928</v>
      </c>
      <c r="L426" s="39" t="s">
        <v>3929</v>
      </c>
    </row>
    <row r="427" spans="1:12">
      <c r="A427" s="39" t="s">
        <v>3930</v>
      </c>
      <c r="B427" s="39" t="s">
        <v>3351</v>
      </c>
      <c r="C427" s="39" t="s">
        <v>3931</v>
      </c>
      <c r="D427" s="39"/>
      <c r="E427" s="39" t="s">
        <v>3932</v>
      </c>
      <c r="F427" s="39"/>
      <c r="G427" s="39" t="s">
        <v>3542</v>
      </c>
      <c r="H427" s="39" t="s">
        <v>3933</v>
      </c>
      <c r="I427" s="39" t="s">
        <v>1273</v>
      </c>
      <c r="J427" s="39" t="s">
        <v>3579</v>
      </c>
      <c r="K427" s="39" t="s">
        <v>3934</v>
      </c>
      <c r="L427" s="39" t="s">
        <v>3897</v>
      </c>
    </row>
    <row r="428" spans="1:12">
      <c r="A428" s="39" t="s">
        <v>3935</v>
      </c>
      <c r="B428" s="39" t="s">
        <v>3357</v>
      </c>
      <c r="C428" s="39" t="s">
        <v>3936</v>
      </c>
      <c r="D428" s="39" t="s">
        <v>3937</v>
      </c>
      <c r="E428" s="39" t="s">
        <v>3938</v>
      </c>
      <c r="F428" s="39"/>
      <c r="G428" s="39" t="s">
        <v>3281</v>
      </c>
      <c r="H428" s="39" t="s">
        <v>3530</v>
      </c>
      <c r="I428" s="39" t="s">
        <v>2412</v>
      </c>
      <c r="J428" s="39" t="s">
        <v>2265</v>
      </c>
      <c r="K428" s="39"/>
      <c r="L428" s="39" t="s">
        <v>1273</v>
      </c>
    </row>
    <row r="429" spans="1:12">
      <c r="A429" s="39" t="s">
        <v>3939</v>
      </c>
      <c r="B429" s="39" t="s">
        <v>3363</v>
      </c>
      <c r="C429" s="39" t="s">
        <v>3940</v>
      </c>
      <c r="D429" s="39" t="s">
        <v>3941</v>
      </c>
      <c r="E429" s="39" t="s">
        <v>3942</v>
      </c>
      <c r="F429" s="39" t="s">
        <v>3707</v>
      </c>
      <c r="G429" s="39" t="s">
        <v>1452</v>
      </c>
      <c r="H429" s="39" t="s">
        <v>3421</v>
      </c>
      <c r="I429" s="39" t="s">
        <v>1273</v>
      </c>
      <c r="J429" s="39" t="s">
        <v>1278</v>
      </c>
      <c r="K429" s="39" t="s">
        <v>3943</v>
      </c>
      <c r="L429" s="39" t="s">
        <v>2263</v>
      </c>
    </row>
    <row r="430" spans="1:12">
      <c r="A430" s="39" t="s">
        <v>3944</v>
      </c>
      <c r="B430" s="39" t="s">
        <v>3945</v>
      </c>
      <c r="C430" s="39" t="s">
        <v>3946</v>
      </c>
      <c r="D430" s="39" t="s">
        <v>3878</v>
      </c>
      <c r="E430" s="39" t="s">
        <v>2596</v>
      </c>
      <c r="F430" s="39" t="s">
        <v>1280</v>
      </c>
      <c r="G430" s="39" t="s">
        <v>3577</v>
      </c>
      <c r="H430" s="39" t="s">
        <v>3947</v>
      </c>
      <c r="I430" s="39" t="s">
        <v>2237</v>
      </c>
      <c r="J430" s="39" t="s">
        <v>3595</v>
      </c>
      <c r="K430" s="39" t="s">
        <v>3948</v>
      </c>
      <c r="L430" s="39" t="s">
        <v>3290</v>
      </c>
    </row>
    <row r="431" spans="1:12">
      <c r="A431" s="39" t="s">
        <v>3949</v>
      </c>
      <c r="B431" s="39" t="s">
        <v>2357</v>
      </c>
      <c r="C431" s="39" t="s">
        <v>2626</v>
      </c>
      <c r="D431" s="39" t="s">
        <v>3852</v>
      </c>
      <c r="E431" s="39"/>
      <c r="F431" s="39" t="s">
        <v>2399</v>
      </c>
      <c r="G431" s="39" t="s">
        <v>3950</v>
      </c>
      <c r="H431" s="39" t="s">
        <v>3435</v>
      </c>
      <c r="I431" s="39" t="s">
        <v>2875</v>
      </c>
      <c r="J431" s="39"/>
      <c r="K431" s="39" t="s">
        <v>3951</v>
      </c>
      <c r="L431" s="39" t="s">
        <v>3952</v>
      </c>
    </row>
    <row r="432" spans="1:12">
      <c r="A432" s="39" t="s">
        <v>3939</v>
      </c>
      <c r="B432" s="39"/>
      <c r="C432" s="39"/>
      <c r="D432" s="39" t="s">
        <v>2357</v>
      </c>
      <c r="E432" s="39" t="s">
        <v>3651</v>
      </c>
      <c r="F432" s="39" t="s">
        <v>3724</v>
      </c>
      <c r="G432" s="39" t="s">
        <v>3542</v>
      </c>
      <c r="H432" s="39" t="s">
        <v>3953</v>
      </c>
      <c r="I432" s="39" t="s">
        <v>2265</v>
      </c>
      <c r="J432" s="39" t="s">
        <v>3954</v>
      </c>
      <c r="K432" s="39"/>
      <c r="L432" s="39" t="s">
        <v>3303</v>
      </c>
    </row>
    <row r="433" spans="1:12">
      <c r="A433" s="39" t="s">
        <v>3955</v>
      </c>
      <c r="B433" s="39" t="s">
        <v>3956</v>
      </c>
      <c r="C433" s="39" t="s">
        <v>3957</v>
      </c>
      <c r="D433" s="39"/>
      <c r="E433" s="39" t="s">
        <v>3958</v>
      </c>
      <c r="F433" s="39" t="s">
        <v>1280</v>
      </c>
      <c r="G433" s="39" t="s">
        <v>3281</v>
      </c>
      <c r="H433" s="39" t="s">
        <v>3449</v>
      </c>
      <c r="I433" s="39" t="s">
        <v>3959</v>
      </c>
      <c r="J433" s="39" t="s">
        <v>3960</v>
      </c>
      <c r="K433" s="39" t="s">
        <v>3961</v>
      </c>
      <c r="L433" s="39" t="s">
        <v>3962</v>
      </c>
    </row>
    <row r="434" spans="1:12">
      <c r="A434" s="39" t="s">
        <v>3963</v>
      </c>
      <c r="B434" s="39" t="s">
        <v>3964</v>
      </c>
      <c r="C434" s="39" t="s">
        <v>3965</v>
      </c>
      <c r="D434" s="39" t="s">
        <v>3966</v>
      </c>
      <c r="E434" s="39" t="s">
        <v>3967</v>
      </c>
      <c r="F434" s="39" t="s">
        <v>3737</v>
      </c>
      <c r="G434" s="39" t="s">
        <v>1452</v>
      </c>
      <c r="H434" s="39" t="s">
        <v>3968</v>
      </c>
      <c r="I434" s="39" t="s">
        <v>3969</v>
      </c>
      <c r="J434" s="39" t="s">
        <v>3371</v>
      </c>
      <c r="K434" s="39" t="s">
        <v>3970</v>
      </c>
      <c r="L434" s="39" t="s">
        <v>3157</v>
      </c>
    </row>
    <row r="435" spans="1:12">
      <c r="A435" s="39" t="s">
        <v>3939</v>
      </c>
      <c r="B435" s="39" t="s">
        <v>2424</v>
      </c>
      <c r="C435" s="39" t="s">
        <v>3273</v>
      </c>
      <c r="D435" s="39" t="s">
        <v>3971</v>
      </c>
      <c r="E435" s="39" t="s">
        <v>2626</v>
      </c>
      <c r="F435" s="39" t="s">
        <v>3972</v>
      </c>
      <c r="G435" s="39" t="s">
        <v>3973</v>
      </c>
      <c r="H435" s="39" t="s">
        <v>3022</v>
      </c>
      <c r="I435" s="39" t="s">
        <v>1548</v>
      </c>
      <c r="J435" s="39" t="s">
        <v>3607</v>
      </c>
      <c r="K435" s="39" t="s">
        <v>3974</v>
      </c>
      <c r="L435" s="39" t="s">
        <v>3975</v>
      </c>
    </row>
    <row r="436" spans="1:12">
      <c r="A436" s="39" t="s">
        <v>3976</v>
      </c>
      <c r="B436" s="39" t="s">
        <v>3977</v>
      </c>
      <c r="C436" s="39" t="s">
        <v>3978</v>
      </c>
      <c r="D436" s="39" t="s">
        <v>3979</v>
      </c>
      <c r="E436" s="39" t="s">
        <v>2424</v>
      </c>
      <c r="F436" s="39" t="s">
        <v>3980</v>
      </c>
      <c r="G436" s="39" t="s">
        <v>3614</v>
      </c>
      <c r="H436" s="39" t="s">
        <v>3981</v>
      </c>
      <c r="I436" s="39" t="s">
        <v>3982</v>
      </c>
      <c r="J436" s="39" t="s">
        <v>3616</v>
      </c>
      <c r="K436" s="39" t="s">
        <v>3983</v>
      </c>
      <c r="L436" s="39" t="s">
        <v>3171</v>
      </c>
    </row>
    <row r="437" spans="1:12">
      <c r="A437" s="39" t="s">
        <v>3984</v>
      </c>
      <c r="B437" s="39" t="s">
        <v>3345</v>
      </c>
      <c r="C437" s="39" t="s">
        <v>3985</v>
      </c>
      <c r="D437" s="39" t="s">
        <v>3852</v>
      </c>
      <c r="E437" s="39" t="s">
        <v>3986</v>
      </c>
      <c r="F437" s="39" t="s">
        <v>2596</v>
      </c>
      <c r="G437" s="39" t="s">
        <v>3622</v>
      </c>
      <c r="H437" s="39" t="s">
        <v>2855</v>
      </c>
      <c r="I437" s="39" t="s">
        <v>3987</v>
      </c>
      <c r="J437" s="39" t="s">
        <v>3988</v>
      </c>
      <c r="K437" s="39" t="s">
        <v>3989</v>
      </c>
      <c r="L437" s="39" t="s">
        <v>3990</v>
      </c>
    </row>
    <row r="438" spans="1:12">
      <c r="A438" s="39" t="s">
        <v>3939</v>
      </c>
      <c r="B438" s="39" t="s">
        <v>3351</v>
      </c>
      <c r="C438" s="39" t="s">
        <v>3991</v>
      </c>
      <c r="D438" s="39" t="s">
        <v>2357</v>
      </c>
      <c r="E438" s="39" t="s">
        <v>3992</v>
      </c>
      <c r="F438" s="39"/>
      <c r="G438" s="39" t="s">
        <v>3993</v>
      </c>
      <c r="H438" s="39" t="s">
        <v>2345</v>
      </c>
      <c r="I438" s="39" t="s">
        <v>3994</v>
      </c>
      <c r="J438" s="39" t="s">
        <v>3995</v>
      </c>
      <c r="K438" s="39" t="s">
        <v>3996</v>
      </c>
      <c r="L438" s="39" t="s">
        <v>3054</v>
      </c>
    </row>
    <row r="439" spans="1:12">
      <c r="A439" s="39" t="s">
        <v>3997</v>
      </c>
      <c r="B439" s="39" t="s">
        <v>3357</v>
      </c>
      <c r="C439" s="39" t="s">
        <v>3998</v>
      </c>
      <c r="D439" s="39"/>
      <c r="E439" s="39" t="s">
        <v>2596</v>
      </c>
      <c r="F439" s="39" t="s">
        <v>3745</v>
      </c>
      <c r="G439" s="39" t="s">
        <v>3633</v>
      </c>
      <c r="H439" s="39" t="s">
        <v>1273</v>
      </c>
      <c r="I439" s="39" t="s">
        <v>3999</v>
      </c>
      <c r="J439" s="39" t="s">
        <v>4000</v>
      </c>
      <c r="K439" s="39" t="s">
        <v>1548</v>
      </c>
      <c r="L439" s="39" t="s">
        <v>4001</v>
      </c>
    </row>
    <row r="440" spans="1:12">
      <c r="A440" s="39" t="s">
        <v>3818</v>
      </c>
      <c r="B440" s="39" t="s">
        <v>3363</v>
      </c>
      <c r="C440" s="39" t="s">
        <v>4002</v>
      </c>
      <c r="D440" s="46" t="s">
        <v>4003</v>
      </c>
      <c r="E440" s="39"/>
      <c r="F440" s="39" t="s">
        <v>2680</v>
      </c>
      <c r="G440" s="39" t="s">
        <v>3281</v>
      </c>
      <c r="H440" s="39" t="s">
        <v>4004</v>
      </c>
      <c r="I440" s="39" t="s">
        <v>4005</v>
      </c>
      <c r="J440" s="39" t="s">
        <v>4006</v>
      </c>
      <c r="K440" s="39" t="s">
        <v>4007</v>
      </c>
      <c r="L440" s="39" t="s">
        <v>2265</v>
      </c>
    </row>
    <row r="441" spans="1:12">
      <c r="A441" s="39" t="s">
        <v>4008</v>
      </c>
      <c r="B441" s="39" t="s">
        <v>4009</v>
      </c>
      <c r="C441" s="39" t="s">
        <v>4010</v>
      </c>
      <c r="D441" s="39" t="s">
        <v>4011</v>
      </c>
      <c r="E441" s="39" t="s">
        <v>4012</v>
      </c>
      <c r="F441" s="39" t="s">
        <v>3762</v>
      </c>
      <c r="G441" s="39" t="s">
        <v>1452</v>
      </c>
      <c r="H441" s="39" t="s">
        <v>4013</v>
      </c>
      <c r="I441" s="39" t="s">
        <v>4014</v>
      </c>
      <c r="J441" s="39" t="s">
        <v>4015</v>
      </c>
      <c r="K441" s="39" t="s">
        <v>4016</v>
      </c>
      <c r="L441" s="39" t="s">
        <v>1273</v>
      </c>
    </row>
    <row r="442" spans="1:12">
      <c r="A442" s="39" t="s">
        <v>4017</v>
      </c>
      <c r="B442" s="39" t="s">
        <v>2357</v>
      </c>
      <c r="C442" s="39" t="s">
        <v>2626</v>
      </c>
      <c r="D442" s="39" t="s">
        <v>2501</v>
      </c>
      <c r="E442" s="39" t="s">
        <v>3822</v>
      </c>
      <c r="F442" s="39"/>
      <c r="G442" s="39" t="s">
        <v>4018</v>
      </c>
      <c r="H442" s="39" t="s">
        <v>4019</v>
      </c>
      <c r="I442" s="39" t="s">
        <v>4020</v>
      </c>
      <c r="J442" s="39" t="s">
        <v>4021</v>
      </c>
      <c r="K442" s="39" t="s">
        <v>4022</v>
      </c>
      <c r="L442" s="39" t="s">
        <v>1278</v>
      </c>
    </row>
    <row r="443" spans="1:12">
      <c r="A443" s="39" t="s">
        <v>4023</v>
      </c>
      <c r="B443" s="39"/>
      <c r="C443" s="39"/>
      <c r="D443" s="39" t="s">
        <v>4024</v>
      </c>
      <c r="E443" s="39"/>
      <c r="F443" s="39" t="s">
        <v>2839</v>
      </c>
      <c r="G443" s="39" t="s">
        <v>3680</v>
      </c>
      <c r="H443" s="39" t="s">
        <v>4025</v>
      </c>
      <c r="I443" s="39" t="s">
        <v>4026</v>
      </c>
      <c r="J443" s="39" t="s">
        <v>4027</v>
      </c>
      <c r="K443" s="39" t="s">
        <v>3736</v>
      </c>
      <c r="L443" s="39" t="s">
        <v>4028</v>
      </c>
    </row>
    <row r="444" spans="1:12">
      <c r="A444" s="39" t="s">
        <v>4029</v>
      </c>
      <c r="B444" s="39" t="s">
        <v>4030</v>
      </c>
      <c r="C444" s="39" t="s">
        <v>4031</v>
      </c>
      <c r="D444" s="39" t="s">
        <v>4032</v>
      </c>
      <c r="E444" s="39" t="s">
        <v>4033</v>
      </c>
      <c r="F444" s="39" t="s">
        <v>3784</v>
      </c>
      <c r="G444" s="39" t="s">
        <v>1452</v>
      </c>
      <c r="H444" s="39"/>
      <c r="I444" s="39" t="s">
        <v>4034</v>
      </c>
      <c r="J444" s="39" t="s">
        <v>4035</v>
      </c>
      <c r="K444" s="39" t="s">
        <v>4036</v>
      </c>
      <c r="L444" s="39" t="s">
        <v>4037</v>
      </c>
    </row>
    <row r="445" spans="1:12">
      <c r="A445" s="39" t="s">
        <v>4038</v>
      </c>
      <c r="B445" s="39" t="s">
        <v>4039</v>
      </c>
      <c r="C445" s="39" t="s">
        <v>4040</v>
      </c>
      <c r="D445" s="39" t="s">
        <v>4041</v>
      </c>
      <c r="E445" s="39" t="s">
        <v>3958</v>
      </c>
      <c r="F445" s="39" t="s">
        <v>2855</v>
      </c>
      <c r="G445" s="39" t="s">
        <v>1452</v>
      </c>
      <c r="H445" s="39" t="s">
        <v>4042</v>
      </c>
      <c r="I445" s="39" t="s">
        <v>4043</v>
      </c>
      <c r="J445" s="39" t="s">
        <v>4044</v>
      </c>
      <c r="K445" s="39" t="s">
        <v>3752</v>
      </c>
      <c r="L445" s="39" t="s">
        <v>4045</v>
      </c>
    </row>
    <row r="446" spans="1:12">
      <c r="A446" s="39" t="s">
        <v>3854</v>
      </c>
      <c r="B446" s="39" t="s">
        <v>2357</v>
      </c>
      <c r="C446" s="39" t="s">
        <v>4046</v>
      </c>
      <c r="D446" s="39" t="s">
        <v>4047</v>
      </c>
      <c r="E446" s="39" t="s">
        <v>4048</v>
      </c>
      <c r="F446" s="39" t="s">
        <v>2596</v>
      </c>
      <c r="G446" s="39" t="s">
        <v>1274</v>
      </c>
      <c r="H446" s="39" t="s">
        <v>4049</v>
      </c>
      <c r="I446" s="39" t="s">
        <v>4050</v>
      </c>
      <c r="J446" s="39" t="s">
        <v>4051</v>
      </c>
      <c r="K446" s="39"/>
      <c r="L446" s="39" t="s">
        <v>4052</v>
      </c>
    </row>
    <row r="447" spans="1:12">
      <c r="A447" s="36"/>
      <c r="B447" s="39" t="s">
        <v>2237</v>
      </c>
      <c r="C447" s="39" t="s">
        <v>4053</v>
      </c>
      <c r="D447" s="39" t="s">
        <v>4054</v>
      </c>
      <c r="E447" s="39" t="s">
        <v>4055</v>
      </c>
      <c r="F447" s="39"/>
      <c r="G447" s="39" t="s">
        <v>4056</v>
      </c>
      <c r="H447" s="39" t="s">
        <v>4057</v>
      </c>
      <c r="I447" s="39" t="s">
        <v>4058</v>
      </c>
      <c r="J447" s="39"/>
      <c r="K447" s="39" t="s">
        <v>4059</v>
      </c>
      <c r="L447" s="39" t="s">
        <v>4060</v>
      </c>
    </row>
    <row r="448" spans="1:12">
      <c r="A448" s="39" t="s">
        <v>2951</v>
      </c>
      <c r="B448" s="39" t="s">
        <v>4061</v>
      </c>
      <c r="C448" s="39" t="s">
        <v>4062</v>
      </c>
      <c r="D448" s="39" t="s">
        <v>4063</v>
      </c>
      <c r="E448" s="39" t="s">
        <v>4064</v>
      </c>
      <c r="F448" s="39" t="s">
        <v>2879</v>
      </c>
      <c r="G448" s="39" t="s">
        <v>1281</v>
      </c>
      <c r="H448" s="39" t="s">
        <v>3736</v>
      </c>
      <c r="I448" s="39" t="s">
        <v>3994</v>
      </c>
      <c r="J448" s="39" t="s">
        <v>4065</v>
      </c>
      <c r="K448" s="39" t="s">
        <v>4066</v>
      </c>
      <c r="L448" s="39" t="s">
        <v>4067</v>
      </c>
    </row>
    <row r="449" spans="1:12">
      <c r="A449" s="39" t="s">
        <v>2265</v>
      </c>
      <c r="B449" s="39" t="s">
        <v>2265</v>
      </c>
      <c r="C449" s="39" t="s">
        <v>4068</v>
      </c>
      <c r="D449" s="39" t="s">
        <v>4069</v>
      </c>
      <c r="E449" s="39"/>
      <c r="F449" s="39" t="s">
        <v>3811</v>
      </c>
      <c r="G449" s="39" t="s">
        <v>4070</v>
      </c>
      <c r="H449" s="39" t="s">
        <v>4071</v>
      </c>
      <c r="I449" s="39" t="s">
        <v>4072</v>
      </c>
      <c r="J449" s="39" t="s">
        <v>4073</v>
      </c>
      <c r="K449" s="39" t="s">
        <v>3736</v>
      </c>
      <c r="L449" s="39" t="s">
        <v>4074</v>
      </c>
    </row>
    <row r="450" spans="1:12">
      <c r="A450" s="36"/>
      <c r="B450" s="39" t="s">
        <v>1657</v>
      </c>
      <c r="C450" s="39" t="s">
        <v>4075</v>
      </c>
      <c r="D450" s="39" t="s">
        <v>4076</v>
      </c>
      <c r="E450" s="39" t="s">
        <v>4077</v>
      </c>
      <c r="F450" s="39" t="s">
        <v>2855</v>
      </c>
      <c r="G450" s="39" t="s">
        <v>1281</v>
      </c>
      <c r="H450" s="39" t="s">
        <v>4078</v>
      </c>
      <c r="I450" s="39" t="s">
        <v>4079</v>
      </c>
      <c r="J450" s="39" t="s">
        <v>4080</v>
      </c>
      <c r="K450" s="39" t="s">
        <v>4081</v>
      </c>
      <c r="L450" s="39" t="s">
        <v>4082</v>
      </c>
    </row>
    <row r="451" spans="1:12">
      <c r="A451" s="39" t="s">
        <v>1278</v>
      </c>
      <c r="B451" s="39" t="s">
        <v>4083</v>
      </c>
      <c r="C451" s="39" t="s">
        <v>4084</v>
      </c>
      <c r="D451" s="39" t="s">
        <v>4085</v>
      </c>
      <c r="E451" s="39" t="s">
        <v>4086</v>
      </c>
      <c r="F451" s="39" t="s">
        <v>2596</v>
      </c>
      <c r="G451" s="39" t="s">
        <v>4087</v>
      </c>
      <c r="H451" s="39" t="s">
        <v>1273</v>
      </c>
      <c r="I451" s="39" t="s">
        <v>4088</v>
      </c>
      <c r="J451" s="39" t="s">
        <v>3628</v>
      </c>
      <c r="K451" s="39" t="s">
        <v>3752</v>
      </c>
      <c r="L451" s="39" t="s">
        <v>4089</v>
      </c>
    </row>
    <row r="452" spans="1:12">
      <c r="A452" s="39" t="s">
        <v>2972</v>
      </c>
      <c r="B452" s="39" t="s">
        <v>4090</v>
      </c>
      <c r="C452" s="39" t="s">
        <v>4091</v>
      </c>
      <c r="D452" s="39" t="s">
        <v>4092</v>
      </c>
      <c r="E452" s="39" t="s">
        <v>4093</v>
      </c>
      <c r="F452" s="39"/>
      <c r="G452" s="39" t="s">
        <v>4094</v>
      </c>
      <c r="H452" s="39" t="s">
        <v>4095</v>
      </c>
      <c r="I452" s="39" t="s">
        <v>4026</v>
      </c>
      <c r="J452" s="39" t="s">
        <v>3354</v>
      </c>
      <c r="K452" s="39"/>
      <c r="L452" s="39" t="s">
        <v>2424</v>
      </c>
    </row>
    <row r="453" spans="1:12">
      <c r="A453" s="36"/>
      <c r="B453" s="39" t="s">
        <v>4096</v>
      </c>
      <c r="C453" s="39" t="s">
        <v>4097</v>
      </c>
      <c r="D453" s="39" t="s">
        <v>4098</v>
      </c>
      <c r="E453" s="39" t="s">
        <v>4099</v>
      </c>
      <c r="F453" s="39" t="s">
        <v>4100</v>
      </c>
      <c r="G453" s="39" t="s">
        <v>4101</v>
      </c>
      <c r="H453" s="39" t="s">
        <v>4102</v>
      </c>
      <c r="I453" s="39" t="s">
        <v>4034</v>
      </c>
      <c r="J453" s="39" t="s">
        <v>4103</v>
      </c>
      <c r="K453" s="39" t="s">
        <v>3769</v>
      </c>
      <c r="L453" s="39" t="s">
        <v>4104</v>
      </c>
    </row>
    <row r="454" spans="1:12">
      <c r="A454" s="39" t="s">
        <v>4105</v>
      </c>
      <c r="B454" s="39" t="s">
        <v>4106</v>
      </c>
      <c r="C454" s="39" t="s">
        <v>4107</v>
      </c>
      <c r="D454" s="39" t="s">
        <v>4108</v>
      </c>
      <c r="E454" s="39" t="s">
        <v>4109</v>
      </c>
      <c r="F454" s="39" t="s">
        <v>3651</v>
      </c>
      <c r="G454" s="39" t="s">
        <v>4110</v>
      </c>
      <c r="H454" s="39"/>
      <c r="I454" s="39" t="s">
        <v>4043</v>
      </c>
      <c r="J454" s="39" t="s">
        <v>4111</v>
      </c>
      <c r="K454" s="39" t="s">
        <v>3776</v>
      </c>
      <c r="L454" s="39" t="s">
        <v>2357</v>
      </c>
    </row>
    <row r="455" spans="1:12">
      <c r="A455" s="39" t="s">
        <v>4112</v>
      </c>
      <c r="B455" s="39" t="s">
        <v>4113</v>
      </c>
      <c r="C455" s="39" t="s">
        <v>4114</v>
      </c>
      <c r="D455" s="39" t="s">
        <v>4115</v>
      </c>
      <c r="E455" s="39" t="s">
        <v>4116</v>
      </c>
      <c r="F455" s="39" t="s">
        <v>3660</v>
      </c>
      <c r="G455" s="39" t="s">
        <v>4117</v>
      </c>
      <c r="H455" s="39" t="s">
        <v>4118</v>
      </c>
      <c r="I455" s="39" t="s">
        <v>4050</v>
      </c>
      <c r="J455" s="39" t="s">
        <v>4119</v>
      </c>
      <c r="K455" s="39" t="s">
        <v>4120</v>
      </c>
      <c r="L455" s="39"/>
    </row>
    <row r="456" spans="1:12">
      <c r="A456" s="36"/>
      <c r="B456" s="39" t="s">
        <v>4121</v>
      </c>
      <c r="C456" s="39" t="s">
        <v>4122</v>
      </c>
      <c r="D456" s="39" t="s">
        <v>4123</v>
      </c>
      <c r="E456" s="39" t="s">
        <v>4124</v>
      </c>
      <c r="F456" s="39" t="s">
        <v>4125</v>
      </c>
      <c r="G456" s="39" t="s">
        <v>4126</v>
      </c>
      <c r="H456" s="39" t="s">
        <v>4127</v>
      </c>
      <c r="I456" s="39" t="s">
        <v>4128</v>
      </c>
      <c r="J456" s="39" t="s">
        <v>3645</v>
      </c>
      <c r="K456" s="39" t="s">
        <v>3782</v>
      </c>
      <c r="L456" s="39" t="s">
        <v>4129</v>
      </c>
    </row>
    <row r="457" spans="1:12">
      <c r="A457" s="39" t="s">
        <v>2501</v>
      </c>
      <c r="B457" s="39" t="s">
        <v>2237</v>
      </c>
      <c r="C457" s="39" t="s">
        <v>4130</v>
      </c>
      <c r="D457" s="39" t="s">
        <v>4131</v>
      </c>
      <c r="E457" s="39" t="s">
        <v>4132</v>
      </c>
      <c r="F457" s="39" t="s">
        <v>3673</v>
      </c>
      <c r="G457" s="39" t="s">
        <v>4133</v>
      </c>
      <c r="H457" s="39"/>
      <c r="I457" s="39" t="s">
        <v>3994</v>
      </c>
      <c r="J457" s="39" t="s">
        <v>2715</v>
      </c>
      <c r="K457" s="39" t="s">
        <v>4134</v>
      </c>
      <c r="L457" s="39" t="s">
        <v>4135</v>
      </c>
    </row>
    <row r="458" spans="1:12">
      <c r="A458" s="39" t="s">
        <v>4136</v>
      </c>
      <c r="B458" s="39" t="s">
        <v>4137</v>
      </c>
      <c r="C458" s="39" t="s">
        <v>4138</v>
      </c>
      <c r="D458" s="39" t="s">
        <v>4139</v>
      </c>
      <c r="E458" s="39" t="s">
        <v>4140</v>
      </c>
      <c r="F458" s="39" t="s">
        <v>2596</v>
      </c>
      <c r="G458" s="39" t="s">
        <v>4141</v>
      </c>
      <c r="H458" s="39" t="s">
        <v>4142</v>
      </c>
      <c r="I458" s="39" t="s">
        <v>4143</v>
      </c>
      <c r="J458" s="39" t="s">
        <v>3686</v>
      </c>
      <c r="K458" s="39" t="s">
        <v>4144</v>
      </c>
      <c r="L458" s="39"/>
    </row>
    <row r="459" spans="1:12">
      <c r="A459" s="39" t="s">
        <v>4145</v>
      </c>
      <c r="B459" s="39" t="s">
        <v>2265</v>
      </c>
      <c r="C459" s="39" t="s">
        <v>4146</v>
      </c>
      <c r="D459" s="39" t="s">
        <v>4147</v>
      </c>
      <c r="E459" s="39" t="s">
        <v>4148</v>
      </c>
      <c r="F459" s="39"/>
      <c r="G459" s="39" t="s">
        <v>4149</v>
      </c>
      <c r="H459" s="39" t="s">
        <v>4150</v>
      </c>
      <c r="I459" s="39" t="s">
        <v>4151</v>
      </c>
      <c r="J459" s="39"/>
      <c r="K459" s="39" t="s">
        <v>3794</v>
      </c>
      <c r="L459" s="39" t="s">
        <v>4152</v>
      </c>
    </row>
    <row r="460" spans="1:12">
      <c r="A460" s="39" t="s">
        <v>4153</v>
      </c>
      <c r="B460" s="39" t="s">
        <v>1278</v>
      </c>
      <c r="C460" s="39" t="s">
        <v>4154</v>
      </c>
      <c r="D460" s="39" t="s">
        <v>4123</v>
      </c>
      <c r="E460" s="39" t="s">
        <v>4155</v>
      </c>
      <c r="F460" s="39" t="s">
        <v>3834</v>
      </c>
      <c r="G460" s="39" t="s">
        <v>4156</v>
      </c>
      <c r="H460" s="39" t="s">
        <v>3736</v>
      </c>
      <c r="I460" s="39" t="s">
        <v>4157</v>
      </c>
      <c r="J460" s="39" t="s">
        <v>3696</v>
      </c>
      <c r="K460" s="39" t="s">
        <v>2237</v>
      </c>
      <c r="L460" s="39" t="s">
        <v>4158</v>
      </c>
    </row>
    <row r="461" spans="1:12">
      <c r="A461" s="39" t="s">
        <v>4159</v>
      </c>
      <c r="B461" s="39" t="s">
        <v>4160</v>
      </c>
      <c r="C461" s="39" t="s">
        <v>4161</v>
      </c>
      <c r="D461" s="39" t="s">
        <v>2579</v>
      </c>
      <c r="E461" s="39" t="s">
        <v>4162</v>
      </c>
      <c r="F461" s="39" t="s">
        <v>2265</v>
      </c>
      <c r="G461" s="39" t="s">
        <v>4163</v>
      </c>
      <c r="H461" s="39" t="s">
        <v>4164</v>
      </c>
      <c r="I461" s="39" t="s">
        <v>4165</v>
      </c>
      <c r="J461" s="39" t="s">
        <v>2265</v>
      </c>
      <c r="K461" s="39" t="s">
        <v>4166</v>
      </c>
      <c r="L461" s="39" t="s">
        <v>4167</v>
      </c>
    </row>
    <row r="462" spans="1:12">
      <c r="A462" s="39" t="s">
        <v>4168</v>
      </c>
      <c r="B462" s="39" t="s">
        <v>4169</v>
      </c>
      <c r="C462" s="39" t="s">
        <v>4170</v>
      </c>
      <c r="D462" s="39" t="s">
        <v>2357</v>
      </c>
      <c r="E462" s="39" t="s">
        <v>4171</v>
      </c>
      <c r="F462" s="39"/>
      <c r="G462" s="39" t="s">
        <v>4172</v>
      </c>
      <c r="H462" s="39" t="s">
        <v>4078</v>
      </c>
      <c r="I462" s="39" t="s">
        <v>4173</v>
      </c>
      <c r="J462" s="39" t="s">
        <v>1259</v>
      </c>
      <c r="K462" s="39" t="s">
        <v>2265</v>
      </c>
      <c r="L462" s="39" t="s">
        <v>2424</v>
      </c>
    </row>
    <row r="463" spans="1:12">
      <c r="A463" s="39" t="s">
        <v>4174</v>
      </c>
      <c r="B463" s="39" t="s">
        <v>4175</v>
      </c>
      <c r="C463" s="39" t="s">
        <v>4176</v>
      </c>
      <c r="D463" s="45"/>
      <c r="E463" s="39" t="s">
        <v>4177</v>
      </c>
      <c r="F463" s="39"/>
      <c r="G463" s="39" t="s">
        <v>4178</v>
      </c>
      <c r="H463" s="39"/>
      <c r="I463" s="39" t="s">
        <v>4026</v>
      </c>
      <c r="J463" s="39" t="s">
        <v>2603</v>
      </c>
      <c r="K463" s="39" t="s">
        <v>1259</v>
      </c>
      <c r="L463" s="39" t="s">
        <v>4179</v>
      </c>
    </row>
    <row r="464" spans="1:12">
      <c r="A464" s="36"/>
      <c r="B464" s="39" t="s">
        <v>2366</v>
      </c>
      <c r="C464" s="39" t="s">
        <v>4138</v>
      </c>
      <c r="D464" s="45" t="s">
        <v>4180</v>
      </c>
      <c r="E464" s="39" t="s">
        <v>4181</v>
      </c>
      <c r="F464" s="39" t="s">
        <v>1273</v>
      </c>
      <c r="G464" s="39" t="s">
        <v>4182</v>
      </c>
      <c r="H464" s="39" t="s">
        <v>4183</v>
      </c>
      <c r="I464" s="39" t="s">
        <v>4034</v>
      </c>
      <c r="J464" s="39" t="s">
        <v>2517</v>
      </c>
      <c r="K464" s="39" t="s">
        <v>4184</v>
      </c>
      <c r="L464" s="39" t="s">
        <v>4185</v>
      </c>
    </row>
    <row r="465" spans="1:12">
      <c r="A465" s="39" t="s">
        <v>4186</v>
      </c>
      <c r="B465" s="39" t="s">
        <v>4187</v>
      </c>
      <c r="C465" s="39" t="s">
        <v>3273</v>
      </c>
      <c r="D465" s="45"/>
      <c r="E465" s="39" t="s">
        <v>4188</v>
      </c>
      <c r="F465" s="39" t="s">
        <v>4189</v>
      </c>
      <c r="G465" s="39" t="s">
        <v>4190</v>
      </c>
      <c r="H465" s="39" t="s">
        <v>2265</v>
      </c>
      <c r="I465" s="39" t="s">
        <v>4043</v>
      </c>
      <c r="J465" s="39" t="s">
        <v>2615</v>
      </c>
      <c r="K465" s="39"/>
      <c r="L465" s="39" t="s">
        <v>4191</v>
      </c>
    </row>
    <row r="466" spans="1:12">
      <c r="A466" s="39" t="s">
        <v>4192</v>
      </c>
      <c r="B466" s="39" t="s">
        <v>2377</v>
      </c>
      <c r="C466" s="39" t="s">
        <v>4193</v>
      </c>
      <c r="D466" s="46" t="s">
        <v>4194</v>
      </c>
      <c r="E466" s="39" t="s">
        <v>4195</v>
      </c>
      <c r="F466" s="39" t="s">
        <v>1280</v>
      </c>
      <c r="G466" s="39" t="s">
        <v>4196</v>
      </c>
      <c r="H466" s="39"/>
      <c r="I466" s="39" t="s">
        <v>4050</v>
      </c>
      <c r="J466" s="39" t="s">
        <v>2622</v>
      </c>
      <c r="K466" s="39" t="s">
        <v>4197</v>
      </c>
      <c r="L466" s="39" t="s">
        <v>4198</v>
      </c>
    </row>
    <row r="467" spans="1:12">
      <c r="A467" s="39" t="s">
        <v>4199</v>
      </c>
      <c r="B467" s="39" t="s">
        <v>2354</v>
      </c>
      <c r="C467" s="39" t="s">
        <v>2626</v>
      </c>
      <c r="D467" s="142" t="s">
        <v>4200</v>
      </c>
      <c r="E467" s="39" t="s">
        <v>4201</v>
      </c>
      <c r="F467" s="39" t="s">
        <v>4202</v>
      </c>
      <c r="G467" s="39" t="s">
        <v>4203</v>
      </c>
      <c r="H467" s="39" t="s">
        <v>4204</v>
      </c>
      <c r="I467" s="39" t="s">
        <v>4205</v>
      </c>
      <c r="J467" s="39" t="s">
        <v>1273</v>
      </c>
      <c r="K467" s="39" t="s">
        <v>3828</v>
      </c>
      <c r="L467" s="39" t="s">
        <v>4206</v>
      </c>
    </row>
    <row r="468" spans="1:12">
      <c r="A468" s="39" t="s">
        <v>4207</v>
      </c>
      <c r="B468" s="39" t="s">
        <v>2357</v>
      </c>
      <c r="C468" s="39" t="s">
        <v>4208</v>
      </c>
      <c r="D468" s="142"/>
      <c r="E468" s="39" t="s">
        <v>4209</v>
      </c>
      <c r="F468" s="39" t="s">
        <v>1280</v>
      </c>
      <c r="G468" s="39" t="s">
        <v>4210</v>
      </c>
      <c r="H468" s="39" t="s">
        <v>1280</v>
      </c>
      <c r="I468" s="39" t="s">
        <v>3994</v>
      </c>
      <c r="J468" s="39" t="s">
        <v>2351</v>
      </c>
      <c r="K468" s="39" t="s">
        <v>4211</v>
      </c>
      <c r="L468" s="39" t="s">
        <v>4212</v>
      </c>
    </row>
    <row r="469" spans="1:12">
      <c r="A469" s="39" t="s">
        <v>4213</v>
      </c>
      <c r="B469" s="39" t="s">
        <v>4214</v>
      </c>
      <c r="C469" s="39" t="s">
        <v>4215</v>
      </c>
      <c r="D469" s="142" t="s">
        <v>4216</v>
      </c>
      <c r="E469" s="39" t="s">
        <v>4217</v>
      </c>
      <c r="F469" s="39" t="s">
        <v>4218</v>
      </c>
      <c r="G469" s="39" t="s">
        <v>4219</v>
      </c>
      <c r="H469" s="39" t="s">
        <v>4220</v>
      </c>
      <c r="I469" s="39" t="s">
        <v>4221</v>
      </c>
      <c r="J469" s="39" t="s">
        <v>4222</v>
      </c>
      <c r="K469" s="39" t="s">
        <v>4223</v>
      </c>
      <c r="L469" s="39" t="s">
        <v>4224</v>
      </c>
    </row>
    <row r="470" spans="1:12">
      <c r="A470" s="39" t="s">
        <v>4225</v>
      </c>
      <c r="B470" s="39" t="s">
        <v>2450</v>
      </c>
      <c r="C470" s="39" t="s">
        <v>4226</v>
      </c>
      <c r="D470" s="142" t="s">
        <v>4227</v>
      </c>
      <c r="E470" s="39" t="s">
        <v>4085</v>
      </c>
      <c r="F470" s="39" t="s">
        <v>4228</v>
      </c>
      <c r="G470" s="39" t="s">
        <v>4229</v>
      </c>
      <c r="H470" s="39" t="s">
        <v>1280</v>
      </c>
      <c r="I470" s="39" t="s">
        <v>4230</v>
      </c>
      <c r="J470" s="39" t="s">
        <v>2354</v>
      </c>
      <c r="K470" s="39" t="s">
        <v>4231</v>
      </c>
      <c r="L470" s="39" t="s">
        <v>4232</v>
      </c>
    </row>
    <row r="471" spans="1:12">
      <c r="A471" s="39" t="s">
        <v>4233</v>
      </c>
      <c r="B471" s="39" t="s">
        <v>2237</v>
      </c>
      <c r="C471" s="39" t="s">
        <v>3273</v>
      </c>
      <c r="D471" s="142" t="s">
        <v>4234</v>
      </c>
      <c r="E471" s="39" t="s">
        <v>4138</v>
      </c>
      <c r="F471" s="39" t="s">
        <v>4235</v>
      </c>
      <c r="G471" s="39" t="s">
        <v>4236</v>
      </c>
      <c r="H471" s="39" t="s">
        <v>4237</v>
      </c>
      <c r="I471" s="39" t="s">
        <v>4026</v>
      </c>
      <c r="J471" s="39" t="s">
        <v>2357</v>
      </c>
      <c r="K471" s="39" t="s">
        <v>4238</v>
      </c>
      <c r="L471" s="39" t="s">
        <v>4198</v>
      </c>
    </row>
    <row r="472" spans="1:12">
      <c r="A472" s="36"/>
      <c r="B472" s="39" t="s">
        <v>4239</v>
      </c>
      <c r="C472" s="39" t="s">
        <v>4240</v>
      </c>
      <c r="D472" s="142" t="s">
        <v>4241</v>
      </c>
      <c r="E472" s="39" t="s">
        <v>2626</v>
      </c>
      <c r="F472" s="39" t="s">
        <v>4242</v>
      </c>
      <c r="G472" s="39" t="s">
        <v>1452</v>
      </c>
      <c r="H472" s="39" t="s">
        <v>4243</v>
      </c>
      <c r="I472" s="39" t="s">
        <v>4034</v>
      </c>
      <c r="J472" s="39" t="s">
        <v>2660</v>
      </c>
      <c r="K472" s="39" t="s">
        <v>4244</v>
      </c>
      <c r="L472" s="39" t="s">
        <v>4245</v>
      </c>
    </row>
    <row r="473" spans="1:12">
      <c r="A473" s="39" t="s">
        <v>4246</v>
      </c>
      <c r="B473" s="39" t="s">
        <v>2265</v>
      </c>
      <c r="C473" s="39" t="s">
        <v>3985</v>
      </c>
      <c r="D473" s="142" t="s">
        <v>4247</v>
      </c>
      <c r="E473" s="39"/>
      <c r="F473" s="39" t="s">
        <v>4248</v>
      </c>
      <c r="G473" s="39" t="s">
        <v>3614</v>
      </c>
      <c r="H473" s="39"/>
      <c r="I473" s="39" t="s">
        <v>4043</v>
      </c>
      <c r="J473" s="39" t="s">
        <v>2237</v>
      </c>
      <c r="K473" s="39" t="s">
        <v>4249</v>
      </c>
      <c r="L473" s="39" t="s">
        <v>4250</v>
      </c>
    </row>
    <row r="474" spans="1:12">
      <c r="A474" s="39" t="s">
        <v>4251</v>
      </c>
      <c r="B474" s="39" t="s">
        <v>1278</v>
      </c>
      <c r="C474" s="39" t="s">
        <v>3991</v>
      </c>
      <c r="D474" s="142" t="s">
        <v>4252</v>
      </c>
      <c r="E474" s="39" t="s">
        <v>4253</v>
      </c>
      <c r="F474" s="39" t="s">
        <v>4254</v>
      </c>
      <c r="G474" s="39" t="s">
        <v>4255</v>
      </c>
      <c r="H474" s="39" t="s">
        <v>4256</v>
      </c>
      <c r="I474" s="39" t="s">
        <v>4050</v>
      </c>
      <c r="J474" s="39" t="s">
        <v>2673</v>
      </c>
      <c r="K474" s="39" t="s">
        <v>4257</v>
      </c>
      <c r="L474" s="39" t="s">
        <v>4258</v>
      </c>
    </row>
    <row r="475" spans="1:12">
      <c r="A475" s="39" t="s">
        <v>3267</v>
      </c>
      <c r="B475" s="39" t="s">
        <v>4259</v>
      </c>
      <c r="C475" s="39" t="s">
        <v>3998</v>
      </c>
      <c r="D475" s="142" t="s">
        <v>4260</v>
      </c>
      <c r="E475" s="39" t="s">
        <v>4261</v>
      </c>
      <c r="F475" s="39" t="s">
        <v>4262</v>
      </c>
      <c r="G475" s="39" t="s">
        <v>4263</v>
      </c>
      <c r="H475" s="39"/>
      <c r="I475" s="39" t="s">
        <v>4264</v>
      </c>
      <c r="J475" s="39" t="s">
        <v>2265</v>
      </c>
      <c r="K475" s="39" t="s">
        <v>2626</v>
      </c>
      <c r="L475" s="39" t="s">
        <v>4232</v>
      </c>
    </row>
    <row r="476" spans="1:12">
      <c r="A476" s="39" t="s">
        <v>4265</v>
      </c>
      <c r="B476" s="39"/>
      <c r="C476" s="39" t="s">
        <v>4002</v>
      </c>
      <c r="D476" s="142"/>
      <c r="E476" s="39" t="s">
        <v>4266</v>
      </c>
      <c r="F476" s="39" t="s">
        <v>4267</v>
      </c>
      <c r="G476" s="39" t="s">
        <v>4268</v>
      </c>
      <c r="H476" s="39" t="s">
        <v>3706</v>
      </c>
      <c r="I476" s="39" t="s">
        <v>4269</v>
      </c>
      <c r="J476" s="39" t="s">
        <v>1259</v>
      </c>
      <c r="K476" s="39" t="s">
        <v>2357</v>
      </c>
      <c r="L476" s="39" t="s">
        <v>3273</v>
      </c>
    </row>
    <row r="477" spans="1:12">
      <c r="A477" s="39" t="s">
        <v>3280</v>
      </c>
      <c r="B477" s="39" t="s">
        <v>2680</v>
      </c>
      <c r="C477" s="39" t="s">
        <v>4270</v>
      </c>
      <c r="D477" s="142" t="s">
        <v>4271</v>
      </c>
      <c r="E477" s="39" t="s">
        <v>2626</v>
      </c>
      <c r="F477" s="39" t="s">
        <v>4272</v>
      </c>
      <c r="G477" s="39" t="s">
        <v>4273</v>
      </c>
      <c r="H477" s="39" t="s">
        <v>4274</v>
      </c>
      <c r="I477" s="39" t="s">
        <v>4275</v>
      </c>
      <c r="J477" s="39" t="s">
        <v>3807</v>
      </c>
      <c r="K477" s="39"/>
      <c r="L477" s="39" t="s">
        <v>4198</v>
      </c>
    </row>
    <row r="478" spans="1:12">
      <c r="A478" s="39" t="s">
        <v>4276</v>
      </c>
      <c r="B478" s="39" t="s">
        <v>2341</v>
      </c>
      <c r="C478" s="39" t="s">
        <v>2626</v>
      </c>
      <c r="D478" s="142"/>
      <c r="E478" s="39"/>
      <c r="F478" s="39" t="s">
        <v>4277</v>
      </c>
      <c r="G478" s="39" t="s">
        <v>3281</v>
      </c>
      <c r="H478" s="39"/>
      <c r="I478" s="39" t="s">
        <v>4278</v>
      </c>
      <c r="J478" s="39" t="s">
        <v>3812</v>
      </c>
      <c r="K478" s="39" t="s">
        <v>4003</v>
      </c>
      <c r="L478" s="39" t="s">
        <v>4279</v>
      </c>
    </row>
    <row r="479" spans="1:12">
      <c r="A479" s="39" t="s">
        <v>4280</v>
      </c>
      <c r="B479" s="39" t="s">
        <v>4281</v>
      </c>
      <c r="C479" s="39" t="s">
        <v>4282</v>
      </c>
      <c r="D479" s="142" t="s">
        <v>4283</v>
      </c>
      <c r="E479" s="39" t="s">
        <v>4284</v>
      </c>
      <c r="F479" s="39" t="s">
        <v>4285</v>
      </c>
      <c r="G479" s="39" t="s">
        <v>1452</v>
      </c>
      <c r="H479" s="39" t="s">
        <v>4286</v>
      </c>
      <c r="I479" s="39" t="s">
        <v>1548</v>
      </c>
      <c r="J479" s="39" t="s">
        <v>3817</v>
      </c>
      <c r="K479" s="39" t="s">
        <v>3495</v>
      </c>
      <c r="L479" s="39" t="s">
        <v>4287</v>
      </c>
    </row>
    <row r="480" spans="1:12">
      <c r="A480" s="39" t="s">
        <v>4288</v>
      </c>
      <c r="B480" s="39" t="s">
        <v>2350</v>
      </c>
      <c r="C480" s="39" t="s">
        <v>4289</v>
      </c>
      <c r="D480" s="142" t="s">
        <v>4290</v>
      </c>
      <c r="E480" s="39" t="s">
        <v>4291</v>
      </c>
      <c r="F480" s="39" t="s">
        <v>4292</v>
      </c>
      <c r="G480" s="39" t="s">
        <v>4293</v>
      </c>
      <c r="H480" s="39" t="s">
        <v>2357</v>
      </c>
      <c r="I480" s="39" t="s">
        <v>3982</v>
      </c>
      <c r="J480" s="39" t="s">
        <v>3824</v>
      </c>
      <c r="K480" s="39" t="s">
        <v>4294</v>
      </c>
      <c r="L480" s="39" t="s">
        <v>4224</v>
      </c>
    </row>
    <row r="481" spans="1:12">
      <c r="A481" s="39" t="s">
        <v>4295</v>
      </c>
      <c r="B481" s="39" t="s">
        <v>2354</v>
      </c>
      <c r="C481" s="39" t="s">
        <v>4296</v>
      </c>
      <c r="D481" s="142" t="s">
        <v>4297</v>
      </c>
      <c r="E481" s="39" t="s">
        <v>4298</v>
      </c>
      <c r="F481" s="39" t="s">
        <v>4299</v>
      </c>
      <c r="G481" s="39" t="s">
        <v>4300</v>
      </c>
      <c r="H481" s="39"/>
      <c r="I481" s="39" t="s">
        <v>4301</v>
      </c>
      <c r="J481" s="39" t="s">
        <v>1273</v>
      </c>
      <c r="K481" s="39"/>
      <c r="L481" s="39" t="s">
        <v>4232</v>
      </c>
    </row>
    <row r="482" spans="1:12">
      <c r="A482" s="39" t="s">
        <v>4302</v>
      </c>
      <c r="B482" s="39" t="s">
        <v>2357</v>
      </c>
      <c r="C482" s="39" t="s">
        <v>4303</v>
      </c>
      <c r="D482" s="142" t="s">
        <v>4304</v>
      </c>
      <c r="E482" s="39" t="s">
        <v>2626</v>
      </c>
      <c r="F482" s="39" t="s">
        <v>4305</v>
      </c>
      <c r="G482" s="39" t="s">
        <v>3622</v>
      </c>
      <c r="H482" s="39" t="s">
        <v>4306</v>
      </c>
      <c r="I482" s="39" t="s">
        <v>4307</v>
      </c>
      <c r="J482" s="39" t="s">
        <v>2618</v>
      </c>
      <c r="K482" s="39" t="s">
        <v>4194</v>
      </c>
      <c r="L482" s="39" t="s">
        <v>4308</v>
      </c>
    </row>
    <row r="483" spans="1:12">
      <c r="A483" s="39" t="s">
        <v>4309</v>
      </c>
      <c r="B483" s="39" t="s">
        <v>2460</v>
      </c>
      <c r="C483" s="39" t="s">
        <v>4310</v>
      </c>
      <c r="D483" s="142" t="s">
        <v>4311</v>
      </c>
      <c r="E483" s="39"/>
      <c r="F483" s="39" t="s">
        <v>4312</v>
      </c>
      <c r="G483" s="39" t="s">
        <v>1452</v>
      </c>
      <c r="H483" s="39" t="s">
        <v>4313</v>
      </c>
      <c r="I483" s="39" t="s">
        <v>4314</v>
      </c>
      <c r="J483" s="39" t="s">
        <v>4315</v>
      </c>
      <c r="K483" s="39" t="s">
        <v>3164</v>
      </c>
      <c r="L483" s="39" t="s">
        <v>2626</v>
      </c>
    </row>
    <row r="484" spans="1:12">
      <c r="A484" s="39" t="s">
        <v>4316</v>
      </c>
      <c r="B484" s="39" t="s">
        <v>2366</v>
      </c>
      <c r="C484" s="39" t="s">
        <v>4317</v>
      </c>
      <c r="D484" s="45"/>
      <c r="E484" s="39" t="s">
        <v>4318</v>
      </c>
      <c r="F484" s="39" t="s">
        <v>4319</v>
      </c>
      <c r="G484" s="39" t="s">
        <v>3761</v>
      </c>
      <c r="H484" s="39" t="s">
        <v>2855</v>
      </c>
      <c r="I484" s="39" t="s">
        <v>4320</v>
      </c>
      <c r="J484" s="39" t="s">
        <v>2354</v>
      </c>
      <c r="K484" s="39" t="s">
        <v>4321</v>
      </c>
      <c r="L484" s="39" t="s">
        <v>2357</v>
      </c>
    </row>
    <row r="485" spans="1:12">
      <c r="A485" s="39" t="s">
        <v>4322</v>
      </c>
      <c r="B485" s="39" t="s">
        <v>4323</v>
      </c>
      <c r="C485" s="39" t="s">
        <v>4324</v>
      </c>
      <c r="D485" s="45" t="s">
        <v>4180</v>
      </c>
      <c r="E485" s="39" t="s">
        <v>4325</v>
      </c>
      <c r="F485" s="39" t="s">
        <v>4326</v>
      </c>
      <c r="G485" s="39" t="s">
        <v>4327</v>
      </c>
      <c r="H485" s="39" t="s">
        <v>2596</v>
      </c>
      <c r="I485" s="39" t="s">
        <v>4328</v>
      </c>
      <c r="J485" s="39" t="s">
        <v>2357</v>
      </c>
      <c r="K485" s="39" t="s">
        <v>4329</v>
      </c>
      <c r="L485" s="39"/>
    </row>
    <row r="486" spans="1:12">
      <c r="A486" s="39" t="s">
        <v>4302</v>
      </c>
      <c r="B486" s="39" t="s">
        <v>2377</v>
      </c>
      <c r="C486" s="39" t="s">
        <v>4330</v>
      </c>
      <c r="D486" s="39" t="s">
        <v>4331</v>
      </c>
      <c r="E486" s="39" t="s">
        <v>4332</v>
      </c>
      <c r="F486" s="39" t="s">
        <v>4333</v>
      </c>
      <c r="G486" s="39" t="s">
        <v>4334</v>
      </c>
      <c r="H486" s="39" t="s">
        <v>4335</v>
      </c>
      <c r="I486" s="39" t="s">
        <v>4336</v>
      </c>
      <c r="J486" s="39" t="s">
        <v>2237</v>
      </c>
      <c r="K486" s="39" t="s">
        <v>4337</v>
      </c>
      <c r="L486" s="39"/>
    </row>
    <row r="487" spans="1:12">
      <c r="A487" s="39" t="s">
        <v>4338</v>
      </c>
      <c r="B487" s="39" t="s">
        <v>2354</v>
      </c>
      <c r="C487" s="39" t="s">
        <v>2626</v>
      </c>
      <c r="D487" s="45" t="s">
        <v>4180</v>
      </c>
      <c r="E487" s="39" t="s">
        <v>2626</v>
      </c>
      <c r="F487" s="39" t="s">
        <v>4339</v>
      </c>
      <c r="G487" s="39" t="s">
        <v>4340</v>
      </c>
      <c r="H487" s="39" t="s">
        <v>2265</v>
      </c>
      <c r="I487" s="39" t="s">
        <v>4264</v>
      </c>
      <c r="J487" s="39" t="s">
        <v>3861</v>
      </c>
      <c r="K487" s="39" t="s">
        <v>4341</v>
      </c>
      <c r="L487" s="39" t="s">
        <v>4342</v>
      </c>
    </row>
    <row r="488" spans="1:12">
      <c r="A488" s="36"/>
      <c r="B488" s="39" t="s">
        <v>2357</v>
      </c>
      <c r="C488" s="39"/>
      <c r="D488" s="39"/>
      <c r="E488" s="39" t="s">
        <v>2596</v>
      </c>
      <c r="F488" s="39" t="s">
        <v>4343</v>
      </c>
      <c r="G488" s="39" t="s">
        <v>4344</v>
      </c>
      <c r="H488" s="39"/>
      <c r="I488" s="39" t="s">
        <v>4345</v>
      </c>
      <c r="J488" s="39" t="s">
        <v>2265</v>
      </c>
      <c r="K488" s="39" t="s">
        <v>2424</v>
      </c>
      <c r="L488" s="39" t="s">
        <v>4346</v>
      </c>
    </row>
    <row r="489" spans="1:12">
      <c r="A489" s="39" t="s">
        <v>4347</v>
      </c>
      <c r="B489" s="39" t="s">
        <v>2237</v>
      </c>
      <c r="C489" s="39" t="s">
        <v>4348</v>
      </c>
      <c r="D489" s="39" t="s">
        <v>3545</v>
      </c>
      <c r="E489" s="39"/>
      <c r="F489" s="39" t="s">
        <v>3054</v>
      </c>
      <c r="G489" s="39" t="s">
        <v>4349</v>
      </c>
      <c r="H489" s="39" t="s">
        <v>4350</v>
      </c>
      <c r="I489" s="39" t="s">
        <v>4275</v>
      </c>
      <c r="J489" s="39" t="s">
        <v>1259</v>
      </c>
      <c r="K489" s="39" t="s">
        <v>4351</v>
      </c>
      <c r="L489" s="39" t="s">
        <v>4352</v>
      </c>
    </row>
    <row r="490" spans="1:12">
      <c r="A490" s="39" t="s">
        <v>4353</v>
      </c>
      <c r="B490" s="39" t="s">
        <v>2728</v>
      </c>
      <c r="C490" s="39" t="s">
        <v>4354</v>
      </c>
      <c r="D490" s="39" t="s">
        <v>4355</v>
      </c>
      <c r="E490" s="39" t="s">
        <v>4356</v>
      </c>
      <c r="F490" s="39"/>
      <c r="G490" s="39" t="s">
        <v>4357</v>
      </c>
      <c r="H490" s="39" t="s">
        <v>1280</v>
      </c>
      <c r="I490" s="39" t="s">
        <v>4278</v>
      </c>
      <c r="J490" s="39" t="s">
        <v>2695</v>
      </c>
      <c r="K490" s="39" t="s">
        <v>4358</v>
      </c>
      <c r="L490" s="39" t="s">
        <v>4359</v>
      </c>
    </row>
    <row r="491" spans="1:12">
      <c r="A491" s="36"/>
      <c r="B491" s="39" t="s">
        <v>2404</v>
      </c>
      <c r="C491" s="39" t="s">
        <v>4360</v>
      </c>
      <c r="D491" s="39" t="s">
        <v>4361</v>
      </c>
      <c r="E491" s="39" t="s">
        <v>4362</v>
      </c>
      <c r="F491" s="39" t="s">
        <v>3651</v>
      </c>
      <c r="G491" s="39" t="s">
        <v>4363</v>
      </c>
      <c r="H491" s="39" t="s">
        <v>4364</v>
      </c>
      <c r="I491" s="39" t="s">
        <v>1548</v>
      </c>
      <c r="J491" s="39"/>
      <c r="K491" s="39" t="s">
        <v>4365</v>
      </c>
      <c r="L491" s="39" t="s">
        <v>4366</v>
      </c>
    </row>
    <row r="492" spans="1:12">
      <c r="A492" s="39" t="s">
        <v>4367</v>
      </c>
      <c r="B492" s="39" t="s">
        <v>2411</v>
      </c>
      <c r="C492" s="39" t="s">
        <v>4368</v>
      </c>
      <c r="D492" s="39" t="s">
        <v>4369</v>
      </c>
      <c r="E492" s="39" t="s">
        <v>2501</v>
      </c>
      <c r="F492" s="39" t="s">
        <v>4370</v>
      </c>
      <c r="G492" s="39" t="s">
        <v>4371</v>
      </c>
      <c r="H492" s="39" t="s">
        <v>1280</v>
      </c>
      <c r="I492" s="39" t="s">
        <v>3982</v>
      </c>
      <c r="J492" s="39" t="s">
        <v>4372</v>
      </c>
      <c r="K492" s="39" t="s">
        <v>2357</v>
      </c>
      <c r="L492" s="39" t="s">
        <v>4373</v>
      </c>
    </row>
    <row r="493" spans="1:12">
      <c r="A493" s="39" t="s">
        <v>4374</v>
      </c>
      <c r="B493" s="39" t="s">
        <v>2752</v>
      </c>
      <c r="C493" s="39" t="s">
        <v>4375</v>
      </c>
      <c r="D493" s="39"/>
      <c r="E493" s="39" t="s">
        <v>4376</v>
      </c>
      <c r="F493" s="39" t="s">
        <v>2424</v>
      </c>
      <c r="G493" s="39" t="s">
        <v>4377</v>
      </c>
      <c r="H493" s="39" t="s">
        <v>4378</v>
      </c>
      <c r="I493" s="39" t="s">
        <v>4379</v>
      </c>
      <c r="J493" s="39" t="s">
        <v>3895</v>
      </c>
      <c r="K493" s="39" t="s">
        <v>4380</v>
      </c>
      <c r="L493" s="39" t="s">
        <v>4381</v>
      </c>
    </row>
    <row r="494" spans="1:12">
      <c r="A494" s="36"/>
      <c r="B494" s="39" t="s">
        <v>2425</v>
      </c>
      <c r="C494" s="39" t="s">
        <v>4382</v>
      </c>
      <c r="D494" s="39" t="s">
        <v>4383</v>
      </c>
      <c r="E494" s="39" t="s">
        <v>4384</v>
      </c>
      <c r="F494" s="39" t="s">
        <v>3986</v>
      </c>
      <c r="G494" s="39" t="s">
        <v>4385</v>
      </c>
      <c r="H494" s="39" t="s">
        <v>4386</v>
      </c>
      <c r="I494" s="39" t="s">
        <v>4387</v>
      </c>
      <c r="J494" s="39" t="s">
        <v>3904</v>
      </c>
      <c r="K494" s="39" t="s">
        <v>4388</v>
      </c>
      <c r="L494" s="39" t="s">
        <v>2357</v>
      </c>
    </row>
    <row r="495" spans="1:12">
      <c r="A495" s="39" t="s">
        <v>4389</v>
      </c>
      <c r="B495" s="39" t="s">
        <v>2435</v>
      </c>
      <c r="C495" s="39" t="s">
        <v>4390</v>
      </c>
      <c r="D495" s="39" t="s">
        <v>4391</v>
      </c>
      <c r="E495" s="39" t="s">
        <v>4392</v>
      </c>
      <c r="F495" s="39" t="s">
        <v>3992</v>
      </c>
      <c r="G495" s="39" t="s">
        <v>4393</v>
      </c>
      <c r="H495" s="39" t="s">
        <v>2879</v>
      </c>
      <c r="I495" s="39" t="s">
        <v>4394</v>
      </c>
      <c r="J495" s="39" t="s">
        <v>2424</v>
      </c>
      <c r="K495" s="39" t="s">
        <v>4395</v>
      </c>
      <c r="L495" s="39" t="s">
        <v>4396</v>
      </c>
    </row>
    <row r="496" spans="1:12">
      <c r="A496" s="39" t="s">
        <v>4397</v>
      </c>
      <c r="B496" s="39" t="s">
        <v>1548</v>
      </c>
      <c r="C496" s="39" t="s">
        <v>4398</v>
      </c>
      <c r="D496" s="39" t="s">
        <v>3787</v>
      </c>
      <c r="E496" s="39" t="s">
        <v>4399</v>
      </c>
      <c r="F496" s="39" t="s">
        <v>2596</v>
      </c>
      <c r="G496" s="39" t="s">
        <v>4400</v>
      </c>
      <c r="H496" s="39" t="s">
        <v>4401</v>
      </c>
      <c r="I496" s="39" t="s">
        <v>4402</v>
      </c>
      <c r="J496" s="39" t="s">
        <v>4403</v>
      </c>
      <c r="K496" s="39" t="s">
        <v>3209</v>
      </c>
      <c r="L496" s="39" t="s">
        <v>4404</v>
      </c>
    </row>
    <row r="497" spans="1:12">
      <c r="A497" s="36"/>
      <c r="B497" s="39" t="s">
        <v>4405</v>
      </c>
      <c r="C497" s="39" t="s">
        <v>3206</v>
      </c>
      <c r="D497" s="39" t="s">
        <v>2237</v>
      </c>
      <c r="E497" s="39" t="s">
        <v>4406</v>
      </c>
      <c r="F497" s="39"/>
      <c r="G497" s="39" t="s">
        <v>3806</v>
      </c>
      <c r="H497" s="39" t="s">
        <v>2855</v>
      </c>
      <c r="I497" s="39" t="s">
        <v>4407</v>
      </c>
      <c r="J497" s="39" t="s">
        <v>3922</v>
      </c>
      <c r="K497" s="39"/>
      <c r="L497" s="39" t="s">
        <v>4408</v>
      </c>
    </row>
    <row r="498" spans="1:12">
      <c r="A498" s="39" t="s">
        <v>4409</v>
      </c>
      <c r="B498" s="39" t="s">
        <v>2265</v>
      </c>
      <c r="C498" s="39" t="s">
        <v>4410</v>
      </c>
      <c r="D498" s="39" t="s">
        <v>4411</v>
      </c>
      <c r="E498" s="39" t="s">
        <v>4412</v>
      </c>
      <c r="F498" s="39" t="s">
        <v>4356</v>
      </c>
      <c r="G498" s="39" t="s">
        <v>1452</v>
      </c>
      <c r="H498" s="39" t="s">
        <v>2424</v>
      </c>
      <c r="I498" s="39" t="s">
        <v>4413</v>
      </c>
      <c r="J498" s="39" t="s">
        <v>2357</v>
      </c>
      <c r="K498" s="39" t="s">
        <v>4414</v>
      </c>
      <c r="L498" s="39" t="s">
        <v>4415</v>
      </c>
    </row>
    <row r="499" spans="1:12">
      <c r="A499" s="39" t="s">
        <v>4416</v>
      </c>
      <c r="B499" s="39" t="s">
        <v>1420</v>
      </c>
      <c r="C499" s="39" t="s">
        <v>2357</v>
      </c>
      <c r="D499" s="39" t="s">
        <v>2265</v>
      </c>
      <c r="E499" s="39" t="s">
        <v>4417</v>
      </c>
      <c r="F499" s="39" t="s">
        <v>4362</v>
      </c>
      <c r="G499" s="39" t="s">
        <v>4418</v>
      </c>
      <c r="H499" s="39" t="s">
        <v>4419</v>
      </c>
      <c r="I499" s="39" t="s">
        <v>4420</v>
      </c>
      <c r="J499" s="39" t="s">
        <v>1273</v>
      </c>
      <c r="K499" s="39" t="s">
        <v>3227</v>
      </c>
      <c r="L499" s="39" t="s">
        <v>4421</v>
      </c>
    </row>
    <row r="500" spans="1:12">
      <c r="A500" s="36"/>
      <c r="B500" s="39" t="s">
        <v>4422</v>
      </c>
      <c r="C500" s="39"/>
      <c r="D500" s="39"/>
      <c r="E500" s="39" t="s">
        <v>4423</v>
      </c>
      <c r="F500" s="39" t="s">
        <v>3660</v>
      </c>
      <c r="G500" s="39" t="s">
        <v>4424</v>
      </c>
      <c r="H500" s="39" t="s">
        <v>2596</v>
      </c>
      <c r="I500" s="39" t="s">
        <v>4425</v>
      </c>
      <c r="J500" s="39" t="s">
        <v>2412</v>
      </c>
      <c r="K500" s="39" t="s">
        <v>3233</v>
      </c>
      <c r="L500" s="39" t="s">
        <v>4426</v>
      </c>
    </row>
    <row r="501" spans="1:12">
      <c r="A501" s="39" t="s">
        <v>4427</v>
      </c>
      <c r="B501" s="39" t="s">
        <v>1413</v>
      </c>
      <c r="C501" s="39" t="s">
        <v>4428</v>
      </c>
      <c r="D501" s="39" t="s">
        <v>1259</v>
      </c>
      <c r="E501" s="39" t="s">
        <v>4429</v>
      </c>
      <c r="F501" s="39"/>
      <c r="G501" s="39" t="s">
        <v>4430</v>
      </c>
      <c r="H501" s="39" t="s">
        <v>4431</v>
      </c>
      <c r="I501" s="39" t="s">
        <v>4432</v>
      </c>
      <c r="J501" s="39" t="s">
        <v>1273</v>
      </c>
      <c r="K501" s="39" t="s">
        <v>3239</v>
      </c>
      <c r="L501" s="39" t="s">
        <v>4433</v>
      </c>
    </row>
    <row r="502" spans="1:12">
      <c r="A502" s="39" t="s">
        <v>4434</v>
      </c>
      <c r="B502" s="39" t="s">
        <v>4435</v>
      </c>
      <c r="C502" s="39" t="s">
        <v>4436</v>
      </c>
      <c r="D502" s="39" t="s">
        <v>4437</v>
      </c>
      <c r="E502" s="39" t="s">
        <v>4438</v>
      </c>
      <c r="F502" s="39" t="s">
        <v>2501</v>
      </c>
      <c r="G502" s="39" t="s">
        <v>4439</v>
      </c>
      <c r="H502" s="39" t="s">
        <v>2265</v>
      </c>
      <c r="I502" s="39" t="s">
        <v>4440</v>
      </c>
      <c r="J502" s="39" t="s">
        <v>2237</v>
      </c>
      <c r="K502" s="39" t="s">
        <v>3243</v>
      </c>
      <c r="L502" s="39" t="s">
        <v>4441</v>
      </c>
    </row>
    <row r="503" spans="1:12">
      <c r="A503" s="36"/>
      <c r="B503" s="39" t="s">
        <v>1413</v>
      </c>
      <c r="C503" s="39" t="s">
        <v>4442</v>
      </c>
      <c r="D503" s="39"/>
      <c r="E503" s="39" t="s">
        <v>4443</v>
      </c>
      <c r="F503" s="39" t="s">
        <v>4376</v>
      </c>
      <c r="G503" s="39" t="s">
        <v>4444</v>
      </c>
      <c r="H503" s="39"/>
      <c r="I503" s="39" t="s">
        <v>4445</v>
      </c>
      <c r="J503" s="39" t="s">
        <v>2875</v>
      </c>
      <c r="K503" s="39" t="s">
        <v>4446</v>
      </c>
      <c r="L503" s="39" t="s">
        <v>4447</v>
      </c>
    </row>
    <row r="504" spans="1:12">
      <c r="A504" s="39" t="s">
        <v>4448</v>
      </c>
      <c r="B504" s="39" t="s">
        <v>4449</v>
      </c>
      <c r="C504" s="39" t="s">
        <v>4450</v>
      </c>
      <c r="D504" s="39" t="s">
        <v>4451</v>
      </c>
      <c r="E504" s="39" t="s">
        <v>4452</v>
      </c>
      <c r="F504" s="39" t="s">
        <v>4453</v>
      </c>
      <c r="G504" s="39" t="s">
        <v>3633</v>
      </c>
      <c r="H504" s="39" t="s">
        <v>4454</v>
      </c>
      <c r="I504" s="39" t="s">
        <v>4455</v>
      </c>
      <c r="J504" s="39" t="s">
        <v>2265</v>
      </c>
      <c r="K504" s="39"/>
      <c r="L504" s="39" t="s">
        <v>3221</v>
      </c>
    </row>
    <row r="505" spans="1:12">
      <c r="A505" s="39" t="s">
        <v>4456</v>
      </c>
      <c r="B505" s="39" t="s">
        <v>4457</v>
      </c>
      <c r="C505" s="39" t="s">
        <v>4458</v>
      </c>
      <c r="D505" s="39" t="s">
        <v>4459</v>
      </c>
      <c r="E505" s="39" t="s">
        <v>2579</v>
      </c>
      <c r="F505" s="39" t="s">
        <v>4392</v>
      </c>
      <c r="G505" s="39" t="s">
        <v>3281</v>
      </c>
      <c r="H505" s="39" t="s">
        <v>1280</v>
      </c>
      <c r="I505" s="39" t="s">
        <v>4460</v>
      </c>
      <c r="J505" s="39" t="s">
        <v>1259</v>
      </c>
      <c r="K505" s="39" t="s">
        <v>3545</v>
      </c>
      <c r="L505" s="39" t="s">
        <v>4461</v>
      </c>
    </row>
    <row r="506" spans="1:12">
      <c r="A506" s="36"/>
      <c r="B506" s="39" t="s">
        <v>3982</v>
      </c>
      <c r="C506" s="39" t="s">
        <v>4462</v>
      </c>
      <c r="D506" s="39" t="s">
        <v>4463</v>
      </c>
      <c r="E506" s="39"/>
      <c r="F506" s="39" t="s">
        <v>4464</v>
      </c>
      <c r="G506" s="39" t="s">
        <v>1452</v>
      </c>
      <c r="H506" s="39" t="s">
        <v>4465</v>
      </c>
      <c r="I506" s="39" t="s">
        <v>4466</v>
      </c>
      <c r="J506" s="39" t="s">
        <v>2897</v>
      </c>
      <c r="K506" s="39" t="s">
        <v>4355</v>
      </c>
      <c r="L506" s="39" t="s">
        <v>4467</v>
      </c>
    </row>
    <row r="507" spans="1:12">
      <c r="A507" s="39" t="s">
        <v>4468</v>
      </c>
      <c r="B507" s="39" t="s">
        <v>4469</v>
      </c>
      <c r="C507" s="39" t="s">
        <v>4470</v>
      </c>
      <c r="D507" s="39" t="s">
        <v>4471</v>
      </c>
      <c r="E507" s="39" t="s">
        <v>3660</v>
      </c>
      <c r="F507" s="39" t="s">
        <v>4406</v>
      </c>
      <c r="G507" s="39" t="s">
        <v>4472</v>
      </c>
      <c r="H507" s="39" t="s">
        <v>1280</v>
      </c>
      <c r="I507" s="39" t="s">
        <v>4473</v>
      </c>
      <c r="J507" s="39"/>
      <c r="K507" s="39" t="s">
        <v>4361</v>
      </c>
      <c r="L507" s="39" t="s">
        <v>4474</v>
      </c>
    </row>
    <row r="508" spans="1:12">
      <c r="A508" s="39" t="s">
        <v>4475</v>
      </c>
      <c r="B508" s="39" t="s">
        <v>4476</v>
      </c>
      <c r="C508" s="39" t="s">
        <v>4477</v>
      </c>
      <c r="D508" s="39" t="s">
        <v>4478</v>
      </c>
      <c r="E508" s="39" t="s">
        <v>4479</v>
      </c>
      <c r="F508" s="39" t="s">
        <v>4480</v>
      </c>
      <c r="G508" s="39" t="s">
        <v>3680</v>
      </c>
      <c r="H508" s="39" t="s">
        <v>4481</v>
      </c>
      <c r="I508" s="39" t="s">
        <v>4482</v>
      </c>
      <c r="J508" s="39" t="s">
        <v>2905</v>
      </c>
      <c r="K508" s="39" t="s">
        <v>4369</v>
      </c>
      <c r="L508" s="39" t="s">
        <v>4467</v>
      </c>
    </row>
    <row r="509" spans="1:12">
      <c r="A509" s="36"/>
      <c r="B509" s="39" t="s">
        <v>4483</v>
      </c>
      <c r="C509" s="39" t="s">
        <v>4484</v>
      </c>
      <c r="D509" s="39" t="s">
        <v>4485</v>
      </c>
      <c r="E509" s="39" t="s">
        <v>4486</v>
      </c>
      <c r="F509" s="39" t="s">
        <v>4417</v>
      </c>
      <c r="G509" s="39" t="s">
        <v>1452</v>
      </c>
      <c r="H509" s="39" t="s">
        <v>4487</v>
      </c>
      <c r="I509" s="39" t="s">
        <v>4488</v>
      </c>
      <c r="J509" s="39" t="s">
        <v>4489</v>
      </c>
      <c r="K509" s="39" t="s">
        <v>4490</v>
      </c>
      <c r="L509" s="39" t="s">
        <v>4491</v>
      </c>
    </row>
    <row r="510" spans="1:12">
      <c r="A510" s="39" t="s">
        <v>4492</v>
      </c>
      <c r="B510" s="39" t="s">
        <v>4493</v>
      </c>
      <c r="C510" s="39" t="s">
        <v>4494</v>
      </c>
      <c r="D510" s="39" t="s">
        <v>2930</v>
      </c>
      <c r="E510" s="39" t="s">
        <v>4495</v>
      </c>
      <c r="F510" s="39" t="s">
        <v>4496</v>
      </c>
      <c r="G510" s="39" t="s">
        <v>1452</v>
      </c>
      <c r="H510" s="39" t="s">
        <v>4497</v>
      </c>
      <c r="I510" s="39" t="s">
        <v>4420</v>
      </c>
      <c r="J510" s="39" t="s">
        <v>4498</v>
      </c>
      <c r="K510" s="39"/>
      <c r="L510" s="39" t="s">
        <v>4499</v>
      </c>
    </row>
    <row r="511" spans="1:12">
      <c r="A511" s="39" t="s">
        <v>4500</v>
      </c>
      <c r="B511" s="39" t="s">
        <v>4501</v>
      </c>
      <c r="C511" s="39" t="s">
        <v>4502</v>
      </c>
      <c r="D511" s="39" t="s">
        <v>4503</v>
      </c>
      <c r="E511" s="39" t="s">
        <v>4504</v>
      </c>
      <c r="F511" s="39" t="s">
        <v>4429</v>
      </c>
      <c r="G511" s="39" t="s">
        <v>4505</v>
      </c>
      <c r="H511" s="39"/>
      <c r="I511" s="39" t="s">
        <v>4506</v>
      </c>
      <c r="J511" s="39" t="s">
        <v>2756</v>
      </c>
      <c r="K511" s="39" t="s">
        <v>4507</v>
      </c>
      <c r="L511" s="39" t="s">
        <v>4508</v>
      </c>
    </row>
    <row r="512" spans="1:12">
      <c r="A512" s="36"/>
      <c r="B512" s="39" t="s">
        <v>4509</v>
      </c>
      <c r="C512" s="39" t="s">
        <v>4510</v>
      </c>
      <c r="D512" s="39" t="s">
        <v>4511</v>
      </c>
      <c r="E512" s="39" t="s">
        <v>4512</v>
      </c>
      <c r="F512" s="39" t="s">
        <v>4513</v>
      </c>
      <c r="G512" s="39" t="s">
        <v>1281</v>
      </c>
      <c r="H512" s="39" t="s">
        <v>4514</v>
      </c>
      <c r="I512" s="39" t="s">
        <v>4460</v>
      </c>
      <c r="J512" s="39" t="s">
        <v>2263</v>
      </c>
      <c r="K512" s="39" t="s">
        <v>4515</v>
      </c>
      <c r="L512" s="39" t="s">
        <v>3221</v>
      </c>
    </row>
    <row r="513" spans="1:12">
      <c r="A513" s="39" t="s">
        <v>2579</v>
      </c>
      <c r="B513" s="39" t="s">
        <v>4516</v>
      </c>
      <c r="C513" s="39" t="s">
        <v>4517</v>
      </c>
      <c r="D513" s="39" t="s">
        <v>4518</v>
      </c>
      <c r="E513" s="39" t="s">
        <v>4519</v>
      </c>
      <c r="F513" s="39" t="s">
        <v>4443</v>
      </c>
      <c r="G513" s="39" t="s">
        <v>4520</v>
      </c>
      <c r="H513" s="39" t="s">
        <v>4521</v>
      </c>
      <c r="I513" s="39" t="s">
        <v>4522</v>
      </c>
      <c r="J513" s="39" t="s">
        <v>2920</v>
      </c>
      <c r="K513" s="39" t="s">
        <v>4523</v>
      </c>
      <c r="L513" s="39" t="s">
        <v>4524</v>
      </c>
    </row>
    <row r="514" spans="1:12">
      <c r="A514" s="39" t="s">
        <v>3854</v>
      </c>
      <c r="B514" s="39" t="s">
        <v>4525</v>
      </c>
      <c r="C514" s="39" t="s">
        <v>4526</v>
      </c>
      <c r="D514" s="39" t="s">
        <v>4527</v>
      </c>
      <c r="E514" s="39" t="s">
        <v>3673</v>
      </c>
      <c r="F514" s="39" t="s">
        <v>4528</v>
      </c>
      <c r="G514" s="39" t="s">
        <v>1281</v>
      </c>
      <c r="H514" s="39"/>
      <c r="I514" s="39" t="s">
        <v>4529</v>
      </c>
      <c r="J514" s="39" t="s">
        <v>2930</v>
      </c>
      <c r="K514" s="39" t="s">
        <v>4530</v>
      </c>
      <c r="L514" s="39" t="s">
        <v>4467</v>
      </c>
    </row>
    <row r="515" spans="1:12">
      <c r="A515" s="36"/>
      <c r="B515" s="39" t="s">
        <v>4531</v>
      </c>
      <c r="C515" s="39" t="s">
        <v>4532</v>
      </c>
      <c r="D515" s="39" t="s">
        <v>4533</v>
      </c>
      <c r="E515" s="39" t="s">
        <v>2596</v>
      </c>
      <c r="F515" s="39" t="s">
        <v>2579</v>
      </c>
      <c r="G515" s="39" t="s">
        <v>4534</v>
      </c>
      <c r="H515" s="39" t="s">
        <v>4535</v>
      </c>
      <c r="I515" s="39" t="s">
        <v>4536</v>
      </c>
      <c r="J515" s="39" t="s">
        <v>2936</v>
      </c>
      <c r="K515" s="39" t="s">
        <v>4537</v>
      </c>
      <c r="L515" s="39" t="s">
        <v>4538</v>
      </c>
    </row>
    <row r="516" spans="1:12">
      <c r="A516" s="39" t="s">
        <v>3291</v>
      </c>
      <c r="B516" s="39" t="s">
        <v>4539</v>
      </c>
      <c r="C516" s="39" t="s">
        <v>4540</v>
      </c>
      <c r="D516" s="39" t="s">
        <v>4541</v>
      </c>
      <c r="E516" s="39"/>
      <c r="F516" s="39"/>
      <c r="G516" s="39" t="s">
        <v>4542</v>
      </c>
      <c r="H516" s="39" t="s">
        <v>2265</v>
      </c>
      <c r="I516" s="39" t="s">
        <v>4543</v>
      </c>
      <c r="J516" s="39" t="s">
        <v>2946</v>
      </c>
      <c r="K516" s="39" t="s">
        <v>4544</v>
      </c>
      <c r="L516" s="39" t="s">
        <v>4467</v>
      </c>
    </row>
    <row r="517" spans="1:12">
      <c r="A517" s="36"/>
      <c r="B517" s="39" t="s">
        <v>4545</v>
      </c>
      <c r="C517" s="39" t="s">
        <v>4546</v>
      </c>
      <c r="D517" s="39"/>
      <c r="E517" s="39" t="s">
        <v>3653</v>
      </c>
      <c r="F517" s="39" t="s">
        <v>4479</v>
      </c>
      <c r="G517" s="39" t="s">
        <v>4547</v>
      </c>
      <c r="H517" s="13"/>
      <c r="I517" s="39" t="s">
        <v>4420</v>
      </c>
      <c r="J517" s="39" t="s">
        <v>2953</v>
      </c>
      <c r="K517" s="39" t="s">
        <v>4548</v>
      </c>
      <c r="L517" s="39" t="s">
        <v>4549</v>
      </c>
    </row>
    <row r="518" spans="1:12">
      <c r="A518" s="39" t="s">
        <v>3135</v>
      </c>
      <c r="B518" s="39" t="s">
        <v>4550</v>
      </c>
      <c r="C518" s="39" t="s">
        <v>4551</v>
      </c>
      <c r="D518" s="39" t="s">
        <v>4552</v>
      </c>
      <c r="E518" s="39" t="s">
        <v>2924</v>
      </c>
      <c r="F518" s="39" t="s">
        <v>4553</v>
      </c>
      <c r="G518" s="39" t="s">
        <v>4554</v>
      </c>
      <c r="H518" s="13"/>
      <c r="I518" s="39" t="s">
        <v>4555</v>
      </c>
      <c r="J518" s="39" t="s">
        <v>2959</v>
      </c>
      <c r="K518" s="39" t="s">
        <v>4556</v>
      </c>
      <c r="L518" s="39" t="s">
        <v>4557</v>
      </c>
    </row>
    <row r="519" spans="1:12">
      <c r="A519" s="39" t="s">
        <v>2265</v>
      </c>
      <c r="B519" s="39" t="s">
        <v>4558</v>
      </c>
      <c r="C519" s="39" t="s">
        <v>4559</v>
      </c>
      <c r="D519" s="39" t="s">
        <v>4560</v>
      </c>
      <c r="E519" s="39"/>
      <c r="F519" s="39" t="s">
        <v>4495</v>
      </c>
      <c r="G519" s="39" t="s">
        <v>4561</v>
      </c>
      <c r="H519" s="13"/>
      <c r="I519" s="39" t="s">
        <v>4460</v>
      </c>
      <c r="J519" s="39" t="s">
        <v>2966</v>
      </c>
      <c r="K519" s="39" t="s">
        <v>2424</v>
      </c>
      <c r="L519" s="39" t="s">
        <v>4508</v>
      </c>
    </row>
    <row r="520" spans="1:12">
      <c r="A520" s="36"/>
      <c r="B520" s="39" t="s">
        <v>2659</v>
      </c>
      <c r="C520" s="39" t="s">
        <v>4562</v>
      </c>
      <c r="D520" s="39" t="s">
        <v>4563</v>
      </c>
      <c r="E520" s="39" t="s">
        <v>3681</v>
      </c>
      <c r="F520" s="39" t="s">
        <v>4564</v>
      </c>
      <c r="G520" s="39" t="s">
        <v>4565</v>
      </c>
      <c r="H520" s="13"/>
      <c r="I520" s="39" t="s">
        <v>4264</v>
      </c>
      <c r="J520" s="39" t="s">
        <v>2973</v>
      </c>
      <c r="K520" s="39" t="s">
        <v>4566</v>
      </c>
      <c r="L520" s="39" t="s">
        <v>4567</v>
      </c>
    </row>
    <row r="521" spans="1:12">
      <c r="A521" s="39" t="s">
        <v>1278</v>
      </c>
      <c r="B521" s="39" t="s">
        <v>1548</v>
      </c>
      <c r="C521" s="39" t="s">
        <v>4568</v>
      </c>
      <c r="D521" s="39" t="s">
        <v>4569</v>
      </c>
      <c r="E521" s="39" t="s">
        <v>2265</v>
      </c>
      <c r="F521" s="39" t="s">
        <v>2501</v>
      </c>
      <c r="G521" s="39" t="s">
        <v>4570</v>
      </c>
      <c r="H521" s="13"/>
      <c r="I521" s="39" t="s">
        <v>4571</v>
      </c>
      <c r="J521" s="39" t="s">
        <v>2930</v>
      </c>
      <c r="K521" s="39" t="s">
        <v>4548</v>
      </c>
      <c r="L521" s="39" t="s">
        <v>4572</v>
      </c>
    </row>
    <row r="522" spans="1:12">
      <c r="A522" s="39" t="s">
        <v>4573</v>
      </c>
      <c r="B522" s="39" t="s">
        <v>4574</v>
      </c>
      <c r="C522" s="39" t="s">
        <v>4575</v>
      </c>
      <c r="D522" s="39" t="s">
        <v>4576</v>
      </c>
      <c r="E522" s="39"/>
      <c r="F522" s="39" t="s">
        <v>4577</v>
      </c>
      <c r="G522" s="39" t="s">
        <v>4578</v>
      </c>
      <c r="H522" s="13"/>
      <c r="I522" s="39" t="s">
        <v>4275</v>
      </c>
      <c r="J522" s="39" t="s">
        <v>2984</v>
      </c>
      <c r="K522" s="39" t="s">
        <v>4579</v>
      </c>
      <c r="L522" s="39"/>
    </row>
    <row r="523" spans="1:12">
      <c r="A523" s="36"/>
      <c r="B523" s="39" t="s">
        <v>3982</v>
      </c>
      <c r="C523" s="39" t="s">
        <v>4470</v>
      </c>
      <c r="D523" s="39"/>
      <c r="E523" s="39"/>
      <c r="F523" s="39" t="s">
        <v>4580</v>
      </c>
      <c r="G523" s="39" t="s">
        <v>4581</v>
      </c>
      <c r="H523" s="13"/>
      <c r="I523" s="39" t="s">
        <v>4278</v>
      </c>
      <c r="J523" s="39" t="s">
        <v>2991</v>
      </c>
      <c r="K523" s="39" t="s">
        <v>2596</v>
      </c>
      <c r="L523" s="39" t="s">
        <v>4346</v>
      </c>
    </row>
    <row r="524" spans="1:12">
      <c r="A524" s="39" t="s">
        <v>4582</v>
      </c>
      <c r="B524" s="39" t="s">
        <v>4469</v>
      </c>
      <c r="C524" s="39" t="s">
        <v>4583</v>
      </c>
      <c r="D524" s="39" t="s">
        <v>4584</v>
      </c>
      <c r="E524" s="39" t="s">
        <v>3707</v>
      </c>
      <c r="F524" s="39" t="s">
        <v>4585</v>
      </c>
      <c r="G524" s="39" t="s">
        <v>4586</v>
      </c>
      <c r="H524" s="13"/>
      <c r="I524" s="39" t="s">
        <v>1548</v>
      </c>
      <c r="J524" s="39" t="s">
        <v>4587</v>
      </c>
      <c r="K524" s="39" t="s">
        <v>4588</v>
      </c>
      <c r="L524" s="39" t="s">
        <v>4589</v>
      </c>
    </row>
    <row r="525" spans="1:12">
      <c r="A525" s="39" t="s">
        <v>3421</v>
      </c>
      <c r="B525" s="39" t="s">
        <v>4590</v>
      </c>
      <c r="C525" s="39"/>
      <c r="D525" s="39" t="s">
        <v>4591</v>
      </c>
      <c r="E525" s="39" t="s">
        <v>1280</v>
      </c>
      <c r="F525" s="39" t="s">
        <v>4592</v>
      </c>
      <c r="G525" s="39" t="s">
        <v>4593</v>
      </c>
      <c r="H525" s="13"/>
      <c r="I525" s="39" t="s">
        <v>4594</v>
      </c>
      <c r="J525" s="39" t="s">
        <v>2991</v>
      </c>
      <c r="K525" s="39" t="s">
        <v>4595</v>
      </c>
      <c r="L525" s="39" t="s">
        <v>4596</v>
      </c>
    </row>
    <row r="526" spans="1:12">
      <c r="A526" s="39" t="s">
        <v>4597</v>
      </c>
      <c r="B526" s="39" t="s">
        <v>4483</v>
      </c>
      <c r="C526" s="39" t="s">
        <v>4484</v>
      </c>
      <c r="D526" s="39" t="s">
        <v>4598</v>
      </c>
      <c r="E526" s="39" t="s">
        <v>2399</v>
      </c>
      <c r="F526" s="39" t="s">
        <v>4599</v>
      </c>
      <c r="G526" s="39" t="s">
        <v>4600</v>
      </c>
      <c r="H526" s="13"/>
      <c r="I526" s="39" t="s">
        <v>4601</v>
      </c>
      <c r="J526" s="39" t="s">
        <v>2966</v>
      </c>
      <c r="K526" s="39" t="s">
        <v>3629</v>
      </c>
      <c r="L526" s="39" t="s">
        <v>4602</v>
      </c>
    </row>
    <row r="527" spans="1:12">
      <c r="A527" s="39" t="s">
        <v>3435</v>
      </c>
      <c r="B527" s="39" t="s">
        <v>4603</v>
      </c>
      <c r="C527" s="39" t="s">
        <v>4604</v>
      </c>
      <c r="D527" s="39" t="s">
        <v>4605</v>
      </c>
      <c r="E527" s="39" t="s">
        <v>3724</v>
      </c>
      <c r="F527" s="39" t="s">
        <v>4580</v>
      </c>
      <c r="G527" s="39" t="s">
        <v>4606</v>
      </c>
      <c r="H527" s="13"/>
      <c r="I527" s="39" t="s">
        <v>4607</v>
      </c>
      <c r="J527" s="39" t="s">
        <v>3003</v>
      </c>
      <c r="K527" s="39" t="s">
        <v>4271</v>
      </c>
      <c r="L527" s="39" t="s">
        <v>4608</v>
      </c>
    </row>
    <row r="528" spans="1:12">
      <c r="A528" s="39" t="s">
        <v>3449</v>
      </c>
      <c r="B528" s="39" t="s">
        <v>4501</v>
      </c>
      <c r="C528" s="39" t="s">
        <v>4517</v>
      </c>
      <c r="D528" s="39" t="s">
        <v>4609</v>
      </c>
      <c r="E528" s="39" t="s">
        <v>1280</v>
      </c>
      <c r="F528" s="39" t="s">
        <v>4610</v>
      </c>
      <c r="G528" s="39" t="s">
        <v>4611</v>
      </c>
      <c r="H528" s="13"/>
      <c r="I528" s="39" t="s">
        <v>3983</v>
      </c>
      <c r="J528" s="39" t="s">
        <v>2930</v>
      </c>
      <c r="K528" s="39"/>
      <c r="L528" s="39" t="s">
        <v>4612</v>
      </c>
    </row>
    <row r="529" spans="1:12">
      <c r="A529" s="39" t="s">
        <v>4613</v>
      </c>
      <c r="B529" s="39" t="s">
        <v>4614</v>
      </c>
      <c r="C529" s="39" t="s">
        <v>4526</v>
      </c>
      <c r="D529" s="39"/>
      <c r="E529" s="39" t="s">
        <v>3737</v>
      </c>
      <c r="F529" s="39" t="s">
        <v>4592</v>
      </c>
      <c r="G529" s="39" t="s">
        <v>4615</v>
      </c>
      <c r="H529" s="13"/>
      <c r="I529" s="39" t="s">
        <v>4616</v>
      </c>
      <c r="J529" s="39" t="s">
        <v>3018</v>
      </c>
      <c r="K529" s="39" t="s">
        <v>4283</v>
      </c>
      <c r="L529" s="39" t="s">
        <v>4617</v>
      </c>
    </row>
    <row r="530" spans="1:12">
      <c r="A530" s="39" t="s">
        <v>4618</v>
      </c>
      <c r="B530" s="39" t="s">
        <v>4516</v>
      </c>
      <c r="C530" s="39" t="s">
        <v>4619</v>
      </c>
      <c r="D530" s="39" t="s">
        <v>4620</v>
      </c>
      <c r="E530" s="39" t="s">
        <v>3745</v>
      </c>
      <c r="F530" s="39" t="s">
        <v>4621</v>
      </c>
      <c r="G530" s="39" t="s">
        <v>4622</v>
      </c>
      <c r="H530" s="13"/>
      <c r="I530" s="39" t="s">
        <v>3996</v>
      </c>
      <c r="J530" s="39" t="s">
        <v>3025</v>
      </c>
      <c r="K530" s="39" t="s">
        <v>4290</v>
      </c>
      <c r="L530" s="39" t="s">
        <v>4623</v>
      </c>
    </row>
    <row r="531" spans="1:12">
      <c r="A531" s="39" t="s">
        <v>4624</v>
      </c>
      <c r="B531" s="39" t="s">
        <v>4625</v>
      </c>
      <c r="C531" s="39" t="s">
        <v>2626</v>
      </c>
      <c r="D531" s="39" t="s">
        <v>4626</v>
      </c>
      <c r="E531" s="39" t="s">
        <v>2680</v>
      </c>
      <c r="F531" s="39" t="s">
        <v>4580</v>
      </c>
      <c r="G531" s="39" t="s">
        <v>4236</v>
      </c>
      <c r="H531" s="13"/>
      <c r="I531" s="39" t="s">
        <v>1548</v>
      </c>
      <c r="J531" s="39" t="s">
        <v>4627</v>
      </c>
      <c r="K531" s="39" t="s">
        <v>4297</v>
      </c>
      <c r="L531" s="39" t="s">
        <v>4628</v>
      </c>
    </row>
    <row r="532" spans="1:12">
      <c r="A532" s="39" t="s">
        <v>2345</v>
      </c>
      <c r="B532" s="39" t="s">
        <v>4531</v>
      </c>
      <c r="C532" s="39" t="s">
        <v>2723</v>
      </c>
      <c r="D532" s="39" t="s">
        <v>4629</v>
      </c>
      <c r="E532" s="39" t="s">
        <v>3762</v>
      </c>
      <c r="F532" s="39" t="s">
        <v>4630</v>
      </c>
      <c r="G532" s="39" t="s">
        <v>1452</v>
      </c>
      <c r="H532" s="13"/>
      <c r="I532" s="39" t="s">
        <v>4631</v>
      </c>
      <c r="J532" s="39" t="s">
        <v>3025</v>
      </c>
      <c r="K532" s="39" t="s">
        <v>4304</v>
      </c>
      <c r="L532" s="39" t="s">
        <v>4632</v>
      </c>
    </row>
    <row r="533" spans="1:12">
      <c r="A533" s="36"/>
      <c r="B533" s="39" t="s">
        <v>4633</v>
      </c>
      <c r="C533" s="39"/>
      <c r="D533" s="39" t="s">
        <v>4634</v>
      </c>
      <c r="E533" s="39"/>
      <c r="F533" s="39" t="s">
        <v>4592</v>
      </c>
      <c r="G533" s="39" t="s">
        <v>4635</v>
      </c>
      <c r="H533" s="13"/>
      <c r="I533" s="39" t="s">
        <v>4636</v>
      </c>
      <c r="J533" s="39" t="s">
        <v>3033</v>
      </c>
      <c r="K533" s="39" t="s">
        <v>4637</v>
      </c>
      <c r="L533" s="39" t="s">
        <v>4628</v>
      </c>
    </row>
    <row r="534" spans="1:12">
      <c r="A534" s="39" t="s">
        <v>4638</v>
      </c>
      <c r="B534" s="39" t="s">
        <v>4545</v>
      </c>
      <c r="C534" s="39" t="s">
        <v>4639</v>
      </c>
      <c r="D534" s="39" t="s">
        <v>4640</v>
      </c>
      <c r="E534" s="39" t="s">
        <v>2839</v>
      </c>
      <c r="F534" s="39" t="s">
        <v>2579</v>
      </c>
      <c r="G534" s="39" t="s">
        <v>4547</v>
      </c>
      <c r="H534" s="13"/>
      <c r="I534" s="39" t="s">
        <v>4641</v>
      </c>
      <c r="J534" s="39" t="s">
        <v>3041</v>
      </c>
      <c r="K534" s="39"/>
      <c r="L534" s="39" t="s">
        <v>2424</v>
      </c>
    </row>
    <row r="535" spans="1:12">
      <c r="A535" s="39" t="s">
        <v>4642</v>
      </c>
      <c r="B535" s="39" t="s">
        <v>4643</v>
      </c>
      <c r="C535" s="39" t="s">
        <v>4644</v>
      </c>
      <c r="D535" s="39"/>
      <c r="E535" s="39" t="s">
        <v>3784</v>
      </c>
      <c r="F535" s="39" t="s">
        <v>3673</v>
      </c>
      <c r="G535" s="39" t="s">
        <v>4554</v>
      </c>
      <c r="H535" s="13"/>
      <c r="I535" s="39" t="s">
        <v>3983</v>
      </c>
      <c r="J535" s="39" t="s">
        <v>2966</v>
      </c>
      <c r="K535" s="39" t="s">
        <v>4645</v>
      </c>
      <c r="L535" s="39" t="s">
        <v>4646</v>
      </c>
    </row>
    <row r="536" spans="1:12">
      <c r="A536" s="39" t="s">
        <v>4647</v>
      </c>
      <c r="B536" s="39" t="s">
        <v>4648</v>
      </c>
      <c r="C536" s="39" t="s">
        <v>4649</v>
      </c>
      <c r="D536" s="39" t="s">
        <v>4650</v>
      </c>
      <c r="E536" s="39" t="s">
        <v>2855</v>
      </c>
      <c r="F536" s="39" t="s">
        <v>2596</v>
      </c>
      <c r="G536" s="39" t="s">
        <v>4651</v>
      </c>
      <c r="H536" s="13"/>
      <c r="I536" s="39" t="s">
        <v>4652</v>
      </c>
      <c r="J536" s="39" t="s">
        <v>4653</v>
      </c>
      <c r="K536" s="39" t="s">
        <v>4654</v>
      </c>
      <c r="L536" s="39" t="s">
        <v>4628</v>
      </c>
    </row>
    <row r="537" spans="1:12">
      <c r="A537" s="39" t="s">
        <v>4655</v>
      </c>
      <c r="B537" s="39" t="s">
        <v>2659</v>
      </c>
      <c r="C537" s="39" t="s">
        <v>4656</v>
      </c>
      <c r="D537" s="39" t="s">
        <v>4657</v>
      </c>
      <c r="E537" s="39" t="s">
        <v>2596</v>
      </c>
      <c r="F537" s="39"/>
      <c r="G537" s="39" t="s">
        <v>4565</v>
      </c>
      <c r="H537" s="13"/>
      <c r="I537" s="39" t="s">
        <v>3996</v>
      </c>
      <c r="J537" s="39" t="s">
        <v>4658</v>
      </c>
      <c r="K537" s="39" t="s">
        <v>4659</v>
      </c>
      <c r="L537" s="39" t="s">
        <v>2357</v>
      </c>
    </row>
    <row r="538" spans="1:12">
      <c r="A538" s="39" t="s">
        <v>4660</v>
      </c>
      <c r="B538" s="39" t="s">
        <v>1548</v>
      </c>
      <c r="C538" s="39" t="s">
        <v>2357</v>
      </c>
      <c r="D538" s="39" t="s">
        <v>4661</v>
      </c>
      <c r="E538" s="39"/>
      <c r="F538" s="39" t="s">
        <v>4662</v>
      </c>
      <c r="G538" s="39" t="s">
        <v>4663</v>
      </c>
      <c r="H538" s="13"/>
      <c r="I538" s="39" t="s">
        <v>1548</v>
      </c>
      <c r="J538" s="39" t="s">
        <v>4664</v>
      </c>
      <c r="K538" s="39" t="s">
        <v>2626</v>
      </c>
      <c r="L538" s="39"/>
    </row>
    <row r="539" spans="1:12">
      <c r="A539" s="39" t="s">
        <v>4665</v>
      </c>
      <c r="B539" s="39" t="s">
        <v>4666</v>
      </c>
      <c r="C539" s="39"/>
      <c r="D539" s="39" t="s">
        <v>4667</v>
      </c>
      <c r="E539" s="39" t="s">
        <v>2879</v>
      </c>
      <c r="F539" s="39" t="s">
        <v>2265</v>
      </c>
      <c r="G539" s="39" t="s">
        <v>4578</v>
      </c>
      <c r="H539" s="13"/>
      <c r="I539" s="39" t="s">
        <v>4668</v>
      </c>
      <c r="J539" s="39" t="s">
        <v>4669</v>
      </c>
      <c r="K539" s="39" t="s">
        <v>2357</v>
      </c>
      <c r="L539" s="39" t="s">
        <v>4670</v>
      </c>
    </row>
    <row r="540" spans="1:12">
      <c r="A540" s="39" t="s">
        <v>4671</v>
      </c>
      <c r="B540" s="39" t="s">
        <v>4672</v>
      </c>
      <c r="C540" s="39" t="s">
        <v>4673</v>
      </c>
      <c r="D540" s="39" t="s">
        <v>4674</v>
      </c>
      <c r="E540" s="39" t="s">
        <v>3811</v>
      </c>
      <c r="F540" s="39"/>
      <c r="G540" s="39" t="s">
        <v>4675</v>
      </c>
      <c r="H540" s="13"/>
      <c r="I540" s="39" t="s">
        <v>4676</v>
      </c>
      <c r="J540" s="39" t="s">
        <v>4677</v>
      </c>
      <c r="K540" s="39" t="s">
        <v>4678</v>
      </c>
      <c r="L540" s="39" t="s">
        <v>4679</v>
      </c>
    </row>
    <row r="541" spans="1:12">
      <c r="A541" s="39" t="s">
        <v>4680</v>
      </c>
      <c r="B541" s="39" t="s">
        <v>1548</v>
      </c>
      <c r="C541" s="39" t="s">
        <v>4681</v>
      </c>
      <c r="D541" s="39"/>
      <c r="E541" s="39" t="s">
        <v>2855</v>
      </c>
      <c r="F541" s="39"/>
      <c r="G541" s="39" t="s">
        <v>4586</v>
      </c>
      <c r="H541" s="13"/>
      <c r="I541" s="39" t="s">
        <v>3983</v>
      </c>
      <c r="J541" s="39" t="s">
        <v>4669</v>
      </c>
      <c r="K541" s="39" t="s">
        <v>4682</v>
      </c>
      <c r="L541" s="39" t="s">
        <v>4683</v>
      </c>
    </row>
    <row r="542" spans="1:12">
      <c r="A542" s="39" t="s">
        <v>4684</v>
      </c>
      <c r="B542" s="39" t="s">
        <v>1548</v>
      </c>
      <c r="C542" s="39" t="s">
        <v>4685</v>
      </c>
      <c r="D542" s="39" t="s">
        <v>4686</v>
      </c>
      <c r="E542" s="39" t="s">
        <v>2596</v>
      </c>
      <c r="F542" s="39" t="s">
        <v>4687</v>
      </c>
      <c r="G542" s="39" t="s">
        <v>4688</v>
      </c>
      <c r="H542" s="13"/>
      <c r="I542" s="39" t="s">
        <v>4689</v>
      </c>
      <c r="J542" s="39" t="s">
        <v>4690</v>
      </c>
      <c r="K542" s="39"/>
      <c r="L542" s="39" t="s">
        <v>4691</v>
      </c>
    </row>
    <row r="543" spans="1:12">
      <c r="A543" s="39" t="s">
        <v>4692</v>
      </c>
      <c r="B543" s="39" t="s">
        <v>1259</v>
      </c>
      <c r="C543" s="39" t="s">
        <v>4693</v>
      </c>
      <c r="D543" s="39" t="s">
        <v>4694</v>
      </c>
      <c r="E543" s="39"/>
      <c r="F543" s="39" t="s">
        <v>1280</v>
      </c>
      <c r="G543" s="39" t="s">
        <v>4600</v>
      </c>
      <c r="H543" s="13"/>
      <c r="I543" s="39" t="s">
        <v>3996</v>
      </c>
      <c r="J543" s="39" t="s">
        <v>3057</v>
      </c>
      <c r="K543" s="39" t="s">
        <v>4695</v>
      </c>
      <c r="L543" s="39" t="s">
        <v>4696</v>
      </c>
    </row>
    <row r="544" spans="1:12">
      <c r="A544" s="39" t="s">
        <v>4019</v>
      </c>
      <c r="B544" s="39" t="s">
        <v>4697</v>
      </c>
      <c r="C544" s="39" t="s">
        <v>4698</v>
      </c>
      <c r="D544" s="39" t="s">
        <v>4699</v>
      </c>
      <c r="E544" s="39" t="s">
        <v>4100</v>
      </c>
      <c r="F544" s="39" t="s">
        <v>4700</v>
      </c>
      <c r="G544" s="39" t="s">
        <v>4701</v>
      </c>
      <c r="H544" s="13"/>
      <c r="I544" s="39" t="s">
        <v>1548</v>
      </c>
      <c r="J544" s="39" t="s">
        <v>2930</v>
      </c>
      <c r="K544" s="39" t="s">
        <v>4702</v>
      </c>
      <c r="L544" s="39" t="s">
        <v>4703</v>
      </c>
    </row>
    <row r="545" spans="1:12">
      <c r="A545" s="39" t="s">
        <v>4025</v>
      </c>
      <c r="B545" s="39" t="s">
        <v>4704</v>
      </c>
      <c r="C545" s="39" t="s">
        <v>4705</v>
      </c>
      <c r="D545" s="39" t="s">
        <v>4706</v>
      </c>
      <c r="E545" s="39" t="s">
        <v>3651</v>
      </c>
      <c r="F545" s="39" t="s">
        <v>1280</v>
      </c>
      <c r="G545" s="39" t="s">
        <v>4611</v>
      </c>
      <c r="H545" s="13"/>
      <c r="I545" s="39" t="s">
        <v>4707</v>
      </c>
      <c r="J545" s="39" t="s">
        <v>3071</v>
      </c>
      <c r="K545" s="39" t="s">
        <v>4708</v>
      </c>
      <c r="L545" s="39" t="s">
        <v>4709</v>
      </c>
    </row>
    <row r="546" spans="1:12">
      <c r="A546" s="36"/>
      <c r="B546" s="39" t="s">
        <v>4710</v>
      </c>
      <c r="C546" s="39" t="s">
        <v>4711</v>
      </c>
      <c r="D546" s="39" t="s">
        <v>4712</v>
      </c>
      <c r="E546" s="39" t="s">
        <v>3660</v>
      </c>
      <c r="F546" s="39" t="s">
        <v>4713</v>
      </c>
      <c r="G546" s="39" t="s">
        <v>4714</v>
      </c>
      <c r="H546" s="13"/>
      <c r="I546" s="39" t="s">
        <v>4715</v>
      </c>
      <c r="J546" s="39" t="s">
        <v>3081</v>
      </c>
      <c r="K546" s="39" t="s">
        <v>4716</v>
      </c>
      <c r="L546" s="39" t="s">
        <v>4717</v>
      </c>
    </row>
    <row r="547" spans="1:12">
      <c r="A547" s="39" t="s">
        <v>4718</v>
      </c>
      <c r="B547" s="39" t="s">
        <v>2237</v>
      </c>
      <c r="C547" s="39" t="s">
        <v>4719</v>
      </c>
      <c r="D547" s="39" t="s">
        <v>4720</v>
      </c>
      <c r="E547" s="39" t="s">
        <v>4125</v>
      </c>
      <c r="F547" s="39" t="s">
        <v>4721</v>
      </c>
      <c r="G547" s="39" t="s">
        <v>4722</v>
      </c>
      <c r="H547" s="13"/>
      <c r="I547" s="39" t="s">
        <v>4723</v>
      </c>
      <c r="J547" s="39" t="s">
        <v>2966</v>
      </c>
      <c r="K547" s="39" t="s">
        <v>4724</v>
      </c>
      <c r="L547" s="39" t="s">
        <v>4725</v>
      </c>
    </row>
    <row r="548" spans="1:12">
      <c r="A548" s="39" t="s">
        <v>4726</v>
      </c>
      <c r="B548" s="39" t="s">
        <v>1576</v>
      </c>
      <c r="C548" s="39" t="s">
        <v>4727</v>
      </c>
      <c r="D548" s="39" t="s">
        <v>4728</v>
      </c>
      <c r="E548" s="39" t="s">
        <v>3673</v>
      </c>
      <c r="F548" s="39" t="s">
        <v>2263</v>
      </c>
      <c r="G548" s="39" t="s">
        <v>4236</v>
      </c>
      <c r="H548" s="13"/>
      <c r="I548" s="39" t="s">
        <v>4729</v>
      </c>
      <c r="J548" s="39" t="s">
        <v>3022</v>
      </c>
      <c r="K548" s="39" t="s">
        <v>2357</v>
      </c>
      <c r="L548" s="39" t="s">
        <v>4730</v>
      </c>
    </row>
    <row r="549" spans="1:12">
      <c r="A549" s="39" t="s">
        <v>4731</v>
      </c>
      <c r="B549" s="39" t="s">
        <v>1420</v>
      </c>
      <c r="C549" s="39" t="s">
        <v>4732</v>
      </c>
      <c r="D549" s="39" t="s">
        <v>4733</v>
      </c>
      <c r="E549" s="39" t="s">
        <v>2596</v>
      </c>
      <c r="F549" s="39" t="s">
        <v>4734</v>
      </c>
      <c r="G549" s="39" t="s">
        <v>1452</v>
      </c>
      <c r="H549" s="13"/>
      <c r="I549" s="39" t="s">
        <v>1548</v>
      </c>
      <c r="J549" s="39" t="s">
        <v>4735</v>
      </c>
      <c r="K549" s="39"/>
      <c r="L549" s="39" t="s">
        <v>4421</v>
      </c>
    </row>
    <row r="550" spans="1:12">
      <c r="A550" s="110" t="s">
        <v>4736</v>
      </c>
      <c r="B550" s="39" t="s">
        <v>4737</v>
      </c>
      <c r="C550" s="39" t="s">
        <v>4738</v>
      </c>
      <c r="D550" s="39" t="s">
        <v>4739</v>
      </c>
      <c r="E550" s="39"/>
      <c r="F550" s="39" t="s">
        <v>4740</v>
      </c>
      <c r="G550" s="39" t="s">
        <v>4741</v>
      </c>
      <c r="H550" s="13"/>
      <c r="I550" s="39" t="s">
        <v>4742</v>
      </c>
      <c r="J550" s="39" t="s">
        <v>4743</v>
      </c>
      <c r="K550" s="39" t="s">
        <v>4744</v>
      </c>
      <c r="L550" s="39" t="s">
        <v>4426</v>
      </c>
    </row>
    <row r="551" spans="1:12">
      <c r="A551" s="39" t="s">
        <v>4745</v>
      </c>
      <c r="B551" s="39" t="s">
        <v>4746</v>
      </c>
      <c r="C551" s="39" t="s">
        <v>2357</v>
      </c>
      <c r="D551" s="39" t="s">
        <v>4747</v>
      </c>
      <c r="E551" s="39" t="s">
        <v>3834</v>
      </c>
      <c r="F551" s="39" t="s">
        <v>4748</v>
      </c>
      <c r="G551" s="39" t="s">
        <v>3680</v>
      </c>
      <c r="H551" s="13"/>
      <c r="I551" s="39" t="s">
        <v>4749</v>
      </c>
      <c r="J551" s="39" t="s">
        <v>2345</v>
      </c>
      <c r="K551" s="39" t="s">
        <v>4750</v>
      </c>
      <c r="L551" s="39" t="s">
        <v>4751</v>
      </c>
    </row>
    <row r="552" spans="1:12">
      <c r="A552" s="39" t="s">
        <v>4752</v>
      </c>
      <c r="B552" s="13"/>
      <c r="C552" s="39" t="s">
        <v>1548</v>
      </c>
      <c r="D552" s="39" t="s">
        <v>4753</v>
      </c>
      <c r="E552" s="39" t="s">
        <v>2265</v>
      </c>
      <c r="F552" s="39" t="s">
        <v>4754</v>
      </c>
      <c r="G552" s="39" t="s">
        <v>1452</v>
      </c>
      <c r="H552" s="13"/>
      <c r="I552" s="39" t="s">
        <v>3983</v>
      </c>
      <c r="J552" s="39"/>
      <c r="K552" s="39" t="s">
        <v>4755</v>
      </c>
      <c r="L552" s="39" t="s">
        <v>4756</v>
      </c>
    </row>
    <row r="553" spans="1:12">
      <c r="A553" s="39" t="s">
        <v>4757</v>
      </c>
      <c r="B553" s="13"/>
      <c r="C553" s="39" t="s">
        <v>4758</v>
      </c>
      <c r="D553" s="39" t="s">
        <v>4759</v>
      </c>
      <c r="E553" s="39"/>
      <c r="F553" s="39" t="s">
        <v>4760</v>
      </c>
      <c r="G553" s="39" t="s">
        <v>1452</v>
      </c>
      <c r="H553" s="13"/>
      <c r="I553" s="39" t="s">
        <v>4761</v>
      </c>
      <c r="J553" s="39" t="s">
        <v>2263</v>
      </c>
      <c r="K553" s="39" t="s">
        <v>4762</v>
      </c>
      <c r="L553" s="39" t="s">
        <v>4763</v>
      </c>
    </row>
    <row r="554" spans="1:12">
      <c r="A554" s="39" t="s">
        <v>4764</v>
      </c>
      <c r="B554" s="13"/>
      <c r="C554" s="39"/>
      <c r="D554" s="39" t="s">
        <v>4765</v>
      </c>
      <c r="E554" s="39"/>
      <c r="F554" s="39" t="s">
        <v>4766</v>
      </c>
      <c r="G554" s="39" t="s">
        <v>4767</v>
      </c>
      <c r="H554" s="13"/>
      <c r="I554" s="39" t="s">
        <v>3996</v>
      </c>
      <c r="J554" s="39" t="s">
        <v>4768</v>
      </c>
      <c r="K554" s="39" t="s">
        <v>4769</v>
      </c>
      <c r="L554" s="39" t="s">
        <v>4770</v>
      </c>
    </row>
    <row r="555" spans="1:12">
      <c r="A555" s="39" t="s">
        <v>4771</v>
      </c>
      <c r="B555" s="13"/>
      <c r="C555" s="39" t="s">
        <v>2412</v>
      </c>
      <c r="D555" s="39" t="s">
        <v>4772</v>
      </c>
      <c r="E555" s="39" t="s">
        <v>1273</v>
      </c>
      <c r="F555" s="39" t="s">
        <v>4773</v>
      </c>
      <c r="G555" s="39" t="s">
        <v>1281</v>
      </c>
      <c r="H555" s="13"/>
      <c r="I555" s="39" t="s">
        <v>1548</v>
      </c>
      <c r="J555" s="39" t="s">
        <v>4774</v>
      </c>
      <c r="K555" s="39" t="s">
        <v>4775</v>
      </c>
      <c r="L555" s="39" t="s">
        <v>4776</v>
      </c>
    </row>
    <row r="556" spans="1:12">
      <c r="A556" s="39" t="s">
        <v>4777</v>
      </c>
      <c r="B556" s="13"/>
      <c r="C556" s="39"/>
      <c r="D556" s="39" t="s">
        <v>4778</v>
      </c>
      <c r="E556" s="39" t="s">
        <v>4779</v>
      </c>
      <c r="F556" s="39" t="s">
        <v>4780</v>
      </c>
      <c r="G556" s="39" t="s">
        <v>4781</v>
      </c>
      <c r="H556" s="13"/>
      <c r="I556" s="39" t="s">
        <v>4782</v>
      </c>
      <c r="J556" s="39" t="s">
        <v>4783</v>
      </c>
      <c r="K556" s="39" t="s">
        <v>4784</v>
      </c>
      <c r="L556" s="39" t="s">
        <v>4572</v>
      </c>
    </row>
    <row r="557" spans="1:12">
      <c r="A557" s="36"/>
      <c r="B557" s="13"/>
      <c r="C557" s="39" t="s">
        <v>2989</v>
      </c>
      <c r="D557" s="39" t="s">
        <v>4785</v>
      </c>
      <c r="E557" s="39" t="s">
        <v>1280</v>
      </c>
      <c r="F557" s="39" t="s">
        <v>4786</v>
      </c>
      <c r="G557" s="39" t="s">
        <v>1281</v>
      </c>
      <c r="H557" s="13"/>
      <c r="I557" s="39" t="s">
        <v>4787</v>
      </c>
      <c r="J557" s="39" t="s">
        <v>4774</v>
      </c>
      <c r="K557" s="39" t="s">
        <v>4788</v>
      </c>
      <c r="L557" s="39" t="s">
        <v>4789</v>
      </c>
    </row>
    <row r="558" spans="1:12">
      <c r="A558" s="39" t="s">
        <v>4790</v>
      </c>
      <c r="B558" s="13"/>
      <c r="C558" s="39" t="s">
        <v>4791</v>
      </c>
      <c r="D558" s="39" t="s">
        <v>2966</v>
      </c>
      <c r="E558" s="39" t="s">
        <v>4792</v>
      </c>
      <c r="F558" s="39" t="s">
        <v>4793</v>
      </c>
      <c r="G558" s="39" t="s">
        <v>4794</v>
      </c>
      <c r="H558" s="13"/>
      <c r="I558" s="39" t="s">
        <v>1548</v>
      </c>
      <c r="J558" s="39" t="s">
        <v>4795</v>
      </c>
      <c r="K558" s="39" t="s">
        <v>4796</v>
      </c>
      <c r="L558" s="39" t="s">
        <v>4572</v>
      </c>
    </row>
    <row r="559" spans="1:12">
      <c r="A559" s="39" t="s">
        <v>4797</v>
      </c>
      <c r="B559" s="13"/>
      <c r="C559" s="39" t="s">
        <v>4798</v>
      </c>
      <c r="D559" s="39" t="s">
        <v>4799</v>
      </c>
      <c r="E559" s="39" t="s">
        <v>1280</v>
      </c>
      <c r="F559" s="39" t="s">
        <v>4800</v>
      </c>
      <c r="G559" s="39" t="s">
        <v>4801</v>
      </c>
      <c r="H559" s="13"/>
      <c r="I559" s="39" t="s">
        <v>4802</v>
      </c>
      <c r="J559" s="39" t="s">
        <v>4803</v>
      </c>
      <c r="K559" s="39" t="s">
        <v>4804</v>
      </c>
      <c r="L559" s="39" t="s">
        <v>4805</v>
      </c>
    </row>
    <row r="560" spans="1:12">
      <c r="A560" s="39" t="s">
        <v>4806</v>
      </c>
      <c r="B560" s="13"/>
      <c r="C560" s="39" t="s">
        <v>4807</v>
      </c>
      <c r="D560" s="39" t="s">
        <v>2626</v>
      </c>
      <c r="E560" s="39" t="s">
        <v>4218</v>
      </c>
      <c r="F560" s="39" t="s">
        <v>4808</v>
      </c>
      <c r="G560" s="39" t="s">
        <v>4809</v>
      </c>
      <c r="H560" s="13"/>
      <c r="I560" s="39" t="s">
        <v>4810</v>
      </c>
      <c r="J560" s="39" t="s">
        <v>4811</v>
      </c>
      <c r="K560" s="39" t="s">
        <v>4812</v>
      </c>
      <c r="L560" s="39" t="s">
        <v>4572</v>
      </c>
    </row>
    <row r="561" spans="1:12">
      <c r="A561" s="39" t="s">
        <v>4063</v>
      </c>
      <c r="B561" s="13"/>
      <c r="C561" s="39" t="s">
        <v>4813</v>
      </c>
      <c r="D561" s="46" t="s">
        <v>4814</v>
      </c>
      <c r="E561" s="39" t="s">
        <v>3208</v>
      </c>
      <c r="F561" s="39" t="s">
        <v>4815</v>
      </c>
      <c r="G561" s="39" t="s">
        <v>4816</v>
      </c>
      <c r="H561" s="13"/>
      <c r="I561" s="39" t="s">
        <v>4672</v>
      </c>
      <c r="J561" s="39" t="s">
        <v>4817</v>
      </c>
      <c r="K561" s="39" t="s">
        <v>4818</v>
      </c>
      <c r="L561" s="39" t="s">
        <v>4819</v>
      </c>
    </row>
    <row r="562" spans="1:12">
      <c r="A562" s="39" t="s">
        <v>4820</v>
      </c>
      <c r="B562" s="13"/>
      <c r="C562" s="39" t="s">
        <v>2357</v>
      </c>
      <c r="D562" s="39" t="s">
        <v>4821</v>
      </c>
      <c r="E562" s="39" t="s">
        <v>4822</v>
      </c>
      <c r="F562" s="39" t="s">
        <v>3054</v>
      </c>
      <c r="G562" s="39" t="s">
        <v>4823</v>
      </c>
      <c r="H562" s="13"/>
      <c r="I562" s="39" t="s">
        <v>1259</v>
      </c>
      <c r="J562" s="39" t="s">
        <v>4824</v>
      </c>
      <c r="K562" s="39" t="s">
        <v>4825</v>
      </c>
      <c r="L562" s="39" t="s">
        <v>4826</v>
      </c>
    </row>
    <row r="563" spans="1:12">
      <c r="A563" s="39" t="s">
        <v>4085</v>
      </c>
      <c r="B563" s="13"/>
      <c r="C563" s="39" t="s">
        <v>4758</v>
      </c>
      <c r="D563" s="39" t="s">
        <v>4827</v>
      </c>
      <c r="E563" s="39" t="s">
        <v>4828</v>
      </c>
      <c r="F563" s="39"/>
      <c r="G563" s="39" t="s">
        <v>4829</v>
      </c>
      <c r="H563" s="13"/>
      <c r="I563" s="39" t="s">
        <v>2897</v>
      </c>
      <c r="J563" s="39" t="s">
        <v>4830</v>
      </c>
      <c r="K563" s="39"/>
      <c r="L563" s="39" t="s">
        <v>4831</v>
      </c>
    </row>
    <row r="564" spans="1:12">
      <c r="A564" s="39" t="s">
        <v>4140</v>
      </c>
      <c r="B564" s="13"/>
      <c r="C564" s="39" t="s">
        <v>2237</v>
      </c>
      <c r="D564" s="39" t="s">
        <v>4832</v>
      </c>
      <c r="E564" s="39" t="s">
        <v>4833</v>
      </c>
      <c r="F564" s="39" t="s">
        <v>4834</v>
      </c>
      <c r="G564" s="39" t="s">
        <v>4835</v>
      </c>
      <c r="H564" s="13"/>
      <c r="I564" s="39"/>
      <c r="J564" s="39" t="s">
        <v>4836</v>
      </c>
      <c r="K564" s="39" t="s">
        <v>4837</v>
      </c>
      <c r="L564" s="39" t="s">
        <v>2265</v>
      </c>
    </row>
    <row r="565" spans="1:12">
      <c r="A565" s="39" t="s">
        <v>4838</v>
      </c>
      <c r="B565" s="13"/>
      <c r="C565" s="39" t="s">
        <v>2875</v>
      </c>
      <c r="D565" s="39" t="s">
        <v>4839</v>
      </c>
      <c r="E565" s="39" t="s">
        <v>4840</v>
      </c>
      <c r="F565" s="39" t="s">
        <v>2263</v>
      </c>
      <c r="G565" s="39" t="s">
        <v>4841</v>
      </c>
      <c r="H565" s="13"/>
      <c r="I565" s="39" t="s">
        <v>2905</v>
      </c>
      <c r="J565" s="39" t="s">
        <v>4842</v>
      </c>
      <c r="K565" s="39" t="s">
        <v>4843</v>
      </c>
      <c r="L565" s="39" t="s">
        <v>4844</v>
      </c>
    </row>
    <row r="566" spans="1:12">
      <c r="A566" s="39" t="s">
        <v>4138</v>
      </c>
      <c r="B566" s="13"/>
      <c r="C566" s="39" t="s">
        <v>2265</v>
      </c>
      <c r="D566" s="39" t="s">
        <v>2626</v>
      </c>
      <c r="E566" s="39" t="s">
        <v>4845</v>
      </c>
      <c r="F566" s="39" t="s">
        <v>4734</v>
      </c>
      <c r="G566" s="39" t="s">
        <v>4846</v>
      </c>
      <c r="H566" s="13"/>
      <c r="I566" s="39" t="s">
        <v>4489</v>
      </c>
      <c r="J566" s="39" t="s">
        <v>4847</v>
      </c>
      <c r="K566" s="39" t="s">
        <v>4848</v>
      </c>
      <c r="L566" s="39" t="s">
        <v>4849</v>
      </c>
    </row>
    <row r="567" spans="1:12">
      <c r="A567" s="36"/>
      <c r="B567" s="13"/>
      <c r="C567" s="39" t="s">
        <v>1259</v>
      </c>
      <c r="D567" s="39" t="s">
        <v>2424</v>
      </c>
      <c r="E567" s="39" t="s">
        <v>4850</v>
      </c>
      <c r="F567" s="39" t="s">
        <v>4851</v>
      </c>
      <c r="G567" s="39" t="s">
        <v>1452</v>
      </c>
      <c r="H567" s="13"/>
      <c r="I567" s="39" t="s">
        <v>4498</v>
      </c>
      <c r="J567" s="39" t="s">
        <v>4852</v>
      </c>
      <c r="K567" s="39" t="s">
        <v>4853</v>
      </c>
      <c r="L567" s="39" t="s">
        <v>4854</v>
      </c>
    </row>
    <row r="568" spans="1:12">
      <c r="A568" s="39" t="s">
        <v>4855</v>
      </c>
      <c r="B568" s="13"/>
      <c r="C568" s="39" t="s">
        <v>4856</v>
      </c>
      <c r="D568" s="39" t="s">
        <v>4821</v>
      </c>
      <c r="E568" s="39" t="s">
        <v>4857</v>
      </c>
      <c r="F568" s="39" t="s">
        <v>4748</v>
      </c>
      <c r="G568" s="39" t="s">
        <v>4858</v>
      </c>
      <c r="H568" s="13"/>
      <c r="I568" s="39" t="s">
        <v>2756</v>
      </c>
      <c r="J568" s="39" t="s">
        <v>4859</v>
      </c>
      <c r="K568" s="39" t="s">
        <v>4860</v>
      </c>
      <c r="L568" s="39" t="s">
        <v>4861</v>
      </c>
    </row>
    <row r="569" spans="1:12">
      <c r="A569" s="39" t="s">
        <v>4862</v>
      </c>
      <c r="B569" s="13"/>
      <c r="C569" s="39"/>
      <c r="D569" s="39" t="s">
        <v>4832</v>
      </c>
      <c r="E569" s="39" t="s">
        <v>4863</v>
      </c>
      <c r="F569" s="39" t="s">
        <v>4864</v>
      </c>
      <c r="G569" s="39" t="s">
        <v>3680</v>
      </c>
      <c r="H569" s="13"/>
      <c r="I569" s="39" t="s">
        <v>4865</v>
      </c>
      <c r="J569" s="39" t="s">
        <v>4866</v>
      </c>
      <c r="K569" s="39" t="s">
        <v>4867</v>
      </c>
      <c r="L569" s="39" t="s">
        <v>4868</v>
      </c>
    </row>
    <row r="570" spans="1:12">
      <c r="A570" s="110" t="s">
        <v>4869</v>
      </c>
      <c r="B570" s="13"/>
      <c r="C570" s="39" t="s">
        <v>4870</v>
      </c>
      <c r="D570" s="39" t="s">
        <v>4839</v>
      </c>
      <c r="E570" s="39" t="s">
        <v>4871</v>
      </c>
      <c r="F570" s="39" t="s">
        <v>4760</v>
      </c>
      <c r="G570" s="39" t="s">
        <v>1452</v>
      </c>
      <c r="H570" s="13"/>
      <c r="I570" s="39" t="s">
        <v>4872</v>
      </c>
      <c r="J570" s="39" t="s">
        <v>4080</v>
      </c>
      <c r="K570" s="39" t="s">
        <v>4873</v>
      </c>
      <c r="L570" s="39" t="s">
        <v>4874</v>
      </c>
    </row>
    <row r="571" spans="1:12">
      <c r="A571" s="39" t="s">
        <v>4875</v>
      </c>
      <c r="B571" s="13"/>
      <c r="C571" s="39" t="s">
        <v>4876</v>
      </c>
      <c r="D571" s="39" t="s">
        <v>2626</v>
      </c>
      <c r="E571" s="39" t="s">
        <v>4877</v>
      </c>
      <c r="F571" s="39" t="s">
        <v>4878</v>
      </c>
      <c r="G571" s="39" t="s">
        <v>1452</v>
      </c>
      <c r="H571" s="13"/>
      <c r="I571" s="39" t="s">
        <v>4879</v>
      </c>
      <c r="J571" s="39" t="s">
        <v>4880</v>
      </c>
      <c r="K571" s="39" t="s">
        <v>4881</v>
      </c>
      <c r="L571" s="39" t="s">
        <v>4082</v>
      </c>
    </row>
    <row r="572" spans="1:12">
      <c r="A572" s="39" t="s">
        <v>4882</v>
      </c>
      <c r="B572" s="13"/>
      <c r="C572" s="39" t="s">
        <v>2351</v>
      </c>
      <c r="D572" s="39" t="s">
        <v>2357</v>
      </c>
      <c r="E572" s="39" t="s">
        <v>4883</v>
      </c>
      <c r="F572" s="39" t="s">
        <v>4773</v>
      </c>
      <c r="G572" s="39" t="s">
        <v>1274</v>
      </c>
      <c r="H572" s="13"/>
      <c r="I572" s="39" t="s">
        <v>4884</v>
      </c>
      <c r="J572" s="39" t="s">
        <v>4803</v>
      </c>
      <c r="K572" s="39" t="s">
        <v>4885</v>
      </c>
      <c r="L572" s="39" t="s">
        <v>4886</v>
      </c>
    </row>
    <row r="573" spans="1:12">
      <c r="A573" s="39" t="s">
        <v>4764</v>
      </c>
      <c r="B573" s="13"/>
      <c r="C573" s="39" t="s">
        <v>4887</v>
      </c>
      <c r="D573" s="39" t="s">
        <v>2237</v>
      </c>
      <c r="E573" s="39" t="s">
        <v>4888</v>
      </c>
      <c r="F573" s="39" t="s">
        <v>4889</v>
      </c>
      <c r="G573" s="39" t="s">
        <v>4890</v>
      </c>
      <c r="H573" s="13"/>
      <c r="I573" s="39" t="s">
        <v>4891</v>
      </c>
      <c r="J573" s="39" t="s">
        <v>4811</v>
      </c>
      <c r="K573" s="39" t="s">
        <v>4892</v>
      </c>
      <c r="L573" s="39" t="s">
        <v>2424</v>
      </c>
    </row>
    <row r="574" spans="1:12">
      <c r="A574" s="39" t="s">
        <v>4893</v>
      </c>
      <c r="B574" s="13"/>
      <c r="C574" s="39" t="s">
        <v>4894</v>
      </c>
      <c r="D574" s="39" t="s">
        <v>4895</v>
      </c>
      <c r="E574" s="39"/>
      <c r="F574" s="39" t="s">
        <v>4786</v>
      </c>
      <c r="G574" s="39" t="s">
        <v>1281</v>
      </c>
      <c r="H574" s="13"/>
      <c r="I574" s="39" t="s">
        <v>4896</v>
      </c>
      <c r="J574" s="39" t="s">
        <v>4817</v>
      </c>
      <c r="K574" s="39" t="s">
        <v>4897</v>
      </c>
      <c r="L574" s="39" t="s">
        <v>4898</v>
      </c>
    </row>
    <row r="575" spans="1:12">
      <c r="A575" s="39" t="s">
        <v>4777</v>
      </c>
      <c r="B575" s="13"/>
      <c r="C575" s="39" t="s">
        <v>2424</v>
      </c>
      <c r="D575" s="39" t="s">
        <v>2265</v>
      </c>
      <c r="E575" s="39" t="s">
        <v>4662</v>
      </c>
      <c r="F575" s="39" t="s">
        <v>4899</v>
      </c>
      <c r="G575" s="39" t="s">
        <v>4900</v>
      </c>
      <c r="H575" s="13"/>
      <c r="I575" s="39" t="s">
        <v>4901</v>
      </c>
      <c r="J575" s="39" t="s">
        <v>4824</v>
      </c>
      <c r="K575" s="39" t="s">
        <v>4902</v>
      </c>
      <c r="L575" s="39" t="s">
        <v>2357</v>
      </c>
    </row>
    <row r="576" spans="1:12">
      <c r="A576" s="36"/>
      <c r="B576" s="13"/>
      <c r="C576" s="39" t="s">
        <v>4903</v>
      </c>
      <c r="D576" s="39"/>
      <c r="E576" s="39" t="s">
        <v>2265</v>
      </c>
      <c r="F576" s="39" t="s">
        <v>4800</v>
      </c>
      <c r="G576" s="39" t="s">
        <v>1281</v>
      </c>
      <c r="H576" s="13"/>
      <c r="I576" s="39" t="s">
        <v>4904</v>
      </c>
      <c r="J576" s="39" t="s">
        <v>4830</v>
      </c>
      <c r="K576" s="39" t="s">
        <v>4905</v>
      </c>
      <c r="L576" s="39" t="s">
        <v>4906</v>
      </c>
    </row>
    <row r="577" spans="1:12">
      <c r="A577" s="39" t="s">
        <v>4907</v>
      </c>
      <c r="B577" s="13"/>
      <c r="C577" s="39" t="s">
        <v>2357</v>
      </c>
      <c r="D577" s="39" t="s">
        <v>1259</v>
      </c>
      <c r="E577" s="39"/>
      <c r="F577" s="39" t="s">
        <v>4908</v>
      </c>
      <c r="G577" s="39" t="s">
        <v>4909</v>
      </c>
      <c r="H577" s="13"/>
      <c r="I577" s="39" t="s">
        <v>4910</v>
      </c>
      <c r="J577" s="39" t="s">
        <v>4836</v>
      </c>
      <c r="K577" s="39" t="s">
        <v>4911</v>
      </c>
      <c r="L577" s="39" t="s">
        <v>4346</v>
      </c>
    </row>
    <row r="578" spans="1:12">
      <c r="A578" s="39" t="s">
        <v>4912</v>
      </c>
      <c r="B578" s="13"/>
      <c r="C578" s="39" t="s">
        <v>4913</v>
      </c>
      <c r="D578" s="39" t="s">
        <v>4914</v>
      </c>
      <c r="E578" s="39"/>
      <c r="F578" s="39" t="s">
        <v>4915</v>
      </c>
      <c r="G578" s="39" t="s">
        <v>4916</v>
      </c>
      <c r="H578" s="13"/>
      <c r="I578" s="39" t="s">
        <v>4917</v>
      </c>
      <c r="J578" s="39" t="s">
        <v>4842</v>
      </c>
      <c r="K578" s="39" t="s">
        <v>2357</v>
      </c>
      <c r="L578" s="39" t="s">
        <v>4352</v>
      </c>
    </row>
    <row r="579" spans="1:12">
      <c r="A579" s="39" t="s">
        <v>4764</v>
      </c>
      <c r="B579" s="13"/>
      <c r="C579" s="39"/>
      <c r="D579" s="39"/>
      <c r="E579" s="39" t="s">
        <v>4918</v>
      </c>
      <c r="F579" s="39" t="s">
        <v>3054</v>
      </c>
      <c r="G579" s="39" t="s">
        <v>4919</v>
      </c>
      <c r="H579" s="13"/>
      <c r="I579" s="39" t="s">
        <v>4884</v>
      </c>
      <c r="J579" s="39" t="s">
        <v>4847</v>
      </c>
      <c r="K579" s="39"/>
      <c r="L579" s="39" t="s">
        <v>4359</v>
      </c>
    </row>
    <row r="580" spans="1:12">
      <c r="A580" s="39" t="s">
        <v>4920</v>
      </c>
      <c r="B580" s="13"/>
      <c r="C580" s="39" t="s">
        <v>4921</v>
      </c>
      <c r="D580" s="39" t="s">
        <v>4922</v>
      </c>
      <c r="E580" s="39" t="s">
        <v>1280</v>
      </c>
      <c r="F580" s="39"/>
      <c r="G580" s="39" t="s">
        <v>4923</v>
      </c>
      <c r="H580" s="13"/>
      <c r="I580" s="39" t="s">
        <v>4924</v>
      </c>
      <c r="J580" s="39" t="s">
        <v>4852</v>
      </c>
      <c r="K580" s="39" t="s">
        <v>4391</v>
      </c>
      <c r="L580" s="39" t="s">
        <v>4366</v>
      </c>
    </row>
    <row r="581" spans="1:12">
      <c r="A581" s="39" t="s">
        <v>4777</v>
      </c>
      <c r="B581" s="13"/>
      <c r="C581" s="39" t="s">
        <v>2265</v>
      </c>
      <c r="D581" s="39" t="s">
        <v>4925</v>
      </c>
      <c r="E581" s="39" t="s">
        <v>4926</v>
      </c>
      <c r="F581" s="39" t="s">
        <v>4927</v>
      </c>
      <c r="G581" s="39" t="s">
        <v>4928</v>
      </c>
      <c r="H581" s="13"/>
      <c r="I581" s="39" t="s">
        <v>4929</v>
      </c>
      <c r="J581" s="39" t="s">
        <v>4859</v>
      </c>
      <c r="K581" s="39" t="s">
        <v>4134</v>
      </c>
      <c r="L581" s="39" t="s">
        <v>4930</v>
      </c>
    </row>
    <row r="582" spans="1:12">
      <c r="A582" s="36"/>
      <c r="B582" s="13"/>
      <c r="C582" s="39" t="s">
        <v>1548</v>
      </c>
      <c r="D582" s="39" t="s">
        <v>4931</v>
      </c>
      <c r="E582" s="39" t="s">
        <v>1280</v>
      </c>
      <c r="F582" s="39" t="s">
        <v>2265</v>
      </c>
      <c r="G582" s="39" t="s">
        <v>4932</v>
      </c>
      <c r="H582" s="13"/>
      <c r="I582" s="39" t="s">
        <v>4933</v>
      </c>
      <c r="J582" s="39" t="s">
        <v>4866</v>
      </c>
      <c r="K582" s="39" t="s">
        <v>2237</v>
      </c>
      <c r="L582" s="39" t="s">
        <v>4381</v>
      </c>
    </row>
    <row r="583" spans="1:12">
      <c r="A583" s="39" t="s">
        <v>4934</v>
      </c>
      <c r="B583" s="13"/>
      <c r="C583" s="39" t="s">
        <v>1420</v>
      </c>
      <c r="D583" s="39"/>
      <c r="E583" s="39" t="s">
        <v>4935</v>
      </c>
      <c r="F583" s="39"/>
      <c r="G583" s="39" t="s">
        <v>4936</v>
      </c>
      <c r="H583" s="13"/>
      <c r="I583" s="39" t="s">
        <v>4929</v>
      </c>
      <c r="J583" s="39" t="s">
        <v>4080</v>
      </c>
      <c r="K583" s="39" t="s">
        <v>4937</v>
      </c>
      <c r="L583" s="39" t="s">
        <v>2357</v>
      </c>
    </row>
    <row r="584" spans="1:12">
      <c r="A584" s="39" t="s">
        <v>4757</v>
      </c>
      <c r="B584" s="13"/>
      <c r="C584" s="39" t="s">
        <v>4422</v>
      </c>
      <c r="D584" s="46" t="s">
        <v>4938</v>
      </c>
      <c r="E584" s="39" t="s">
        <v>3208</v>
      </c>
      <c r="F584" s="39"/>
      <c r="G584" s="39" t="s">
        <v>4939</v>
      </c>
      <c r="H584" s="13"/>
      <c r="I584" s="39" t="s">
        <v>4910</v>
      </c>
      <c r="J584" s="39" t="s">
        <v>4940</v>
      </c>
      <c r="K584" s="39" t="s">
        <v>2265</v>
      </c>
      <c r="L584" s="39" t="s">
        <v>4941</v>
      </c>
    </row>
    <row r="585" spans="1:12">
      <c r="A585" s="39" t="s">
        <v>4764</v>
      </c>
      <c r="B585" s="13"/>
      <c r="C585" s="39" t="s">
        <v>1413</v>
      </c>
      <c r="D585" s="46" t="s">
        <v>4942</v>
      </c>
      <c r="E585" s="39" t="s">
        <v>4822</v>
      </c>
      <c r="F585" s="39" t="s">
        <v>4943</v>
      </c>
      <c r="G585" s="39" t="s">
        <v>4944</v>
      </c>
      <c r="H585" s="13"/>
      <c r="I585" s="39" t="s">
        <v>4945</v>
      </c>
      <c r="J585" s="39" t="s">
        <v>4803</v>
      </c>
      <c r="K585" s="39" t="s">
        <v>1259</v>
      </c>
      <c r="L585" s="39" t="s">
        <v>4946</v>
      </c>
    </row>
    <row r="586" spans="1:12">
      <c r="A586" s="39" t="s">
        <v>4771</v>
      </c>
      <c r="B586" s="13"/>
      <c r="C586" s="39" t="s">
        <v>4435</v>
      </c>
      <c r="D586" s="39" t="s">
        <v>4451</v>
      </c>
      <c r="E586" s="39" t="s">
        <v>4947</v>
      </c>
      <c r="F586" s="39" t="s">
        <v>1280</v>
      </c>
      <c r="G586" s="39" t="s">
        <v>1452</v>
      </c>
      <c r="H586" s="13"/>
      <c r="I586" s="39" t="s">
        <v>4884</v>
      </c>
      <c r="J586" s="39" t="s">
        <v>4811</v>
      </c>
      <c r="K586" s="39" t="s">
        <v>4948</v>
      </c>
      <c r="L586" s="39" t="s">
        <v>4408</v>
      </c>
    </row>
    <row r="587" spans="1:12">
      <c r="A587" s="39" t="s">
        <v>4777</v>
      </c>
      <c r="B587" s="13"/>
      <c r="C587" s="39" t="s">
        <v>1413</v>
      </c>
      <c r="D587" s="39" t="s">
        <v>4949</v>
      </c>
      <c r="E587" s="39" t="s">
        <v>4833</v>
      </c>
      <c r="F587" s="39" t="s">
        <v>4950</v>
      </c>
      <c r="G587" s="39" t="s">
        <v>4951</v>
      </c>
      <c r="H587" s="13"/>
      <c r="I587" s="39" t="s">
        <v>4952</v>
      </c>
      <c r="J587" s="39" t="s">
        <v>4817</v>
      </c>
      <c r="K587" s="39" t="s">
        <v>1999</v>
      </c>
      <c r="L587" s="39" t="s">
        <v>4415</v>
      </c>
    </row>
    <row r="588" spans="1:12">
      <c r="A588" s="36"/>
      <c r="B588" s="13"/>
      <c r="C588" s="39" t="s">
        <v>4449</v>
      </c>
      <c r="D588" s="39" t="s">
        <v>4953</v>
      </c>
      <c r="E588" s="39" t="s">
        <v>4840</v>
      </c>
      <c r="F588" s="39" t="s">
        <v>1280</v>
      </c>
      <c r="G588" s="39" t="s">
        <v>4954</v>
      </c>
      <c r="H588" s="13"/>
      <c r="I588" s="39" t="s">
        <v>4955</v>
      </c>
      <c r="J588" s="39" t="s">
        <v>4824</v>
      </c>
      <c r="K588" s="39" t="s">
        <v>4956</v>
      </c>
      <c r="L588" s="39" t="s">
        <v>4421</v>
      </c>
    </row>
    <row r="589" spans="1:12">
      <c r="A589" s="39" t="s">
        <v>4790</v>
      </c>
      <c r="B589" s="13"/>
      <c r="C589" s="39" t="s">
        <v>4457</v>
      </c>
      <c r="D589" s="39" t="s">
        <v>4957</v>
      </c>
      <c r="E589" s="39" t="s">
        <v>4958</v>
      </c>
      <c r="F589" s="39" t="s">
        <v>4935</v>
      </c>
      <c r="G589" s="39" t="s">
        <v>4959</v>
      </c>
      <c r="H589" s="13"/>
      <c r="I589" s="39" t="s">
        <v>4960</v>
      </c>
      <c r="J589" s="39" t="s">
        <v>4830</v>
      </c>
      <c r="K589" s="39" t="s">
        <v>4961</v>
      </c>
      <c r="L589" s="39" t="s">
        <v>4426</v>
      </c>
    </row>
    <row r="590" spans="1:12">
      <c r="A590" s="39" t="s">
        <v>4797</v>
      </c>
      <c r="B590" s="13"/>
      <c r="C590" s="39" t="s">
        <v>3982</v>
      </c>
      <c r="D590" s="39" t="s">
        <v>3354</v>
      </c>
      <c r="E590" s="39" t="s">
        <v>4850</v>
      </c>
      <c r="F590" s="39" t="s">
        <v>3208</v>
      </c>
      <c r="G590" s="39" t="s">
        <v>4263</v>
      </c>
      <c r="H590" s="13"/>
      <c r="I590" s="39" t="s">
        <v>4955</v>
      </c>
      <c r="J590" s="39" t="s">
        <v>4836</v>
      </c>
      <c r="K590" s="39" t="s">
        <v>4962</v>
      </c>
      <c r="L590" s="39" t="s">
        <v>4963</v>
      </c>
    </row>
    <row r="591" spans="1:12">
      <c r="A591" s="39" t="s">
        <v>4806</v>
      </c>
      <c r="B591" s="13"/>
      <c r="C591" s="39" t="s">
        <v>4469</v>
      </c>
      <c r="D591" s="39" t="s">
        <v>4964</v>
      </c>
      <c r="E591" s="39" t="s">
        <v>4888</v>
      </c>
      <c r="F591" s="39" t="s">
        <v>4822</v>
      </c>
      <c r="G591" s="39" t="s">
        <v>4965</v>
      </c>
      <c r="H591" s="13"/>
      <c r="I591" s="39" t="s">
        <v>4966</v>
      </c>
      <c r="J591" s="39" t="s">
        <v>4842</v>
      </c>
      <c r="K591" s="39" t="s">
        <v>4967</v>
      </c>
      <c r="L591" s="39" t="s">
        <v>4441</v>
      </c>
    </row>
    <row r="592" spans="1:12">
      <c r="A592" s="39" t="s">
        <v>4063</v>
      </c>
      <c r="B592" s="13"/>
      <c r="C592" s="39" t="s">
        <v>4476</v>
      </c>
      <c r="D592" s="39" t="s">
        <v>3371</v>
      </c>
      <c r="E592" s="39"/>
      <c r="F592" s="39" t="s">
        <v>4968</v>
      </c>
      <c r="G592" s="39" t="s">
        <v>3281</v>
      </c>
      <c r="H592" s="13"/>
      <c r="I592" s="39" t="s">
        <v>4969</v>
      </c>
      <c r="J592" s="39" t="s">
        <v>4847</v>
      </c>
      <c r="K592" s="39" t="s">
        <v>4970</v>
      </c>
      <c r="L592" s="39" t="s">
        <v>4447</v>
      </c>
    </row>
    <row r="593" spans="1:12">
      <c r="A593" s="39" t="s">
        <v>4971</v>
      </c>
      <c r="B593" s="13"/>
      <c r="C593" s="39" t="s">
        <v>4483</v>
      </c>
      <c r="D593" s="39" t="s">
        <v>4972</v>
      </c>
      <c r="E593" s="39" t="s">
        <v>4973</v>
      </c>
      <c r="F593" s="39" t="s">
        <v>4974</v>
      </c>
      <c r="G593" s="39" t="s">
        <v>1452</v>
      </c>
      <c r="H593" s="13"/>
      <c r="I593" s="39" t="s">
        <v>4910</v>
      </c>
      <c r="J593" s="39" t="s">
        <v>4852</v>
      </c>
      <c r="K593" s="39" t="s">
        <v>4975</v>
      </c>
      <c r="L593" s="39" t="s">
        <v>3221</v>
      </c>
    </row>
    <row r="594" spans="1:12">
      <c r="A594" s="39" t="s">
        <v>4085</v>
      </c>
      <c r="B594" s="13"/>
      <c r="C594" s="39" t="s">
        <v>4493</v>
      </c>
      <c r="D594" s="39" t="s">
        <v>4976</v>
      </c>
      <c r="E594" s="39" t="s">
        <v>2265</v>
      </c>
      <c r="F594" s="39" t="s">
        <v>4977</v>
      </c>
      <c r="G594" s="39" t="s">
        <v>4978</v>
      </c>
      <c r="H594" s="13"/>
      <c r="I594" s="39" t="s">
        <v>4979</v>
      </c>
      <c r="J594" s="39" t="s">
        <v>4859</v>
      </c>
      <c r="K594" s="39" t="s">
        <v>4980</v>
      </c>
      <c r="L594" s="39" t="s">
        <v>4461</v>
      </c>
    </row>
    <row r="595" spans="1:12">
      <c r="A595" s="39" t="s">
        <v>4140</v>
      </c>
      <c r="B595" s="13"/>
      <c r="C595" s="39" t="s">
        <v>4501</v>
      </c>
      <c r="D595" s="39" t="s">
        <v>4981</v>
      </c>
      <c r="E595" s="39"/>
      <c r="F595" s="39" t="s">
        <v>4982</v>
      </c>
      <c r="G595" s="39" t="s">
        <v>1452</v>
      </c>
      <c r="H595" s="13"/>
      <c r="I595" s="39" t="s">
        <v>4884</v>
      </c>
      <c r="J595" s="39" t="s">
        <v>4866</v>
      </c>
      <c r="K595" s="39" t="s">
        <v>4983</v>
      </c>
      <c r="L595" s="39" t="s">
        <v>4467</v>
      </c>
    </row>
    <row r="596" spans="1:12">
      <c r="A596" s="39" t="s">
        <v>4838</v>
      </c>
      <c r="B596" s="13"/>
      <c r="C596" s="39" t="s">
        <v>4509</v>
      </c>
      <c r="D596" s="39" t="s">
        <v>4984</v>
      </c>
      <c r="E596" s="39"/>
      <c r="F596" s="39" t="s">
        <v>4985</v>
      </c>
      <c r="G596" s="39" t="s">
        <v>4986</v>
      </c>
      <c r="H596" s="13"/>
      <c r="I596" s="39" t="s">
        <v>4987</v>
      </c>
      <c r="J596" s="39" t="s">
        <v>4080</v>
      </c>
      <c r="K596" s="39" t="s">
        <v>4988</v>
      </c>
      <c r="L596" s="39" t="s">
        <v>4474</v>
      </c>
    </row>
    <row r="597" spans="1:12">
      <c r="A597" s="39" t="s">
        <v>4138</v>
      </c>
      <c r="B597" s="13"/>
      <c r="C597" s="39" t="s">
        <v>4516</v>
      </c>
      <c r="D597" s="39" t="s">
        <v>4989</v>
      </c>
      <c r="E597" s="39" t="s">
        <v>4990</v>
      </c>
      <c r="F597" s="39" t="s">
        <v>4888</v>
      </c>
      <c r="G597" s="39" t="s">
        <v>4991</v>
      </c>
      <c r="H597" s="13"/>
      <c r="I597" s="39" t="s">
        <v>4992</v>
      </c>
      <c r="J597" s="39" t="s">
        <v>4993</v>
      </c>
      <c r="K597" s="39" t="s">
        <v>4994</v>
      </c>
      <c r="L597" s="39" t="s">
        <v>4467</v>
      </c>
    </row>
    <row r="598" spans="1:12">
      <c r="A598" s="36"/>
      <c r="B598" s="13"/>
      <c r="C598" s="39" t="s">
        <v>4525</v>
      </c>
      <c r="D598" s="39" t="s">
        <v>4995</v>
      </c>
      <c r="E598" s="39" t="s">
        <v>1280</v>
      </c>
      <c r="F598" s="39"/>
      <c r="G598" s="39" t="s">
        <v>4996</v>
      </c>
      <c r="H598" s="13"/>
      <c r="I598" s="39" t="s">
        <v>4910</v>
      </c>
      <c r="J598" s="39" t="s">
        <v>4997</v>
      </c>
      <c r="K598" s="39" t="s">
        <v>4998</v>
      </c>
      <c r="L598" s="39" t="s">
        <v>4491</v>
      </c>
    </row>
    <row r="599" spans="1:12">
      <c r="A599" s="39" t="s">
        <v>4999</v>
      </c>
      <c r="B599" s="13"/>
      <c r="C599" s="39" t="s">
        <v>4531</v>
      </c>
      <c r="D599" s="39" t="s">
        <v>5000</v>
      </c>
      <c r="E599" s="39" t="s">
        <v>5001</v>
      </c>
      <c r="F599" s="39" t="s">
        <v>4973</v>
      </c>
      <c r="G599" s="39" t="s">
        <v>1452</v>
      </c>
      <c r="H599" s="13"/>
      <c r="I599" s="39" t="s">
        <v>5002</v>
      </c>
      <c r="J599" s="39" t="s">
        <v>4836</v>
      </c>
      <c r="K599" s="39" t="s">
        <v>5003</v>
      </c>
      <c r="L599" s="39" t="s">
        <v>5004</v>
      </c>
    </row>
    <row r="600" spans="1:12">
      <c r="A600" s="39" t="s">
        <v>5005</v>
      </c>
      <c r="B600" s="13"/>
      <c r="C600" s="39" t="s">
        <v>4539</v>
      </c>
      <c r="D600" s="39" t="s">
        <v>5006</v>
      </c>
      <c r="E600" s="39" t="s">
        <v>1280</v>
      </c>
      <c r="F600" s="39" t="s">
        <v>2265</v>
      </c>
      <c r="G600" s="39" t="s">
        <v>5007</v>
      </c>
      <c r="H600" s="13"/>
      <c r="I600" s="39" t="s">
        <v>5008</v>
      </c>
      <c r="J600" s="39" t="s">
        <v>4842</v>
      </c>
      <c r="K600" s="39" t="s">
        <v>5009</v>
      </c>
      <c r="L600" s="39" t="s">
        <v>4508</v>
      </c>
    </row>
    <row r="601" spans="1:12">
      <c r="A601" s="110" t="s">
        <v>5010</v>
      </c>
      <c r="B601" s="13"/>
      <c r="C601" s="39" t="s">
        <v>4545</v>
      </c>
      <c r="D601" s="39" t="s">
        <v>5011</v>
      </c>
      <c r="E601" s="39" t="s">
        <v>5012</v>
      </c>
      <c r="F601" s="39"/>
      <c r="G601" s="39" t="s">
        <v>5013</v>
      </c>
      <c r="H601" s="13"/>
      <c r="I601" s="39" t="s">
        <v>5014</v>
      </c>
      <c r="J601" s="39" t="s">
        <v>5015</v>
      </c>
      <c r="K601" s="39" t="s">
        <v>5016</v>
      </c>
      <c r="L601" s="39" t="s">
        <v>3221</v>
      </c>
    </row>
    <row r="602" spans="1:12">
      <c r="A602" s="39" t="s">
        <v>5017</v>
      </c>
      <c r="B602" s="13"/>
      <c r="C602" s="39" t="s">
        <v>4550</v>
      </c>
      <c r="D602" s="39" t="s">
        <v>5018</v>
      </c>
      <c r="E602" s="39" t="s">
        <v>3208</v>
      </c>
      <c r="F602" s="39"/>
      <c r="G602" s="39" t="s">
        <v>5019</v>
      </c>
      <c r="H602" s="13"/>
      <c r="I602" s="39" t="s">
        <v>5020</v>
      </c>
      <c r="J602" s="39" t="s">
        <v>5021</v>
      </c>
      <c r="K602" s="39" t="s">
        <v>5022</v>
      </c>
      <c r="L602" s="39" t="s">
        <v>4524</v>
      </c>
    </row>
    <row r="603" spans="1:12">
      <c r="A603" s="39" t="s">
        <v>5023</v>
      </c>
      <c r="B603" s="13"/>
      <c r="C603" s="39" t="s">
        <v>4558</v>
      </c>
      <c r="D603" s="39" t="s">
        <v>5024</v>
      </c>
      <c r="E603" s="39" t="s">
        <v>4822</v>
      </c>
      <c r="F603" s="39" t="s">
        <v>1273</v>
      </c>
      <c r="G603" s="39" t="s">
        <v>1452</v>
      </c>
      <c r="H603" s="13"/>
      <c r="I603" s="39" t="s">
        <v>1999</v>
      </c>
      <c r="J603" s="39" t="s">
        <v>5025</v>
      </c>
      <c r="K603" s="39" t="s">
        <v>5026</v>
      </c>
      <c r="L603" s="39" t="s">
        <v>4467</v>
      </c>
    </row>
    <row r="604" spans="1:12">
      <c r="A604" s="39" t="s">
        <v>5027</v>
      </c>
      <c r="B604" s="13"/>
      <c r="C604" s="39" t="s">
        <v>2659</v>
      </c>
      <c r="D604" s="39"/>
      <c r="E604" s="39" t="s">
        <v>5028</v>
      </c>
      <c r="F604" s="39" t="s">
        <v>5029</v>
      </c>
      <c r="G604" s="39" t="s">
        <v>5030</v>
      </c>
      <c r="H604" s="13"/>
      <c r="I604" s="39" t="s">
        <v>4872</v>
      </c>
      <c r="J604" s="39" t="s">
        <v>5031</v>
      </c>
      <c r="K604" s="39" t="s">
        <v>5032</v>
      </c>
      <c r="L604" s="39" t="s">
        <v>4538</v>
      </c>
    </row>
    <row r="605" spans="1:12">
      <c r="A605" s="39" t="s">
        <v>4806</v>
      </c>
      <c r="B605" s="13"/>
      <c r="C605" s="39" t="s">
        <v>1548</v>
      </c>
      <c r="D605" s="39" t="s">
        <v>5033</v>
      </c>
      <c r="E605" s="39" t="s">
        <v>4833</v>
      </c>
      <c r="F605" s="39" t="s">
        <v>1280</v>
      </c>
      <c r="G605" s="39" t="s">
        <v>5034</v>
      </c>
      <c r="H605" s="13"/>
      <c r="I605" s="39" t="s">
        <v>5035</v>
      </c>
      <c r="J605" s="39" t="s">
        <v>5036</v>
      </c>
      <c r="K605" s="39" t="s">
        <v>5037</v>
      </c>
      <c r="L605" s="39" t="s">
        <v>4467</v>
      </c>
    </row>
    <row r="606" spans="1:12">
      <c r="A606" s="39" t="s">
        <v>4063</v>
      </c>
      <c r="B606" s="13"/>
      <c r="C606" s="39" t="s">
        <v>4574</v>
      </c>
      <c r="D606" s="39" t="s">
        <v>5038</v>
      </c>
      <c r="E606" s="39" t="s">
        <v>4840</v>
      </c>
      <c r="F606" s="39" t="s">
        <v>5039</v>
      </c>
      <c r="G606" s="39" t="s">
        <v>5040</v>
      </c>
      <c r="H606" s="13"/>
      <c r="I606" s="39" t="s">
        <v>5041</v>
      </c>
      <c r="J606" s="39" t="s">
        <v>5042</v>
      </c>
      <c r="K606" s="39" t="s">
        <v>5043</v>
      </c>
      <c r="L606" s="39" t="s">
        <v>4549</v>
      </c>
    </row>
    <row r="607" spans="1:12">
      <c r="A607" s="39" t="s">
        <v>4820</v>
      </c>
      <c r="B607" s="13"/>
      <c r="C607" s="39" t="s">
        <v>3982</v>
      </c>
      <c r="D607" s="39" t="s">
        <v>5044</v>
      </c>
      <c r="E607" s="39" t="s">
        <v>5045</v>
      </c>
      <c r="F607" s="39" t="s">
        <v>1280</v>
      </c>
      <c r="G607" s="39" t="s">
        <v>5046</v>
      </c>
      <c r="H607" s="13"/>
      <c r="I607" s="39" t="s">
        <v>5047</v>
      </c>
      <c r="J607" s="39" t="s">
        <v>5048</v>
      </c>
      <c r="K607" s="39" t="s">
        <v>5049</v>
      </c>
      <c r="L607" s="39" t="s">
        <v>5050</v>
      </c>
    </row>
    <row r="608" spans="1:12">
      <c r="A608" s="39" t="s">
        <v>4085</v>
      </c>
      <c r="B608" s="13"/>
      <c r="C608" s="39" t="s">
        <v>4469</v>
      </c>
      <c r="D608" s="39" t="s">
        <v>3354</v>
      </c>
      <c r="E608" s="39" t="s">
        <v>4850</v>
      </c>
      <c r="F608" s="39" t="s">
        <v>3888</v>
      </c>
      <c r="G608" s="39" t="s">
        <v>1452</v>
      </c>
      <c r="H608" s="13"/>
      <c r="I608" s="39" t="s">
        <v>5041</v>
      </c>
      <c r="J608" s="39" t="s">
        <v>5051</v>
      </c>
      <c r="K608" s="39" t="s">
        <v>5052</v>
      </c>
      <c r="L608" s="39" t="s">
        <v>4508</v>
      </c>
    </row>
    <row r="609" spans="1:12">
      <c r="A609" s="39" t="s">
        <v>4140</v>
      </c>
      <c r="B609" s="13"/>
      <c r="C609" s="39" t="s">
        <v>4590</v>
      </c>
      <c r="D609" s="39" t="s">
        <v>5053</v>
      </c>
      <c r="E609" s="39" t="s">
        <v>4888</v>
      </c>
      <c r="F609" s="39" t="s">
        <v>2263</v>
      </c>
      <c r="G609" s="39" t="s">
        <v>1274</v>
      </c>
      <c r="H609" s="13"/>
      <c r="I609" s="39" t="s">
        <v>5054</v>
      </c>
      <c r="J609" s="39" t="s">
        <v>5055</v>
      </c>
      <c r="K609" s="39" t="s">
        <v>5056</v>
      </c>
      <c r="L609" s="39" t="s">
        <v>5057</v>
      </c>
    </row>
    <row r="610" spans="1:12">
      <c r="A610" s="39" t="s">
        <v>5058</v>
      </c>
      <c r="B610" s="13"/>
      <c r="C610" s="39" t="s">
        <v>4483</v>
      </c>
      <c r="D610" s="39" t="s">
        <v>3371</v>
      </c>
      <c r="E610" s="39"/>
      <c r="F610" s="39" t="s">
        <v>5059</v>
      </c>
      <c r="G610" s="39" t="s">
        <v>5060</v>
      </c>
      <c r="H610" s="13"/>
      <c r="I610" s="39" t="s">
        <v>5061</v>
      </c>
      <c r="J610" s="39" t="s">
        <v>5062</v>
      </c>
      <c r="K610" s="39" t="s">
        <v>5026</v>
      </c>
      <c r="L610" s="39" t="s">
        <v>3897</v>
      </c>
    </row>
    <row r="611" spans="1:12">
      <c r="A611" s="39" t="s">
        <v>4138</v>
      </c>
      <c r="B611" s="13"/>
      <c r="C611" s="39" t="s">
        <v>4603</v>
      </c>
      <c r="D611" s="39"/>
      <c r="E611" s="39" t="s">
        <v>5063</v>
      </c>
      <c r="F611" s="39" t="s">
        <v>5064</v>
      </c>
      <c r="G611" s="39" t="s">
        <v>5065</v>
      </c>
      <c r="H611" s="13"/>
      <c r="I611" s="39" t="s">
        <v>5066</v>
      </c>
      <c r="J611" s="39" t="s">
        <v>5067</v>
      </c>
      <c r="K611" s="39" t="s">
        <v>5068</v>
      </c>
      <c r="L611" s="39"/>
    </row>
    <row r="612" spans="1:12">
      <c r="A612" s="36"/>
      <c r="B612" s="13"/>
      <c r="C612" s="39" t="s">
        <v>4501</v>
      </c>
      <c r="D612" s="39" t="s">
        <v>5069</v>
      </c>
      <c r="E612" s="39" t="s">
        <v>5070</v>
      </c>
      <c r="F612" s="39" t="s">
        <v>5071</v>
      </c>
      <c r="G612" s="39" t="s">
        <v>1452</v>
      </c>
      <c r="H612" s="13"/>
      <c r="I612" s="39" t="s">
        <v>5072</v>
      </c>
      <c r="J612" s="39" t="s">
        <v>5073</v>
      </c>
      <c r="K612" s="39" t="s">
        <v>5037</v>
      </c>
      <c r="L612" s="39" t="s">
        <v>4346</v>
      </c>
    </row>
    <row r="613" spans="1:12">
      <c r="A613" s="39" t="s">
        <v>5074</v>
      </c>
      <c r="B613" s="13"/>
      <c r="C613" s="39" t="s">
        <v>4614</v>
      </c>
      <c r="D613" s="39" t="s">
        <v>5075</v>
      </c>
      <c r="E613" s="39" t="s">
        <v>5076</v>
      </c>
      <c r="F613" s="39" t="s">
        <v>5077</v>
      </c>
      <c r="G613" s="39" t="s">
        <v>5078</v>
      </c>
      <c r="H613" s="13"/>
      <c r="I613" s="39" t="s">
        <v>5079</v>
      </c>
      <c r="J613" s="39" t="s">
        <v>5080</v>
      </c>
      <c r="K613" s="39" t="s">
        <v>5081</v>
      </c>
      <c r="L613" s="39" t="s">
        <v>5082</v>
      </c>
    </row>
    <row r="614" spans="1:12">
      <c r="A614" s="39" t="s">
        <v>4757</v>
      </c>
      <c r="B614" s="13"/>
      <c r="C614" s="39" t="s">
        <v>4516</v>
      </c>
      <c r="D614" s="39" t="s">
        <v>5083</v>
      </c>
      <c r="E614" s="39" t="s">
        <v>5084</v>
      </c>
      <c r="F614" s="39" t="s">
        <v>5085</v>
      </c>
      <c r="G614" s="39" t="s">
        <v>5086</v>
      </c>
      <c r="H614" s="13"/>
      <c r="I614" s="39" t="s">
        <v>5087</v>
      </c>
      <c r="J614" s="39" t="s">
        <v>5088</v>
      </c>
      <c r="K614" s="39" t="s">
        <v>5089</v>
      </c>
      <c r="L614" s="39" t="s">
        <v>5090</v>
      </c>
    </row>
    <row r="615" spans="1:12">
      <c r="A615" s="39" t="s">
        <v>4764</v>
      </c>
      <c r="B615" s="13"/>
      <c r="C615" s="39" t="s">
        <v>4625</v>
      </c>
      <c r="D615" s="39" t="s">
        <v>2424</v>
      </c>
      <c r="E615" s="39"/>
      <c r="F615" s="39" t="s">
        <v>5091</v>
      </c>
      <c r="G615" s="39" t="s">
        <v>5092</v>
      </c>
      <c r="H615" s="13"/>
      <c r="I615" s="39" t="s">
        <v>5093</v>
      </c>
      <c r="J615" s="39" t="s">
        <v>5094</v>
      </c>
      <c r="K615" s="39" t="s">
        <v>5026</v>
      </c>
      <c r="L615" s="39" t="s">
        <v>5095</v>
      </c>
    </row>
    <row r="616" spans="1:12">
      <c r="A616" s="39" t="s">
        <v>4771</v>
      </c>
      <c r="B616" s="13"/>
      <c r="C616" s="39" t="s">
        <v>4531</v>
      </c>
      <c r="D616" s="39" t="s">
        <v>2501</v>
      </c>
      <c r="E616" s="39" t="s">
        <v>5096</v>
      </c>
      <c r="F616" s="39" t="s">
        <v>5097</v>
      </c>
      <c r="G616" s="39" t="s">
        <v>5098</v>
      </c>
      <c r="H616" s="13"/>
      <c r="I616" s="39" t="s">
        <v>5099</v>
      </c>
      <c r="J616" s="39" t="s">
        <v>5100</v>
      </c>
      <c r="K616" s="39" t="s">
        <v>5101</v>
      </c>
      <c r="L616" s="39" t="s">
        <v>4608</v>
      </c>
    </row>
    <row r="617" spans="1:12">
      <c r="A617" s="39" t="s">
        <v>4777</v>
      </c>
      <c r="B617" s="13"/>
      <c r="C617" s="39" t="s">
        <v>4633</v>
      </c>
      <c r="D617" s="39" t="s">
        <v>5102</v>
      </c>
      <c r="E617" s="39" t="s">
        <v>2265</v>
      </c>
      <c r="F617" s="39" t="s">
        <v>5103</v>
      </c>
      <c r="G617" s="39" t="s">
        <v>5104</v>
      </c>
      <c r="H617" s="13"/>
      <c r="I617" s="39" t="s">
        <v>5105</v>
      </c>
      <c r="J617" s="39" t="s">
        <v>5106</v>
      </c>
      <c r="K617" s="39" t="s">
        <v>5037</v>
      </c>
      <c r="L617" s="39" t="s">
        <v>5107</v>
      </c>
    </row>
    <row r="618" spans="1:12">
      <c r="A618" s="39" t="s">
        <v>3054</v>
      </c>
      <c r="B618" s="13"/>
      <c r="C618" s="39" t="s">
        <v>4545</v>
      </c>
      <c r="D618" s="39" t="s">
        <v>5108</v>
      </c>
      <c r="E618" s="39"/>
      <c r="F618" s="39" t="s">
        <v>5109</v>
      </c>
      <c r="G618" s="39" t="s">
        <v>5110</v>
      </c>
      <c r="H618" s="13"/>
      <c r="I618" s="39" t="s">
        <v>5111</v>
      </c>
      <c r="J618" s="39" t="s">
        <v>4859</v>
      </c>
      <c r="K618" s="39" t="s">
        <v>5112</v>
      </c>
      <c r="L618" s="39" t="s">
        <v>5113</v>
      </c>
    </row>
    <row r="619" spans="1:12">
      <c r="A619" s="36"/>
      <c r="B619" s="13"/>
      <c r="C619" s="39" t="s">
        <v>4643</v>
      </c>
      <c r="D619" s="39" t="s">
        <v>5114</v>
      </c>
      <c r="E619" s="39"/>
      <c r="F619" s="39" t="s">
        <v>3054</v>
      </c>
      <c r="G619" s="39" t="s">
        <v>1274</v>
      </c>
      <c r="H619" s="13"/>
      <c r="I619" s="39" t="s">
        <v>5115</v>
      </c>
      <c r="J619" s="39" t="s">
        <v>5116</v>
      </c>
      <c r="K619" s="110" t="s">
        <v>5117</v>
      </c>
      <c r="L619" s="39" t="s">
        <v>5118</v>
      </c>
    </row>
    <row r="620" spans="1:12">
      <c r="A620" s="36"/>
      <c r="B620" s="13"/>
      <c r="C620" s="39" t="s">
        <v>4648</v>
      </c>
      <c r="D620" s="39" t="s">
        <v>5119</v>
      </c>
      <c r="E620" s="39" t="s">
        <v>5120</v>
      </c>
      <c r="F620" s="39"/>
      <c r="G620" s="39" t="s">
        <v>5121</v>
      </c>
      <c r="H620" s="13"/>
      <c r="I620" s="39" t="s">
        <v>5122</v>
      </c>
      <c r="J620" s="39" t="s">
        <v>4080</v>
      </c>
      <c r="K620" s="39" t="s">
        <v>5123</v>
      </c>
      <c r="L620" s="39" t="s">
        <v>5124</v>
      </c>
    </row>
    <row r="621" spans="1:12">
      <c r="A621" s="39" t="s">
        <v>5125</v>
      </c>
      <c r="B621" s="13"/>
      <c r="C621" s="39" t="s">
        <v>2659</v>
      </c>
      <c r="D621" s="45" t="s">
        <v>5126</v>
      </c>
      <c r="E621" s="39" t="s">
        <v>1280</v>
      </c>
      <c r="F621" s="39" t="s">
        <v>4183</v>
      </c>
      <c r="G621" s="39" t="s">
        <v>5127</v>
      </c>
      <c r="H621" s="13"/>
      <c r="I621" s="39" t="s">
        <v>5128</v>
      </c>
      <c r="J621" s="39" t="s">
        <v>5129</v>
      </c>
      <c r="K621" s="39" t="s">
        <v>5130</v>
      </c>
      <c r="L621" s="39" t="s">
        <v>5131</v>
      </c>
    </row>
    <row r="622" spans="1:12">
      <c r="A622" s="39" t="s">
        <v>2265</v>
      </c>
      <c r="B622" s="13"/>
      <c r="C622" s="39" t="s">
        <v>1548</v>
      </c>
      <c r="D622" s="39" t="s">
        <v>2579</v>
      </c>
      <c r="E622" s="39" t="s">
        <v>5132</v>
      </c>
      <c r="F622" s="39" t="s">
        <v>2265</v>
      </c>
      <c r="G622" s="39" t="s">
        <v>1274</v>
      </c>
      <c r="H622" s="13"/>
      <c r="I622" s="39" t="s">
        <v>5072</v>
      </c>
      <c r="J622" s="39" t="s">
        <v>5133</v>
      </c>
      <c r="K622" s="39" t="s">
        <v>5134</v>
      </c>
      <c r="L622" s="39" t="s">
        <v>5135</v>
      </c>
    </row>
    <row r="623" spans="1:12">
      <c r="A623" s="36"/>
      <c r="B623" s="13"/>
      <c r="C623" s="39" t="s">
        <v>4666</v>
      </c>
      <c r="D623" s="39" t="s">
        <v>2596</v>
      </c>
      <c r="E623" s="39" t="s">
        <v>1280</v>
      </c>
      <c r="F623" s="39"/>
      <c r="G623" s="39" t="s">
        <v>5136</v>
      </c>
      <c r="H623" s="13"/>
      <c r="I623" s="39" t="s">
        <v>5137</v>
      </c>
      <c r="J623" s="39" t="s">
        <v>5138</v>
      </c>
      <c r="K623" s="39" t="s">
        <v>5139</v>
      </c>
      <c r="L623" s="39" t="s">
        <v>2424</v>
      </c>
    </row>
    <row r="624" spans="1:12">
      <c r="A624" s="39" t="s">
        <v>1278</v>
      </c>
      <c r="B624" s="13"/>
      <c r="C624" s="39" t="s">
        <v>4672</v>
      </c>
      <c r="D624" s="39" t="s">
        <v>5140</v>
      </c>
      <c r="E624" s="39" t="s">
        <v>5141</v>
      </c>
      <c r="F624" s="39"/>
      <c r="G624" s="39" t="s">
        <v>5142</v>
      </c>
      <c r="H624" s="13"/>
      <c r="I624" s="39" t="s">
        <v>5111</v>
      </c>
      <c r="J624" s="39" t="s">
        <v>2345</v>
      </c>
      <c r="K624" s="39" t="s">
        <v>5143</v>
      </c>
      <c r="L624" s="39" t="s">
        <v>5144</v>
      </c>
    </row>
    <row r="625" spans="1:12">
      <c r="A625" s="39" t="s">
        <v>5145</v>
      </c>
      <c r="B625" s="13"/>
      <c r="C625" s="39" t="s">
        <v>1548</v>
      </c>
      <c r="D625" s="39" t="s">
        <v>2265</v>
      </c>
      <c r="E625" s="39" t="s">
        <v>3208</v>
      </c>
      <c r="F625" s="39" t="s">
        <v>5146</v>
      </c>
      <c r="G625" s="39" t="s">
        <v>5147</v>
      </c>
      <c r="H625" s="13"/>
      <c r="I625" s="39" t="s">
        <v>5148</v>
      </c>
      <c r="J625" s="39"/>
      <c r="K625" s="39" t="s">
        <v>5149</v>
      </c>
      <c r="L625" s="39" t="s">
        <v>5135</v>
      </c>
    </row>
    <row r="626" spans="1:12">
      <c r="A626" s="36"/>
      <c r="B626" s="13"/>
      <c r="C626" s="39" t="s">
        <v>1548</v>
      </c>
      <c r="D626" s="39"/>
      <c r="E626" s="39" t="s">
        <v>4822</v>
      </c>
      <c r="F626" s="39" t="s">
        <v>1280</v>
      </c>
      <c r="G626" s="39" t="s">
        <v>5150</v>
      </c>
      <c r="H626" s="13"/>
      <c r="I626" s="39" t="s">
        <v>5122</v>
      </c>
      <c r="J626" s="39" t="s">
        <v>3438</v>
      </c>
      <c r="K626" s="39" t="s">
        <v>5151</v>
      </c>
      <c r="L626" s="39" t="s">
        <v>2357</v>
      </c>
    </row>
    <row r="627" spans="1:12">
      <c r="A627" s="39" t="s">
        <v>5152</v>
      </c>
      <c r="B627" s="13"/>
      <c r="C627" s="39" t="s">
        <v>1259</v>
      </c>
      <c r="D627" s="39" t="s">
        <v>5153</v>
      </c>
      <c r="E627" s="39" t="s">
        <v>5154</v>
      </c>
      <c r="F627" s="39" t="s">
        <v>5155</v>
      </c>
      <c r="G627" s="39" t="s">
        <v>1452</v>
      </c>
      <c r="H627" s="13"/>
      <c r="I627" s="39" t="s">
        <v>5128</v>
      </c>
      <c r="J627" s="39" t="s">
        <v>5156</v>
      </c>
      <c r="K627" s="39" t="s">
        <v>5157</v>
      </c>
      <c r="L627" s="39"/>
    </row>
    <row r="628" spans="1:12">
      <c r="A628" s="36"/>
      <c r="B628" s="13"/>
      <c r="C628" s="39" t="s">
        <v>4697</v>
      </c>
      <c r="D628" s="142" t="s">
        <v>5158</v>
      </c>
      <c r="E628" s="39" t="s">
        <v>4833</v>
      </c>
      <c r="F628" s="39" t="s">
        <v>1280</v>
      </c>
      <c r="G628" s="39" t="s">
        <v>5159</v>
      </c>
      <c r="H628" s="13"/>
      <c r="I628" s="39" t="s">
        <v>5072</v>
      </c>
      <c r="J628" s="39" t="s">
        <v>5160</v>
      </c>
      <c r="K628" s="39" t="s">
        <v>5161</v>
      </c>
      <c r="L628" s="39" t="s">
        <v>5162</v>
      </c>
    </row>
    <row r="629" spans="1:12">
      <c r="A629" s="39" t="s">
        <v>4718</v>
      </c>
      <c r="B629" s="13"/>
      <c r="C629" s="39" t="s">
        <v>5163</v>
      </c>
      <c r="D629" s="142" t="s">
        <v>5164</v>
      </c>
      <c r="E629" s="39" t="s">
        <v>4840</v>
      </c>
      <c r="F629" s="39" t="s">
        <v>5165</v>
      </c>
      <c r="G629" s="39" t="s">
        <v>5166</v>
      </c>
      <c r="H629" s="13"/>
      <c r="I629" s="39" t="s">
        <v>5137</v>
      </c>
      <c r="J629" s="39" t="s">
        <v>5167</v>
      </c>
      <c r="K629" s="39" t="s">
        <v>5168</v>
      </c>
      <c r="L629" s="39" t="s">
        <v>5169</v>
      </c>
    </row>
    <row r="630" spans="1:12">
      <c r="A630" s="39" t="s">
        <v>4726</v>
      </c>
      <c r="B630" s="13"/>
      <c r="C630" s="39" t="s">
        <v>4710</v>
      </c>
      <c r="D630" s="142" t="s">
        <v>5170</v>
      </c>
      <c r="E630" s="39" t="s">
        <v>5171</v>
      </c>
      <c r="F630" s="39" t="s">
        <v>5172</v>
      </c>
      <c r="G630" s="39" t="s">
        <v>5098</v>
      </c>
      <c r="H630" s="13"/>
      <c r="I630" s="39" t="s">
        <v>5111</v>
      </c>
      <c r="J630" s="39" t="s">
        <v>5173</v>
      </c>
      <c r="K630" s="39" t="s">
        <v>5174</v>
      </c>
      <c r="L630" s="39" t="s">
        <v>5175</v>
      </c>
    </row>
    <row r="631" spans="1:12">
      <c r="A631" s="39" t="s">
        <v>5176</v>
      </c>
      <c r="B631" s="13"/>
      <c r="C631" s="39" t="s">
        <v>2237</v>
      </c>
      <c r="D631" s="142" t="s">
        <v>5177</v>
      </c>
      <c r="E631" s="39" t="s">
        <v>4850</v>
      </c>
      <c r="F631" s="39" t="s">
        <v>5178</v>
      </c>
      <c r="G631" s="39" t="s">
        <v>5179</v>
      </c>
      <c r="H631" s="13"/>
      <c r="I631" s="39" t="s">
        <v>5180</v>
      </c>
      <c r="J631" s="39" t="s">
        <v>5181</v>
      </c>
      <c r="K631" s="39" t="s">
        <v>3364</v>
      </c>
      <c r="L631" s="39" t="s">
        <v>4082</v>
      </c>
    </row>
    <row r="632" spans="1:12">
      <c r="A632" s="39" t="s">
        <v>5182</v>
      </c>
      <c r="B632" s="13"/>
      <c r="C632" s="39"/>
      <c r="D632" s="142" t="s">
        <v>5183</v>
      </c>
      <c r="E632" s="39" t="s">
        <v>4888</v>
      </c>
      <c r="F632" s="39" t="s">
        <v>5184</v>
      </c>
      <c r="G632" s="39" t="s">
        <v>5110</v>
      </c>
      <c r="H632" s="13"/>
      <c r="I632" s="39" t="s">
        <v>5185</v>
      </c>
      <c r="J632" s="39"/>
      <c r="K632" s="39" t="s">
        <v>5186</v>
      </c>
      <c r="L632" s="39" t="s">
        <v>5187</v>
      </c>
    </row>
    <row r="633" spans="1:12">
      <c r="A633" s="36"/>
      <c r="B633" s="13"/>
      <c r="C633" s="39" t="s">
        <v>5188</v>
      </c>
      <c r="D633" s="142" t="s">
        <v>2626</v>
      </c>
      <c r="E633" s="39"/>
      <c r="F633" s="39" t="s">
        <v>2424</v>
      </c>
      <c r="G633" s="39" t="s">
        <v>1274</v>
      </c>
      <c r="H633" s="13"/>
      <c r="I633" s="39" t="s">
        <v>5189</v>
      </c>
      <c r="J633" s="39" t="s">
        <v>5190</v>
      </c>
      <c r="K633" s="39" t="s">
        <v>5191</v>
      </c>
      <c r="L633" s="39" t="s">
        <v>2424</v>
      </c>
    </row>
    <row r="634" spans="1:12">
      <c r="A634" s="39" t="s">
        <v>5192</v>
      </c>
      <c r="B634" s="13"/>
      <c r="C634" s="39" t="s">
        <v>5193</v>
      </c>
      <c r="D634" s="142" t="s">
        <v>2424</v>
      </c>
      <c r="E634" s="39" t="s">
        <v>5194</v>
      </c>
      <c r="F634" s="39" t="s">
        <v>5195</v>
      </c>
      <c r="G634" s="39" t="s">
        <v>5196</v>
      </c>
      <c r="H634" s="13"/>
      <c r="I634" s="39" t="s">
        <v>5197</v>
      </c>
      <c r="J634" s="39"/>
      <c r="K634" s="39" t="s">
        <v>5198</v>
      </c>
      <c r="L634" s="39" t="s">
        <v>5199</v>
      </c>
    </row>
    <row r="635" spans="1:12">
      <c r="A635" s="39" t="s">
        <v>5200</v>
      </c>
      <c r="B635" s="13"/>
      <c r="C635" s="39" t="s">
        <v>1548</v>
      </c>
      <c r="D635" s="142" t="s">
        <v>2501</v>
      </c>
      <c r="E635" s="39" t="s">
        <v>5070</v>
      </c>
      <c r="F635" s="39" t="s">
        <v>2596</v>
      </c>
      <c r="G635" s="39" t="s">
        <v>1274</v>
      </c>
      <c r="H635" s="13"/>
      <c r="I635" s="39" t="s">
        <v>5072</v>
      </c>
      <c r="J635" s="39" t="s">
        <v>5201</v>
      </c>
      <c r="K635" s="39" t="s">
        <v>1741</v>
      </c>
      <c r="L635" s="39" t="s">
        <v>2357</v>
      </c>
    </row>
    <row r="636" spans="1:12">
      <c r="A636" s="39" t="s">
        <v>5202</v>
      </c>
      <c r="B636" s="13"/>
      <c r="C636" s="39" t="s">
        <v>1420</v>
      </c>
      <c r="D636" s="142" t="s">
        <v>5203</v>
      </c>
      <c r="E636" s="39" t="s">
        <v>5204</v>
      </c>
      <c r="F636" s="39"/>
      <c r="G636" s="39" t="s">
        <v>5205</v>
      </c>
      <c r="H636" s="13"/>
      <c r="I636" s="39" t="s">
        <v>5206</v>
      </c>
      <c r="J636" s="39" t="s">
        <v>5207</v>
      </c>
      <c r="K636" s="39" t="s">
        <v>5208</v>
      </c>
      <c r="L636" s="39" t="s">
        <v>4941</v>
      </c>
    </row>
    <row r="637" spans="1:12">
      <c r="A637" s="36"/>
      <c r="B637" s="13"/>
      <c r="C637" s="39" t="s">
        <v>4737</v>
      </c>
      <c r="D637" s="142" t="s">
        <v>5209</v>
      </c>
      <c r="E637" s="39" t="s">
        <v>5210</v>
      </c>
      <c r="F637" s="39" t="s">
        <v>5211</v>
      </c>
      <c r="G637" s="39" t="s">
        <v>5212</v>
      </c>
      <c r="H637" s="13"/>
      <c r="I637" s="39" t="s">
        <v>5111</v>
      </c>
      <c r="J637" s="110" t="s">
        <v>5213</v>
      </c>
      <c r="K637" s="39"/>
      <c r="L637" s="39" t="s">
        <v>4946</v>
      </c>
    </row>
    <row r="638" spans="1:12">
      <c r="A638" s="39" t="s">
        <v>5214</v>
      </c>
      <c r="B638" s="13"/>
      <c r="C638" s="39" t="s">
        <v>4746</v>
      </c>
      <c r="D638" s="142" t="s">
        <v>5215</v>
      </c>
      <c r="E638" s="39"/>
      <c r="F638" s="39">
        <v>633</v>
      </c>
      <c r="G638" s="39" t="s">
        <v>5216</v>
      </c>
      <c r="H638" s="13"/>
      <c r="I638" s="39" t="s">
        <v>5217</v>
      </c>
      <c r="J638" s="39" t="s">
        <v>3354</v>
      </c>
      <c r="K638" s="39" t="s">
        <v>5218</v>
      </c>
      <c r="L638" s="39" t="s">
        <v>4408</v>
      </c>
    </row>
    <row r="639" spans="1:12">
      <c r="A639" s="39" t="s">
        <v>5219</v>
      </c>
      <c r="B639" s="13"/>
      <c r="C639" s="13"/>
      <c r="D639" s="142" t="s">
        <v>5220</v>
      </c>
      <c r="E639" s="39" t="s">
        <v>5221</v>
      </c>
      <c r="F639" s="39" t="s">
        <v>1273</v>
      </c>
      <c r="G639" s="39" t="s">
        <v>5222</v>
      </c>
      <c r="H639" s="13"/>
      <c r="I639" s="39" t="s">
        <v>5223</v>
      </c>
      <c r="J639" s="39" t="s">
        <v>5224</v>
      </c>
      <c r="K639" s="39" t="s">
        <v>5225</v>
      </c>
      <c r="L639" s="39" t="s">
        <v>4415</v>
      </c>
    </row>
    <row r="640" spans="1:12">
      <c r="A640" s="36"/>
      <c r="B640" s="13"/>
      <c r="C640" s="13"/>
      <c r="D640" s="142" t="s">
        <v>5226</v>
      </c>
      <c r="E640" s="39" t="s">
        <v>2265</v>
      </c>
      <c r="F640" s="39" t="s">
        <v>5227</v>
      </c>
      <c r="G640" s="39" t="s">
        <v>5228</v>
      </c>
      <c r="H640" s="13"/>
      <c r="I640" s="39" t="s">
        <v>5229</v>
      </c>
      <c r="J640" s="110" t="s">
        <v>5230</v>
      </c>
      <c r="K640" s="39" t="s">
        <v>5231</v>
      </c>
      <c r="L640" s="39" t="s">
        <v>4421</v>
      </c>
    </row>
    <row r="641" spans="1:12">
      <c r="A641" s="39" t="s">
        <v>4790</v>
      </c>
      <c r="B641" s="13"/>
      <c r="C641" s="13"/>
      <c r="D641" s="142" t="s">
        <v>5232</v>
      </c>
      <c r="E641" s="39"/>
      <c r="F641" s="39" t="s">
        <v>5233</v>
      </c>
      <c r="G641" s="39" t="s">
        <v>5234</v>
      </c>
      <c r="H641" s="13"/>
      <c r="I641" s="39" t="s">
        <v>5020</v>
      </c>
      <c r="J641" s="39" t="s">
        <v>4859</v>
      </c>
      <c r="K641" s="39" t="s">
        <v>5235</v>
      </c>
      <c r="L641" s="39" t="s">
        <v>4426</v>
      </c>
    </row>
    <row r="642" spans="1:12">
      <c r="A642" s="39" t="s">
        <v>4797</v>
      </c>
      <c r="B642" s="13"/>
      <c r="C642" s="13"/>
      <c r="D642" s="142" t="s">
        <v>5236</v>
      </c>
      <c r="E642" s="39"/>
      <c r="F642" s="39"/>
      <c r="G642" s="39" t="s">
        <v>5237</v>
      </c>
      <c r="H642" s="13"/>
      <c r="I642" s="39"/>
      <c r="J642" s="39" t="s">
        <v>5238</v>
      </c>
      <c r="K642" s="39" t="s">
        <v>5239</v>
      </c>
      <c r="L642" s="39" t="s">
        <v>5240</v>
      </c>
    </row>
    <row r="643" spans="1:12">
      <c r="A643" s="39" t="s">
        <v>5241</v>
      </c>
      <c r="B643" s="13"/>
      <c r="C643" s="13"/>
      <c r="D643" s="142" t="s">
        <v>5242</v>
      </c>
      <c r="E643" s="39" t="s">
        <v>1273</v>
      </c>
      <c r="F643" s="39" t="s">
        <v>5243</v>
      </c>
      <c r="G643" s="39" t="s">
        <v>1452</v>
      </c>
      <c r="H643" s="13"/>
      <c r="I643" s="39" t="s">
        <v>3438</v>
      </c>
      <c r="J643" s="110" t="s">
        <v>5244</v>
      </c>
      <c r="K643" s="39" t="s">
        <v>5245</v>
      </c>
      <c r="L643" s="39" t="s">
        <v>4441</v>
      </c>
    </row>
    <row r="644" spans="1:12">
      <c r="A644" s="39" t="s">
        <v>5246</v>
      </c>
      <c r="B644" s="13"/>
      <c r="C644" s="13"/>
      <c r="D644" s="142" t="s">
        <v>5226</v>
      </c>
      <c r="E644" s="39" t="s">
        <v>5247</v>
      </c>
      <c r="F644" s="39" t="s">
        <v>5248</v>
      </c>
      <c r="G644" s="39" t="s">
        <v>5249</v>
      </c>
      <c r="H644" s="13"/>
      <c r="I644" s="39" t="s">
        <v>5156</v>
      </c>
      <c r="J644" s="39" t="s">
        <v>4140</v>
      </c>
      <c r="K644" s="39" t="s">
        <v>5250</v>
      </c>
      <c r="L644" s="39" t="s">
        <v>4447</v>
      </c>
    </row>
    <row r="645" spans="1:12">
      <c r="A645" s="39" t="s">
        <v>4063</v>
      </c>
      <c r="B645" s="13"/>
      <c r="C645" s="13"/>
      <c r="D645" s="142" t="s">
        <v>5232</v>
      </c>
      <c r="E645" s="39" t="s">
        <v>1280</v>
      </c>
      <c r="F645" s="39" t="s">
        <v>5251</v>
      </c>
      <c r="G645" s="39" t="s">
        <v>1452</v>
      </c>
      <c r="H645" s="13"/>
      <c r="I645" s="39" t="s">
        <v>5252</v>
      </c>
      <c r="J645" s="39" t="s">
        <v>5253</v>
      </c>
      <c r="K645" s="39" t="s">
        <v>3364</v>
      </c>
      <c r="L645" s="39" t="s">
        <v>5254</v>
      </c>
    </row>
    <row r="646" spans="1:12">
      <c r="A646" s="39" t="s">
        <v>5255</v>
      </c>
      <c r="B646" s="13"/>
      <c r="C646" s="13"/>
      <c r="D646" s="142" t="s">
        <v>5256</v>
      </c>
      <c r="E646" s="39" t="s">
        <v>5257</v>
      </c>
      <c r="F646" s="39" t="s">
        <v>5258</v>
      </c>
      <c r="G646" s="39" t="s">
        <v>5259</v>
      </c>
      <c r="H646" s="13"/>
      <c r="I646" s="39" t="s">
        <v>5167</v>
      </c>
      <c r="J646" s="110" t="s">
        <v>5260</v>
      </c>
      <c r="K646" s="39" t="s">
        <v>5261</v>
      </c>
      <c r="L646" s="39" t="s">
        <v>5262</v>
      </c>
    </row>
    <row r="647" spans="1:12">
      <c r="A647" s="39" t="s">
        <v>5246</v>
      </c>
      <c r="B647" s="13"/>
      <c r="C647" s="13"/>
      <c r="D647" s="142" t="s">
        <v>5263</v>
      </c>
      <c r="E647" s="39" t="s">
        <v>1280</v>
      </c>
      <c r="F647" s="39" t="s">
        <v>1273</v>
      </c>
      <c r="G647" s="39" t="s">
        <v>5264</v>
      </c>
      <c r="H647" s="13"/>
      <c r="I647" s="39" t="s">
        <v>5173</v>
      </c>
      <c r="J647" s="39" t="s">
        <v>3747</v>
      </c>
      <c r="K647" s="39" t="s">
        <v>2374</v>
      </c>
      <c r="L647" s="39" t="s">
        <v>3897</v>
      </c>
    </row>
    <row r="648" spans="1:12">
      <c r="A648" s="39" t="s">
        <v>4085</v>
      </c>
      <c r="B648" s="13"/>
      <c r="C648" s="13"/>
      <c r="D648" s="142" t="s">
        <v>5265</v>
      </c>
      <c r="E648" s="39" t="s">
        <v>5266</v>
      </c>
      <c r="F648" s="39" t="s">
        <v>5267</v>
      </c>
      <c r="G648" s="39" t="s">
        <v>5268</v>
      </c>
      <c r="H648" s="13"/>
      <c r="I648" s="39" t="s">
        <v>5181</v>
      </c>
      <c r="J648" s="39" t="s">
        <v>5269</v>
      </c>
      <c r="K648" s="39" t="s">
        <v>5270</v>
      </c>
      <c r="L648" s="39" t="s">
        <v>5271</v>
      </c>
    </row>
    <row r="649" spans="1:12">
      <c r="A649" s="39" t="s">
        <v>4140</v>
      </c>
      <c r="B649" s="13"/>
      <c r="C649" s="13"/>
      <c r="D649" s="142" t="s">
        <v>5272</v>
      </c>
      <c r="E649" s="39" t="s">
        <v>3933</v>
      </c>
      <c r="F649" s="39" t="s">
        <v>5273</v>
      </c>
      <c r="G649" s="39" t="s">
        <v>5274</v>
      </c>
      <c r="H649" s="13"/>
      <c r="I649" s="39"/>
      <c r="J649" s="110" t="s">
        <v>5275</v>
      </c>
      <c r="K649" s="39" t="s">
        <v>4894</v>
      </c>
      <c r="L649" s="39" t="s">
        <v>3897</v>
      </c>
    </row>
    <row r="650" spans="1:12">
      <c r="A650" s="39" t="s">
        <v>5276</v>
      </c>
      <c r="B650" s="13"/>
      <c r="C650" s="13"/>
      <c r="D650" s="142" t="s">
        <v>5277</v>
      </c>
      <c r="E650" s="39" t="s">
        <v>2263</v>
      </c>
      <c r="F650" s="39"/>
      <c r="G650" s="39" t="s">
        <v>5278</v>
      </c>
      <c r="H650" s="13"/>
      <c r="I650" s="39" t="s">
        <v>5190</v>
      </c>
      <c r="J650" s="39" t="s">
        <v>5279</v>
      </c>
      <c r="K650" s="39" t="s">
        <v>2357</v>
      </c>
      <c r="L650" s="39" t="s">
        <v>5280</v>
      </c>
    </row>
    <row r="651" spans="1:12">
      <c r="A651" s="39" t="s">
        <v>5281</v>
      </c>
      <c r="B651" s="13"/>
      <c r="C651" s="13"/>
      <c r="D651" s="142" t="s">
        <v>5279</v>
      </c>
      <c r="E651" s="39" t="s">
        <v>5282</v>
      </c>
      <c r="F651" s="39" t="s">
        <v>5283</v>
      </c>
      <c r="G651" s="39" t="s">
        <v>1274</v>
      </c>
      <c r="H651" s="13"/>
      <c r="I651" s="39"/>
      <c r="J651" s="39" t="s">
        <v>5284</v>
      </c>
      <c r="K651" s="39" t="s">
        <v>5285</v>
      </c>
      <c r="L651" s="39" t="s">
        <v>3897</v>
      </c>
    </row>
    <row r="652" spans="1:12">
      <c r="A652" s="39" t="s">
        <v>4138</v>
      </c>
      <c r="B652" s="13"/>
      <c r="C652" s="13"/>
      <c r="D652" s="142" t="s">
        <v>5286</v>
      </c>
      <c r="E652" s="39" t="s">
        <v>4248</v>
      </c>
      <c r="F652" s="39" t="s">
        <v>5287</v>
      </c>
      <c r="G652" s="39" t="s">
        <v>5288</v>
      </c>
      <c r="H652" s="13"/>
      <c r="I652" s="39" t="s">
        <v>5289</v>
      </c>
      <c r="J652" s="110" t="s">
        <v>5290</v>
      </c>
      <c r="K652" s="39" t="s">
        <v>5291</v>
      </c>
      <c r="L652" s="39" t="s">
        <v>5292</v>
      </c>
    </row>
    <row r="653" spans="1:12">
      <c r="A653" s="39" t="s">
        <v>5293</v>
      </c>
      <c r="B653" s="13"/>
      <c r="C653" s="13"/>
      <c r="D653" s="142" t="s">
        <v>5277</v>
      </c>
      <c r="E653" s="39" t="s">
        <v>5294</v>
      </c>
      <c r="F653" s="39" t="s">
        <v>5295</v>
      </c>
      <c r="G653" s="39" t="s">
        <v>5296</v>
      </c>
      <c r="H653" s="13"/>
      <c r="I653" s="110" t="s">
        <v>5297</v>
      </c>
      <c r="J653" s="39" t="s">
        <v>5298</v>
      </c>
      <c r="K653" s="39" t="s">
        <v>2237</v>
      </c>
      <c r="L653" s="39" t="s">
        <v>5299</v>
      </c>
    </row>
    <row r="654" spans="1:12">
      <c r="A654" s="39" t="s">
        <v>5300</v>
      </c>
      <c r="B654" s="13"/>
      <c r="C654" s="13"/>
      <c r="D654" s="142" t="s">
        <v>5301</v>
      </c>
      <c r="E654" s="39" t="s">
        <v>4326</v>
      </c>
      <c r="F654" s="39" t="s">
        <v>5302</v>
      </c>
      <c r="G654" s="39" t="s">
        <v>1452</v>
      </c>
      <c r="H654" s="13"/>
      <c r="I654" s="39" t="s">
        <v>2424</v>
      </c>
      <c r="J654" s="110" t="s">
        <v>5303</v>
      </c>
      <c r="K654" s="39" t="s">
        <v>5304</v>
      </c>
      <c r="L654" s="39" t="s">
        <v>5305</v>
      </c>
    </row>
    <row r="655" spans="1:12">
      <c r="A655" s="39" t="s">
        <v>5306</v>
      </c>
      <c r="B655" s="13"/>
      <c r="C655" s="13"/>
      <c r="D655" s="142" t="s">
        <v>5232</v>
      </c>
      <c r="E655" s="39" t="s">
        <v>5307</v>
      </c>
      <c r="F655" s="39" t="s">
        <v>3736</v>
      </c>
      <c r="G655" s="39" t="s">
        <v>5308</v>
      </c>
      <c r="H655" s="13"/>
      <c r="I655" s="39" t="s">
        <v>5309</v>
      </c>
      <c r="J655" s="39" t="s">
        <v>5310</v>
      </c>
      <c r="K655" s="39" t="s">
        <v>2265</v>
      </c>
      <c r="L655" s="39" t="s">
        <v>2265</v>
      </c>
    </row>
    <row r="656" spans="1:12">
      <c r="A656" s="39" t="s">
        <v>5311</v>
      </c>
      <c r="B656" s="13"/>
      <c r="C656" s="13"/>
      <c r="D656" s="142" t="s">
        <v>5312</v>
      </c>
      <c r="E656" s="39" t="s">
        <v>4267</v>
      </c>
      <c r="F656" s="39" t="s">
        <v>5313</v>
      </c>
      <c r="G656" s="39" t="s">
        <v>5314</v>
      </c>
      <c r="H656" s="13"/>
      <c r="I656" s="39" t="s">
        <v>5315</v>
      </c>
      <c r="J656" s="39" t="s">
        <v>5301</v>
      </c>
      <c r="K656" s="39" t="s">
        <v>1259</v>
      </c>
      <c r="L656" s="39" t="s">
        <v>5316</v>
      </c>
    </row>
    <row r="657" spans="1:12">
      <c r="A657" s="39" t="s">
        <v>4138</v>
      </c>
      <c r="B657" s="13"/>
      <c r="C657" s="13"/>
      <c r="D657" s="142" t="s">
        <v>5265</v>
      </c>
      <c r="E657" s="39" t="s">
        <v>5317</v>
      </c>
      <c r="F657" s="39" t="s">
        <v>4078</v>
      </c>
      <c r="G657" s="39" t="s">
        <v>5019</v>
      </c>
      <c r="H657" s="13"/>
      <c r="I657" s="39" t="s">
        <v>5318</v>
      </c>
      <c r="J657" s="39" t="s">
        <v>2799</v>
      </c>
      <c r="K657" s="39" t="s">
        <v>2277</v>
      </c>
      <c r="L657" s="39" t="s">
        <v>5319</v>
      </c>
    </row>
    <row r="658" spans="1:12">
      <c r="A658" s="39" t="s">
        <v>5320</v>
      </c>
      <c r="B658" s="13"/>
      <c r="C658" s="13"/>
      <c r="D658" s="142" t="s">
        <v>5321</v>
      </c>
      <c r="E658" s="39" t="s">
        <v>4285</v>
      </c>
      <c r="F658" s="39" t="s">
        <v>1273</v>
      </c>
      <c r="G658" s="39" t="s">
        <v>1452</v>
      </c>
      <c r="H658" s="13"/>
      <c r="I658" s="39" t="s">
        <v>5322</v>
      </c>
      <c r="J658" s="39" t="s">
        <v>4138</v>
      </c>
      <c r="K658" s="39"/>
      <c r="L658" s="39" t="s">
        <v>5323</v>
      </c>
    </row>
    <row r="659" spans="1:12">
      <c r="A659" s="39" t="s">
        <v>5324</v>
      </c>
      <c r="B659" s="13"/>
      <c r="C659" s="13"/>
      <c r="D659" s="142" t="s">
        <v>5277</v>
      </c>
      <c r="E659" s="39" t="s">
        <v>5325</v>
      </c>
      <c r="F659" s="39" t="s">
        <v>5326</v>
      </c>
      <c r="G659" s="39" t="s">
        <v>5327</v>
      </c>
      <c r="H659" s="13"/>
      <c r="I659" s="39" t="s">
        <v>5328</v>
      </c>
      <c r="J659" s="39" t="s">
        <v>4080</v>
      </c>
      <c r="K659" s="39" t="s">
        <v>2335</v>
      </c>
      <c r="L659" s="39" t="s">
        <v>5329</v>
      </c>
    </row>
    <row r="660" spans="1:12">
      <c r="A660" s="39" t="s">
        <v>4138</v>
      </c>
      <c r="B660" s="13"/>
      <c r="C660" s="13"/>
      <c r="D660" s="142" t="s">
        <v>5279</v>
      </c>
      <c r="E660" s="39" t="s">
        <v>4305</v>
      </c>
      <c r="F660" s="39" t="s">
        <v>5330</v>
      </c>
      <c r="G660" s="39" t="s">
        <v>5331</v>
      </c>
      <c r="H660" s="13"/>
      <c r="I660" s="39" t="s">
        <v>5332</v>
      </c>
      <c r="J660" s="39" t="s">
        <v>3371</v>
      </c>
      <c r="K660" s="39" t="s">
        <v>2442</v>
      </c>
      <c r="L660" s="39" t="s">
        <v>5333</v>
      </c>
    </row>
    <row r="661" spans="1:12">
      <c r="A661" s="39" t="s">
        <v>5334</v>
      </c>
      <c r="B661" s="13"/>
      <c r="C661" s="13"/>
      <c r="D661" s="142" t="s">
        <v>5335</v>
      </c>
      <c r="E661" s="39" t="s">
        <v>5336</v>
      </c>
      <c r="F661" s="39" t="s">
        <v>5337</v>
      </c>
      <c r="G661" s="39" t="s">
        <v>5338</v>
      </c>
      <c r="H661" s="13"/>
      <c r="I661" s="39" t="s">
        <v>5339</v>
      </c>
      <c r="J661" s="39" t="s">
        <v>2424</v>
      </c>
      <c r="K661" s="39" t="s">
        <v>5340</v>
      </c>
      <c r="L661" s="39" t="s">
        <v>5341</v>
      </c>
    </row>
    <row r="662" spans="1:12">
      <c r="A662" s="36"/>
      <c r="B662" s="13"/>
      <c r="C662" s="13"/>
      <c r="D662" s="142" t="s">
        <v>5277</v>
      </c>
      <c r="E662" s="39" t="s">
        <v>4343</v>
      </c>
      <c r="F662" s="39" t="s">
        <v>5342</v>
      </c>
      <c r="G662" s="39" t="s">
        <v>5343</v>
      </c>
      <c r="H662" s="13"/>
      <c r="I662" s="39" t="s">
        <v>5344</v>
      </c>
      <c r="J662" s="39" t="s">
        <v>5345</v>
      </c>
      <c r="K662" s="39" t="s">
        <v>2354</v>
      </c>
      <c r="L662" s="39" t="s">
        <v>5346</v>
      </c>
    </row>
    <row r="663" spans="1:12">
      <c r="A663" s="39" t="s">
        <v>4855</v>
      </c>
      <c r="B663" s="13"/>
      <c r="C663" s="13"/>
      <c r="D663" s="142" t="s">
        <v>5301</v>
      </c>
      <c r="E663" s="39" t="s">
        <v>3054</v>
      </c>
      <c r="F663" s="39" t="s">
        <v>5347</v>
      </c>
      <c r="G663" s="39" t="s">
        <v>1452</v>
      </c>
      <c r="H663" s="13"/>
      <c r="I663" s="110" t="s">
        <v>5348</v>
      </c>
      <c r="J663" s="39" t="s">
        <v>5349</v>
      </c>
      <c r="K663" s="39" t="s">
        <v>2357</v>
      </c>
      <c r="L663" s="39" t="s">
        <v>4082</v>
      </c>
    </row>
    <row r="664" spans="1:12">
      <c r="A664" s="39" t="s">
        <v>5350</v>
      </c>
      <c r="B664" s="13"/>
      <c r="C664" s="13"/>
      <c r="D664" s="142" t="s">
        <v>5232</v>
      </c>
      <c r="E664" s="39"/>
      <c r="F664" s="39"/>
      <c r="G664" s="39" t="s">
        <v>5351</v>
      </c>
      <c r="H664" s="13"/>
      <c r="I664" s="39" t="s">
        <v>3354</v>
      </c>
      <c r="J664" s="39" t="s">
        <v>5352</v>
      </c>
      <c r="K664" s="39"/>
      <c r="L664" s="39" t="s">
        <v>5353</v>
      </c>
    </row>
    <row r="665" spans="1:12">
      <c r="A665" s="39" t="s">
        <v>5354</v>
      </c>
      <c r="B665" s="13"/>
      <c r="C665" s="13"/>
      <c r="D665" s="142" t="s">
        <v>5236</v>
      </c>
      <c r="E665" s="39" t="s">
        <v>5355</v>
      </c>
      <c r="F665" s="39" t="s">
        <v>5356</v>
      </c>
      <c r="G665" s="39" t="s">
        <v>5357</v>
      </c>
      <c r="H665" s="13"/>
      <c r="I665" s="39" t="s">
        <v>5358</v>
      </c>
      <c r="J665" s="39" t="s">
        <v>4743</v>
      </c>
      <c r="K665" s="39" t="s">
        <v>2368</v>
      </c>
      <c r="L665" s="39" t="s">
        <v>2424</v>
      </c>
    </row>
    <row r="666" spans="1:12">
      <c r="A666" s="36"/>
      <c r="B666" s="13"/>
      <c r="C666" s="13"/>
      <c r="D666" s="142" t="s">
        <v>5265</v>
      </c>
      <c r="E666" s="39" t="s">
        <v>5359</v>
      </c>
      <c r="F666" s="39" t="s">
        <v>5360</v>
      </c>
      <c r="G666" s="39" t="s">
        <v>5361</v>
      </c>
      <c r="H666" s="13"/>
      <c r="I666" s="110" t="s">
        <v>5362</v>
      </c>
      <c r="J666" s="39" t="s">
        <v>4859</v>
      </c>
      <c r="K666" s="39" t="s">
        <v>2374</v>
      </c>
      <c r="L666" s="39" t="s">
        <v>5363</v>
      </c>
    </row>
    <row r="667" spans="1:12">
      <c r="A667" s="39" t="s">
        <v>5214</v>
      </c>
      <c r="B667" s="13"/>
      <c r="C667" s="13"/>
      <c r="D667" s="142" t="s">
        <v>5364</v>
      </c>
      <c r="E667" s="39" t="s">
        <v>5365</v>
      </c>
      <c r="F667" s="39"/>
      <c r="G667" s="39" t="s">
        <v>5366</v>
      </c>
      <c r="H667" s="13"/>
      <c r="I667" s="39" t="s">
        <v>4859</v>
      </c>
      <c r="J667" s="110" t="s">
        <v>5367</v>
      </c>
      <c r="K667" s="39" t="s">
        <v>5368</v>
      </c>
      <c r="L667" s="39" t="s">
        <v>2357</v>
      </c>
    </row>
    <row r="668" spans="1:12">
      <c r="A668" s="39" t="s">
        <v>5219</v>
      </c>
      <c r="B668" s="13"/>
      <c r="C668" s="13"/>
      <c r="D668" s="142" t="s">
        <v>5277</v>
      </c>
      <c r="E668" s="39"/>
      <c r="F668" s="39" t="s">
        <v>5369</v>
      </c>
      <c r="G668" s="39" t="s">
        <v>1452</v>
      </c>
      <c r="H668" s="13"/>
      <c r="I668" s="39" t="s">
        <v>5370</v>
      </c>
      <c r="J668" s="39" t="s">
        <v>4080</v>
      </c>
      <c r="K668" s="39" t="s">
        <v>2354</v>
      </c>
      <c r="L668" s="39" t="s">
        <v>4941</v>
      </c>
    </row>
    <row r="669" spans="1:12">
      <c r="A669" s="36"/>
      <c r="B669" s="13"/>
      <c r="C669" s="13"/>
      <c r="D669" s="142" t="s">
        <v>5279</v>
      </c>
      <c r="E669" s="39" t="s">
        <v>5371</v>
      </c>
      <c r="F669" s="39" t="s">
        <v>5372</v>
      </c>
      <c r="G669" s="39" t="s">
        <v>5373</v>
      </c>
      <c r="H669" s="13"/>
      <c r="I669" s="39" t="s">
        <v>5374</v>
      </c>
      <c r="J669" s="39" t="s">
        <v>3354</v>
      </c>
      <c r="K669" s="39" t="s">
        <v>2596</v>
      </c>
      <c r="L669" s="39" t="s">
        <v>4946</v>
      </c>
    </row>
    <row r="670" spans="1:12">
      <c r="A670" s="39" t="s">
        <v>4790</v>
      </c>
      <c r="B670" s="13"/>
      <c r="C670" s="13"/>
      <c r="D670" s="142" t="s">
        <v>5375</v>
      </c>
      <c r="E670" s="39" t="s">
        <v>5376</v>
      </c>
      <c r="F670" s="39" t="s">
        <v>5377</v>
      </c>
      <c r="G670" s="39" t="s">
        <v>5378</v>
      </c>
      <c r="H670" s="13"/>
      <c r="I670" s="110" t="s">
        <v>5379</v>
      </c>
      <c r="J670" s="39" t="s">
        <v>5380</v>
      </c>
      <c r="K670" s="39"/>
      <c r="L670" s="39" t="s">
        <v>4408</v>
      </c>
    </row>
    <row r="671" spans="1:12">
      <c r="A671" s="39" t="s">
        <v>4797</v>
      </c>
      <c r="B671" s="13"/>
      <c r="C671" s="13"/>
      <c r="D671" s="142" t="s">
        <v>5277</v>
      </c>
      <c r="E671" s="39" t="s">
        <v>5381</v>
      </c>
      <c r="F671" s="39" t="s">
        <v>5382</v>
      </c>
      <c r="G671" s="39" t="s">
        <v>5383</v>
      </c>
      <c r="H671" s="13"/>
      <c r="I671" s="39" t="s">
        <v>4140</v>
      </c>
      <c r="J671" s="39" t="s">
        <v>5384</v>
      </c>
      <c r="K671" s="39" t="s">
        <v>5385</v>
      </c>
      <c r="L671" s="39" t="s">
        <v>4415</v>
      </c>
    </row>
    <row r="672" spans="1:12">
      <c r="A672" s="39" t="s">
        <v>5241</v>
      </c>
      <c r="B672" s="13"/>
      <c r="C672" s="13"/>
      <c r="D672" s="142" t="s">
        <v>5301</v>
      </c>
      <c r="E672" s="39" t="s">
        <v>5386</v>
      </c>
      <c r="F672" s="39" t="s">
        <v>2596</v>
      </c>
      <c r="G672" s="39" t="s">
        <v>5387</v>
      </c>
      <c r="H672" s="13"/>
      <c r="I672" s="39" t="s">
        <v>5388</v>
      </c>
      <c r="J672" s="39" t="s">
        <v>5389</v>
      </c>
      <c r="K672" s="39" t="s">
        <v>5390</v>
      </c>
      <c r="L672" s="39" t="s">
        <v>4421</v>
      </c>
    </row>
    <row r="673" spans="1:12">
      <c r="A673" s="39" t="s">
        <v>5391</v>
      </c>
      <c r="B673" s="13"/>
      <c r="C673" s="13"/>
      <c r="D673" s="142" t="s">
        <v>5232</v>
      </c>
      <c r="E673" s="39" t="s">
        <v>5392</v>
      </c>
      <c r="F673" s="39" t="s">
        <v>1273</v>
      </c>
      <c r="G673" s="39" t="s">
        <v>1452</v>
      </c>
      <c r="H673" s="13"/>
      <c r="I673" s="110" t="s">
        <v>5393</v>
      </c>
      <c r="J673" s="39" t="s">
        <v>5394</v>
      </c>
      <c r="K673" s="39" t="s">
        <v>5395</v>
      </c>
      <c r="L673" s="39" t="s">
        <v>4426</v>
      </c>
    </row>
    <row r="674" spans="1:12">
      <c r="A674" s="39" t="s">
        <v>4063</v>
      </c>
      <c r="B674" s="13"/>
      <c r="C674" s="13"/>
      <c r="D674" s="142" t="s">
        <v>5396</v>
      </c>
      <c r="E674" s="39" t="s">
        <v>4078</v>
      </c>
      <c r="F674" s="39" t="s">
        <v>5397</v>
      </c>
      <c r="G674" s="39" t="s">
        <v>5398</v>
      </c>
      <c r="H674" s="13"/>
      <c r="I674" s="39" t="s">
        <v>3747</v>
      </c>
      <c r="J674" s="39" t="s">
        <v>5399</v>
      </c>
      <c r="K674" s="39" t="s">
        <v>5400</v>
      </c>
      <c r="L674" s="39" t="s">
        <v>5401</v>
      </c>
    </row>
    <row r="675" spans="1:12">
      <c r="A675" s="39" t="s">
        <v>5255</v>
      </c>
      <c r="B675" s="13"/>
      <c r="C675" s="13"/>
      <c r="D675" s="142" t="s">
        <v>5263</v>
      </c>
      <c r="E675" s="39"/>
      <c r="F675" s="39" t="s">
        <v>5402</v>
      </c>
      <c r="G675" s="39" t="s">
        <v>5403</v>
      </c>
      <c r="H675" s="13"/>
      <c r="I675" s="110" t="s">
        <v>5404</v>
      </c>
      <c r="J675" s="39" t="s">
        <v>5405</v>
      </c>
      <c r="K675" s="39" t="s">
        <v>3102</v>
      </c>
      <c r="L675" s="39" t="s">
        <v>4441</v>
      </c>
    </row>
    <row r="676" spans="1:12">
      <c r="A676" s="39" t="s">
        <v>5391</v>
      </c>
      <c r="B676" s="13"/>
      <c r="C676" s="13"/>
      <c r="D676" s="142" t="s">
        <v>5265</v>
      </c>
      <c r="E676" s="39" t="s">
        <v>5406</v>
      </c>
      <c r="F676" s="39" t="s">
        <v>5407</v>
      </c>
      <c r="G676" s="39" t="s">
        <v>5366</v>
      </c>
      <c r="H676" s="13"/>
      <c r="I676" s="39" t="s">
        <v>2799</v>
      </c>
      <c r="J676" s="39" t="s">
        <v>5408</v>
      </c>
      <c r="K676" s="39" t="s">
        <v>3109</v>
      </c>
      <c r="L676" s="39" t="s">
        <v>4447</v>
      </c>
    </row>
    <row r="677" spans="1:12">
      <c r="A677" s="39" t="s">
        <v>4085</v>
      </c>
      <c r="B677" s="13"/>
      <c r="C677" s="13"/>
      <c r="D677" s="142" t="s">
        <v>5409</v>
      </c>
      <c r="E677" s="39" t="s">
        <v>5410</v>
      </c>
      <c r="F677" s="39" t="s">
        <v>5411</v>
      </c>
      <c r="G677" s="39" t="s">
        <v>1452</v>
      </c>
      <c r="H677" s="13"/>
      <c r="I677" s="39" t="s">
        <v>4138</v>
      </c>
      <c r="J677" s="39" t="s">
        <v>5412</v>
      </c>
      <c r="K677" s="39" t="s">
        <v>3116</v>
      </c>
      <c r="L677" s="39" t="s">
        <v>3221</v>
      </c>
    </row>
    <row r="678" spans="1:12">
      <c r="A678" s="39" t="s">
        <v>4140</v>
      </c>
      <c r="B678" s="13"/>
      <c r="C678" s="13"/>
      <c r="D678" s="142" t="s">
        <v>5277</v>
      </c>
      <c r="E678" s="39"/>
      <c r="F678" s="39" t="s">
        <v>5413</v>
      </c>
      <c r="G678" s="39" t="s">
        <v>5414</v>
      </c>
      <c r="H678" s="13"/>
      <c r="I678" s="39" t="s">
        <v>4080</v>
      </c>
      <c r="J678" s="39" t="s">
        <v>5415</v>
      </c>
      <c r="K678" s="39"/>
      <c r="L678" s="39" t="s">
        <v>4461</v>
      </c>
    </row>
    <row r="679" spans="1:12">
      <c r="A679" s="39" t="s">
        <v>5276</v>
      </c>
      <c r="B679" s="13"/>
      <c r="C679" s="13"/>
      <c r="D679" s="142" t="s">
        <v>5279</v>
      </c>
      <c r="E679" s="39" t="s">
        <v>5416</v>
      </c>
      <c r="F679" s="39" t="s">
        <v>2596</v>
      </c>
      <c r="G679" s="39" t="s">
        <v>5378</v>
      </c>
      <c r="H679" s="13"/>
      <c r="I679" s="39" t="s">
        <v>3371</v>
      </c>
      <c r="J679" s="110" t="s">
        <v>5417</v>
      </c>
      <c r="K679" s="39" t="s">
        <v>2474</v>
      </c>
      <c r="L679" s="39" t="s">
        <v>4467</v>
      </c>
    </row>
    <row r="680" spans="1:12">
      <c r="A680" s="39" t="s">
        <v>5418</v>
      </c>
      <c r="B680" s="13"/>
      <c r="C680" s="13"/>
      <c r="D680" s="142" t="s">
        <v>5419</v>
      </c>
      <c r="E680" s="39" t="s">
        <v>5420</v>
      </c>
      <c r="F680" s="39"/>
      <c r="G680" s="39" t="s">
        <v>5421</v>
      </c>
      <c r="H680" s="13"/>
      <c r="I680" s="39" t="s">
        <v>2357</v>
      </c>
      <c r="J680" s="39" t="s">
        <v>4140</v>
      </c>
      <c r="K680" s="39" t="s">
        <v>2265</v>
      </c>
      <c r="L680" s="39" t="s">
        <v>4474</v>
      </c>
    </row>
    <row r="681" spans="1:12">
      <c r="A681" s="39" t="s">
        <v>4138</v>
      </c>
      <c r="B681" s="13"/>
      <c r="C681" s="13"/>
      <c r="D681" s="142" t="s">
        <v>5277</v>
      </c>
      <c r="E681" s="39" t="s">
        <v>5302</v>
      </c>
      <c r="F681" s="39" t="s">
        <v>5422</v>
      </c>
      <c r="G681" s="39" t="s">
        <v>5423</v>
      </c>
      <c r="H681" s="13"/>
      <c r="I681" s="39" t="s">
        <v>5424</v>
      </c>
      <c r="J681" s="39" t="s">
        <v>5425</v>
      </c>
      <c r="K681" s="39" t="s">
        <v>1657</v>
      </c>
      <c r="L681" s="39" t="s">
        <v>4467</v>
      </c>
    </row>
    <row r="682" spans="1:12">
      <c r="A682" s="36"/>
      <c r="B682" s="13"/>
      <c r="C682" s="13"/>
      <c r="D682" s="142" t="s">
        <v>5301</v>
      </c>
      <c r="E682" s="39" t="s">
        <v>5386</v>
      </c>
      <c r="F682" s="39" t="s">
        <v>5402</v>
      </c>
      <c r="G682" s="39" t="s">
        <v>1452</v>
      </c>
      <c r="H682" s="13"/>
      <c r="I682" s="39" t="s">
        <v>5426</v>
      </c>
      <c r="J682" s="39" t="s">
        <v>5427</v>
      </c>
      <c r="K682" s="39" t="s">
        <v>5428</v>
      </c>
      <c r="L682" s="39" t="s">
        <v>4491</v>
      </c>
    </row>
    <row r="683" spans="1:12">
      <c r="A683" s="39" t="s">
        <v>5429</v>
      </c>
      <c r="B683" s="13"/>
      <c r="C683" s="13"/>
      <c r="D683" s="142" t="s">
        <v>5232</v>
      </c>
      <c r="E683" s="39" t="s">
        <v>5430</v>
      </c>
      <c r="F683" s="39" t="s">
        <v>5431</v>
      </c>
      <c r="G683" s="39" t="s">
        <v>5432</v>
      </c>
      <c r="H683" s="13"/>
      <c r="I683" s="39" t="s">
        <v>5433</v>
      </c>
      <c r="J683" s="110" t="s">
        <v>5434</v>
      </c>
      <c r="K683" s="39"/>
      <c r="L683" s="39" t="s">
        <v>5435</v>
      </c>
    </row>
    <row r="684" spans="1:12">
      <c r="A684" s="39" t="s">
        <v>5436</v>
      </c>
      <c r="B684" s="13"/>
      <c r="C684" s="13"/>
      <c r="D684" s="142" t="s">
        <v>5312</v>
      </c>
      <c r="E684" s="39" t="s">
        <v>4078</v>
      </c>
      <c r="F684" s="39" t="s">
        <v>5437</v>
      </c>
      <c r="G684" s="39" t="s">
        <v>5438</v>
      </c>
      <c r="H684" s="13"/>
      <c r="I684" s="39" t="s">
        <v>5439</v>
      </c>
      <c r="J684" s="39" t="s">
        <v>3747</v>
      </c>
      <c r="K684" s="39" t="s">
        <v>2680</v>
      </c>
      <c r="L684" s="39" t="s">
        <v>4508</v>
      </c>
    </row>
    <row r="685" spans="1:12">
      <c r="A685" s="39" t="s">
        <v>5440</v>
      </c>
      <c r="B685" s="13"/>
      <c r="C685" s="13"/>
      <c r="D685" s="142" t="s">
        <v>5265</v>
      </c>
      <c r="E685" s="39"/>
      <c r="F685" s="39" t="s">
        <v>5413</v>
      </c>
      <c r="G685" s="39" t="s">
        <v>4263</v>
      </c>
      <c r="H685" s="13"/>
      <c r="I685" s="39"/>
      <c r="J685" s="39" t="s">
        <v>5441</v>
      </c>
      <c r="K685" s="39" t="s">
        <v>2442</v>
      </c>
      <c r="L685" s="39" t="s">
        <v>5442</v>
      </c>
    </row>
    <row r="686" spans="1:12">
      <c r="A686" s="39" t="s">
        <v>5443</v>
      </c>
      <c r="B686" s="13"/>
      <c r="C686" s="13"/>
      <c r="D686" s="142" t="s">
        <v>5444</v>
      </c>
      <c r="E686" s="39" t="s">
        <v>5445</v>
      </c>
      <c r="F686" s="39" t="s">
        <v>2596</v>
      </c>
      <c r="G686" s="39" t="s">
        <v>5446</v>
      </c>
      <c r="H686" s="13"/>
      <c r="I686" s="39" t="s">
        <v>5447</v>
      </c>
      <c r="J686" s="39" t="s">
        <v>5448</v>
      </c>
      <c r="K686" s="39" t="s">
        <v>5449</v>
      </c>
      <c r="L686" s="39" t="s">
        <v>3897</v>
      </c>
    </row>
    <row r="687" spans="1:12">
      <c r="A687" s="39" t="s">
        <v>5450</v>
      </c>
      <c r="B687" s="13"/>
      <c r="C687" s="13"/>
      <c r="D687" s="142" t="s">
        <v>5277</v>
      </c>
      <c r="E687" s="39" t="s">
        <v>5451</v>
      </c>
      <c r="F687" s="39"/>
      <c r="G687" s="39" t="s">
        <v>3281</v>
      </c>
      <c r="H687" s="13"/>
      <c r="I687" s="39" t="s">
        <v>5452</v>
      </c>
      <c r="J687" s="39" t="s">
        <v>5453</v>
      </c>
      <c r="K687" s="39" t="s">
        <v>2354</v>
      </c>
      <c r="L687" s="39" t="s">
        <v>5271</v>
      </c>
    </row>
    <row r="688" spans="1:12">
      <c r="A688" s="39" t="s">
        <v>5454</v>
      </c>
      <c r="B688" s="13"/>
      <c r="C688" s="13"/>
      <c r="D688" s="142" t="s">
        <v>5279</v>
      </c>
      <c r="E688" s="39" t="s">
        <v>5455</v>
      </c>
      <c r="F688" s="39" t="s">
        <v>5456</v>
      </c>
      <c r="G688" s="39" t="s">
        <v>1452</v>
      </c>
      <c r="H688" s="13"/>
      <c r="I688" s="39" t="s">
        <v>5457</v>
      </c>
      <c r="J688" s="39" t="s">
        <v>5458</v>
      </c>
      <c r="K688" s="39" t="s">
        <v>2357</v>
      </c>
      <c r="L688" s="39" t="s">
        <v>5299</v>
      </c>
    </row>
    <row r="689" spans="1:12">
      <c r="A689" s="39" t="s">
        <v>5459</v>
      </c>
      <c r="B689" s="13"/>
      <c r="C689" s="13"/>
      <c r="D689" s="142" t="s">
        <v>5460</v>
      </c>
      <c r="E689" s="39" t="s">
        <v>5461</v>
      </c>
      <c r="F689" s="39" t="s">
        <v>5402</v>
      </c>
      <c r="G689" s="39" t="s">
        <v>5462</v>
      </c>
      <c r="H689" s="13"/>
      <c r="I689" s="39" t="s">
        <v>5463</v>
      </c>
      <c r="J689" s="39" t="s">
        <v>5464</v>
      </c>
      <c r="K689" s="39"/>
      <c r="L689" s="39" t="s">
        <v>5465</v>
      </c>
    </row>
    <row r="690" spans="1:12">
      <c r="A690" s="39" t="s">
        <v>5466</v>
      </c>
      <c r="B690" s="13"/>
      <c r="C690" s="13"/>
      <c r="D690" s="142" t="s">
        <v>5277</v>
      </c>
      <c r="E690" s="39" t="s">
        <v>5467</v>
      </c>
      <c r="F690" s="39" t="s">
        <v>5431</v>
      </c>
      <c r="G690" s="39" t="s">
        <v>5468</v>
      </c>
      <c r="H690" s="13"/>
      <c r="I690" s="39" t="s">
        <v>5469</v>
      </c>
      <c r="J690" s="39" t="s">
        <v>5470</v>
      </c>
      <c r="K690" s="39" t="s">
        <v>2503</v>
      </c>
      <c r="L690" s="39" t="s">
        <v>2265</v>
      </c>
    </row>
    <row r="691" spans="1:12">
      <c r="A691" s="39" t="s">
        <v>5471</v>
      </c>
      <c r="B691" s="13"/>
      <c r="C691" s="13"/>
      <c r="D691" s="142" t="s">
        <v>5301</v>
      </c>
      <c r="E691" s="110" t="s">
        <v>5472</v>
      </c>
      <c r="F691" s="39" t="s">
        <v>5473</v>
      </c>
      <c r="G691" s="39" t="s">
        <v>5474</v>
      </c>
      <c r="H691" s="13"/>
      <c r="I691" s="39" t="s">
        <v>5475</v>
      </c>
      <c r="J691" s="110" t="s">
        <v>5476</v>
      </c>
      <c r="K691" s="39" t="s">
        <v>2374</v>
      </c>
      <c r="L691" s="39" t="s">
        <v>5477</v>
      </c>
    </row>
    <row r="692" spans="1:12">
      <c r="A692" s="39" t="s">
        <v>5478</v>
      </c>
      <c r="B692" s="13"/>
      <c r="C692" s="13"/>
      <c r="D692" s="142" t="s">
        <v>5232</v>
      </c>
      <c r="E692" s="39" t="s">
        <v>2424</v>
      </c>
      <c r="F692" s="39" t="s">
        <v>5413</v>
      </c>
      <c r="G692" s="39" t="s">
        <v>1452</v>
      </c>
      <c r="H692" s="13"/>
      <c r="I692" s="39" t="s">
        <v>5479</v>
      </c>
      <c r="J692" s="39" t="s">
        <v>5279</v>
      </c>
      <c r="K692" s="39" t="s">
        <v>5480</v>
      </c>
      <c r="L692" s="39" t="s">
        <v>5481</v>
      </c>
    </row>
    <row r="693" spans="1:12">
      <c r="A693" s="39" t="s">
        <v>4232</v>
      </c>
      <c r="B693" s="13"/>
      <c r="C693" s="13"/>
      <c r="D693" s="142" t="s">
        <v>5236</v>
      </c>
      <c r="E693" s="39" t="s">
        <v>5482</v>
      </c>
      <c r="F693" s="39" t="s">
        <v>2596</v>
      </c>
      <c r="G693" s="39" t="s">
        <v>5483</v>
      </c>
      <c r="H693" s="13"/>
      <c r="I693" s="39" t="s">
        <v>5484</v>
      </c>
      <c r="J693" s="110" t="s">
        <v>5485</v>
      </c>
      <c r="K693" s="39" t="s">
        <v>2354</v>
      </c>
      <c r="L693" s="39" t="s">
        <v>5486</v>
      </c>
    </row>
    <row r="694" spans="1:12">
      <c r="A694" s="36"/>
      <c r="B694" s="13"/>
      <c r="C694" s="13"/>
      <c r="D694" s="142" t="s">
        <v>5265</v>
      </c>
      <c r="E694" s="110" t="s">
        <v>5487</v>
      </c>
      <c r="F694" s="39"/>
      <c r="G694" s="39" t="s">
        <v>5488</v>
      </c>
      <c r="H694" s="13"/>
      <c r="I694" s="39" t="s">
        <v>5489</v>
      </c>
      <c r="J694" s="39" t="s">
        <v>5301</v>
      </c>
      <c r="K694" s="39" t="s">
        <v>2596</v>
      </c>
      <c r="L694" s="39" t="s">
        <v>5490</v>
      </c>
    </row>
    <row r="695" spans="1:12">
      <c r="A695" s="39" t="s">
        <v>4999</v>
      </c>
      <c r="B695" s="13"/>
      <c r="C695" s="13"/>
      <c r="D695" s="142" t="s">
        <v>5491</v>
      </c>
      <c r="E695" s="39" t="s">
        <v>3273</v>
      </c>
      <c r="F695" s="39" t="s">
        <v>5492</v>
      </c>
      <c r="G695" s="39" t="s">
        <v>5493</v>
      </c>
      <c r="H695" s="13"/>
      <c r="I695" s="39" t="s">
        <v>5494</v>
      </c>
      <c r="J695" s="39" t="s">
        <v>2799</v>
      </c>
      <c r="K695" s="39"/>
      <c r="L695" s="39" t="s">
        <v>5495</v>
      </c>
    </row>
    <row r="696" spans="1:12">
      <c r="A696" s="39" t="s">
        <v>5214</v>
      </c>
      <c r="B696" s="13"/>
      <c r="C696" s="13"/>
      <c r="D696" s="142" t="s">
        <v>5277</v>
      </c>
      <c r="E696" s="39" t="s">
        <v>5496</v>
      </c>
      <c r="F696" s="39" t="s">
        <v>5402</v>
      </c>
      <c r="G696" s="39" t="s">
        <v>1452</v>
      </c>
      <c r="H696" s="13"/>
      <c r="I696" s="39" t="s">
        <v>5497</v>
      </c>
      <c r="J696" s="39" t="s">
        <v>4138</v>
      </c>
      <c r="K696" s="39" t="s">
        <v>5498</v>
      </c>
      <c r="L696" s="39" t="s">
        <v>5499</v>
      </c>
    </row>
    <row r="697" spans="1:12">
      <c r="A697" s="39" t="s">
        <v>5219</v>
      </c>
      <c r="B697" s="13"/>
      <c r="C697" s="13"/>
      <c r="D697" s="142" t="s">
        <v>5279</v>
      </c>
      <c r="E697" s="110" t="s">
        <v>5500</v>
      </c>
      <c r="F697" s="39" t="s">
        <v>5431</v>
      </c>
      <c r="G697" s="39" t="s">
        <v>5501</v>
      </c>
      <c r="H697" s="13"/>
      <c r="I697" s="39" t="s">
        <v>5502</v>
      </c>
      <c r="J697" s="39" t="s">
        <v>4859</v>
      </c>
      <c r="K697" s="39" t="s">
        <v>2265</v>
      </c>
      <c r="L697" s="39" t="s">
        <v>4082</v>
      </c>
    </row>
    <row r="698" spans="1:12">
      <c r="A698" s="36"/>
      <c r="B698" s="13"/>
      <c r="C698" s="13"/>
      <c r="D698" s="142" t="s">
        <v>5503</v>
      </c>
      <c r="E698" s="39" t="s">
        <v>4138</v>
      </c>
      <c r="F698" s="39" t="s">
        <v>5504</v>
      </c>
      <c r="G698" s="39" t="s">
        <v>5505</v>
      </c>
      <c r="H698" s="13"/>
      <c r="I698" s="39" t="s">
        <v>5506</v>
      </c>
      <c r="J698" s="39" t="s">
        <v>5507</v>
      </c>
      <c r="K698" s="39" t="s">
        <v>1259</v>
      </c>
      <c r="L698" s="39" t="s">
        <v>5508</v>
      </c>
    </row>
    <row r="699" spans="1:12">
      <c r="A699" s="39" t="s">
        <v>4790</v>
      </c>
      <c r="B699" s="13"/>
      <c r="C699" s="13"/>
      <c r="D699" s="142" t="s">
        <v>5277</v>
      </c>
      <c r="E699" s="39" t="s">
        <v>2626</v>
      </c>
      <c r="F699" s="39" t="s">
        <v>5413</v>
      </c>
      <c r="G699" s="39" t="s">
        <v>1452</v>
      </c>
      <c r="H699" s="13"/>
      <c r="I699" s="39" t="s">
        <v>5509</v>
      </c>
      <c r="J699" s="110" t="s">
        <v>5510</v>
      </c>
      <c r="K699" s="39" t="s">
        <v>5511</v>
      </c>
      <c r="L699" s="39" t="s">
        <v>2424</v>
      </c>
    </row>
    <row r="700" spans="1:12">
      <c r="A700" s="39" t="s">
        <v>4797</v>
      </c>
      <c r="B700" s="13"/>
      <c r="C700" s="13"/>
      <c r="D700" s="142" t="s">
        <v>5301</v>
      </c>
      <c r="E700" s="39" t="s">
        <v>2596</v>
      </c>
      <c r="F700" s="39" t="s">
        <v>2596</v>
      </c>
      <c r="G700" s="39" t="s">
        <v>5512</v>
      </c>
      <c r="H700" s="13"/>
      <c r="I700" s="39"/>
      <c r="J700" s="39" t="s">
        <v>4140</v>
      </c>
      <c r="K700" s="39" t="s">
        <v>5513</v>
      </c>
      <c r="L700" s="39" t="s">
        <v>5514</v>
      </c>
    </row>
    <row r="701" spans="1:12">
      <c r="A701" s="39" t="s">
        <v>5515</v>
      </c>
      <c r="B701" s="13"/>
      <c r="C701" s="13"/>
      <c r="D701" s="142" t="s">
        <v>5232</v>
      </c>
      <c r="E701" s="39"/>
      <c r="F701" s="39"/>
      <c r="G701" s="39" t="s">
        <v>5366</v>
      </c>
      <c r="H701" s="13"/>
      <c r="I701" s="39" t="s">
        <v>5516</v>
      </c>
      <c r="J701" s="39" t="s">
        <v>5517</v>
      </c>
      <c r="K701" s="39" t="s">
        <v>2868</v>
      </c>
      <c r="L701" s="39" t="s">
        <v>2357</v>
      </c>
    </row>
    <row r="702" spans="1:12">
      <c r="A702" s="39" t="s">
        <v>4063</v>
      </c>
      <c r="B702" s="13"/>
      <c r="C702" s="13"/>
      <c r="D702" s="142" t="s">
        <v>2596</v>
      </c>
      <c r="E702" s="39" t="s">
        <v>5518</v>
      </c>
      <c r="F702" s="39" t="s">
        <v>5519</v>
      </c>
      <c r="G702" s="39" t="s">
        <v>1452</v>
      </c>
      <c r="H702" s="13"/>
      <c r="I702" s="39" t="s">
        <v>5520</v>
      </c>
      <c r="J702" s="39" t="s">
        <v>5521</v>
      </c>
      <c r="K702" s="39" t="s">
        <v>5522</v>
      </c>
      <c r="L702" s="39" t="s">
        <v>4941</v>
      </c>
    </row>
    <row r="703" spans="1:12">
      <c r="A703" s="39" t="s">
        <v>5523</v>
      </c>
      <c r="B703" s="13"/>
      <c r="C703" s="13"/>
      <c r="D703" s="39" t="s">
        <v>5524</v>
      </c>
      <c r="E703" s="39" t="s">
        <v>2265</v>
      </c>
      <c r="F703" s="39" t="s">
        <v>5402</v>
      </c>
      <c r="G703" s="39" t="s">
        <v>5525</v>
      </c>
      <c r="H703" s="13"/>
      <c r="I703" s="39" t="s">
        <v>5526</v>
      </c>
      <c r="J703" s="39" t="s">
        <v>5527</v>
      </c>
      <c r="K703" s="39" t="s">
        <v>1273</v>
      </c>
      <c r="L703" s="39" t="s">
        <v>4946</v>
      </c>
    </row>
    <row r="704" spans="1:12">
      <c r="A704" s="39" t="s">
        <v>4085</v>
      </c>
      <c r="B704" s="13"/>
      <c r="C704" s="13"/>
      <c r="D704" s="39" t="s">
        <v>2265</v>
      </c>
      <c r="E704" s="39"/>
      <c r="F704" s="39" t="s">
        <v>5431</v>
      </c>
      <c r="G704" s="39" t="s">
        <v>5378</v>
      </c>
      <c r="H704" s="13"/>
      <c r="I704" s="39" t="s">
        <v>5528</v>
      </c>
      <c r="J704" s="39" t="s">
        <v>3827</v>
      </c>
      <c r="K704" s="39" t="s">
        <v>2442</v>
      </c>
      <c r="L704" s="39" t="s">
        <v>4408</v>
      </c>
    </row>
    <row r="705" spans="1:12">
      <c r="A705" s="39" t="s">
        <v>4140</v>
      </c>
      <c r="B705" s="13"/>
      <c r="C705" s="13"/>
      <c r="D705" s="39" t="s">
        <v>1548</v>
      </c>
      <c r="E705" s="39"/>
      <c r="F705" s="39" t="s">
        <v>5529</v>
      </c>
      <c r="G705" s="39" t="s">
        <v>5530</v>
      </c>
      <c r="H705" s="13"/>
      <c r="I705" s="39" t="s">
        <v>5531</v>
      </c>
      <c r="J705" s="39" t="s">
        <v>5279</v>
      </c>
      <c r="K705" s="39" t="s">
        <v>5532</v>
      </c>
      <c r="L705" s="39" t="s">
        <v>4415</v>
      </c>
    </row>
    <row r="706" spans="1:12">
      <c r="A706" s="39" t="s">
        <v>5533</v>
      </c>
      <c r="B706" s="13"/>
      <c r="C706" s="13"/>
      <c r="D706" s="39" t="s">
        <v>1548</v>
      </c>
      <c r="E706" s="39" t="s">
        <v>5534</v>
      </c>
      <c r="F706" s="39" t="s">
        <v>5413</v>
      </c>
      <c r="G706" s="39" t="s">
        <v>5535</v>
      </c>
      <c r="H706" s="13"/>
      <c r="I706" s="39" t="s">
        <v>5536</v>
      </c>
      <c r="J706" s="110" t="s">
        <v>5537</v>
      </c>
      <c r="K706" s="39" t="s">
        <v>2354</v>
      </c>
      <c r="L706" s="39" t="s">
        <v>4421</v>
      </c>
    </row>
    <row r="707" spans="1:12">
      <c r="A707" s="39" t="s">
        <v>4138</v>
      </c>
      <c r="B707" s="13"/>
      <c r="C707" s="13"/>
      <c r="D707" s="39" t="s">
        <v>1420</v>
      </c>
      <c r="E707" s="39" t="s">
        <v>1280</v>
      </c>
      <c r="F707" s="39" t="s">
        <v>2596</v>
      </c>
      <c r="G707" s="39" t="s">
        <v>1452</v>
      </c>
      <c r="H707" s="13"/>
      <c r="I707" s="39" t="s">
        <v>5538</v>
      </c>
      <c r="J707" s="39" t="s">
        <v>5301</v>
      </c>
      <c r="K707" s="39" t="s">
        <v>2357</v>
      </c>
      <c r="L707" s="39" t="s">
        <v>4426</v>
      </c>
    </row>
    <row r="708" spans="1:12">
      <c r="A708" s="36"/>
      <c r="B708" s="13"/>
      <c r="C708" s="13"/>
      <c r="D708" s="39" t="s">
        <v>5539</v>
      </c>
      <c r="E708" s="39" t="s">
        <v>5540</v>
      </c>
      <c r="F708" s="39"/>
      <c r="G708" s="39" t="s">
        <v>5541</v>
      </c>
      <c r="H708" s="13"/>
      <c r="I708" s="39" t="s">
        <v>5542</v>
      </c>
      <c r="J708" s="39" t="s">
        <v>3747</v>
      </c>
      <c r="K708" s="39" t="s">
        <v>5543</v>
      </c>
      <c r="L708" s="39" t="s">
        <v>5544</v>
      </c>
    </row>
    <row r="709" spans="1:12">
      <c r="A709" s="39" t="s">
        <v>5545</v>
      </c>
      <c r="B709" s="13"/>
      <c r="C709" s="13"/>
      <c r="D709" s="39" t="s">
        <v>1413</v>
      </c>
      <c r="E709" s="39" t="s">
        <v>1280</v>
      </c>
      <c r="F709" s="39" t="s">
        <v>5546</v>
      </c>
      <c r="G709" s="39" t="s">
        <v>5547</v>
      </c>
      <c r="H709" s="13"/>
      <c r="I709" s="39" t="s">
        <v>5548</v>
      </c>
      <c r="J709" s="39" t="s">
        <v>5549</v>
      </c>
      <c r="K709" s="39" t="s">
        <v>2237</v>
      </c>
      <c r="L709" s="39" t="s">
        <v>4441</v>
      </c>
    </row>
    <row r="710" spans="1:12">
      <c r="A710" s="39" t="s">
        <v>5550</v>
      </c>
      <c r="B710" s="13"/>
      <c r="C710" s="13"/>
      <c r="D710" s="39" t="s">
        <v>5551</v>
      </c>
      <c r="E710" s="39" t="s">
        <v>3888</v>
      </c>
      <c r="F710" s="39" t="s">
        <v>5402</v>
      </c>
      <c r="G710" s="39" t="s">
        <v>3281</v>
      </c>
      <c r="H710" s="13"/>
      <c r="I710" s="39" t="s">
        <v>5552</v>
      </c>
      <c r="J710" s="39" t="s">
        <v>5553</v>
      </c>
      <c r="K710" s="39" t="s">
        <v>5554</v>
      </c>
      <c r="L710" s="39" t="s">
        <v>4447</v>
      </c>
    </row>
    <row r="711" spans="1:12">
      <c r="A711" s="39" t="s">
        <v>5555</v>
      </c>
      <c r="B711" s="13"/>
      <c r="C711" s="13"/>
      <c r="D711" s="39" t="s">
        <v>1413</v>
      </c>
      <c r="E711" s="39" t="s">
        <v>5556</v>
      </c>
      <c r="F711" s="39" t="s">
        <v>5557</v>
      </c>
      <c r="G711" s="39" t="s">
        <v>1452</v>
      </c>
      <c r="H711" s="13"/>
      <c r="I711" s="39" t="s">
        <v>5558</v>
      </c>
      <c r="J711" s="39" t="s">
        <v>2799</v>
      </c>
      <c r="K711" s="39" t="s">
        <v>2265</v>
      </c>
      <c r="L711" s="39" t="s">
        <v>3221</v>
      </c>
    </row>
    <row r="712" spans="1:12">
      <c r="A712" s="39" t="s">
        <v>5559</v>
      </c>
      <c r="B712" s="13"/>
      <c r="C712" s="13"/>
      <c r="D712" s="39" t="s">
        <v>5560</v>
      </c>
      <c r="E712" s="39" t="s">
        <v>5561</v>
      </c>
      <c r="F712" s="39" t="s">
        <v>5562</v>
      </c>
      <c r="G712" s="39" t="s">
        <v>1274</v>
      </c>
      <c r="H712" s="13"/>
      <c r="I712" s="39" t="s">
        <v>5563</v>
      </c>
      <c r="J712" s="39" t="s">
        <v>4138</v>
      </c>
      <c r="K712" s="39" t="s">
        <v>1259</v>
      </c>
      <c r="L712" s="39" t="s">
        <v>4461</v>
      </c>
    </row>
    <row r="713" spans="1:12">
      <c r="A713" s="39" t="s">
        <v>5564</v>
      </c>
      <c r="B713" s="13"/>
      <c r="C713" s="13"/>
      <c r="D713" s="39" t="s">
        <v>5565</v>
      </c>
      <c r="E713" s="39" t="s">
        <v>1273</v>
      </c>
      <c r="F713" s="39" t="s">
        <v>5413</v>
      </c>
      <c r="G713" s="39" t="s">
        <v>5566</v>
      </c>
      <c r="H713" s="13"/>
      <c r="I713" s="39" t="s">
        <v>5548</v>
      </c>
      <c r="J713" s="39" t="s">
        <v>4080</v>
      </c>
      <c r="K713" s="39" t="s">
        <v>1259</v>
      </c>
      <c r="L713" s="39" t="s">
        <v>4467</v>
      </c>
    </row>
    <row r="714" spans="1:12">
      <c r="A714" s="39" t="s">
        <v>4232</v>
      </c>
      <c r="B714" s="13"/>
      <c r="C714" s="13"/>
      <c r="D714" s="39" t="s">
        <v>5567</v>
      </c>
      <c r="E714" s="39" t="s">
        <v>5568</v>
      </c>
      <c r="F714" s="39" t="s">
        <v>2596</v>
      </c>
      <c r="G714" s="39" t="s">
        <v>1452</v>
      </c>
      <c r="H714" s="13"/>
      <c r="I714" s="39" t="s">
        <v>5569</v>
      </c>
      <c r="J714" s="39" t="s">
        <v>3371</v>
      </c>
      <c r="K714" s="39" t="s">
        <v>1259</v>
      </c>
      <c r="L714" s="39" t="s">
        <v>4474</v>
      </c>
    </row>
    <row r="715" spans="1:12">
      <c r="A715" s="36"/>
      <c r="B715" s="13"/>
      <c r="C715" s="13"/>
      <c r="D715" s="39" t="s">
        <v>5570</v>
      </c>
      <c r="E715" s="39" t="s">
        <v>5571</v>
      </c>
      <c r="F715" s="39"/>
      <c r="G715" s="39" t="s">
        <v>5572</v>
      </c>
      <c r="H715" s="13"/>
      <c r="I715" s="39" t="s">
        <v>5558</v>
      </c>
      <c r="J715" s="39" t="s">
        <v>2357</v>
      </c>
      <c r="K715" s="39" t="s">
        <v>4697</v>
      </c>
      <c r="L715" s="39" t="s">
        <v>4467</v>
      </c>
    </row>
    <row r="716" spans="1:12">
      <c r="A716" s="39" t="s">
        <v>5429</v>
      </c>
      <c r="B716" s="13"/>
      <c r="C716" s="13"/>
      <c r="D716" s="39" t="s">
        <v>5573</v>
      </c>
      <c r="E716" s="39" t="s">
        <v>5574</v>
      </c>
      <c r="F716" s="39" t="s">
        <v>5575</v>
      </c>
      <c r="G716" s="39" t="s">
        <v>5576</v>
      </c>
      <c r="H716" s="13"/>
      <c r="I716" s="39" t="s">
        <v>5577</v>
      </c>
      <c r="J716" s="39" t="s">
        <v>5578</v>
      </c>
      <c r="K716" s="39" t="s">
        <v>5579</v>
      </c>
      <c r="L716" s="39" t="s">
        <v>4491</v>
      </c>
    </row>
    <row r="717" spans="1:12">
      <c r="A717" s="39" t="s">
        <v>5436</v>
      </c>
      <c r="B717" s="13"/>
      <c r="C717" s="13"/>
      <c r="D717" s="39"/>
      <c r="E717" s="39" t="s">
        <v>5580</v>
      </c>
      <c r="F717" s="39" t="s">
        <v>5402</v>
      </c>
      <c r="G717" s="39" t="s">
        <v>5581</v>
      </c>
      <c r="H717" s="13"/>
      <c r="I717" s="39" t="s">
        <v>5548</v>
      </c>
      <c r="J717" s="39" t="s">
        <v>5582</v>
      </c>
      <c r="K717" s="39" t="s">
        <v>4710</v>
      </c>
      <c r="L717" s="39" t="s">
        <v>5583</v>
      </c>
    </row>
    <row r="718" spans="1:12">
      <c r="A718" s="39" t="s">
        <v>5440</v>
      </c>
      <c r="B718" s="13"/>
      <c r="C718" s="13"/>
      <c r="D718" s="39" t="s">
        <v>5584</v>
      </c>
      <c r="E718" s="39" t="s">
        <v>5585</v>
      </c>
      <c r="F718" s="39" t="s">
        <v>5586</v>
      </c>
      <c r="G718" s="39" t="s">
        <v>3281</v>
      </c>
      <c r="H718" s="13"/>
      <c r="I718" s="39" t="s">
        <v>5587</v>
      </c>
      <c r="J718" s="39" t="s">
        <v>5588</v>
      </c>
      <c r="K718" s="39" t="s">
        <v>2237</v>
      </c>
      <c r="L718" s="39" t="s">
        <v>4508</v>
      </c>
    </row>
    <row r="719" spans="1:12">
      <c r="A719" s="39" t="s">
        <v>5443</v>
      </c>
      <c r="B719" s="13"/>
      <c r="C719" s="13"/>
      <c r="D719" s="39" t="s">
        <v>5589</v>
      </c>
      <c r="E719" s="39" t="s">
        <v>5590</v>
      </c>
      <c r="F719" s="39" t="s">
        <v>5591</v>
      </c>
      <c r="G719" s="39" t="s">
        <v>1452</v>
      </c>
      <c r="H719" s="13"/>
      <c r="I719" s="39" t="s">
        <v>5558</v>
      </c>
      <c r="J719" s="39" t="s">
        <v>5592</v>
      </c>
      <c r="K719" s="39" t="s">
        <v>1576</v>
      </c>
      <c r="L719" s="39" t="s">
        <v>5593</v>
      </c>
    </row>
    <row r="720" spans="1:12">
      <c r="A720" s="39" t="s">
        <v>5450</v>
      </c>
      <c r="B720" s="13"/>
      <c r="C720" s="13"/>
      <c r="D720" s="39" t="s">
        <v>5594</v>
      </c>
      <c r="E720" s="39" t="s">
        <v>5595</v>
      </c>
      <c r="F720" s="39" t="s">
        <v>5596</v>
      </c>
      <c r="G720" s="39" t="s">
        <v>5597</v>
      </c>
      <c r="H720" s="13"/>
      <c r="I720" s="39" t="s">
        <v>5598</v>
      </c>
      <c r="J720" s="39"/>
      <c r="K720" s="13"/>
      <c r="L720" s="39" t="s">
        <v>3897</v>
      </c>
    </row>
    <row r="721" spans="1:12">
      <c r="A721" s="39" t="s">
        <v>5454</v>
      </c>
      <c r="B721" s="13"/>
      <c r="C721" s="13"/>
      <c r="D721" s="39" t="s">
        <v>5599</v>
      </c>
      <c r="E721" s="39"/>
      <c r="F721" s="39" t="s">
        <v>2424</v>
      </c>
      <c r="G721" s="39" t="s">
        <v>5600</v>
      </c>
      <c r="H721" s="13"/>
      <c r="I721" s="39" t="s">
        <v>5548</v>
      </c>
      <c r="J721" s="39" t="s">
        <v>5601</v>
      </c>
      <c r="K721" s="13"/>
      <c r="L721" s="39" t="s">
        <v>5271</v>
      </c>
    </row>
    <row r="722" spans="1:12">
      <c r="A722" s="39" t="s">
        <v>5459</v>
      </c>
      <c r="B722" s="13"/>
      <c r="C722" s="13"/>
      <c r="D722" s="39" t="s">
        <v>4888</v>
      </c>
      <c r="E722" s="39" t="s">
        <v>3130</v>
      </c>
      <c r="F722" s="39" t="s">
        <v>5602</v>
      </c>
      <c r="G722" s="39" t="s">
        <v>5603</v>
      </c>
      <c r="H722" s="13"/>
      <c r="I722" s="39" t="s">
        <v>5604</v>
      </c>
      <c r="J722" s="39"/>
      <c r="K722" s="13"/>
      <c r="L722" s="39" t="s">
        <v>5299</v>
      </c>
    </row>
    <row r="723" spans="1:12">
      <c r="A723" s="39" t="s">
        <v>5466</v>
      </c>
      <c r="B723" s="13"/>
      <c r="C723" s="13"/>
      <c r="D723" s="39"/>
      <c r="E723" s="39"/>
      <c r="F723" s="39" t="s">
        <v>5605</v>
      </c>
      <c r="G723" s="39" t="s">
        <v>5606</v>
      </c>
      <c r="H723" s="13"/>
      <c r="I723" s="39" t="s">
        <v>5558</v>
      </c>
      <c r="J723" s="39" t="s">
        <v>3717</v>
      </c>
      <c r="K723" s="13"/>
      <c r="L723" s="39" t="s">
        <v>5607</v>
      </c>
    </row>
    <row r="724" spans="1:12">
      <c r="A724" s="39" t="s">
        <v>5471</v>
      </c>
      <c r="B724" s="13"/>
      <c r="C724" s="13"/>
      <c r="D724" s="39" t="s">
        <v>5608</v>
      </c>
      <c r="E724" s="39" t="s">
        <v>5609</v>
      </c>
      <c r="F724" s="39" t="s">
        <v>5610</v>
      </c>
      <c r="G724" s="39" t="s">
        <v>3281</v>
      </c>
      <c r="H724" s="13"/>
      <c r="I724" s="39" t="s">
        <v>5611</v>
      </c>
      <c r="J724" s="39" t="s">
        <v>3722</v>
      </c>
      <c r="K724" s="13"/>
      <c r="L724" s="39" t="s">
        <v>2265</v>
      </c>
    </row>
    <row r="725" spans="1:12">
      <c r="A725" s="39" t="s">
        <v>5612</v>
      </c>
      <c r="B725" s="13"/>
      <c r="C725" s="13"/>
      <c r="D725" s="39" t="s">
        <v>5613</v>
      </c>
      <c r="E725" s="39" t="s">
        <v>5614</v>
      </c>
      <c r="F725" s="39" t="s">
        <v>5615</v>
      </c>
      <c r="G725" s="39" t="s">
        <v>1452</v>
      </c>
      <c r="H725" s="13"/>
      <c r="I725" s="39" t="s">
        <v>5548</v>
      </c>
      <c r="J725" s="39" t="s">
        <v>5616</v>
      </c>
      <c r="K725" s="13"/>
      <c r="L725" s="39" t="s">
        <v>5617</v>
      </c>
    </row>
    <row r="726" spans="1:12">
      <c r="A726" s="39" t="s">
        <v>4232</v>
      </c>
      <c r="B726" s="13"/>
      <c r="C726" s="13"/>
      <c r="D726" s="39" t="s">
        <v>5618</v>
      </c>
      <c r="E726" s="39" t="s">
        <v>5619</v>
      </c>
      <c r="F726" s="39" t="s">
        <v>5620</v>
      </c>
      <c r="G726" s="39" t="s">
        <v>5621</v>
      </c>
      <c r="H726" s="13"/>
      <c r="I726" s="39" t="s">
        <v>5622</v>
      </c>
      <c r="J726" s="39" t="s">
        <v>5623</v>
      </c>
      <c r="K726" s="13"/>
      <c r="L726" s="39" t="s">
        <v>5624</v>
      </c>
    </row>
    <row r="727" spans="1:12">
      <c r="A727" s="39" t="s">
        <v>3054</v>
      </c>
      <c r="B727" s="13"/>
      <c r="C727" s="13"/>
      <c r="D727" s="39" t="s">
        <v>5625</v>
      </c>
      <c r="E727" s="39" t="s">
        <v>5626</v>
      </c>
      <c r="F727" s="39" t="s">
        <v>5627</v>
      </c>
      <c r="G727" s="39" t="s">
        <v>5628</v>
      </c>
      <c r="H727" s="13"/>
      <c r="I727" s="39" t="s">
        <v>5558</v>
      </c>
      <c r="J727" s="39" t="s">
        <v>5629</v>
      </c>
      <c r="K727" s="13"/>
      <c r="L727" s="39" t="s">
        <v>5630</v>
      </c>
    </row>
    <row r="728" spans="1:12">
      <c r="A728" s="36"/>
      <c r="B728" s="13"/>
      <c r="C728" s="13"/>
      <c r="D728" s="39"/>
      <c r="E728" s="39" t="s">
        <v>5467</v>
      </c>
      <c r="F728" s="39" t="s">
        <v>5631</v>
      </c>
      <c r="G728" s="39" t="s">
        <v>5632</v>
      </c>
      <c r="H728" s="13"/>
      <c r="I728" s="39" t="s">
        <v>5633</v>
      </c>
      <c r="J728" s="39" t="s">
        <v>3694</v>
      </c>
      <c r="K728" s="13"/>
      <c r="L728" s="39" t="s">
        <v>5634</v>
      </c>
    </row>
    <row r="729" spans="1:12">
      <c r="A729" s="39" t="s">
        <v>5635</v>
      </c>
      <c r="B729" s="13"/>
      <c r="C729" s="13"/>
      <c r="D729" s="39" t="s">
        <v>5584</v>
      </c>
      <c r="E729" s="39" t="s">
        <v>5636</v>
      </c>
      <c r="F729" s="39" t="s">
        <v>5596</v>
      </c>
      <c r="G729" s="39" t="s">
        <v>1452</v>
      </c>
      <c r="H729" s="13"/>
      <c r="I729" s="39" t="s">
        <v>5548</v>
      </c>
      <c r="J729" s="39"/>
      <c r="K729" s="13"/>
      <c r="L729" s="39" t="s">
        <v>4078</v>
      </c>
    </row>
    <row r="730" spans="1:12">
      <c r="A730" s="39" t="s">
        <v>2265</v>
      </c>
      <c r="B730" s="13"/>
      <c r="C730" s="13"/>
      <c r="D730" s="39" t="s">
        <v>5589</v>
      </c>
      <c r="E730" s="39" t="s">
        <v>2424</v>
      </c>
      <c r="F730" s="39" t="s">
        <v>4138</v>
      </c>
      <c r="G730" s="39" t="s">
        <v>5637</v>
      </c>
      <c r="H730" s="13"/>
      <c r="I730" s="39" t="s">
        <v>5638</v>
      </c>
      <c r="J730" s="39" t="s">
        <v>5639</v>
      </c>
      <c r="K730" s="13"/>
      <c r="L730" s="39" t="s">
        <v>5640</v>
      </c>
    </row>
    <row r="731" spans="1:12">
      <c r="A731" s="36"/>
      <c r="B731" s="13"/>
      <c r="C731" s="13"/>
      <c r="D731" s="39" t="s">
        <v>5641</v>
      </c>
      <c r="E731" s="39" t="s">
        <v>5642</v>
      </c>
      <c r="F731" s="39" t="s">
        <v>2626</v>
      </c>
      <c r="G731" s="39" t="s">
        <v>5643</v>
      </c>
      <c r="H731" s="13"/>
      <c r="I731" s="39" t="s">
        <v>5558</v>
      </c>
      <c r="J731" s="39" t="s">
        <v>5644</v>
      </c>
      <c r="K731" s="13"/>
      <c r="L731" s="39" t="s">
        <v>5645</v>
      </c>
    </row>
    <row r="732" spans="1:12">
      <c r="A732" s="39" t="s">
        <v>1278</v>
      </c>
      <c r="B732" s="13"/>
      <c r="C732" s="13"/>
      <c r="D732" s="39" t="s">
        <v>5599</v>
      </c>
      <c r="E732" s="39" t="s">
        <v>2596</v>
      </c>
      <c r="F732" s="39" t="s">
        <v>2596</v>
      </c>
      <c r="G732" s="39" t="s">
        <v>5646</v>
      </c>
      <c r="H732" s="13"/>
      <c r="I732" s="39" t="s">
        <v>5647</v>
      </c>
      <c r="J732" s="39" t="s">
        <v>5648</v>
      </c>
      <c r="K732" s="13"/>
      <c r="L732" s="39" t="s">
        <v>2357</v>
      </c>
    </row>
    <row r="733" spans="1:12">
      <c r="A733" s="39" t="s">
        <v>5649</v>
      </c>
      <c r="B733" s="13"/>
      <c r="C733" s="13"/>
      <c r="D733" s="39" t="s">
        <v>4888</v>
      </c>
      <c r="E733" s="39" t="s">
        <v>1273</v>
      </c>
      <c r="F733" s="39" t="s">
        <v>1273</v>
      </c>
      <c r="G733" s="39" t="s">
        <v>5650</v>
      </c>
      <c r="H733" s="13"/>
      <c r="I733" s="39" t="s">
        <v>5651</v>
      </c>
      <c r="J733" s="39" t="s">
        <v>5652</v>
      </c>
      <c r="K733" s="13"/>
      <c r="L733" s="39" t="s">
        <v>5653</v>
      </c>
    </row>
    <row r="734" spans="1:12">
      <c r="A734" s="36"/>
      <c r="B734" s="13"/>
      <c r="C734" s="13"/>
      <c r="D734" s="39"/>
      <c r="E734" s="39" t="s">
        <v>5654</v>
      </c>
      <c r="F734" s="39" t="s">
        <v>5655</v>
      </c>
      <c r="G734" s="110" t="s">
        <v>5656</v>
      </c>
      <c r="H734" s="13"/>
      <c r="I734" s="39" t="s">
        <v>5657</v>
      </c>
      <c r="J734" s="39" t="s">
        <v>5658</v>
      </c>
      <c r="K734" s="13"/>
      <c r="L734" s="39" t="s">
        <v>5659</v>
      </c>
    </row>
    <row r="735" spans="1:12">
      <c r="A735" s="39" t="s">
        <v>5660</v>
      </c>
      <c r="B735" s="13"/>
      <c r="C735" s="13"/>
      <c r="D735" s="39" t="s">
        <v>5661</v>
      </c>
      <c r="E735" s="39" t="s">
        <v>5662</v>
      </c>
      <c r="F735" s="39" t="s">
        <v>5663</v>
      </c>
      <c r="G735" s="39" t="s">
        <v>5664</v>
      </c>
      <c r="H735" s="13"/>
      <c r="I735" s="39" t="s">
        <v>5665</v>
      </c>
      <c r="J735" s="39" t="s">
        <v>2357</v>
      </c>
      <c r="K735" s="13"/>
      <c r="L735" s="39" t="s">
        <v>2265</v>
      </c>
    </row>
    <row r="736" spans="1:12">
      <c r="A736" s="39" t="s">
        <v>5666</v>
      </c>
      <c r="B736" s="13"/>
      <c r="C736" s="13"/>
      <c r="D736" s="39" t="s">
        <v>5613</v>
      </c>
      <c r="E736" s="39" t="s">
        <v>2424</v>
      </c>
      <c r="F736" s="39" t="s">
        <v>5233</v>
      </c>
      <c r="G736" s="39" t="s">
        <v>5667</v>
      </c>
      <c r="H736" s="13"/>
      <c r="I736" s="110" t="s">
        <v>5668</v>
      </c>
      <c r="J736" s="39"/>
      <c r="K736" s="13"/>
      <c r="L736" s="39" t="s">
        <v>5669</v>
      </c>
    </row>
    <row r="737" spans="1:12">
      <c r="A737" s="39" t="s">
        <v>5670</v>
      </c>
      <c r="B737" s="13"/>
      <c r="C737" s="13"/>
      <c r="D737" s="39" t="s">
        <v>5671</v>
      </c>
      <c r="E737" s="39" t="s">
        <v>5672</v>
      </c>
      <c r="F737" s="39"/>
      <c r="G737" s="39" t="s">
        <v>4263</v>
      </c>
      <c r="H737" s="13"/>
      <c r="I737" s="39" t="s">
        <v>5673</v>
      </c>
      <c r="J737" s="39" t="s">
        <v>3729</v>
      </c>
      <c r="K737" s="13"/>
      <c r="L737" s="39" t="s">
        <v>5624</v>
      </c>
    </row>
    <row r="738" spans="1:12">
      <c r="A738" s="39" t="s">
        <v>5674</v>
      </c>
      <c r="B738" s="13"/>
      <c r="C738" s="13"/>
      <c r="D738" s="39" t="s">
        <v>5675</v>
      </c>
      <c r="E738" s="39" t="s">
        <v>5676</v>
      </c>
      <c r="F738" s="39" t="s">
        <v>5677</v>
      </c>
      <c r="G738" s="39" t="s">
        <v>5678</v>
      </c>
      <c r="H738" s="13"/>
      <c r="I738" s="39" t="s">
        <v>5679</v>
      </c>
      <c r="J738" s="39" t="s">
        <v>3736</v>
      </c>
      <c r="K738" s="13"/>
      <c r="L738" s="39" t="s">
        <v>5630</v>
      </c>
    </row>
    <row r="739" spans="1:12">
      <c r="A739" s="39" t="s">
        <v>5680</v>
      </c>
      <c r="B739" s="13"/>
      <c r="C739" s="13"/>
      <c r="D739" s="39"/>
      <c r="E739" s="39" t="s">
        <v>3273</v>
      </c>
      <c r="F739" s="39" t="s">
        <v>5681</v>
      </c>
      <c r="G739" s="39" t="s">
        <v>5682</v>
      </c>
      <c r="H739" s="13"/>
      <c r="I739" s="39" t="s">
        <v>2424</v>
      </c>
      <c r="J739" s="39" t="s">
        <v>3743</v>
      </c>
      <c r="K739" s="13"/>
      <c r="L739" s="39" t="s">
        <v>5634</v>
      </c>
    </row>
    <row r="740" spans="1:12">
      <c r="A740" s="36"/>
      <c r="B740" s="13"/>
      <c r="C740" s="13"/>
      <c r="D740" s="39" t="s">
        <v>5683</v>
      </c>
      <c r="E740" s="39" t="s">
        <v>5684</v>
      </c>
      <c r="F740" s="39" t="s">
        <v>5685</v>
      </c>
      <c r="G740" s="110" t="s">
        <v>5686</v>
      </c>
      <c r="H740" s="13"/>
      <c r="I740" s="39" t="s">
        <v>5687</v>
      </c>
      <c r="J740" s="39" t="s">
        <v>3752</v>
      </c>
      <c r="K740" s="13"/>
      <c r="L740" s="39" t="s">
        <v>4078</v>
      </c>
    </row>
    <row r="741" spans="1:12">
      <c r="A741" s="39" t="s">
        <v>5688</v>
      </c>
      <c r="B741" s="13"/>
      <c r="C741" s="13"/>
      <c r="D741" s="39" t="s">
        <v>5689</v>
      </c>
      <c r="E741" s="39" t="s">
        <v>2626</v>
      </c>
      <c r="F741" s="39" t="s">
        <v>5690</v>
      </c>
      <c r="G741" s="39" t="s">
        <v>5664</v>
      </c>
      <c r="H741" s="13"/>
      <c r="I741" s="39" t="s">
        <v>5691</v>
      </c>
      <c r="J741" s="39" t="s">
        <v>5692</v>
      </c>
      <c r="K741" s="13"/>
      <c r="L741" s="39" t="s">
        <v>5640</v>
      </c>
    </row>
    <row r="742" spans="1:12">
      <c r="A742" s="39" t="s">
        <v>5693</v>
      </c>
      <c r="B742" s="13"/>
      <c r="C742" s="13"/>
      <c r="D742" s="39" t="s">
        <v>2424</v>
      </c>
      <c r="E742" s="39" t="s">
        <v>2596</v>
      </c>
      <c r="F742" s="39" t="s">
        <v>1273</v>
      </c>
      <c r="G742" s="39" t="s">
        <v>5694</v>
      </c>
      <c r="H742" s="13"/>
      <c r="I742" s="39" t="s">
        <v>5695</v>
      </c>
      <c r="J742" s="39" t="s">
        <v>3736</v>
      </c>
      <c r="K742" s="13"/>
      <c r="L742" s="39" t="s">
        <v>5645</v>
      </c>
    </row>
    <row r="743" spans="1:12">
      <c r="A743" s="39" t="s">
        <v>5696</v>
      </c>
      <c r="B743" s="13"/>
      <c r="C743" s="13"/>
      <c r="D743" s="39" t="s">
        <v>5697</v>
      </c>
      <c r="E743" s="39" t="s">
        <v>1273</v>
      </c>
      <c r="F743" s="39" t="s">
        <v>5698</v>
      </c>
      <c r="G743" s="39" t="s">
        <v>5699</v>
      </c>
      <c r="H743" s="13"/>
      <c r="I743" s="39" t="s">
        <v>2357</v>
      </c>
      <c r="J743" s="39" t="s">
        <v>5700</v>
      </c>
      <c r="K743" s="13"/>
      <c r="L743" s="39" t="s">
        <v>2596</v>
      </c>
    </row>
    <row r="744" spans="1:12">
      <c r="A744" s="39" t="s">
        <v>5701</v>
      </c>
      <c r="B744" s="13"/>
      <c r="C744" s="13"/>
      <c r="D744" s="39" t="s">
        <v>5702</v>
      </c>
      <c r="E744" s="39" t="s">
        <v>5703</v>
      </c>
      <c r="F744" s="39" t="s">
        <v>5233</v>
      </c>
      <c r="G744" s="110" t="s">
        <v>5704</v>
      </c>
      <c r="H744" s="13"/>
      <c r="I744" s="39" t="s">
        <v>5705</v>
      </c>
      <c r="J744" s="39" t="s">
        <v>3752</v>
      </c>
      <c r="K744" s="13"/>
      <c r="L744" s="39" t="s">
        <v>5706</v>
      </c>
    </row>
    <row r="745" spans="1:12">
      <c r="A745" s="39" t="s">
        <v>4888</v>
      </c>
      <c r="B745" s="13"/>
      <c r="C745" s="13"/>
      <c r="D745" s="39" t="s">
        <v>5707</v>
      </c>
      <c r="E745" s="39"/>
      <c r="F745" s="39"/>
      <c r="G745" s="39" t="s">
        <v>5708</v>
      </c>
      <c r="H745" s="13"/>
      <c r="I745" s="39" t="s">
        <v>5709</v>
      </c>
      <c r="J745" s="39" t="s">
        <v>5710</v>
      </c>
      <c r="K745" s="13"/>
      <c r="L745" s="39" t="s">
        <v>2265</v>
      </c>
    </row>
    <row r="746" spans="1:12">
      <c r="A746" s="36"/>
      <c r="B746" s="13"/>
      <c r="C746" s="13"/>
      <c r="D746" s="39" t="s">
        <v>5711</v>
      </c>
      <c r="E746" s="39" t="s">
        <v>5712</v>
      </c>
      <c r="F746" s="39" t="s">
        <v>5713</v>
      </c>
      <c r="G746" s="39" t="s">
        <v>5714</v>
      </c>
      <c r="H746" s="13"/>
      <c r="I746" s="39" t="s">
        <v>5715</v>
      </c>
      <c r="J746" s="39" t="s">
        <v>3736</v>
      </c>
      <c r="K746" s="13"/>
      <c r="L746" s="39" t="s">
        <v>5716</v>
      </c>
    </row>
    <row r="747" spans="1:12">
      <c r="A747" s="39" t="s">
        <v>4718</v>
      </c>
      <c r="B747" s="13"/>
      <c r="C747" s="13"/>
      <c r="D747" s="39" t="s">
        <v>5717</v>
      </c>
      <c r="E747" s="39" t="s">
        <v>5718</v>
      </c>
      <c r="F747" s="39" t="s">
        <v>5681</v>
      </c>
      <c r="G747" s="39" t="s">
        <v>5719</v>
      </c>
      <c r="H747" s="13"/>
      <c r="I747" s="39" t="s">
        <v>5720</v>
      </c>
      <c r="J747" s="39" t="s">
        <v>5721</v>
      </c>
      <c r="K747" s="13"/>
      <c r="L747" s="39" t="s">
        <v>5722</v>
      </c>
    </row>
    <row r="748" spans="1:12">
      <c r="A748" s="39" t="s">
        <v>4726</v>
      </c>
      <c r="B748" s="13"/>
      <c r="C748" s="13"/>
      <c r="D748" s="39"/>
      <c r="E748" s="39"/>
      <c r="F748" s="39" t="s">
        <v>5723</v>
      </c>
      <c r="G748" s="39" t="s">
        <v>5724</v>
      </c>
      <c r="H748" s="13"/>
      <c r="I748" s="39" t="s">
        <v>3364</v>
      </c>
      <c r="J748" s="39" t="s">
        <v>3752</v>
      </c>
      <c r="K748" s="13"/>
      <c r="L748" s="39" t="s">
        <v>5725</v>
      </c>
    </row>
    <row r="749" spans="1:12">
      <c r="A749" s="39" t="s">
        <v>5726</v>
      </c>
      <c r="B749" s="13"/>
      <c r="C749" s="13"/>
      <c r="D749" s="39" t="s">
        <v>5727</v>
      </c>
      <c r="E749" s="39" t="s">
        <v>5728</v>
      </c>
      <c r="F749" s="39" t="s">
        <v>5729</v>
      </c>
      <c r="G749" s="39" t="s">
        <v>5730</v>
      </c>
      <c r="H749" s="13"/>
      <c r="I749" s="39" t="s">
        <v>3769</v>
      </c>
      <c r="J749" s="39" t="s">
        <v>5731</v>
      </c>
      <c r="K749" s="13"/>
      <c r="L749" s="39" t="s">
        <v>5732</v>
      </c>
    </row>
    <row r="750" spans="1:12">
      <c r="A750" s="39" t="s">
        <v>5733</v>
      </c>
      <c r="B750" s="13"/>
      <c r="C750" s="13"/>
      <c r="D750" s="39" t="s">
        <v>5734</v>
      </c>
      <c r="E750" s="39" t="s">
        <v>5735</v>
      </c>
      <c r="F750" s="39" t="s">
        <v>1273</v>
      </c>
      <c r="G750" s="39" t="s">
        <v>5736</v>
      </c>
      <c r="H750" s="13"/>
      <c r="I750" s="39" t="s">
        <v>3776</v>
      </c>
      <c r="J750" s="39" t="s">
        <v>5737</v>
      </c>
      <c r="K750" s="13"/>
      <c r="L750" s="39" t="s">
        <v>5738</v>
      </c>
    </row>
    <row r="751" spans="1:12">
      <c r="A751" s="39" t="s">
        <v>5739</v>
      </c>
      <c r="B751" s="13"/>
      <c r="C751" s="13"/>
      <c r="D751" s="39" t="s">
        <v>5740</v>
      </c>
      <c r="E751" s="39"/>
      <c r="F751" s="39" t="s">
        <v>5741</v>
      </c>
      <c r="G751" s="110" t="s">
        <v>5742</v>
      </c>
      <c r="H751" s="13"/>
      <c r="I751" s="39" t="s">
        <v>3782</v>
      </c>
      <c r="J751" s="39" t="s">
        <v>5743</v>
      </c>
      <c r="K751" s="13"/>
      <c r="L751" s="39" t="s">
        <v>5744</v>
      </c>
    </row>
    <row r="752" spans="1:12">
      <c r="A752" s="39" t="s">
        <v>5745</v>
      </c>
      <c r="B752" s="13"/>
      <c r="C752" s="13"/>
      <c r="D752" s="39" t="s">
        <v>5746</v>
      </c>
      <c r="E752" s="39" t="s">
        <v>5747</v>
      </c>
      <c r="F752" s="39" t="s">
        <v>5748</v>
      </c>
      <c r="G752" s="39" t="s">
        <v>5749</v>
      </c>
      <c r="H752" s="13"/>
      <c r="I752" s="39" t="s">
        <v>5750</v>
      </c>
      <c r="J752" s="39" t="s">
        <v>5751</v>
      </c>
      <c r="K752" s="13"/>
      <c r="L752" s="39" t="s">
        <v>5752</v>
      </c>
    </row>
    <row r="753" spans="1:12">
      <c r="A753" s="39" t="s">
        <v>5753</v>
      </c>
      <c r="B753" s="13"/>
      <c r="C753" s="13"/>
      <c r="D753" s="39" t="s">
        <v>4381</v>
      </c>
      <c r="E753" s="39" t="s">
        <v>5754</v>
      </c>
      <c r="F753" s="39" t="s">
        <v>5755</v>
      </c>
      <c r="G753" s="39" t="s">
        <v>5719</v>
      </c>
      <c r="H753" s="13"/>
      <c r="I753" s="39" t="s">
        <v>3794</v>
      </c>
      <c r="J753" s="39" t="s">
        <v>5756</v>
      </c>
      <c r="K753" s="13"/>
      <c r="L753" s="39" t="s">
        <v>5757</v>
      </c>
    </row>
    <row r="754" spans="1:12">
      <c r="A754" s="39" t="s">
        <v>4232</v>
      </c>
      <c r="B754" s="13"/>
      <c r="C754" s="13"/>
      <c r="D754" s="39" t="s">
        <v>2596</v>
      </c>
      <c r="E754" s="39" t="s">
        <v>5758</v>
      </c>
      <c r="F754" s="110" t="s">
        <v>5759</v>
      </c>
      <c r="G754" s="39" t="s">
        <v>5667</v>
      </c>
      <c r="H754" s="13"/>
      <c r="I754" s="39" t="s">
        <v>2237</v>
      </c>
      <c r="J754" s="39" t="s">
        <v>5760</v>
      </c>
      <c r="K754" s="13"/>
      <c r="L754" s="39" t="s">
        <v>5761</v>
      </c>
    </row>
    <row r="755" spans="1:12">
      <c r="A755" s="39" t="s">
        <v>4999</v>
      </c>
      <c r="B755" s="13"/>
      <c r="C755" s="13"/>
      <c r="D755" s="39"/>
      <c r="E755" s="39"/>
      <c r="F755" s="39" t="s">
        <v>3273</v>
      </c>
      <c r="G755" s="39" t="s">
        <v>3281</v>
      </c>
      <c r="H755" s="13"/>
      <c r="I755" s="39" t="s">
        <v>3804</v>
      </c>
      <c r="J755" s="39" t="s">
        <v>5743</v>
      </c>
      <c r="K755" s="13"/>
      <c r="L755" s="39" t="s">
        <v>5762</v>
      </c>
    </row>
    <row r="756" spans="1:12">
      <c r="A756" s="39" t="s">
        <v>5763</v>
      </c>
      <c r="B756" s="13"/>
      <c r="C756" s="13"/>
      <c r="D756" s="39" t="s">
        <v>5764</v>
      </c>
      <c r="E756" s="39" t="s">
        <v>5765</v>
      </c>
      <c r="F756" s="39" t="s">
        <v>5766</v>
      </c>
      <c r="G756" s="39" t="s">
        <v>1452</v>
      </c>
      <c r="H756" s="13"/>
      <c r="I756" s="39" t="s">
        <v>2265</v>
      </c>
      <c r="J756" s="39" t="s">
        <v>5767</v>
      </c>
      <c r="K756" s="13"/>
      <c r="L756" s="39"/>
    </row>
    <row r="757" spans="1:12">
      <c r="A757" s="39" t="s">
        <v>5768</v>
      </c>
      <c r="B757" s="13"/>
      <c r="C757" s="13"/>
      <c r="D757" s="39" t="s">
        <v>5769</v>
      </c>
      <c r="E757" s="39" t="s">
        <v>5770</v>
      </c>
      <c r="F757" s="110" t="s">
        <v>5771</v>
      </c>
      <c r="G757" s="39" t="s">
        <v>5772</v>
      </c>
      <c r="H757" s="13"/>
      <c r="I757" s="39" t="s">
        <v>1259</v>
      </c>
      <c r="J757" s="39" t="s">
        <v>5756</v>
      </c>
      <c r="K757" s="13"/>
      <c r="L757" s="39" t="s">
        <v>5773</v>
      </c>
    </row>
    <row r="758" spans="1:12">
      <c r="A758" s="39" t="s">
        <v>5733</v>
      </c>
      <c r="B758" s="13"/>
      <c r="C758" s="13"/>
      <c r="D758" s="39"/>
      <c r="E758" s="39"/>
      <c r="F758" s="39" t="s">
        <v>2626</v>
      </c>
      <c r="G758" s="39" t="s">
        <v>5774</v>
      </c>
      <c r="H758" s="13"/>
      <c r="I758" s="39" t="s">
        <v>5775</v>
      </c>
      <c r="J758" s="39" t="s">
        <v>5776</v>
      </c>
      <c r="K758" s="13"/>
      <c r="L758" s="39" t="s">
        <v>5777</v>
      </c>
    </row>
    <row r="759" spans="1:12">
      <c r="A759" s="39" t="s">
        <v>5739</v>
      </c>
      <c r="B759" s="13"/>
      <c r="C759" s="13"/>
      <c r="D759" s="39" t="s">
        <v>5778</v>
      </c>
      <c r="E759" s="39" t="s">
        <v>5779</v>
      </c>
      <c r="F759" s="39" t="s">
        <v>2424</v>
      </c>
      <c r="G759" s="39" t="s">
        <v>1452</v>
      </c>
      <c r="H759" s="13"/>
      <c r="I759" s="39" t="s">
        <v>2756</v>
      </c>
      <c r="J759" s="39" t="s">
        <v>5780</v>
      </c>
      <c r="K759" s="13"/>
      <c r="L759" s="39" t="s">
        <v>5781</v>
      </c>
    </row>
    <row r="760" spans="1:12">
      <c r="A760" s="39" t="s">
        <v>5745</v>
      </c>
      <c r="B760" s="13"/>
      <c r="C760" s="13"/>
      <c r="D760" s="39" t="s">
        <v>5782</v>
      </c>
      <c r="E760" s="39" t="s">
        <v>5783</v>
      </c>
      <c r="F760" s="39" t="s">
        <v>5784</v>
      </c>
      <c r="G760" s="39" t="s">
        <v>5785</v>
      </c>
      <c r="H760" s="13"/>
      <c r="I760" s="39" t="s">
        <v>5786</v>
      </c>
      <c r="J760" s="39" t="s">
        <v>5743</v>
      </c>
      <c r="K760" s="13"/>
      <c r="L760" s="39" t="s">
        <v>5787</v>
      </c>
    </row>
    <row r="761" spans="1:12">
      <c r="A761" s="39" t="s">
        <v>5788</v>
      </c>
      <c r="B761" s="13"/>
      <c r="C761" s="13"/>
      <c r="D761" s="39" t="s">
        <v>5789</v>
      </c>
      <c r="E761" s="39" t="s">
        <v>5790</v>
      </c>
      <c r="F761" s="110" t="s">
        <v>5791</v>
      </c>
      <c r="G761" s="39" t="s">
        <v>1452</v>
      </c>
      <c r="H761" s="13"/>
      <c r="I761" s="39" t="s">
        <v>4865</v>
      </c>
      <c r="J761" s="39" t="s">
        <v>5792</v>
      </c>
      <c r="K761" s="13"/>
      <c r="L761" s="39" t="s">
        <v>5793</v>
      </c>
    </row>
    <row r="762" spans="1:12">
      <c r="A762" s="39" t="s">
        <v>4232</v>
      </c>
      <c r="B762" s="13"/>
      <c r="C762" s="13"/>
      <c r="D762" s="39" t="s">
        <v>5794</v>
      </c>
      <c r="E762" s="39" t="s">
        <v>5795</v>
      </c>
      <c r="F762" s="39" t="s">
        <v>2596</v>
      </c>
      <c r="G762" s="39" t="s">
        <v>5796</v>
      </c>
      <c r="H762" s="13"/>
      <c r="I762" s="39" t="s">
        <v>4872</v>
      </c>
      <c r="J762" s="39" t="s">
        <v>5756</v>
      </c>
      <c r="K762" s="13"/>
      <c r="L762" s="39" t="s">
        <v>5797</v>
      </c>
    </row>
    <row r="763" spans="1:12">
      <c r="A763" s="39" t="s">
        <v>4855</v>
      </c>
      <c r="B763" s="13"/>
      <c r="C763" s="13"/>
      <c r="D763" s="39" t="s">
        <v>5798</v>
      </c>
      <c r="E763" s="39" t="s">
        <v>5799</v>
      </c>
      <c r="F763" s="39" t="s">
        <v>1273</v>
      </c>
      <c r="G763" s="39" t="s">
        <v>1452</v>
      </c>
      <c r="H763" s="13"/>
      <c r="I763" s="39" t="s">
        <v>4879</v>
      </c>
      <c r="J763" s="39" t="s">
        <v>5800</v>
      </c>
      <c r="K763" s="13"/>
      <c r="L763" s="39" t="s">
        <v>2424</v>
      </c>
    </row>
    <row r="764" spans="1:12">
      <c r="A764" s="39" t="s">
        <v>5726</v>
      </c>
      <c r="B764" s="13"/>
      <c r="C764" s="13"/>
      <c r="D764" s="39" t="s">
        <v>5801</v>
      </c>
      <c r="E764" s="39" t="s">
        <v>5802</v>
      </c>
      <c r="F764" s="39" t="s">
        <v>5803</v>
      </c>
      <c r="G764" s="39" t="s">
        <v>5804</v>
      </c>
      <c r="H764" s="13"/>
      <c r="I764" s="39" t="s">
        <v>4884</v>
      </c>
      <c r="J764" s="39" t="s">
        <v>5743</v>
      </c>
      <c r="K764" s="13"/>
      <c r="L764" s="39" t="s">
        <v>5805</v>
      </c>
    </row>
    <row r="765" spans="1:12">
      <c r="A765" s="39" t="s">
        <v>5733</v>
      </c>
      <c r="B765" s="13"/>
      <c r="C765" s="13"/>
      <c r="D765" s="39" t="s">
        <v>2424</v>
      </c>
      <c r="E765" s="39"/>
      <c r="F765" s="39" t="s">
        <v>5455</v>
      </c>
      <c r="G765" s="39" t="s">
        <v>3680</v>
      </c>
      <c r="H765" s="13"/>
      <c r="I765" s="39" t="s">
        <v>4891</v>
      </c>
      <c r="J765" s="39" t="s">
        <v>5806</v>
      </c>
      <c r="K765" s="13"/>
      <c r="L765" s="39" t="s">
        <v>4352</v>
      </c>
    </row>
    <row r="766" spans="1:12">
      <c r="A766" s="39" t="s">
        <v>5739</v>
      </c>
      <c r="B766" s="13"/>
      <c r="C766" s="13"/>
      <c r="D766" s="39" t="s">
        <v>5807</v>
      </c>
      <c r="E766" s="39" t="s">
        <v>5808</v>
      </c>
      <c r="F766" s="39" t="s">
        <v>5461</v>
      </c>
      <c r="G766" s="39" t="s">
        <v>1452</v>
      </c>
      <c r="H766" s="13"/>
      <c r="I766" s="39" t="s">
        <v>4896</v>
      </c>
      <c r="J766" s="39" t="s">
        <v>5756</v>
      </c>
      <c r="K766" s="13"/>
      <c r="L766" s="39" t="s">
        <v>5809</v>
      </c>
    </row>
    <row r="767" spans="1:12">
      <c r="A767" s="39" t="s">
        <v>5745</v>
      </c>
      <c r="B767" s="13"/>
      <c r="C767" s="13"/>
      <c r="D767" s="39" t="s">
        <v>5810</v>
      </c>
      <c r="E767" s="39" t="s">
        <v>5811</v>
      </c>
      <c r="F767" s="39"/>
      <c r="G767" s="39" t="s">
        <v>1452</v>
      </c>
      <c r="H767" s="13"/>
      <c r="I767" s="39" t="s">
        <v>4901</v>
      </c>
      <c r="J767" s="39" t="s">
        <v>5731</v>
      </c>
      <c r="K767" s="13"/>
      <c r="L767" s="39" t="s">
        <v>5812</v>
      </c>
    </row>
    <row r="768" spans="1:12">
      <c r="A768" s="39" t="s">
        <v>5813</v>
      </c>
      <c r="B768" s="13"/>
      <c r="C768" s="13"/>
      <c r="D768" s="39" t="s">
        <v>5814</v>
      </c>
      <c r="E768" s="39"/>
      <c r="F768" s="39" t="s">
        <v>5815</v>
      </c>
      <c r="G768" s="39" t="s">
        <v>5816</v>
      </c>
      <c r="H768" s="13"/>
      <c r="I768" s="39" t="s">
        <v>4904</v>
      </c>
      <c r="J768" s="39" t="s">
        <v>5647</v>
      </c>
      <c r="K768" s="13"/>
      <c r="L768" s="39" t="s">
        <v>5817</v>
      </c>
    </row>
    <row r="769" spans="1:12">
      <c r="A769" s="39" t="s">
        <v>4232</v>
      </c>
      <c r="B769" s="13"/>
      <c r="C769" s="13"/>
      <c r="D769" s="39" t="s">
        <v>5818</v>
      </c>
      <c r="E769" s="39" t="s">
        <v>4183</v>
      </c>
      <c r="F769" s="39" t="s">
        <v>2265</v>
      </c>
      <c r="G769" s="39" t="s">
        <v>1281</v>
      </c>
      <c r="H769" s="13"/>
      <c r="I769" s="39" t="s">
        <v>4910</v>
      </c>
      <c r="J769" s="39" t="s">
        <v>5651</v>
      </c>
      <c r="K769" s="13"/>
      <c r="L769" s="39" t="s">
        <v>5812</v>
      </c>
    </row>
    <row r="770" spans="1:12">
      <c r="A770" s="39" t="s">
        <v>3054</v>
      </c>
      <c r="B770" s="13"/>
      <c r="C770" s="13"/>
      <c r="D770" s="39" t="s">
        <v>5819</v>
      </c>
      <c r="E770" s="39" t="s">
        <v>2265</v>
      </c>
      <c r="F770" s="39"/>
      <c r="G770" s="39" t="s">
        <v>5820</v>
      </c>
      <c r="H770" s="13"/>
      <c r="I770" s="39" t="s">
        <v>4917</v>
      </c>
      <c r="J770" s="39" t="s">
        <v>5657</v>
      </c>
      <c r="K770" s="13"/>
      <c r="L770" s="39" t="s">
        <v>5821</v>
      </c>
    </row>
    <row r="771" spans="1:12">
      <c r="A771" s="36"/>
      <c r="B771" s="13"/>
      <c r="C771" s="13"/>
      <c r="D771" s="39" t="s">
        <v>5822</v>
      </c>
      <c r="E771" s="39"/>
      <c r="F771" s="39"/>
      <c r="G771" s="39" t="s">
        <v>1281</v>
      </c>
      <c r="H771" s="13"/>
      <c r="I771" s="39" t="s">
        <v>4884</v>
      </c>
      <c r="J771" s="39" t="s">
        <v>5665</v>
      </c>
      <c r="K771" s="13"/>
      <c r="L771" s="39" t="s">
        <v>5823</v>
      </c>
    </row>
    <row r="772" spans="1:12">
      <c r="A772" s="39" t="s">
        <v>5824</v>
      </c>
      <c r="B772" s="13"/>
      <c r="C772" s="13"/>
      <c r="D772" s="39" t="s">
        <v>5825</v>
      </c>
      <c r="E772" s="39"/>
      <c r="F772" s="39" t="s">
        <v>5826</v>
      </c>
      <c r="G772" s="39" t="s">
        <v>5827</v>
      </c>
      <c r="H772" s="13"/>
      <c r="I772" s="39" t="s">
        <v>4924</v>
      </c>
      <c r="J772" s="110" t="s">
        <v>5828</v>
      </c>
      <c r="K772" s="13"/>
      <c r="L772" s="39" t="s">
        <v>4381</v>
      </c>
    </row>
    <row r="773" spans="1:12">
      <c r="A773" s="39" t="s">
        <v>2265</v>
      </c>
      <c r="B773" s="13"/>
      <c r="C773" s="13"/>
      <c r="D773" s="39" t="s">
        <v>5829</v>
      </c>
      <c r="E773" s="39" t="s">
        <v>5830</v>
      </c>
      <c r="F773" s="39" t="s">
        <v>1280</v>
      </c>
      <c r="G773" s="39" t="s">
        <v>5831</v>
      </c>
      <c r="H773" s="13"/>
      <c r="I773" s="39" t="s">
        <v>4929</v>
      </c>
      <c r="J773" s="39" t="s">
        <v>5832</v>
      </c>
      <c r="K773" s="13"/>
      <c r="L773" s="39" t="s">
        <v>4352</v>
      </c>
    </row>
    <row r="774" spans="1:12">
      <c r="A774" s="36"/>
      <c r="B774" s="13"/>
      <c r="C774" s="13"/>
      <c r="D774" s="39"/>
      <c r="E774" s="39" t="s">
        <v>1280</v>
      </c>
      <c r="F774" s="39" t="s">
        <v>5833</v>
      </c>
      <c r="G774" s="39" t="s">
        <v>5834</v>
      </c>
      <c r="H774" s="13"/>
      <c r="I774" s="39" t="s">
        <v>4910</v>
      </c>
      <c r="J774" s="39" t="s">
        <v>5835</v>
      </c>
      <c r="K774" s="13"/>
      <c r="L774" s="39" t="s">
        <v>5836</v>
      </c>
    </row>
    <row r="775" spans="1:12">
      <c r="A775" s="39" t="s">
        <v>1278</v>
      </c>
      <c r="B775" s="13"/>
      <c r="C775" s="13"/>
      <c r="D775" s="39" t="s">
        <v>5837</v>
      </c>
      <c r="E775" s="39" t="s">
        <v>5838</v>
      </c>
      <c r="F775" s="39" t="s">
        <v>1280</v>
      </c>
      <c r="G775" s="39" t="s">
        <v>1274</v>
      </c>
      <c r="H775" s="13"/>
      <c r="I775" s="39" t="s">
        <v>4945</v>
      </c>
      <c r="J775" s="39" t="s">
        <v>2424</v>
      </c>
      <c r="K775" s="13"/>
      <c r="L775" s="39" t="s">
        <v>5812</v>
      </c>
    </row>
    <row r="776" spans="1:12">
      <c r="A776" s="39" t="s">
        <v>5839</v>
      </c>
      <c r="B776" s="13"/>
      <c r="C776" s="13"/>
      <c r="D776" s="39"/>
      <c r="E776" s="39" t="s">
        <v>1280</v>
      </c>
      <c r="F776" s="39" t="s">
        <v>5840</v>
      </c>
      <c r="G776" s="39" t="s">
        <v>5841</v>
      </c>
      <c r="H776" s="13"/>
      <c r="I776" s="39" t="s">
        <v>4884</v>
      </c>
      <c r="J776" s="39" t="s">
        <v>5687</v>
      </c>
      <c r="K776" s="13"/>
      <c r="L776" s="39" t="s">
        <v>5842</v>
      </c>
    </row>
    <row r="777" spans="1:12">
      <c r="A777" s="36"/>
      <c r="B777" s="13"/>
      <c r="C777" s="13"/>
      <c r="D777" s="39" t="s">
        <v>5843</v>
      </c>
      <c r="E777" s="39" t="s">
        <v>5844</v>
      </c>
      <c r="F777" s="39" t="s">
        <v>5845</v>
      </c>
      <c r="G777" s="39" t="s">
        <v>5846</v>
      </c>
      <c r="H777" s="13"/>
      <c r="I777" s="39" t="s">
        <v>4952</v>
      </c>
      <c r="J777" s="39" t="s">
        <v>5847</v>
      </c>
      <c r="K777" s="13"/>
      <c r="L777" s="39" t="s">
        <v>5812</v>
      </c>
    </row>
    <row r="778" spans="1:12">
      <c r="A778" s="39" t="s">
        <v>5848</v>
      </c>
      <c r="B778" s="13"/>
      <c r="C778" s="13"/>
      <c r="D778" s="39" t="s">
        <v>5849</v>
      </c>
      <c r="E778" s="39" t="s">
        <v>5850</v>
      </c>
      <c r="F778" s="39" t="s">
        <v>1273</v>
      </c>
      <c r="G778" s="39" t="s">
        <v>5851</v>
      </c>
      <c r="H778" s="13"/>
      <c r="I778" s="39" t="s">
        <v>4955</v>
      </c>
      <c r="J778" s="39" t="s">
        <v>5852</v>
      </c>
      <c r="K778" s="13"/>
      <c r="L778" s="39" t="s">
        <v>5853</v>
      </c>
    </row>
    <row r="779" spans="1:12">
      <c r="A779" s="39" t="s">
        <v>5854</v>
      </c>
      <c r="B779" s="13"/>
      <c r="C779" s="13"/>
      <c r="D779" s="39" t="s">
        <v>5855</v>
      </c>
      <c r="E779" s="39" t="s">
        <v>5856</v>
      </c>
      <c r="F779" s="39" t="s">
        <v>5857</v>
      </c>
      <c r="G779" s="39" t="s">
        <v>5858</v>
      </c>
      <c r="H779" s="13"/>
      <c r="I779" s="39" t="s">
        <v>4966</v>
      </c>
      <c r="J779" s="39" t="s">
        <v>3354</v>
      </c>
      <c r="K779" s="13"/>
      <c r="L779" s="39" t="s">
        <v>5859</v>
      </c>
    </row>
    <row r="780" spans="1:12">
      <c r="A780" s="39" t="s">
        <v>5860</v>
      </c>
      <c r="B780" s="13"/>
      <c r="C780" s="13"/>
      <c r="D780" s="39" t="s">
        <v>5861</v>
      </c>
      <c r="E780" s="39"/>
      <c r="F780" s="39" t="s">
        <v>5862</v>
      </c>
      <c r="G780" s="39" t="s">
        <v>1274</v>
      </c>
      <c r="H780" s="13"/>
      <c r="I780" s="39" t="s">
        <v>4969</v>
      </c>
      <c r="J780" s="39" t="s">
        <v>5863</v>
      </c>
      <c r="K780" s="13"/>
      <c r="L780" s="39" t="s">
        <v>4381</v>
      </c>
    </row>
    <row r="781" spans="1:12">
      <c r="A781" s="39" t="s">
        <v>5864</v>
      </c>
      <c r="B781" s="13"/>
      <c r="C781" s="13"/>
      <c r="D781" s="39" t="s">
        <v>2596</v>
      </c>
      <c r="E781" s="39" t="s">
        <v>5865</v>
      </c>
      <c r="F781" s="39" t="s">
        <v>1273</v>
      </c>
      <c r="G781" s="39" t="s">
        <v>4547</v>
      </c>
      <c r="H781" s="13"/>
      <c r="I781" s="39" t="s">
        <v>4910</v>
      </c>
      <c r="J781" s="39" t="s">
        <v>3371</v>
      </c>
      <c r="K781" s="13"/>
      <c r="L781" s="39" t="s">
        <v>5866</v>
      </c>
    </row>
    <row r="782" spans="1:12">
      <c r="A782" s="39" t="s">
        <v>5867</v>
      </c>
      <c r="B782" s="13"/>
      <c r="C782" s="13"/>
      <c r="D782" s="39"/>
      <c r="E782" s="39" t="s">
        <v>4822</v>
      </c>
      <c r="F782" s="39" t="s">
        <v>5868</v>
      </c>
      <c r="G782" s="39" t="s">
        <v>5869</v>
      </c>
      <c r="H782" s="13"/>
      <c r="I782" s="39" t="s">
        <v>4979</v>
      </c>
      <c r="J782" s="39" t="s">
        <v>5870</v>
      </c>
      <c r="K782" s="13"/>
      <c r="L782" s="39" t="s">
        <v>5871</v>
      </c>
    </row>
    <row r="783" spans="1:12">
      <c r="A783" s="39" t="s">
        <v>5717</v>
      </c>
      <c r="B783" s="13"/>
      <c r="C783" s="13"/>
      <c r="D783" s="39" t="s">
        <v>5872</v>
      </c>
      <c r="E783" s="39" t="s">
        <v>5873</v>
      </c>
      <c r="F783" s="39" t="s">
        <v>5663</v>
      </c>
      <c r="G783" s="39" t="s">
        <v>5874</v>
      </c>
      <c r="H783" s="13"/>
      <c r="I783" s="39" t="s">
        <v>4884</v>
      </c>
      <c r="J783" s="39" t="s">
        <v>2357</v>
      </c>
      <c r="K783" s="13"/>
      <c r="L783" s="39" t="s">
        <v>4352</v>
      </c>
    </row>
    <row r="784" spans="1:12">
      <c r="A784" s="39" t="s">
        <v>5875</v>
      </c>
      <c r="B784" s="13"/>
      <c r="C784" s="13"/>
      <c r="D784" s="39" t="s">
        <v>5876</v>
      </c>
      <c r="E784" s="39" t="s">
        <v>5877</v>
      </c>
      <c r="F784" s="39" t="s">
        <v>5233</v>
      </c>
      <c r="G784" s="39" t="s">
        <v>5878</v>
      </c>
      <c r="H784" s="13"/>
      <c r="I784" s="39" t="s">
        <v>4987</v>
      </c>
      <c r="J784" s="39" t="s">
        <v>3769</v>
      </c>
      <c r="K784" s="13"/>
      <c r="L784" s="39" t="s">
        <v>5879</v>
      </c>
    </row>
    <row r="785" spans="1:12">
      <c r="A785" s="39" t="s">
        <v>5880</v>
      </c>
      <c r="B785" s="13"/>
      <c r="C785" s="13"/>
      <c r="D785" s="39" t="s">
        <v>5881</v>
      </c>
      <c r="E785" s="39" t="s">
        <v>5882</v>
      </c>
      <c r="F785" s="39"/>
      <c r="G785" s="39" t="s">
        <v>5883</v>
      </c>
      <c r="H785" s="13"/>
      <c r="I785" s="39" t="s">
        <v>4992</v>
      </c>
      <c r="J785" s="39" t="s">
        <v>3776</v>
      </c>
      <c r="K785" s="13"/>
      <c r="L785" s="39" t="s">
        <v>5812</v>
      </c>
    </row>
    <row r="786" spans="1:12">
      <c r="A786" s="39" t="s">
        <v>5884</v>
      </c>
      <c r="B786" s="13"/>
      <c r="C786" s="13"/>
      <c r="D786" s="39" t="s">
        <v>5885</v>
      </c>
      <c r="E786" s="39" t="s">
        <v>5886</v>
      </c>
      <c r="F786" s="39" t="s">
        <v>5887</v>
      </c>
      <c r="G786" s="39" t="s">
        <v>5888</v>
      </c>
      <c r="H786" s="13"/>
      <c r="I786" s="39" t="s">
        <v>4910</v>
      </c>
      <c r="J786" s="39" t="s">
        <v>3782</v>
      </c>
      <c r="K786" s="13"/>
      <c r="L786" s="39" t="s">
        <v>5889</v>
      </c>
    </row>
    <row r="787" spans="1:12">
      <c r="A787" s="39" t="s">
        <v>5890</v>
      </c>
      <c r="B787" s="13"/>
      <c r="C787" s="13"/>
      <c r="D787" s="39" t="s">
        <v>2424</v>
      </c>
      <c r="E787" s="39" t="s">
        <v>5891</v>
      </c>
      <c r="F787" s="39" t="s">
        <v>5681</v>
      </c>
      <c r="G787" s="39" t="s">
        <v>5892</v>
      </c>
      <c r="H787" s="13"/>
      <c r="I787" s="39" t="s">
        <v>5002</v>
      </c>
      <c r="J787" s="39" t="s">
        <v>5750</v>
      </c>
      <c r="K787" s="13"/>
      <c r="L787" s="39" t="s">
        <v>5812</v>
      </c>
    </row>
    <row r="788" spans="1:12">
      <c r="A788" s="39" t="s">
        <v>4381</v>
      </c>
      <c r="B788" s="13"/>
      <c r="C788" s="13"/>
      <c r="D788" s="39" t="s">
        <v>5893</v>
      </c>
      <c r="E788" s="39" t="s">
        <v>5894</v>
      </c>
      <c r="F788" s="39" t="s">
        <v>5895</v>
      </c>
      <c r="G788" s="39" t="s">
        <v>5896</v>
      </c>
      <c r="H788" s="13"/>
      <c r="I788" s="39" t="s">
        <v>5008</v>
      </c>
      <c r="J788" s="39" t="s">
        <v>3794</v>
      </c>
      <c r="K788" s="13"/>
      <c r="L788" s="39" t="s">
        <v>5897</v>
      </c>
    </row>
    <row r="789" spans="1:12">
      <c r="A789" s="39" t="s">
        <v>5898</v>
      </c>
      <c r="B789" s="13"/>
      <c r="C789" s="13"/>
      <c r="D789" s="39" t="s">
        <v>5899</v>
      </c>
      <c r="E789" s="39" t="s">
        <v>5900</v>
      </c>
      <c r="F789" s="39" t="s">
        <v>5901</v>
      </c>
      <c r="G789" s="39" t="s">
        <v>5902</v>
      </c>
      <c r="H789" s="13"/>
      <c r="I789" s="39" t="s">
        <v>5014</v>
      </c>
      <c r="J789" s="39" t="s">
        <v>2237</v>
      </c>
      <c r="K789" s="13"/>
      <c r="L789" s="39" t="s">
        <v>5903</v>
      </c>
    </row>
    <row r="790" spans="1:12">
      <c r="A790" s="39" t="s">
        <v>5904</v>
      </c>
      <c r="B790" s="13"/>
      <c r="C790" s="13"/>
      <c r="D790" s="39" t="s">
        <v>5905</v>
      </c>
      <c r="E790" s="39" t="s">
        <v>5906</v>
      </c>
      <c r="F790" s="39" t="s">
        <v>1273</v>
      </c>
      <c r="G790" s="39" t="s">
        <v>5907</v>
      </c>
      <c r="H790" s="13"/>
      <c r="I790" s="39" t="s">
        <v>5020</v>
      </c>
      <c r="J790" s="39" t="s">
        <v>3804</v>
      </c>
      <c r="K790" s="13"/>
      <c r="L790" s="39" t="s">
        <v>4381</v>
      </c>
    </row>
    <row r="791" spans="1:12">
      <c r="A791" s="39" t="s">
        <v>5908</v>
      </c>
      <c r="B791" s="13"/>
      <c r="C791" s="13"/>
      <c r="D791" s="39" t="s">
        <v>5909</v>
      </c>
      <c r="E791" s="39" t="s">
        <v>5910</v>
      </c>
      <c r="F791" s="39" t="s">
        <v>5911</v>
      </c>
      <c r="G791" s="39" t="s">
        <v>5912</v>
      </c>
      <c r="H791" s="13"/>
      <c r="I791" s="39" t="s">
        <v>1999</v>
      </c>
      <c r="J791" s="39" t="s">
        <v>2265</v>
      </c>
      <c r="K791" s="13"/>
      <c r="L791" s="39" t="s">
        <v>4352</v>
      </c>
    </row>
    <row r="792" spans="1:12">
      <c r="A792" s="39" t="s">
        <v>2424</v>
      </c>
      <c r="B792" s="13"/>
      <c r="C792" s="13"/>
      <c r="D792" s="46" t="s">
        <v>5913</v>
      </c>
      <c r="E792" s="39" t="s">
        <v>5914</v>
      </c>
      <c r="F792" s="39" t="s">
        <v>5735</v>
      </c>
      <c r="G792" s="39" t="s">
        <v>4236</v>
      </c>
      <c r="H792" s="13"/>
      <c r="I792" s="39" t="s">
        <v>4872</v>
      </c>
      <c r="J792" s="39" t="s">
        <v>1259</v>
      </c>
      <c r="K792" s="13"/>
      <c r="L792" s="39" t="s">
        <v>5915</v>
      </c>
    </row>
    <row r="793" spans="1:12">
      <c r="A793" s="39" t="s">
        <v>5916</v>
      </c>
      <c r="B793" s="13"/>
      <c r="C793" s="13"/>
      <c r="D793" s="39" t="s">
        <v>5917</v>
      </c>
      <c r="E793" s="39" t="s">
        <v>5918</v>
      </c>
      <c r="F793" s="39"/>
      <c r="G793" s="39" t="s">
        <v>5919</v>
      </c>
      <c r="H793" s="13"/>
      <c r="I793" s="39" t="s">
        <v>5035</v>
      </c>
      <c r="J793" s="39" t="s">
        <v>5775</v>
      </c>
      <c r="K793" s="13"/>
      <c r="L793" s="39" t="s">
        <v>5812</v>
      </c>
    </row>
    <row r="794" spans="1:12">
      <c r="A794" s="39" t="s">
        <v>5920</v>
      </c>
      <c r="B794" s="13"/>
      <c r="C794" s="13"/>
      <c r="D794" s="39" t="s">
        <v>5921</v>
      </c>
      <c r="E794" s="39" t="s">
        <v>5922</v>
      </c>
      <c r="F794" s="39" t="s">
        <v>5923</v>
      </c>
      <c r="G794" s="39" t="s">
        <v>5851</v>
      </c>
      <c r="H794" s="13"/>
      <c r="I794" s="39" t="s">
        <v>5041</v>
      </c>
      <c r="J794" s="39" t="s">
        <v>2756</v>
      </c>
      <c r="K794" s="13"/>
      <c r="L794" s="39" t="s">
        <v>5924</v>
      </c>
    </row>
    <row r="795" spans="1:12">
      <c r="A795" s="39" t="s">
        <v>5925</v>
      </c>
      <c r="B795" s="13"/>
      <c r="C795" s="13"/>
      <c r="D795" s="46" t="s">
        <v>5926</v>
      </c>
      <c r="E795" s="39" t="s">
        <v>5279</v>
      </c>
      <c r="F795" s="39" t="s">
        <v>5927</v>
      </c>
      <c r="G795" s="39" t="s">
        <v>5858</v>
      </c>
      <c r="H795" s="13"/>
      <c r="I795" s="39" t="s">
        <v>5047</v>
      </c>
      <c r="J795" s="39" t="s">
        <v>5167</v>
      </c>
      <c r="K795" s="13"/>
      <c r="L795" s="39" t="s">
        <v>5812</v>
      </c>
    </row>
    <row r="796" spans="1:12">
      <c r="A796" s="39" t="s">
        <v>5928</v>
      </c>
      <c r="B796" s="13"/>
      <c r="C796" s="13"/>
      <c r="D796" s="39" t="s">
        <v>5929</v>
      </c>
      <c r="E796" s="39" t="s">
        <v>5910</v>
      </c>
      <c r="F796" s="39" t="s">
        <v>5930</v>
      </c>
      <c r="G796" s="39" t="s">
        <v>1274</v>
      </c>
      <c r="H796" s="13"/>
      <c r="I796" s="39" t="s">
        <v>5041</v>
      </c>
      <c r="J796" s="39" t="s">
        <v>5190</v>
      </c>
      <c r="K796" s="13"/>
      <c r="L796" s="39" t="s">
        <v>5931</v>
      </c>
    </row>
    <row r="797" spans="1:12">
      <c r="A797" s="39" t="s">
        <v>2596</v>
      </c>
      <c r="B797" s="13"/>
      <c r="C797" s="13"/>
      <c r="D797" s="39" t="s">
        <v>5932</v>
      </c>
      <c r="E797" s="39" t="s">
        <v>5933</v>
      </c>
      <c r="F797" s="39" t="s">
        <v>5934</v>
      </c>
      <c r="G797" s="39" t="s">
        <v>5935</v>
      </c>
      <c r="H797" s="13"/>
      <c r="I797" s="39" t="s">
        <v>5054</v>
      </c>
      <c r="J797" s="39" t="s">
        <v>5936</v>
      </c>
      <c r="K797" s="13"/>
      <c r="L797" s="39" t="s">
        <v>5937</v>
      </c>
    </row>
    <row r="798" spans="1:12">
      <c r="A798" s="36"/>
      <c r="B798" s="13"/>
      <c r="C798" s="13"/>
      <c r="D798" s="39" t="s">
        <v>5938</v>
      </c>
      <c r="E798" s="39" t="s">
        <v>5918</v>
      </c>
      <c r="F798" s="39" t="s">
        <v>5939</v>
      </c>
      <c r="G798" s="39" t="s">
        <v>5940</v>
      </c>
      <c r="H798" s="13"/>
      <c r="I798" s="39" t="s">
        <v>5061</v>
      </c>
      <c r="J798" s="39" t="s">
        <v>3794</v>
      </c>
      <c r="K798" s="13"/>
      <c r="L798" s="39" t="s">
        <v>4381</v>
      </c>
    </row>
    <row r="799" spans="1:12">
      <c r="A799" s="39" t="s">
        <v>5941</v>
      </c>
      <c r="B799" s="13"/>
      <c r="C799" s="13"/>
      <c r="D799" s="39" t="s">
        <v>3273</v>
      </c>
      <c r="E799" s="39" t="s">
        <v>5922</v>
      </c>
      <c r="F799" s="39" t="s">
        <v>5942</v>
      </c>
      <c r="G799" s="39" t="s">
        <v>5943</v>
      </c>
      <c r="H799" s="13"/>
      <c r="I799" s="39" t="s">
        <v>5066</v>
      </c>
      <c r="J799" s="39" t="s">
        <v>3782</v>
      </c>
      <c r="K799" s="13"/>
      <c r="L799" s="39" t="s">
        <v>5944</v>
      </c>
    </row>
    <row r="800" spans="1:12">
      <c r="A800" s="39" t="s">
        <v>2265</v>
      </c>
      <c r="B800" s="13"/>
      <c r="C800" s="13"/>
      <c r="D800" s="39" t="s">
        <v>5945</v>
      </c>
      <c r="E800" s="39" t="s">
        <v>5301</v>
      </c>
      <c r="F800" s="39"/>
      <c r="G800" s="39" t="s">
        <v>5946</v>
      </c>
      <c r="H800" s="13"/>
      <c r="I800" s="39" t="s">
        <v>5072</v>
      </c>
      <c r="J800" s="39" t="s">
        <v>5750</v>
      </c>
      <c r="K800" s="13"/>
      <c r="L800" s="39" t="s">
        <v>5947</v>
      </c>
    </row>
    <row r="801" spans="1:12">
      <c r="A801" s="36"/>
      <c r="B801" s="13"/>
      <c r="C801" s="13"/>
      <c r="D801" s="39" t="s">
        <v>5948</v>
      </c>
      <c r="E801" s="39" t="s">
        <v>5949</v>
      </c>
      <c r="F801" s="39" t="s">
        <v>5765</v>
      </c>
      <c r="G801" s="39" t="s">
        <v>5858</v>
      </c>
      <c r="H801" s="13"/>
      <c r="I801" s="39" t="s">
        <v>5079</v>
      </c>
      <c r="J801" s="39" t="s">
        <v>5950</v>
      </c>
      <c r="K801" s="13"/>
      <c r="L801" s="39" t="s">
        <v>5951</v>
      </c>
    </row>
    <row r="802" spans="1:12">
      <c r="A802" s="39" t="s">
        <v>1278</v>
      </c>
      <c r="B802" s="13"/>
      <c r="C802" s="13"/>
      <c r="D802" s="39" t="s">
        <v>5952</v>
      </c>
      <c r="E802" s="39" t="s">
        <v>5953</v>
      </c>
      <c r="F802" s="39" t="s">
        <v>5954</v>
      </c>
      <c r="G802" s="39" t="s">
        <v>1452</v>
      </c>
      <c r="H802" s="13"/>
      <c r="I802" s="39" t="s">
        <v>5087</v>
      </c>
      <c r="J802" s="39" t="s">
        <v>2237</v>
      </c>
      <c r="K802" s="13"/>
      <c r="L802" s="39" t="s">
        <v>5135</v>
      </c>
    </row>
    <row r="803" spans="1:12">
      <c r="A803" s="39" t="s">
        <v>5955</v>
      </c>
      <c r="B803" s="13"/>
      <c r="C803" s="13"/>
      <c r="D803" s="39" t="s">
        <v>2626</v>
      </c>
      <c r="E803" s="39" t="s">
        <v>5279</v>
      </c>
      <c r="F803" s="39"/>
      <c r="G803" s="39" t="s">
        <v>5956</v>
      </c>
      <c r="H803" s="13"/>
      <c r="I803" s="39" t="s">
        <v>5093</v>
      </c>
      <c r="J803" s="39" t="s">
        <v>5957</v>
      </c>
      <c r="K803" s="13"/>
      <c r="L803" s="39" t="s">
        <v>2596</v>
      </c>
    </row>
    <row r="804" spans="1:12">
      <c r="A804" s="36"/>
      <c r="B804" s="13"/>
      <c r="C804" s="13"/>
      <c r="D804" s="39" t="s">
        <v>2596</v>
      </c>
      <c r="E804" s="39" t="s">
        <v>5958</v>
      </c>
      <c r="F804" s="39" t="s">
        <v>5959</v>
      </c>
      <c r="G804" s="39" t="s">
        <v>3680</v>
      </c>
      <c r="H804" s="13"/>
      <c r="I804" s="39" t="s">
        <v>5960</v>
      </c>
      <c r="J804" s="39" t="s">
        <v>2265</v>
      </c>
      <c r="K804" s="13"/>
      <c r="L804" s="39" t="s">
        <v>5961</v>
      </c>
    </row>
    <row r="805" spans="1:12">
      <c r="A805" s="39" t="s">
        <v>4718</v>
      </c>
      <c r="B805" s="13"/>
      <c r="C805" s="13"/>
      <c r="D805" s="39"/>
      <c r="E805" s="39" t="s">
        <v>5962</v>
      </c>
      <c r="F805" s="39" t="s">
        <v>5233</v>
      </c>
      <c r="G805" s="39" t="s">
        <v>1452</v>
      </c>
      <c r="H805" s="13"/>
      <c r="I805" s="39" t="s">
        <v>5105</v>
      </c>
      <c r="J805" s="39" t="s">
        <v>1259</v>
      </c>
      <c r="K805" s="13"/>
      <c r="L805" s="39" t="s">
        <v>2265</v>
      </c>
    </row>
    <row r="806" spans="1:12">
      <c r="A806" s="142" t="s">
        <v>4855</v>
      </c>
      <c r="B806" s="13"/>
      <c r="C806" s="13"/>
      <c r="D806" s="46" t="s">
        <v>5963</v>
      </c>
      <c r="E806" s="39" t="s">
        <v>5964</v>
      </c>
      <c r="F806" s="39"/>
      <c r="G806" s="39" t="s">
        <v>1452</v>
      </c>
      <c r="H806" s="13"/>
      <c r="I806" s="39" t="s">
        <v>5111</v>
      </c>
      <c r="J806" s="39" t="s">
        <v>5965</v>
      </c>
      <c r="K806" s="13"/>
      <c r="L806" s="39" t="s">
        <v>5966</v>
      </c>
    </row>
    <row r="807" spans="1:12">
      <c r="A807" s="142" t="s">
        <v>5967</v>
      </c>
      <c r="B807" s="13"/>
      <c r="C807" s="13"/>
      <c r="D807" s="39" t="s">
        <v>5584</v>
      </c>
      <c r="E807" s="39" t="s">
        <v>5301</v>
      </c>
      <c r="F807" s="39" t="s">
        <v>5968</v>
      </c>
      <c r="G807" s="39" t="s">
        <v>5969</v>
      </c>
      <c r="H807" s="13"/>
      <c r="I807" s="39" t="s">
        <v>5115</v>
      </c>
      <c r="J807" s="39" t="s">
        <v>2756</v>
      </c>
      <c r="K807" s="13"/>
      <c r="L807" s="39" t="s">
        <v>5970</v>
      </c>
    </row>
    <row r="808" spans="1:12">
      <c r="A808" s="142" t="s">
        <v>5971</v>
      </c>
      <c r="B808" s="13"/>
      <c r="C808" s="13"/>
      <c r="D808" s="39" t="s">
        <v>5589</v>
      </c>
      <c r="E808" s="39" t="s">
        <v>5972</v>
      </c>
      <c r="F808" s="39" t="s">
        <v>5681</v>
      </c>
      <c r="G808" s="39" t="s">
        <v>1281</v>
      </c>
      <c r="H808" s="13"/>
      <c r="I808" s="39" t="s">
        <v>5122</v>
      </c>
      <c r="J808" s="39" t="s">
        <v>2263</v>
      </c>
      <c r="K808" s="13"/>
      <c r="L808" s="39" t="s">
        <v>3221</v>
      </c>
    </row>
    <row r="809" spans="1:12">
      <c r="A809" s="143"/>
      <c r="B809" s="13"/>
      <c r="C809" s="13"/>
      <c r="D809" s="39" t="s">
        <v>5973</v>
      </c>
      <c r="E809" s="39" t="s">
        <v>5882</v>
      </c>
      <c r="F809" s="39" t="s">
        <v>5974</v>
      </c>
      <c r="G809" s="39" t="s">
        <v>5975</v>
      </c>
      <c r="H809" s="13"/>
      <c r="I809" s="39" t="s">
        <v>5128</v>
      </c>
      <c r="J809" s="39" t="s">
        <v>2920</v>
      </c>
      <c r="K809" s="13"/>
      <c r="L809" s="39" t="s">
        <v>5976</v>
      </c>
    </row>
    <row r="810" spans="1:12">
      <c r="A810" s="142" t="s">
        <v>5977</v>
      </c>
      <c r="B810" s="13"/>
      <c r="C810" s="13"/>
      <c r="D810" s="39" t="s">
        <v>5599</v>
      </c>
      <c r="E810" s="39" t="s">
        <v>5886</v>
      </c>
      <c r="F810" s="39" t="s">
        <v>5978</v>
      </c>
      <c r="G810" s="39" t="s">
        <v>1281</v>
      </c>
      <c r="H810" s="13"/>
      <c r="I810" s="39" t="s">
        <v>5072</v>
      </c>
      <c r="J810" s="39" t="s">
        <v>2930</v>
      </c>
      <c r="K810" s="13"/>
      <c r="L810" s="39" t="s">
        <v>5979</v>
      </c>
    </row>
    <row r="811" spans="1:12">
      <c r="A811" s="142" t="s">
        <v>5980</v>
      </c>
      <c r="B811" s="13"/>
      <c r="C811" s="13"/>
      <c r="D811" s="39" t="s">
        <v>4888</v>
      </c>
      <c r="E811" s="39" t="s">
        <v>5981</v>
      </c>
      <c r="F811" s="39" t="s">
        <v>1273</v>
      </c>
      <c r="G811" s="39" t="s">
        <v>5982</v>
      </c>
      <c r="H811" s="13"/>
      <c r="I811" s="39" t="s">
        <v>5137</v>
      </c>
      <c r="J811" s="39" t="s">
        <v>2936</v>
      </c>
      <c r="K811" s="13"/>
      <c r="L811" s="39" t="s">
        <v>5983</v>
      </c>
    </row>
    <row r="812" spans="1:12">
      <c r="A812" s="142" t="s">
        <v>5984</v>
      </c>
      <c r="B812" s="13"/>
      <c r="C812" s="13"/>
      <c r="D812" s="39" t="s">
        <v>5584</v>
      </c>
      <c r="E812" s="39" t="s">
        <v>5894</v>
      </c>
      <c r="F812" s="39" t="s">
        <v>5985</v>
      </c>
      <c r="G812" s="39" t="s">
        <v>5986</v>
      </c>
      <c r="H812" s="13"/>
      <c r="I812" s="39" t="s">
        <v>5111</v>
      </c>
      <c r="J812" s="39" t="s">
        <v>2946</v>
      </c>
      <c r="K812" s="13"/>
      <c r="L812" s="39" t="s">
        <v>5979</v>
      </c>
    </row>
    <row r="813" spans="1:12">
      <c r="A813" s="142" t="s">
        <v>5987</v>
      </c>
      <c r="B813" s="13"/>
      <c r="C813" s="13"/>
      <c r="D813" s="39" t="s">
        <v>5988</v>
      </c>
      <c r="E813" s="39" t="s">
        <v>5900</v>
      </c>
      <c r="F813" s="39" t="s">
        <v>5989</v>
      </c>
      <c r="G813" s="39" t="s">
        <v>5990</v>
      </c>
      <c r="H813" s="13"/>
      <c r="I813" s="39" t="s">
        <v>5148</v>
      </c>
      <c r="J813" s="39" t="s">
        <v>2953</v>
      </c>
      <c r="K813" s="13"/>
      <c r="L813" s="39" t="s">
        <v>5991</v>
      </c>
    </row>
    <row r="814" spans="1:12">
      <c r="A814" s="142" t="s">
        <v>5992</v>
      </c>
      <c r="B814" s="13"/>
      <c r="C814" s="13"/>
      <c r="D814" s="39" t="s">
        <v>5993</v>
      </c>
      <c r="E814" s="39" t="s">
        <v>5949</v>
      </c>
      <c r="F814" s="39" t="s">
        <v>1273</v>
      </c>
      <c r="G814" s="39" t="s">
        <v>5994</v>
      </c>
      <c r="H814" s="13"/>
      <c r="I814" s="39" t="s">
        <v>5122</v>
      </c>
      <c r="J814" s="39" t="s">
        <v>2959</v>
      </c>
      <c r="K814" s="13"/>
      <c r="L814" s="39" t="s">
        <v>5995</v>
      </c>
    </row>
    <row r="815" spans="1:12">
      <c r="A815" s="142" t="s">
        <v>5996</v>
      </c>
      <c r="B815" s="13"/>
      <c r="C815" s="13"/>
      <c r="D815" s="39" t="s">
        <v>5997</v>
      </c>
      <c r="E815" s="39" t="s">
        <v>5998</v>
      </c>
      <c r="F815" s="39" t="s">
        <v>5999</v>
      </c>
      <c r="G815" s="39" t="s">
        <v>6000</v>
      </c>
      <c r="H815" s="13"/>
      <c r="I815" s="39" t="s">
        <v>5128</v>
      </c>
      <c r="J815" s="39" t="s">
        <v>2966</v>
      </c>
      <c r="K815" s="13"/>
      <c r="L815" s="39" t="s">
        <v>4508</v>
      </c>
    </row>
    <row r="816" spans="1:12">
      <c r="A816" s="142" t="s">
        <v>6001</v>
      </c>
      <c r="B816" s="13"/>
      <c r="C816" s="13"/>
      <c r="D816" s="39" t="s">
        <v>4888</v>
      </c>
      <c r="E816" s="39" t="s">
        <v>5279</v>
      </c>
      <c r="F816" s="39" t="s">
        <v>6002</v>
      </c>
      <c r="G816" s="39" t="s">
        <v>6003</v>
      </c>
      <c r="H816" s="13"/>
      <c r="I816" s="39" t="s">
        <v>5072</v>
      </c>
      <c r="J816" s="39" t="s">
        <v>2973</v>
      </c>
      <c r="K816" s="13"/>
      <c r="L816" s="39" t="s">
        <v>3221</v>
      </c>
    </row>
    <row r="817" spans="1:12">
      <c r="A817" s="142" t="s">
        <v>1548</v>
      </c>
      <c r="B817" s="13"/>
      <c r="C817" s="13"/>
      <c r="D817" s="39"/>
      <c r="E817" s="39" t="s">
        <v>5958</v>
      </c>
      <c r="F817" s="39" t="s">
        <v>2424</v>
      </c>
      <c r="G817" s="39" t="s">
        <v>6004</v>
      </c>
      <c r="H817" s="13"/>
      <c r="I817" s="39" t="s">
        <v>5137</v>
      </c>
      <c r="J817" s="39" t="s">
        <v>2930</v>
      </c>
      <c r="K817" s="13"/>
      <c r="L817" s="39" t="s">
        <v>6005</v>
      </c>
    </row>
    <row r="818" spans="1:12">
      <c r="A818" s="142" t="s">
        <v>6006</v>
      </c>
      <c r="B818" s="13"/>
      <c r="C818" s="13"/>
      <c r="D818" s="39" t="s">
        <v>6007</v>
      </c>
      <c r="E818" s="39" t="s">
        <v>6008</v>
      </c>
      <c r="F818" s="39" t="s">
        <v>6009</v>
      </c>
      <c r="G818" s="39" t="s">
        <v>6010</v>
      </c>
      <c r="H818" s="13"/>
      <c r="I818" s="39" t="s">
        <v>5111</v>
      </c>
      <c r="J818" s="39" t="s">
        <v>2984</v>
      </c>
      <c r="K818" s="13"/>
      <c r="L818" s="39" t="s">
        <v>5979</v>
      </c>
    </row>
    <row r="819" spans="1:12">
      <c r="A819" s="143"/>
      <c r="B819" s="13"/>
      <c r="C819" s="13"/>
      <c r="D819" s="39" t="s">
        <v>5613</v>
      </c>
      <c r="E819" s="39" t="s">
        <v>5964</v>
      </c>
      <c r="F819" s="39" t="s">
        <v>6011</v>
      </c>
      <c r="G819" s="39" t="s">
        <v>6012</v>
      </c>
      <c r="H819" s="13"/>
      <c r="I819" s="39" t="s">
        <v>5180</v>
      </c>
      <c r="J819" s="39" t="s">
        <v>2991</v>
      </c>
      <c r="K819" s="13"/>
      <c r="L819" s="39" t="s">
        <v>6013</v>
      </c>
    </row>
    <row r="820" spans="1:12">
      <c r="A820" s="142" t="s">
        <v>6014</v>
      </c>
      <c r="B820" s="13"/>
      <c r="C820" s="13"/>
      <c r="D820" s="39" t="s">
        <v>6015</v>
      </c>
      <c r="E820" s="39" t="s">
        <v>5301</v>
      </c>
      <c r="F820" s="39" t="s">
        <v>2596</v>
      </c>
      <c r="G820" s="39" t="s">
        <v>6016</v>
      </c>
      <c r="H820" s="13"/>
      <c r="I820" s="39" t="s">
        <v>5185</v>
      </c>
      <c r="J820" s="39" t="s">
        <v>4587</v>
      </c>
      <c r="K820" s="13"/>
      <c r="L820" s="39" t="s">
        <v>5979</v>
      </c>
    </row>
    <row r="821" spans="1:12">
      <c r="A821" s="142" t="s">
        <v>6017</v>
      </c>
      <c r="B821" s="13"/>
      <c r="C821" s="13"/>
      <c r="D821" s="39" t="s">
        <v>6018</v>
      </c>
      <c r="E821" s="39" t="s">
        <v>5232</v>
      </c>
      <c r="F821" s="39"/>
      <c r="G821" s="39" t="s">
        <v>1452</v>
      </c>
      <c r="H821" s="13"/>
      <c r="I821" s="39" t="s">
        <v>5189</v>
      </c>
      <c r="J821" s="39" t="s">
        <v>2991</v>
      </c>
      <c r="K821" s="13"/>
      <c r="L821" s="39" t="s">
        <v>6019</v>
      </c>
    </row>
    <row r="822" spans="1:12">
      <c r="A822" s="142" t="s">
        <v>6020</v>
      </c>
      <c r="B822" s="13"/>
      <c r="C822" s="13"/>
      <c r="D822" s="39" t="s">
        <v>6021</v>
      </c>
      <c r="E822" s="39" t="s">
        <v>6022</v>
      </c>
      <c r="F822" s="39" t="s">
        <v>6023</v>
      </c>
      <c r="G822" s="39" t="s">
        <v>5643</v>
      </c>
      <c r="H822" s="13"/>
      <c r="I822" s="39" t="s">
        <v>5197</v>
      </c>
      <c r="J822" s="39" t="s">
        <v>2966</v>
      </c>
      <c r="K822" s="13"/>
      <c r="L822" s="39" t="s">
        <v>6024</v>
      </c>
    </row>
    <row r="823" spans="1:12">
      <c r="A823" s="142" t="s">
        <v>6025</v>
      </c>
      <c r="B823" s="13"/>
      <c r="C823" s="13"/>
      <c r="D823" s="39" t="s">
        <v>6026</v>
      </c>
      <c r="E823" s="39" t="s">
        <v>6027</v>
      </c>
      <c r="F823" s="39" t="s">
        <v>2265</v>
      </c>
      <c r="G823" s="39" t="s">
        <v>6028</v>
      </c>
      <c r="H823" s="13"/>
      <c r="I823" s="39" t="s">
        <v>5072</v>
      </c>
      <c r="J823" s="39" t="s">
        <v>4653</v>
      </c>
      <c r="K823" s="13"/>
      <c r="L823" s="39" t="s">
        <v>4508</v>
      </c>
    </row>
    <row r="824" spans="1:12">
      <c r="A824" s="142" t="s">
        <v>6029</v>
      </c>
      <c r="B824" s="13"/>
      <c r="C824" s="13"/>
      <c r="D824" s="39" t="s">
        <v>6030</v>
      </c>
      <c r="E824" s="39" t="s">
        <v>6031</v>
      </c>
      <c r="F824" s="39"/>
      <c r="G824" s="110" t="s">
        <v>6032</v>
      </c>
      <c r="H824" s="13"/>
      <c r="I824" s="39" t="s">
        <v>5206</v>
      </c>
      <c r="J824" s="39" t="s">
        <v>4658</v>
      </c>
      <c r="K824" s="13"/>
      <c r="L824" s="39" t="s">
        <v>6033</v>
      </c>
    </row>
    <row r="825" spans="1:12">
      <c r="A825" s="36"/>
      <c r="B825" s="13"/>
      <c r="C825" s="13"/>
      <c r="D825" s="39"/>
      <c r="E825" s="39" t="s">
        <v>6034</v>
      </c>
      <c r="F825" s="39"/>
      <c r="G825" s="39" t="s">
        <v>4263</v>
      </c>
      <c r="H825" s="13"/>
      <c r="I825" s="39" t="s">
        <v>5111</v>
      </c>
      <c r="J825" s="39" t="s">
        <v>4664</v>
      </c>
      <c r="K825" s="13"/>
      <c r="L825" s="39" t="s">
        <v>6035</v>
      </c>
    </row>
    <row r="826" spans="1:12">
      <c r="A826" s="39" t="s">
        <v>6036</v>
      </c>
      <c r="B826" s="13"/>
      <c r="C826" s="13"/>
      <c r="D826" s="46" t="s">
        <v>6037</v>
      </c>
      <c r="E826" s="39" t="s">
        <v>5894</v>
      </c>
      <c r="F826" s="39" t="s">
        <v>6038</v>
      </c>
      <c r="G826" s="39" t="s">
        <v>6039</v>
      </c>
      <c r="H826" s="13"/>
      <c r="I826" s="39" t="s">
        <v>5217</v>
      </c>
      <c r="J826" s="39" t="s">
        <v>4669</v>
      </c>
      <c r="K826" s="13"/>
      <c r="L826" s="39" t="s">
        <v>6040</v>
      </c>
    </row>
    <row r="827" spans="1:12">
      <c r="A827" s="39" t="s">
        <v>6041</v>
      </c>
      <c r="B827" s="13"/>
      <c r="C827" s="13"/>
      <c r="D827" s="39" t="s">
        <v>5584</v>
      </c>
      <c r="E827" s="39" t="s">
        <v>3270</v>
      </c>
      <c r="F827" s="39" t="s">
        <v>1280</v>
      </c>
      <c r="G827" s="110" t="s">
        <v>6042</v>
      </c>
      <c r="H827" s="13"/>
      <c r="I827" s="39" t="s">
        <v>5223</v>
      </c>
      <c r="J827" s="39" t="s">
        <v>4677</v>
      </c>
      <c r="K827" s="13"/>
      <c r="L827" s="39" t="s">
        <v>6043</v>
      </c>
    </row>
    <row r="828" spans="1:12">
      <c r="A828" s="39" t="s">
        <v>6044</v>
      </c>
      <c r="B828" s="13"/>
      <c r="C828" s="13"/>
      <c r="D828" s="39" t="s">
        <v>5589</v>
      </c>
      <c r="E828" s="39" t="s">
        <v>6045</v>
      </c>
      <c r="F828" s="39" t="s">
        <v>6046</v>
      </c>
      <c r="G828" s="39" t="s">
        <v>3281</v>
      </c>
      <c r="H828" s="13"/>
      <c r="I828" s="39" t="s">
        <v>5229</v>
      </c>
      <c r="J828" s="39" t="s">
        <v>4669</v>
      </c>
      <c r="K828" s="13"/>
      <c r="L828" s="39" t="s">
        <v>6047</v>
      </c>
    </row>
    <row r="829" spans="1:12">
      <c r="A829" s="39" t="s">
        <v>4232</v>
      </c>
      <c r="B829" s="13"/>
      <c r="C829" s="13"/>
      <c r="D829" s="39" t="s">
        <v>6048</v>
      </c>
      <c r="E829" s="39" t="s">
        <v>6049</v>
      </c>
      <c r="F829" s="39" t="s">
        <v>1280</v>
      </c>
      <c r="G829" s="39" t="s">
        <v>1274</v>
      </c>
      <c r="H829" s="13"/>
      <c r="I829" s="39" t="s">
        <v>5020</v>
      </c>
      <c r="J829" s="39" t="s">
        <v>4690</v>
      </c>
      <c r="K829" s="13"/>
      <c r="L829" s="39" t="s">
        <v>6050</v>
      </c>
    </row>
    <row r="830" spans="1:12">
      <c r="A830" s="36"/>
      <c r="B830" s="13"/>
      <c r="C830" s="13"/>
      <c r="D830" s="39" t="s">
        <v>5599</v>
      </c>
      <c r="E830" s="39" t="s">
        <v>6051</v>
      </c>
      <c r="F830" s="39" t="s">
        <v>6052</v>
      </c>
      <c r="G830" s="39" t="s">
        <v>6053</v>
      </c>
      <c r="H830" s="13"/>
      <c r="I830" s="39"/>
      <c r="J830" s="39" t="s">
        <v>3003</v>
      </c>
      <c r="K830" s="13"/>
      <c r="L830" s="39" t="s">
        <v>6054</v>
      </c>
    </row>
    <row r="831" spans="1:12">
      <c r="A831" s="39" t="s">
        <v>4999</v>
      </c>
      <c r="B831" s="13"/>
      <c r="C831" s="13"/>
      <c r="D831" s="39" t="s">
        <v>4888</v>
      </c>
      <c r="E831" s="39" t="s">
        <v>5918</v>
      </c>
      <c r="F831" s="39" t="s">
        <v>6055</v>
      </c>
      <c r="G831" s="39" t="s">
        <v>6056</v>
      </c>
      <c r="H831" s="13"/>
      <c r="I831" s="39" t="s">
        <v>6057</v>
      </c>
      <c r="J831" s="39" t="s">
        <v>2930</v>
      </c>
      <c r="K831" s="13"/>
      <c r="L831" s="39" t="s">
        <v>6058</v>
      </c>
    </row>
    <row r="832" spans="1:12">
      <c r="A832" s="39" t="s">
        <v>6059</v>
      </c>
      <c r="B832" s="13"/>
      <c r="C832" s="13"/>
      <c r="D832" s="39" t="s">
        <v>5584</v>
      </c>
      <c r="E832" s="39" t="s">
        <v>2805</v>
      </c>
      <c r="F832" s="39" t="s">
        <v>6060</v>
      </c>
      <c r="G832" s="39" t="s">
        <v>1274</v>
      </c>
      <c r="H832" s="13"/>
      <c r="I832" s="39" t="s">
        <v>3603</v>
      </c>
      <c r="J832" s="39" t="s">
        <v>3018</v>
      </c>
      <c r="K832" s="13"/>
      <c r="L832" s="39"/>
    </row>
    <row r="833" spans="1:12">
      <c r="A833" s="39" t="s">
        <v>6061</v>
      </c>
      <c r="B833" s="13"/>
      <c r="C833" s="13"/>
      <c r="D833" s="39" t="s">
        <v>5988</v>
      </c>
      <c r="E833" s="39" t="s">
        <v>2836</v>
      </c>
      <c r="F833" s="39"/>
      <c r="G833" s="39" t="s">
        <v>6062</v>
      </c>
      <c r="H833" s="13"/>
      <c r="I833" s="39" t="s">
        <v>6063</v>
      </c>
      <c r="J833" s="39" t="s">
        <v>3025</v>
      </c>
      <c r="K833" s="13"/>
      <c r="L833" s="39"/>
    </row>
    <row r="834" spans="1:12">
      <c r="A834" s="39" t="s">
        <v>6064</v>
      </c>
      <c r="B834" s="13"/>
      <c r="C834" s="13"/>
      <c r="D834" s="39" t="s">
        <v>6065</v>
      </c>
      <c r="E834" s="39" t="s">
        <v>6066</v>
      </c>
      <c r="F834" s="39" t="s">
        <v>6067</v>
      </c>
      <c r="G834" s="39" t="s">
        <v>6068</v>
      </c>
      <c r="H834" s="13"/>
      <c r="I834" s="39" t="s">
        <v>5252</v>
      </c>
      <c r="J834" s="39" t="s">
        <v>4627</v>
      </c>
      <c r="K834" s="13"/>
      <c r="L834" s="39" t="s">
        <v>6069</v>
      </c>
    </row>
    <row r="835" spans="1:12">
      <c r="A835" s="39" t="s">
        <v>6070</v>
      </c>
      <c r="B835" s="13"/>
      <c r="C835" s="13"/>
      <c r="D835" s="39" t="s">
        <v>5997</v>
      </c>
      <c r="E835" s="39" t="s">
        <v>6071</v>
      </c>
      <c r="F835" s="39" t="s">
        <v>6072</v>
      </c>
      <c r="G835" s="39" t="s">
        <v>6073</v>
      </c>
      <c r="H835" s="13"/>
      <c r="I835" s="39" t="s">
        <v>5167</v>
      </c>
      <c r="J835" s="39" t="s">
        <v>6074</v>
      </c>
      <c r="K835" s="13"/>
      <c r="L835" s="39" t="s">
        <v>2265</v>
      </c>
    </row>
    <row r="836" spans="1:12">
      <c r="A836" s="39" t="s">
        <v>6075</v>
      </c>
      <c r="B836" s="13"/>
      <c r="C836" s="13"/>
      <c r="D836" s="39" t="s">
        <v>4888</v>
      </c>
      <c r="E836" s="39" t="s">
        <v>2809</v>
      </c>
      <c r="F836" s="39"/>
      <c r="G836" s="39" t="s">
        <v>6076</v>
      </c>
      <c r="H836" s="13"/>
      <c r="I836" s="39" t="s">
        <v>5190</v>
      </c>
      <c r="J836" s="39" t="s">
        <v>3033</v>
      </c>
      <c r="K836" s="13"/>
      <c r="L836" s="39" t="s">
        <v>1278</v>
      </c>
    </row>
    <row r="837" spans="1:12">
      <c r="A837" s="39" t="s">
        <v>6077</v>
      </c>
      <c r="B837" s="13"/>
      <c r="C837" s="13"/>
      <c r="D837" s="39"/>
      <c r="E837" s="39" t="s">
        <v>6078</v>
      </c>
      <c r="F837" s="39" t="s">
        <v>6079</v>
      </c>
      <c r="G837" s="39" t="s">
        <v>6080</v>
      </c>
      <c r="H837" s="13"/>
      <c r="I837" s="39" t="s">
        <v>6081</v>
      </c>
      <c r="J837" s="39" t="s">
        <v>3041</v>
      </c>
      <c r="K837" s="13"/>
      <c r="L837" s="39" t="s">
        <v>1278</v>
      </c>
    </row>
    <row r="838" spans="1:12">
      <c r="A838" s="39" t="s">
        <v>6082</v>
      </c>
      <c r="B838" s="13"/>
      <c r="C838" s="13"/>
      <c r="D838" s="39" t="s">
        <v>6083</v>
      </c>
      <c r="E838" s="39" t="s">
        <v>6084</v>
      </c>
      <c r="F838" s="39"/>
      <c r="G838" s="39" t="s">
        <v>6085</v>
      </c>
      <c r="H838" s="13"/>
      <c r="I838" s="110" t="s">
        <v>6086</v>
      </c>
      <c r="J838" s="39" t="s">
        <v>2966</v>
      </c>
      <c r="K838" s="13"/>
      <c r="L838" s="39" t="s">
        <v>1273</v>
      </c>
    </row>
    <row r="839" spans="1:12">
      <c r="A839" s="39" t="s">
        <v>6087</v>
      </c>
      <c r="B839" s="13"/>
      <c r="C839" s="13"/>
      <c r="D839" s="39" t="s">
        <v>5613</v>
      </c>
      <c r="E839" s="39" t="s">
        <v>2799</v>
      </c>
      <c r="F839" s="39" t="s">
        <v>5172</v>
      </c>
      <c r="G839" s="39" t="s">
        <v>6088</v>
      </c>
      <c r="H839" s="13"/>
      <c r="I839" s="39" t="s">
        <v>5424</v>
      </c>
      <c r="J839" s="39" t="s">
        <v>3057</v>
      </c>
      <c r="K839" s="13"/>
      <c r="L839" s="39" t="s">
        <v>1278</v>
      </c>
    </row>
    <row r="840" spans="1:12">
      <c r="A840" s="39" t="s">
        <v>6089</v>
      </c>
      <c r="B840" s="13"/>
      <c r="C840" s="13"/>
      <c r="D840" s="39" t="s">
        <v>6090</v>
      </c>
      <c r="E840" s="39" t="s">
        <v>2836</v>
      </c>
      <c r="F840" s="39" t="s">
        <v>6091</v>
      </c>
      <c r="G840" s="39" t="s">
        <v>1452</v>
      </c>
      <c r="H840" s="13"/>
      <c r="I840" s="39"/>
      <c r="J840" s="39" t="s">
        <v>2930</v>
      </c>
      <c r="K840" s="13"/>
      <c r="L840" s="39" t="s">
        <v>1278</v>
      </c>
    </row>
    <row r="841" spans="1:12">
      <c r="A841" s="39" t="s">
        <v>6092</v>
      </c>
      <c r="B841" s="13"/>
      <c r="C841" s="13"/>
      <c r="D841" s="39" t="s">
        <v>6093</v>
      </c>
      <c r="E841" s="39" t="s">
        <v>4888</v>
      </c>
      <c r="F841" s="39" t="s">
        <v>6094</v>
      </c>
      <c r="G841" s="39" t="s">
        <v>5249</v>
      </c>
      <c r="H841" s="13"/>
      <c r="I841" s="39" t="s">
        <v>5447</v>
      </c>
      <c r="J841" s="39" t="s">
        <v>3071</v>
      </c>
      <c r="K841" s="13"/>
      <c r="L841" s="39" t="s">
        <v>6095</v>
      </c>
    </row>
    <row r="842" spans="1:12">
      <c r="A842" s="39" t="s">
        <v>6096</v>
      </c>
      <c r="B842" s="13"/>
      <c r="C842" s="13"/>
      <c r="D842" s="39" t="s">
        <v>6021</v>
      </c>
      <c r="E842" s="39"/>
      <c r="F842" s="39"/>
      <c r="G842" s="39" t="s">
        <v>1452</v>
      </c>
      <c r="H842" s="13"/>
      <c r="I842" s="39" t="s">
        <v>5452</v>
      </c>
      <c r="J842" s="39" t="s">
        <v>3081</v>
      </c>
      <c r="K842" s="13"/>
      <c r="L842" s="39" t="s">
        <v>6097</v>
      </c>
    </row>
    <row r="843" spans="1:12">
      <c r="A843" s="39" t="s">
        <v>6098</v>
      </c>
      <c r="B843" s="13"/>
      <c r="C843" s="13"/>
      <c r="D843" s="39" t="s">
        <v>6099</v>
      </c>
      <c r="E843" s="39" t="s">
        <v>6100</v>
      </c>
      <c r="F843" s="39" t="s">
        <v>6101</v>
      </c>
      <c r="G843" s="39" t="s">
        <v>6102</v>
      </c>
      <c r="H843" s="13"/>
      <c r="I843" s="39" t="s">
        <v>5457</v>
      </c>
      <c r="J843" s="39" t="s">
        <v>2966</v>
      </c>
      <c r="K843" s="13"/>
      <c r="L843" s="39" t="s">
        <v>2263</v>
      </c>
    </row>
    <row r="844" spans="1:12">
      <c r="A844" s="39" t="s">
        <v>6103</v>
      </c>
      <c r="B844" s="13"/>
      <c r="C844" s="13"/>
      <c r="D844" s="39" t="s">
        <v>6104</v>
      </c>
      <c r="E844" s="39" t="s">
        <v>6105</v>
      </c>
      <c r="F844" s="39" t="s">
        <v>5381</v>
      </c>
      <c r="G844" s="39" t="s">
        <v>6106</v>
      </c>
      <c r="H844" s="13"/>
      <c r="I844" s="39" t="s">
        <v>5463</v>
      </c>
      <c r="J844" s="39" t="s">
        <v>3022</v>
      </c>
      <c r="K844" s="13"/>
      <c r="L844" s="39" t="s">
        <v>6107</v>
      </c>
    </row>
    <row r="845" spans="1:12">
      <c r="A845" s="39" t="s">
        <v>6108</v>
      </c>
      <c r="B845" s="13"/>
      <c r="C845" s="13"/>
      <c r="D845" s="39"/>
      <c r="E845" s="39"/>
      <c r="F845" s="39" t="s">
        <v>3736</v>
      </c>
      <c r="G845" s="39" t="s">
        <v>6109</v>
      </c>
      <c r="H845" s="13"/>
      <c r="I845" s="39" t="s">
        <v>5469</v>
      </c>
      <c r="J845" s="39" t="s">
        <v>4735</v>
      </c>
      <c r="K845" s="13"/>
      <c r="L845" s="39" t="s">
        <v>6110</v>
      </c>
    </row>
    <row r="846" spans="1:12">
      <c r="A846" s="39" t="s">
        <v>6111</v>
      </c>
      <c r="B846" s="13"/>
      <c r="C846" s="13"/>
      <c r="D846" s="46" t="s">
        <v>6112</v>
      </c>
      <c r="E846" s="39" t="s">
        <v>6113</v>
      </c>
      <c r="F846" s="39" t="s">
        <v>6114</v>
      </c>
      <c r="G846" s="39" t="s">
        <v>6115</v>
      </c>
      <c r="H846" s="13"/>
      <c r="I846" s="39" t="s">
        <v>5475</v>
      </c>
      <c r="J846" s="39" t="s">
        <v>4743</v>
      </c>
      <c r="K846" s="13"/>
      <c r="L846" s="39" t="s">
        <v>6116</v>
      </c>
    </row>
    <row r="847" spans="1:12">
      <c r="A847" s="39" t="s">
        <v>6117</v>
      </c>
      <c r="B847" s="13"/>
      <c r="C847" s="13"/>
      <c r="D847" s="46" t="s">
        <v>6118</v>
      </c>
      <c r="E847" s="39" t="s">
        <v>6119</v>
      </c>
      <c r="F847" s="39" t="s">
        <v>4078</v>
      </c>
      <c r="G847" s="39" t="s">
        <v>6120</v>
      </c>
      <c r="H847" s="13"/>
      <c r="I847" s="39" t="s">
        <v>5479</v>
      </c>
      <c r="J847" s="39" t="s">
        <v>2345</v>
      </c>
      <c r="K847" s="13"/>
      <c r="L847" s="39" t="s">
        <v>6121</v>
      </c>
    </row>
    <row r="848" spans="1:12">
      <c r="A848" s="36"/>
      <c r="B848" s="13"/>
      <c r="C848" s="13"/>
      <c r="D848" s="39" t="s">
        <v>6122</v>
      </c>
      <c r="E848" s="39" t="s">
        <v>6123</v>
      </c>
      <c r="F848" s="39" t="s">
        <v>1273</v>
      </c>
      <c r="G848" s="39" t="s">
        <v>6124</v>
      </c>
      <c r="H848" s="13"/>
      <c r="I848" s="39" t="s">
        <v>5484</v>
      </c>
      <c r="J848" s="39"/>
      <c r="K848" s="13"/>
      <c r="L848" s="39" t="s">
        <v>6125</v>
      </c>
    </row>
    <row r="849" spans="1:12">
      <c r="A849" s="39" t="s">
        <v>4726</v>
      </c>
      <c r="B849" s="13"/>
      <c r="C849" s="13"/>
      <c r="D849" s="39" t="s">
        <v>6126</v>
      </c>
      <c r="E849" s="39" t="s">
        <v>6127</v>
      </c>
      <c r="F849" s="39" t="s">
        <v>6128</v>
      </c>
      <c r="G849" s="39" t="s">
        <v>6129</v>
      </c>
      <c r="H849" s="13"/>
      <c r="I849" s="39" t="s">
        <v>5489</v>
      </c>
      <c r="J849" s="39" t="s">
        <v>2263</v>
      </c>
      <c r="K849" s="13"/>
      <c r="L849" s="39" t="s">
        <v>6130</v>
      </c>
    </row>
    <row r="850" spans="1:12">
      <c r="A850" s="39" t="s">
        <v>6131</v>
      </c>
      <c r="B850" s="13"/>
      <c r="C850" s="13"/>
      <c r="D850" s="39" t="s">
        <v>6132</v>
      </c>
      <c r="E850" s="39" t="s">
        <v>6133</v>
      </c>
      <c r="F850" s="39" t="s">
        <v>1273</v>
      </c>
      <c r="G850" s="39" t="s">
        <v>6134</v>
      </c>
      <c r="H850" s="13"/>
      <c r="I850" s="39" t="s">
        <v>5494</v>
      </c>
      <c r="J850" s="39" t="s">
        <v>4768</v>
      </c>
      <c r="K850" s="13"/>
      <c r="L850" s="39" t="s">
        <v>6135</v>
      </c>
    </row>
    <row r="851" spans="1:12">
      <c r="A851" s="39" t="s">
        <v>3054</v>
      </c>
      <c r="B851" s="13"/>
      <c r="C851" s="13"/>
      <c r="D851" s="39" t="s">
        <v>6136</v>
      </c>
      <c r="E851" s="39" t="s">
        <v>6137</v>
      </c>
      <c r="F851" s="39" t="s">
        <v>6138</v>
      </c>
      <c r="G851" s="39" t="s">
        <v>6139</v>
      </c>
      <c r="H851" s="13"/>
      <c r="I851" s="39" t="s">
        <v>5497</v>
      </c>
      <c r="J851" s="39" t="s">
        <v>4774</v>
      </c>
      <c r="K851" s="13"/>
      <c r="L851" s="39" t="s">
        <v>6140</v>
      </c>
    </row>
    <row r="852" spans="1:12">
      <c r="A852" s="36"/>
      <c r="B852" s="13"/>
      <c r="C852" s="13"/>
      <c r="D852" s="39" t="s">
        <v>6141</v>
      </c>
      <c r="E852" s="39" t="s">
        <v>1273</v>
      </c>
      <c r="F852" s="39" t="s">
        <v>6142</v>
      </c>
      <c r="G852" s="39" t="s">
        <v>6143</v>
      </c>
      <c r="H852" s="13"/>
      <c r="I852" s="39" t="s">
        <v>5502</v>
      </c>
      <c r="J852" s="39" t="s">
        <v>4783</v>
      </c>
      <c r="K852" s="13"/>
      <c r="L852" s="39" t="s">
        <v>6144</v>
      </c>
    </row>
    <row r="853" spans="1:12">
      <c r="A853" s="39" t="s">
        <v>6145</v>
      </c>
      <c r="B853" s="13"/>
      <c r="C853" s="13"/>
      <c r="D853" s="39" t="s">
        <v>6146</v>
      </c>
      <c r="E853" s="39" t="s">
        <v>6147</v>
      </c>
      <c r="F853" s="39" t="s">
        <v>6148</v>
      </c>
      <c r="G853" s="39" t="s">
        <v>1274</v>
      </c>
      <c r="H853" s="13"/>
      <c r="I853" s="39" t="s">
        <v>5506</v>
      </c>
      <c r="J853" s="39" t="s">
        <v>4774</v>
      </c>
      <c r="K853" s="13"/>
      <c r="L853" s="39" t="s">
        <v>6149</v>
      </c>
    </row>
    <row r="854" spans="1:12">
      <c r="A854" s="39" t="s">
        <v>2265</v>
      </c>
      <c r="B854" s="13"/>
      <c r="C854" s="13"/>
      <c r="D854" s="39" t="s">
        <v>6150</v>
      </c>
      <c r="E854" s="39" t="s">
        <v>6151</v>
      </c>
      <c r="F854" s="39" t="s">
        <v>6152</v>
      </c>
      <c r="G854" s="39" t="s">
        <v>6153</v>
      </c>
      <c r="H854" s="13"/>
      <c r="I854" s="39" t="s">
        <v>5509</v>
      </c>
      <c r="J854" s="39" t="s">
        <v>4795</v>
      </c>
      <c r="K854" s="13"/>
      <c r="L854" s="39" t="s">
        <v>6154</v>
      </c>
    </row>
    <row r="855" spans="1:12">
      <c r="A855" s="36"/>
      <c r="B855" s="13"/>
      <c r="C855" s="13"/>
      <c r="D855" s="39" t="s">
        <v>6155</v>
      </c>
      <c r="E855" s="39" t="s">
        <v>6156</v>
      </c>
      <c r="F855" s="39" t="s">
        <v>6157</v>
      </c>
      <c r="G855" s="39" t="s">
        <v>6158</v>
      </c>
      <c r="H855" s="13"/>
      <c r="I855" s="39"/>
      <c r="J855" s="39" t="s">
        <v>4803</v>
      </c>
      <c r="K855" s="13"/>
      <c r="L855" s="39" t="s">
        <v>6159</v>
      </c>
    </row>
    <row r="856" spans="1:12">
      <c r="A856" s="39" t="s">
        <v>1278</v>
      </c>
      <c r="B856" s="13"/>
      <c r="C856" s="13"/>
      <c r="D856" s="39"/>
      <c r="E856" s="39" t="s">
        <v>6160</v>
      </c>
      <c r="F856" s="39" t="s">
        <v>6161</v>
      </c>
      <c r="G856" s="39" t="s">
        <v>1274</v>
      </c>
      <c r="H856" s="13"/>
      <c r="I856" s="39" t="s">
        <v>5426</v>
      </c>
      <c r="J856" s="39" t="s">
        <v>4811</v>
      </c>
      <c r="K856" s="13"/>
      <c r="L856" s="39" t="s">
        <v>6162</v>
      </c>
    </row>
    <row r="857" spans="1:12">
      <c r="A857" s="39" t="s">
        <v>6163</v>
      </c>
      <c r="B857" s="13"/>
      <c r="C857" s="13"/>
      <c r="D857" s="39" t="s">
        <v>6164</v>
      </c>
      <c r="E857" s="39" t="s">
        <v>6127</v>
      </c>
      <c r="F857" s="39" t="s">
        <v>6165</v>
      </c>
      <c r="G857" s="39" t="s">
        <v>6166</v>
      </c>
      <c r="H857" s="13"/>
      <c r="I857" s="39" t="s">
        <v>5433</v>
      </c>
      <c r="J857" s="39" t="s">
        <v>4817</v>
      </c>
      <c r="K857" s="13"/>
      <c r="L857" s="39" t="s">
        <v>6167</v>
      </c>
    </row>
    <row r="858" spans="1:12">
      <c r="A858" s="36"/>
      <c r="B858" s="13"/>
      <c r="C858" s="13"/>
      <c r="D858" s="39"/>
      <c r="E858" s="39" t="s">
        <v>6137</v>
      </c>
      <c r="F858" s="39"/>
      <c r="G858" s="39" t="s">
        <v>6168</v>
      </c>
      <c r="H858" s="13"/>
      <c r="I858" s="39" t="s">
        <v>5516</v>
      </c>
      <c r="J858" s="39" t="s">
        <v>4824</v>
      </c>
      <c r="K858" s="13"/>
      <c r="L858" s="39" t="s">
        <v>6169</v>
      </c>
    </row>
    <row r="859" spans="1:12">
      <c r="A859" s="39" t="s">
        <v>6170</v>
      </c>
      <c r="B859" s="13"/>
      <c r="C859" s="13"/>
      <c r="D859" s="39" t="s">
        <v>6171</v>
      </c>
      <c r="E859" s="39"/>
      <c r="F859" s="39" t="s">
        <v>6172</v>
      </c>
      <c r="G859" s="39" t="s">
        <v>6173</v>
      </c>
      <c r="H859" s="13"/>
      <c r="I859" s="39" t="s">
        <v>5520</v>
      </c>
      <c r="J859" s="39" t="s">
        <v>4830</v>
      </c>
      <c r="K859" s="13"/>
      <c r="L859" s="39" t="s">
        <v>6174</v>
      </c>
    </row>
    <row r="860" spans="1:12">
      <c r="A860" s="39" t="s">
        <v>6175</v>
      </c>
      <c r="B860" s="13"/>
      <c r="C860" s="13"/>
      <c r="D860" s="39" t="s">
        <v>6176</v>
      </c>
      <c r="E860" s="39" t="s">
        <v>6177</v>
      </c>
      <c r="F860" s="39"/>
      <c r="G860" s="39" t="s">
        <v>5098</v>
      </c>
      <c r="H860" s="13"/>
      <c r="I860" s="39" t="s">
        <v>5526</v>
      </c>
      <c r="J860" s="39" t="s">
        <v>4836</v>
      </c>
      <c r="K860" s="13"/>
      <c r="L860" s="39" t="s">
        <v>6178</v>
      </c>
    </row>
    <row r="861" spans="1:12">
      <c r="A861" s="39" t="s">
        <v>6179</v>
      </c>
      <c r="B861" s="13"/>
      <c r="C861" s="13"/>
      <c r="D861" s="39" t="s">
        <v>6180</v>
      </c>
      <c r="E861" s="39" t="s">
        <v>2596</v>
      </c>
      <c r="F861" s="39" t="s">
        <v>6181</v>
      </c>
      <c r="G861" s="39" t="s">
        <v>6182</v>
      </c>
      <c r="H861" s="13"/>
      <c r="I861" s="39" t="s">
        <v>5528</v>
      </c>
      <c r="J861" s="39" t="s">
        <v>4842</v>
      </c>
      <c r="K861" s="13"/>
      <c r="L861" s="39" t="s">
        <v>6183</v>
      </c>
    </row>
    <row r="862" spans="1:12">
      <c r="A862" s="39" t="s">
        <v>6184</v>
      </c>
      <c r="B862" s="13"/>
      <c r="C862" s="13"/>
      <c r="D862" s="39" t="s">
        <v>6185</v>
      </c>
      <c r="E862" s="39"/>
      <c r="F862" s="39" t="s">
        <v>6186</v>
      </c>
      <c r="G862" s="39" t="s">
        <v>5110</v>
      </c>
      <c r="H862" s="13"/>
      <c r="I862" s="39" t="s">
        <v>5531</v>
      </c>
      <c r="J862" s="39" t="s">
        <v>4847</v>
      </c>
      <c r="K862" s="13"/>
      <c r="L862" s="39" t="s">
        <v>6187</v>
      </c>
    </row>
    <row r="863" spans="1:12">
      <c r="A863" s="39" t="s">
        <v>6188</v>
      </c>
      <c r="B863" s="13"/>
      <c r="C863" s="13"/>
      <c r="D863" s="39"/>
      <c r="E863" s="39" t="s">
        <v>6189</v>
      </c>
      <c r="F863" s="39" t="s">
        <v>6190</v>
      </c>
      <c r="G863" s="39" t="s">
        <v>1452</v>
      </c>
      <c r="H863" s="13"/>
      <c r="I863" s="39" t="s">
        <v>5536</v>
      </c>
      <c r="J863" s="39" t="s">
        <v>4852</v>
      </c>
      <c r="K863" s="13"/>
      <c r="L863" s="39" t="s">
        <v>6191</v>
      </c>
    </row>
    <row r="864" spans="1:12">
      <c r="A864" s="39" t="s">
        <v>6192</v>
      </c>
      <c r="B864" s="13"/>
      <c r="C864" s="13"/>
      <c r="D864" s="46" t="s">
        <v>6193</v>
      </c>
      <c r="E864" s="39" t="s">
        <v>6194</v>
      </c>
      <c r="F864" s="39" t="s">
        <v>6195</v>
      </c>
      <c r="G864" s="39" t="s">
        <v>6196</v>
      </c>
      <c r="H864" s="13"/>
      <c r="I864" s="39" t="s">
        <v>5538</v>
      </c>
      <c r="J864" s="39" t="s">
        <v>4859</v>
      </c>
      <c r="K864" s="13"/>
      <c r="L864" s="39" t="s">
        <v>6197</v>
      </c>
    </row>
    <row r="865" spans="1:12">
      <c r="A865" s="39" t="s">
        <v>2357</v>
      </c>
      <c r="B865" s="13"/>
      <c r="C865" s="13"/>
      <c r="D865" s="39" t="s">
        <v>6198</v>
      </c>
      <c r="E865" s="39" t="s">
        <v>6199</v>
      </c>
      <c r="F865" s="39" t="s">
        <v>1273</v>
      </c>
      <c r="G865" s="39" t="s">
        <v>3680</v>
      </c>
      <c r="H865" s="13"/>
      <c r="I865" s="39" t="s">
        <v>5542</v>
      </c>
      <c r="J865" s="39" t="s">
        <v>6200</v>
      </c>
      <c r="K865" s="13"/>
      <c r="L865" s="39" t="s">
        <v>6201</v>
      </c>
    </row>
    <row r="866" spans="1:12">
      <c r="A866" s="36"/>
      <c r="B866" s="13"/>
      <c r="C866" s="13"/>
      <c r="D866" s="39" t="s">
        <v>6202</v>
      </c>
      <c r="E866" s="39" t="s">
        <v>2424</v>
      </c>
      <c r="F866" s="39" t="s">
        <v>6203</v>
      </c>
      <c r="G866" s="39" t="s">
        <v>1452</v>
      </c>
      <c r="H866" s="13"/>
      <c r="I866" s="39" t="s">
        <v>5548</v>
      </c>
      <c r="J866" s="39" t="s">
        <v>4080</v>
      </c>
      <c r="K866" s="13"/>
      <c r="L866" s="39" t="s">
        <v>6204</v>
      </c>
    </row>
    <row r="867" spans="1:12">
      <c r="A867" s="39" t="s">
        <v>6205</v>
      </c>
      <c r="B867" s="13"/>
      <c r="C867" s="13"/>
      <c r="D867" s="39" t="s">
        <v>6206</v>
      </c>
      <c r="E867" s="39" t="s">
        <v>6207</v>
      </c>
      <c r="F867" s="39" t="s">
        <v>6208</v>
      </c>
      <c r="G867" s="39" t="s">
        <v>1452</v>
      </c>
      <c r="H867" s="13"/>
      <c r="I867" s="39" t="s">
        <v>5552</v>
      </c>
      <c r="J867" s="39" t="s">
        <v>4880</v>
      </c>
      <c r="K867" s="13"/>
      <c r="L867" s="39" t="s">
        <v>6209</v>
      </c>
    </row>
    <row r="868" spans="1:12">
      <c r="A868" s="39" t="s">
        <v>6175</v>
      </c>
      <c r="B868" s="13"/>
      <c r="C868" s="13"/>
      <c r="D868" s="39" t="s">
        <v>6210</v>
      </c>
      <c r="E868" s="39" t="s">
        <v>6199</v>
      </c>
      <c r="F868" s="39"/>
      <c r="G868" s="39" t="s">
        <v>6211</v>
      </c>
      <c r="H868" s="13"/>
      <c r="I868" s="39" t="s">
        <v>5558</v>
      </c>
      <c r="J868" s="39" t="s">
        <v>4803</v>
      </c>
      <c r="K868" s="13"/>
      <c r="L868" s="39" t="s">
        <v>6212</v>
      </c>
    </row>
    <row r="869" spans="1:12">
      <c r="A869" s="39" t="s">
        <v>6213</v>
      </c>
      <c r="B869" s="13"/>
      <c r="C869" s="13"/>
      <c r="D869" s="39" t="s">
        <v>6214</v>
      </c>
      <c r="E869" s="39" t="s">
        <v>2596</v>
      </c>
      <c r="F869" s="39" t="s">
        <v>6215</v>
      </c>
      <c r="G869" s="39" t="s">
        <v>1281</v>
      </c>
      <c r="H869" s="13"/>
      <c r="I869" s="39" t="s">
        <v>5563</v>
      </c>
      <c r="J869" s="39" t="s">
        <v>4811</v>
      </c>
      <c r="K869" s="13"/>
      <c r="L869" s="39" t="s">
        <v>6216</v>
      </c>
    </row>
    <row r="870" spans="1:12">
      <c r="A870" s="39" t="s">
        <v>6217</v>
      </c>
      <c r="B870" s="13"/>
      <c r="C870" s="13"/>
      <c r="D870" s="39" t="s">
        <v>4232</v>
      </c>
      <c r="E870" s="39"/>
      <c r="F870" s="39" t="s">
        <v>6218</v>
      </c>
      <c r="G870" s="39" t="s">
        <v>6219</v>
      </c>
      <c r="H870" s="13"/>
      <c r="I870" s="39" t="s">
        <v>5548</v>
      </c>
      <c r="J870" s="39" t="s">
        <v>4817</v>
      </c>
      <c r="K870" s="13"/>
      <c r="L870" s="39" t="s">
        <v>6220</v>
      </c>
    </row>
    <row r="871" spans="1:12">
      <c r="A871" s="39" t="s">
        <v>6221</v>
      </c>
      <c r="B871" s="13"/>
      <c r="C871" s="13"/>
      <c r="D871" s="39" t="s">
        <v>3273</v>
      </c>
      <c r="E871" s="39" t="s">
        <v>6222</v>
      </c>
      <c r="F871" s="39"/>
      <c r="G871" s="39" t="s">
        <v>1281</v>
      </c>
      <c r="H871" s="13"/>
      <c r="I871" s="39" t="s">
        <v>5569</v>
      </c>
      <c r="J871" s="39" t="s">
        <v>4824</v>
      </c>
      <c r="K871" s="13"/>
      <c r="L871" s="39" t="s">
        <v>6223</v>
      </c>
    </row>
    <row r="872" spans="1:12">
      <c r="A872" s="39" t="s">
        <v>6224</v>
      </c>
      <c r="B872" s="13"/>
      <c r="C872" s="13"/>
      <c r="D872" s="39" t="s">
        <v>6225</v>
      </c>
      <c r="E872" s="39" t="s">
        <v>6226</v>
      </c>
      <c r="F872" s="39" t="s">
        <v>6227</v>
      </c>
      <c r="G872" s="39" t="s">
        <v>6228</v>
      </c>
      <c r="H872" s="13"/>
      <c r="I872" s="39" t="s">
        <v>5558</v>
      </c>
      <c r="J872" s="39" t="s">
        <v>4830</v>
      </c>
      <c r="K872" s="13"/>
      <c r="L872" s="39" t="s">
        <v>6229</v>
      </c>
    </row>
    <row r="873" spans="1:12">
      <c r="A873" s="39" t="s">
        <v>2357</v>
      </c>
      <c r="B873" s="13"/>
      <c r="C873" s="13"/>
      <c r="D873" s="39" t="s">
        <v>6230</v>
      </c>
      <c r="E873" s="39" t="s">
        <v>2424</v>
      </c>
      <c r="F873" s="39" t="s">
        <v>6231</v>
      </c>
      <c r="G873" s="39" t="s">
        <v>5831</v>
      </c>
      <c r="H873" s="13"/>
      <c r="I873" s="39" t="s">
        <v>5577</v>
      </c>
      <c r="J873" s="39" t="s">
        <v>4836</v>
      </c>
      <c r="K873" s="13"/>
      <c r="L873" s="39" t="s">
        <v>6232</v>
      </c>
    </row>
    <row r="874" spans="1:12">
      <c r="A874" s="36"/>
      <c r="B874" s="13"/>
      <c r="C874" s="13"/>
      <c r="D874" s="39" t="s">
        <v>6233</v>
      </c>
      <c r="E874" s="39" t="s">
        <v>6234</v>
      </c>
      <c r="F874" s="39" t="s">
        <v>6235</v>
      </c>
      <c r="G874" s="39" t="s">
        <v>5834</v>
      </c>
      <c r="H874" s="13"/>
      <c r="I874" s="39" t="s">
        <v>5548</v>
      </c>
      <c r="J874" s="39" t="s">
        <v>4842</v>
      </c>
      <c r="K874" s="13"/>
      <c r="L874" s="39" t="s">
        <v>6236</v>
      </c>
    </row>
    <row r="875" spans="1:12">
      <c r="A875" s="39" t="s">
        <v>6237</v>
      </c>
      <c r="B875" s="13"/>
      <c r="C875" s="13"/>
      <c r="D875" s="39" t="s">
        <v>6238</v>
      </c>
      <c r="E875" s="39" t="s">
        <v>6239</v>
      </c>
      <c r="F875" s="39" t="s">
        <v>6240</v>
      </c>
      <c r="G875" s="39" t="s">
        <v>1274</v>
      </c>
      <c r="H875" s="13"/>
      <c r="I875" s="39" t="s">
        <v>5587</v>
      </c>
      <c r="J875" s="39" t="s">
        <v>4847</v>
      </c>
      <c r="K875" s="13"/>
      <c r="L875" s="39" t="s">
        <v>6241</v>
      </c>
    </row>
    <row r="876" spans="1:12">
      <c r="A876" s="39" t="s">
        <v>6175</v>
      </c>
      <c r="B876" s="13"/>
      <c r="C876" s="13"/>
      <c r="D876" s="39" t="s">
        <v>6242</v>
      </c>
      <c r="E876" s="39" t="s">
        <v>3273</v>
      </c>
      <c r="F876" s="39" t="s">
        <v>2424</v>
      </c>
      <c r="G876" s="39" t="s">
        <v>5841</v>
      </c>
      <c r="H876" s="13"/>
      <c r="I876" s="39" t="s">
        <v>5558</v>
      </c>
      <c r="J876" s="39" t="s">
        <v>4852</v>
      </c>
      <c r="K876" s="13"/>
      <c r="L876" s="39" t="s">
        <v>6243</v>
      </c>
    </row>
    <row r="877" spans="1:12">
      <c r="A877" s="39" t="s">
        <v>6213</v>
      </c>
      <c r="B877" s="13"/>
      <c r="C877" s="13"/>
      <c r="D877" s="46" t="s">
        <v>6244</v>
      </c>
      <c r="E877" s="39" t="s">
        <v>6245</v>
      </c>
      <c r="F877" s="39" t="s">
        <v>6246</v>
      </c>
      <c r="G877" s="39" t="s">
        <v>5846</v>
      </c>
      <c r="H877" s="13"/>
      <c r="I877" s="39" t="s">
        <v>5598</v>
      </c>
      <c r="J877" s="39" t="s">
        <v>4859</v>
      </c>
      <c r="K877" s="13"/>
      <c r="L877" s="39" t="s">
        <v>6247</v>
      </c>
    </row>
    <row r="878" spans="1:12">
      <c r="A878" s="39" t="s">
        <v>6248</v>
      </c>
      <c r="B878" s="13"/>
      <c r="C878" s="13"/>
      <c r="D878" s="39" t="s">
        <v>6249</v>
      </c>
      <c r="E878" s="39" t="s">
        <v>6250</v>
      </c>
      <c r="F878" s="39" t="s">
        <v>6251</v>
      </c>
      <c r="G878" s="39" t="s">
        <v>5851</v>
      </c>
      <c r="H878" s="13"/>
      <c r="I878" s="39" t="s">
        <v>5548</v>
      </c>
      <c r="J878" s="39" t="s">
        <v>6200</v>
      </c>
      <c r="K878" s="13"/>
      <c r="L878" s="39" t="s">
        <v>6252</v>
      </c>
    </row>
    <row r="879" spans="1:12">
      <c r="A879" s="39" t="s">
        <v>6221</v>
      </c>
      <c r="B879" s="13"/>
      <c r="C879" s="13"/>
      <c r="D879" s="39" t="s">
        <v>6253</v>
      </c>
      <c r="E879" s="39" t="s">
        <v>2626</v>
      </c>
      <c r="F879" s="39" t="s">
        <v>6254</v>
      </c>
      <c r="G879" s="39" t="s">
        <v>5858</v>
      </c>
      <c r="H879" s="13"/>
      <c r="I879" s="39" t="s">
        <v>5604</v>
      </c>
      <c r="J879" s="39" t="s">
        <v>4080</v>
      </c>
      <c r="K879" s="13"/>
      <c r="L879" s="39" t="s">
        <v>6255</v>
      </c>
    </row>
    <row r="880" spans="1:12">
      <c r="A880" s="39" t="s">
        <v>6256</v>
      </c>
      <c r="B880" s="13"/>
      <c r="C880" s="13"/>
      <c r="D880" s="39" t="s">
        <v>6257</v>
      </c>
      <c r="E880" s="39" t="s">
        <v>2596</v>
      </c>
      <c r="F880" s="39" t="s">
        <v>6258</v>
      </c>
      <c r="G880" s="39" t="s">
        <v>1274</v>
      </c>
      <c r="H880" s="13"/>
      <c r="I880" s="39" t="s">
        <v>5558</v>
      </c>
      <c r="J880" s="39" t="s">
        <v>4940</v>
      </c>
      <c r="K880" s="13"/>
      <c r="L880" s="39" t="s">
        <v>6259</v>
      </c>
    </row>
    <row r="881" spans="1:12">
      <c r="A881" s="39" t="s">
        <v>2357</v>
      </c>
      <c r="B881" s="13"/>
      <c r="C881" s="13"/>
      <c r="D881" s="39" t="s">
        <v>4232</v>
      </c>
      <c r="E881" s="39"/>
      <c r="F881" s="39"/>
      <c r="G881" s="39" t="s">
        <v>4547</v>
      </c>
      <c r="H881" s="13"/>
      <c r="I881" s="39" t="s">
        <v>5611</v>
      </c>
      <c r="J881" s="39" t="s">
        <v>4803</v>
      </c>
      <c r="K881" s="13"/>
      <c r="L881" s="39" t="s">
        <v>2345</v>
      </c>
    </row>
    <row r="882" spans="1:12">
      <c r="A882" s="36"/>
      <c r="B882" s="13"/>
      <c r="C882" s="13"/>
      <c r="D882" s="39" t="s">
        <v>6260</v>
      </c>
      <c r="E882" s="39" t="s">
        <v>6261</v>
      </c>
      <c r="F882" s="39" t="s">
        <v>6262</v>
      </c>
      <c r="G882" s="39" t="s">
        <v>5869</v>
      </c>
      <c r="H882" s="13"/>
      <c r="I882" s="39" t="s">
        <v>5548</v>
      </c>
      <c r="J882" s="39" t="s">
        <v>4811</v>
      </c>
      <c r="K882" s="13"/>
      <c r="L882" s="39" t="s">
        <v>6263</v>
      </c>
    </row>
    <row r="883" spans="1:12">
      <c r="A883" s="39" t="s">
        <v>6264</v>
      </c>
      <c r="B883" s="13"/>
      <c r="C883" s="13"/>
      <c r="D883" s="39" t="s">
        <v>6265</v>
      </c>
      <c r="E883" s="39"/>
      <c r="F883" s="39"/>
      <c r="G883" s="39" t="s">
        <v>5874</v>
      </c>
      <c r="H883" s="13"/>
      <c r="I883" s="39" t="s">
        <v>5622</v>
      </c>
      <c r="J883" s="39" t="s">
        <v>4817</v>
      </c>
      <c r="K883" s="13"/>
      <c r="L883" s="39" t="s">
        <v>2397</v>
      </c>
    </row>
    <row r="884" spans="1:12">
      <c r="A884" s="39" t="s">
        <v>6175</v>
      </c>
      <c r="B884" s="13"/>
      <c r="C884" s="13"/>
      <c r="D884" s="39" t="s">
        <v>6266</v>
      </c>
      <c r="E884" s="39" t="s">
        <v>6267</v>
      </c>
      <c r="F884" s="39" t="s">
        <v>6268</v>
      </c>
      <c r="G884" s="39" t="s">
        <v>5878</v>
      </c>
      <c r="H884" s="13"/>
      <c r="I884" s="39" t="s">
        <v>5558</v>
      </c>
      <c r="J884" s="39" t="s">
        <v>4824</v>
      </c>
      <c r="K884" s="13"/>
      <c r="L884" s="39" t="s">
        <v>6269</v>
      </c>
    </row>
    <row r="885" spans="1:12">
      <c r="A885" s="39" t="s">
        <v>6213</v>
      </c>
      <c r="B885" s="13"/>
      <c r="C885" s="13"/>
      <c r="D885" s="39" t="s">
        <v>6270</v>
      </c>
      <c r="E885" s="39" t="s">
        <v>6271</v>
      </c>
      <c r="F885" s="39" t="s">
        <v>2596</v>
      </c>
      <c r="G885" s="39" t="s">
        <v>5883</v>
      </c>
      <c r="H885" s="13"/>
      <c r="I885" s="39" t="s">
        <v>5633</v>
      </c>
      <c r="J885" s="39" t="s">
        <v>4830</v>
      </c>
      <c r="K885" s="13"/>
      <c r="L885" s="39" t="s">
        <v>2381</v>
      </c>
    </row>
    <row r="886" spans="1:12">
      <c r="A886" s="39" t="s">
        <v>6272</v>
      </c>
      <c r="B886" s="13"/>
      <c r="C886" s="13"/>
      <c r="D886" s="39" t="s">
        <v>2626</v>
      </c>
      <c r="E886" s="39" t="s">
        <v>2424</v>
      </c>
      <c r="F886" s="39" t="s">
        <v>1273</v>
      </c>
      <c r="G886" s="39" t="s">
        <v>5888</v>
      </c>
      <c r="H886" s="13"/>
      <c r="I886" s="39" t="s">
        <v>5548</v>
      </c>
      <c r="J886" s="39" t="s">
        <v>4836</v>
      </c>
      <c r="K886" s="13"/>
      <c r="L886" s="39" t="s">
        <v>2357</v>
      </c>
    </row>
    <row r="887" spans="1:12">
      <c r="A887" s="39" t="s">
        <v>6221</v>
      </c>
      <c r="B887" s="13"/>
      <c r="C887" s="13"/>
      <c r="D887" s="39" t="s">
        <v>2596</v>
      </c>
      <c r="E887" s="39" t="s">
        <v>6273</v>
      </c>
      <c r="F887" s="39" t="s">
        <v>6274</v>
      </c>
      <c r="G887" s="39" t="s">
        <v>5892</v>
      </c>
      <c r="H887" s="13"/>
      <c r="I887" s="39" t="s">
        <v>5638</v>
      </c>
      <c r="J887" s="39" t="s">
        <v>4842</v>
      </c>
      <c r="K887" s="13"/>
      <c r="L887" s="39" t="s">
        <v>6275</v>
      </c>
    </row>
    <row r="888" spans="1:12">
      <c r="A888" s="39" t="s">
        <v>6276</v>
      </c>
      <c r="B888" s="13"/>
      <c r="C888" s="13"/>
      <c r="D888" s="39"/>
      <c r="E888" s="39" t="s">
        <v>6277</v>
      </c>
      <c r="F888" s="39" t="s">
        <v>6278</v>
      </c>
      <c r="G888" s="39" t="s">
        <v>5896</v>
      </c>
      <c r="H888" s="13"/>
      <c r="I888" s="39" t="s">
        <v>5558</v>
      </c>
      <c r="J888" s="39" t="s">
        <v>4847</v>
      </c>
      <c r="K888" s="13"/>
      <c r="L888" s="39" t="s">
        <v>6279</v>
      </c>
    </row>
    <row r="889" spans="1:12">
      <c r="A889" s="39" t="s">
        <v>2357</v>
      </c>
      <c r="B889" s="13"/>
      <c r="C889" s="13"/>
      <c r="D889" s="46" t="s">
        <v>6280</v>
      </c>
      <c r="E889" s="39" t="s">
        <v>3273</v>
      </c>
      <c r="F889" s="39" t="s">
        <v>6281</v>
      </c>
      <c r="G889" s="39" t="s">
        <v>5902</v>
      </c>
      <c r="H889" s="13"/>
      <c r="I889" s="39" t="s">
        <v>5936</v>
      </c>
      <c r="J889" s="39" t="s">
        <v>4852</v>
      </c>
      <c r="K889" s="13"/>
      <c r="L889" s="39" t="s">
        <v>6282</v>
      </c>
    </row>
    <row r="890" spans="1:12">
      <c r="A890" s="36"/>
      <c r="B890" s="13"/>
      <c r="C890" s="13"/>
      <c r="D890" s="46" t="s">
        <v>6283</v>
      </c>
      <c r="E890" s="39" t="s">
        <v>6284</v>
      </c>
      <c r="F890" s="39" t="s">
        <v>6285</v>
      </c>
      <c r="G890" s="39" t="s">
        <v>5907</v>
      </c>
      <c r="H890" s="13"/>
      <c r="I890" s="39" t="s">
        <v>3794</v>
      </c>
      <c r="J890" s="39" t="s">
        <v>4859</v>
      </c>
      <c r="K890" s="13"/>
      <c r="L890" s="39" t="s">
        <v>2265</v>
      </c>
    </row>
    <row r="891" spans="1:12">
      <c r="A891" s="39" t="s">
        <v>6286</v>
      </c>
      <c r="B891" s="13"/>
      <c r="C891" s="13"/>
      <c r="D891" s="46" t="s">
        <v>6287</v>
      </c>
      <c r="E891" s="39" t="s">
        <v>2626</v>
      </c>
      <c r="F891" s="39" t="s">
        <v>5413</v>
      </c>
      <c r="G891" s="39" t="s">
        <v>5912</v>
      </c>
      <c r="H891" s="13"/>
      <c r="I891" s="39" t="s">
        <v>3782</v>
      </c>
      <c r="J891" s="39" t="s">
        <v>6200</v>
      </c>
      <c r="K891" s="13"/>
      <c r="L891" s="39" t="s">
        <v>1278</v>
      </c>
    </row>
    <row r="892" spans="1:12">
      <c r="A892" s="39" t="s">
        <v>6175</v>
      </c>
      <c r="B892" s="13"/>
      <c r="C892" s="13"/>
      <c r="D892" s="46" t="s">
        <v>6288</v>
      </c>
      <c r="E892" s="39" t="s">
        <v>2596</v>
      </c>
      <c r="F892" s="39" t="s">
        <v>2596</v>
      </c>
      <c r="G892" s="39" t="s">
        <v>4236</v>
      </c>
      <c r="H892" s="13"/>
      <c r="I892" s="39" t="s">
        <v>5750</v>
      </c>
      <c r="J892" s="39" t="s">
        <v>4080</v>
      </c>
      <c r="K892" s="13"/>
      <c r="L892" s="39" t="s">
        <v>6289</v>
      </c>
    </row>
    <row r="893" spans="1:12">
      <c r="A893" s="39" t="s">
        <v>6213</v>
      </c>
      <c r="B893" s="13"/>
      <c r="C893" s="13"/>
      <c r="D893" s="46" t="s">
        <v>6290</v>
      </c>
      <c r="E893" s="39"/>
      <c r="F893" s="39"/>
      <c r="G893" s="39" t="s">
        <v>5919</v>
      </c>
      <c r="H893" s="13"/>
      <c r="I893" s="39" t="s">
        <v>2237</v>
      </c>
      <c r="J893" s="39" t="s">
        <v>4993</v>
      </c>
      <c r="K893" s="13"/>
      <c r="L893" s="39" t="s">
        <v>1278</v>
      </c>
    </row>
    <row r="894" spans="1:12">
      <c r="A894" s="39" t="s">
        <v>6291</v>
      </c>
      <c r="B894" s="13"/>
      <c r="C894" s="13"/>
      <c r="D894" s="39" t="s">
        <v>6292</v>
      </c>
      <c r="E894" s="39" t="s">
        <v>6293</v>
      </c>
      <c r="F894" s="39" t="s">
        <v>6294</v>
      </c>
      <c r="G894" s="39" t="s">
        <v>5851</v>
      </c>
      <c r="H894" s="13"/>
      <c r="I894" s="39" t="s">
        <v>5957</v>
      </c>
      <c r="J894" s="39" t="s">
        <v>4997</v>
      </c>
      <c r="K894" s="13"/>
      <c r="L894" s="39" t="s">
        <v>6295</v>
      </c>
    </row>
    <row r="895" spans="1:12">
      <c r="A895" s="39" t="s">
        <v>6221</v>
      </c>
      <c r="B895" s="13"/>
      <c r="C895" s="13"/>
      <c r="D895" s="39" t="s">
        <v>6296</v>
      </c>
      <c r="E895" s="39" t="s">
        <v>6297</v>
      </c>
      <c r="F895" s="39" t="s">
        <v>6278</v>
      </c>
      <c r="G895" s="39" t="s">
        <v>5858</v>
      </c>
      <c r="H895" s="13"/>
      <c r="I895" s="39" t="s">
        <v>2265</v>
      </c>
      <c r="J895" s="39" t="s">
        <v>4836</v>
      </c>
      <c r="K895" s="13"/>
      <c r="L895" s="39"/>
    </row>
    <row r="896" spans="1:12">
      <c r="A896" s="39" t="s">
        <v>6298</v>
      </c>
      <c r="B896" s="13"/>
      <c r="C896" s="13"/>
      <c r="D896" s="39" t="s">
        <v>6299</v>
      </c>
      <c r="E896" s="39" t="s">
        <v>6300</v>
      </c>
      <c r="F896" s="39" t="s">
        <v>6301</v>
      </c>
      <c r="G896" s="39" t="s">
        <v>1274</v>
      </c>
      <c r="H896" s="13"/>
      <c r="I896" s="39" t="s">
        <v>1259</v>
      </c>
      <c r="J896" s="39" t="s">
        <v>4842</v>
      </c>
      <c r="K896" s="13"/>
      <c r="L896" s="39" t="s">
        <v>6302</v>
      </c>
    </row>
    <row r="897" spans="1:12">
      <c r="A897" s="39" t="s">
        <v>2357</v>
      </c>
      <c r="B897" s="13"/>
      <c r="C897" s="13"/>
      <c r="D897" s="39" t="s">
        <v>1548</v>
      </c>
      <c r="E897" s="39"/>
      <c r="F897" s="39" t="s">
        <v>6303</v>
      </c>
      <c r="G897" s="39" t="s">
        <v>6304</v>
      </c>
      <c r="H897" s="13"/>
      <c r="I897" s="39" t="s">
        <v>5965</v>
      </c>
      <c r="J897" s="39" t="s">
        <v>5015</v>
      </c>
      <c r="K897" s="13"/>
      <c r="L897" s="39" t="s">
        <v>6305</v>
      </c>
    </row>
    <row r="898" spans="1:12">
      <c r="A898" s="36"/>
      <c r="B898" s="13"/>
      <c r="C898" s="13"/>
      <c r="D898" s="39" t="s">
        <v>6306</v>
      </c>
      <c r="E898" s="39" t="s">
        <v>6307</v>
      </c>
      <c r="F898" s="39" t="s">
        <v>5413</v>
      </c>
      <c r="G898" s="39" t="s">
        <v>5940</v>
      </c>
      <c r="H898" s="13"/>
      <c r="I898" s="39" t="s">
        <v>2756</v>
      </c>
      <c r="J898" s="39" t="s">
        <v>5021</v>
      </c>
      <c r="K898" s="13"/>
      <c r="L898" s="39" t="s">
        <v>6308</v>
      </c>
    </row>
    <row r="899" spans="1:12">
      <c r="A899" s="39" t="s">
        <v>6309</v>
      </c>
      <c r="B899" s="13"/>
      <c r="C899" s="13"/>
      <c r="D899" s="39" t="s">
        <v>4672</v>
      </c>
      <c r="E899" s="39" t="s">
        <v>6310</v>
      </c>
      <c r="F899" s="39" t="s">
        <v>2596</v>
      </c>
      <c r="G899" s="39" t="s">
        <v>6311</v>
      </c>
      <c r="H899" s="13"/>
      <c r="I899" s="39" t="s">
        <v>5786</v>
      </c>
      <c r="J899" s="39" t="s">
        <v>5025</v>
      </c>
      <c r="K899" s="13"/>
      <c r="L899" s="39" t="s">
        <v>6312</v>
      </c>
    </row>
    <row r="900" spans="1:12">
      <c r="A900" s="39" t="s">
        <v>6175</v>
      </c>
      <c r="B900" s="13"/>
      <c r="C900" s="13"/>
      <c r="D900" s="45"/>
      <c r="E900" s="39" t="s">
        <v>6313</v>
      </c>
      <c r="F900" s="39"/>
      <c r="G900" s="39" t="s">
        <v>6314</v>
      </c>
      <c r="H900" s="13"/>
      <c r="I900" s="39" t="s">
        <v>4865</v>
      </c>
      <c r="J900" s="39" t="s">
        <v>5031</v>
      </c>
      <c r="K900" s="13"/>
      <c r="L900" s="39" t="s">
        <v>6315</v>
      </c>
    </row>
    <row r="901" spans="1:12">
      <c r="A901" s="39" t="s">
        <v>6316</v>
      </c>
      <c r="B901" s="13"/>
      <c r="C901" s="13"/>
      <c r="D901" s="45" t="s">
        <v>1340</v>
      </c>
      <c r="E901" s="39" t="s">
        <v>6317</v>
      </c>
      <c r="F901" s="39" t="s">
        <v>6318</v>
      </c>
      <c r="G901" s="39" t="s">
        <v>5858</v>
      </c>
      <c r="H901" s="13"/>
      <c r="I901" s="39" t="s">
        <v>4872</v>
      </c>
      <c r="J901" s="39" t="s">
        <v>5036</v>
      </c>
      <c r="K901" s="13"/>
      <c r="L901" s="39" t="s">
        <v>6312</v>
      </c>
    </row>
    <row r="902" spans="1:12">
      <c r="A902" s="39" t="s">
        <v>6319</v>
      </c>
      <c r="B902" s="13"/>
      <c r="C902" s="13"/>
      <c r="D902" s="45"/>
      <c r="E902" s="39" t="s">
        <v>3273</v>
      </c>
      <c r="F902" s="39" t="s">
        <v>6320</v>
      </c>
      <c r="G902" s="39" t="s">
        <v>1274</v>
      </c>
      <c r="H902" s="13"/>
      <c r="I902" s="39" t="s">
        <v>4879</v>
      </c>
      <c r="J902" s="39" t="s">
        <v>5042</v>
      </c>
      <c r="K902" s="13"/>
      <c r="L902" s="39" t="s">
        <v>6321</v>
      </c>
    </row>
    <row r="903" spans="1:12">
      <c r="A903" s="39" t="s">
        <v>6322</v>
      </c>
      <c r="B903" s="13"/>
      <c r="C903" s="13"/>
      <c r="D903" s="39" t="s">
        <v>1259</v>
      </c>
      <c r="E903" s="39" t="s">
        <v>6323</v>
      </c>
      <c r="F903" s="39" t="s">
        <v>6324</v>
      </c>
      <c r="G903" s="39" t="s">
        <v>6325</v>
      </c>
      <c r="H903" s="13"/>
      <c r="I903" s="39" t="s">
        <v>4884</v>
      </c>
      <c r="J903" s="39" t="s">
        <v>5048</v>
      </c>
      <c r="K903" s="13"/>
      <c r="L903" s="39" t="s">
        <v>6326</v>
      </c>
    </row>
    <row r="904" spans="1:12">
      <c r="A904" s="39" t="s">
        <v>6327</v>
      </c>
      <c r="B904" s="13"/>
      <c r="C904" s="13"/>
      <c r="D904" s="39" t="s">
        <v>6328</v>
      </c>
      <c r="E904" s="39" t="s">
        <v>6329</v>
      </c>
      <c r="F904" s="39" t="s">
        <v>6330</v>
      </c>
      <c r="G904" s="39" t="s">
        <v>5919</v>
      </c>
      <c r="H904" s="13"/>
      <c r="I904" s="39" t="s">
        <v>4891</v>
      </c>
      <c r="J904" s="39" t="s">
        <v>5051</v>
      </c>
      <c r="K904" s="13"/>
      <c r="L904" s="39" t="s">
        <v>6331</v>
      </c>
    </row>
    <row r="905" spans="1:12">
      <c r="A905" s="39" t="s">
        <v>2596</v>
      </c>
      <c r="B905" s="13"/>
      <c r="C905" s="13"/>
      <c r="D905" s="39" t="s">
        <v>3787</v>
      </c>
      <c r="E905" s="39" t="s">
        <v>2626</v>
      </c>
      <c r="F905" s="39" t="s">
        <v>6332</v>
      </c>
      <c r="G905" s="39" t="s">
        <v>5851</v>
      </c>
      <c r="H905" s="13"/>
      <c r="I905" s="39" t="s">
        <v>4896</v>
      </c>
      <c r="J905" s="39" t="s">
        <v>5055</v>
      </c>
      <c r="K905" s="13"/>
      <c r="L905" s="39" t="s">
        <v>6333</v>
      </c>
    </row>
    <row r="906" spans="1:12">
      <c r="A906" s="36"/>
      <c r="B906" s="13"/>
      <c r="C906" s="13"/>
      <c r="D906" s="39"/>
      <c r="E906" s="39" t="s">
        <v>2424</v>
      </c>
      <c r="F906" s="39"/>
      <c r="G906" s="39" t="s">
        <v>5858</v>
      </c>
      <c r="H906" s="13"/>
      <c r="I906" s="39" t="s">
        <v>4901</v>
      </c>
      <c r="J906" s="39" t="s">
        <v>5062</v>
      </c>
      <c r="K906" s="13"/>
      <c r="L906" s="39" t="s">
        <v>6331</v>
      </c>
    </row>
    <row r="907" spans="1:12">
      <c r="A907" s="39" t="s">
        <v>6334</v>
      </c>
      <c r="B907" s="13"/>
      <c r="C907" s="13"/>
      <c r="D907" s="39" t="s">
        <v>5291</v>
      </c>
      <c r="E907" s="39" t="s">
        <v>6335</v>
      </c>
      <c r="F907" s="39" t="s">
        <v>6336</v>
      </c>
      <c r="G907" s="39" t="s">
        <v>1452</v>
      </c>
      <c r="H907" s="13"/>
      <c r="I907" s="39" t="s">
        <v>4904</v>
      </c>
      <c r="J907" s="39" t="s">
        <v>5067</v>
      </c>
      <c r="K907" s="13"/>
      <c r="L907" s="39" t="s">
        <v>6337</v>
      </c>
    </row>
    <row r="908" spans="1:12">
      <c r="A908" s="39" t="s">
        <v>2265</v>
      </c>
      <c r="B908" s="13"/>
      <c r="C908" s="13"/>
      <c r="D908" s="39" t="s">
        <v>6338</v>
      </c>
      <c r="E908" s="39" t="s">
        <v>2596</v>
      </c>
      <c r="F908" s="39" t="s">
        <v>2265</v>
      </c>
      <c r="G908" s="39" t="s">
        <v>6339</v>
      </c>
      <c r="H908" s="13"/>
      <c r="I908" s="39" t="s">
        <v>4910</v>
      </c>
      <c r="J908" s="39" t="s">
        <v>5073</v>
      </c>
      <c r="K908" s="13"/>
      <c r="L908" s="39"/>
    </row>
    <row r="909" spans="1:12">
      <c r="A909" s="36"/>
      <c r="B909" s="13"/>
      <c r="C909" s="13"/>
      <c r="D909" s="39" t="s">
        <v>5936</v>
      </c>
      <c r="E909" s="39"/>
      <c r="F909" s="39"/>
      <c r="G909" s="39" t="s">
        <v>3680</v>
      </c>
      <c r="H909" s="13"/>
      <c r="I909" s="39" t="s">
        <v>4917</v>
      </c>
      <c r="J909" s="39" t="s">
        <v>5080</v>
      </c>
      <c r="K909" s="13"/>
      <c r="L909" s="39" t="s">
        <v>6340</v>
      </c>
    </row>
    <row r="910" spans="1:12">
      <c r="A910" s="39" t="s">
        <v>1278</v>
      </c>
      <c r="B910" s="13"/>
      <c r="C910" s="13"/>
      <c r="D910" s="39" t="s">
        <v>6341</v>
      </c>
      <c r="E910" s="39" t="s">
        <v>6342</v>
      </c>
      <c r="F910" s="39"/>
      <c r="G910" s="39" t="s">
        <v>1452</v>
      </c>
      <c r="H910" s="13"/>
      <c r="I910" s="39" t="s">
        <v>4884</v>
      </c>
      <c r="J910" s="39" t="s">
        <v>5088</v>
      </c>
      <c r="K910" s="13"/>
      <c r="L910" s="39" t="s">
        <v>6343</v>
      </c>
    </row>
    <row r="911" spans="1:12">
      <c r="A911" s="39" t="s">
        <v>6344</v>
      </c>
      <c r="B911" s="13"/>
      <c r="C911" s="13"/>
      <c r="D911" s="39" t="s">
        <v>3787</v>
      </c>
      <c r="E911" s="39" t="s">
        <v>6345</v>
      </c>
      <c r="F911" s="39" t="s">
        <v>6346</v>
      </c>
      <c r="G911" s="39" t="s">
        <v>1452</v>
      </c>
      <c r="H911" s="13"/>
      <c r="I911" s="39" t="s">
        <v>4924</v>
      </c>
      <c r="J911" s="39" t="s">
        <v>5094</v>
      </c>
      <c r="K911" s="13"/>
      <c r="L911" s="39"/>
    </row>
    <row r="912" spans="1:12">
      <c r="A912" s="36"/>
      <c r="B912" s="13"/>
      <c r="C912" s="13"/>
      <c r="D912" s="39" t="s">
        <v>6347</v>
      </c>
      <c r="E912" s="39" t="s">
        <v>6348</v>
      </c>
      <c r="F912" s="39" t="s">
        <v>1280</v>
      </c>
      <c r="G912" s="39" t="s">
        <v>6349</v>
      </c>
      <c r="H912" s="13"/>
      <c r="I912" s="39" t="s">
        <v>4929</v>
      </c>
      <c r="J912" s="39" t="s">
        <v>5100</v>
      </c>
      <c r="K912" s="13"/>
      <c r="L912" s="39" t="s">
        <v>3413</v>
      </c>
    </row>
    <row r="913" spans="1:12">
      <c r="A913" s="39" t="s">
        <v>6350</v>
      </c>
      <c r="B913" s="13"/>
      <c r="C913" s="13"/>
      <c r="D913" s="39" t="s">
        <v>6351</v>
      </c>
      <c r="E913" s="39" t="s">
        <v>5070</v>
      </c>
      <c r="F913" s="39" t="s">
        <v>6352</v>
      </c>
      <c r="G913" s="39" t="s">
        <v>1281</v>
      </c>
      <c r="H913" s="13"/>
      <c r="I913" s="39" t="s">
        <v>4910</v>
      </c>
      <c r="J913" s="39" t="s">
        <v>5106</v>
      </c>
      <c r="K913" s="13"/>
      <c r="L913" s="39" t="s">
        <v>6353</v>
      </c>
    </row>
    <row r="914" spans="1:12">
      <c r="A914" s="39" t="s">
        <v>4718</v>
      </c>
      <c r="B914" s="13"/>
      <c r="C914" s="13"/>
      <c r="D914" s="39" t="s">
        <v>6354</v>
      </c>
      <c r="E914" s="39" t="s">
        <v>6355</v>
      </c>
      <c r="F914" s="39" t="s">
        <v>1280</v>
      </c>
      <c r="G914" s="39" t="s">
        <v>6356</v>
      </c>
      <c r="H914" s="13"/>
      <c r="I914" s="39" t="s">
        <v>4945</v>
      </c>
      <c r="J914" s="39" t="s">
        <v>4859</v>
      </c>
      <c r="K914" s="13"/>
      <c r="L914" s="39" t="s">
        <v>6357</v>
      </c>
    </row>
    <row r="915" spans="1:12">
      <c r="A915" s="142" t="s">
        <v>4855</v>
      </c>
      <c r="B915" s="13"/>
      <c r="C915" s="13"/>
      <c r="D915" s="39" t="s">
        <v>6358</v>
      </c>
      <c r="E915" s="39" t="s">
        <v>6359</v>
      </c>
      <c r="F915" s="39" t="s">
        <v>6360</v>
      </c>
      <c r="G915" s="39" t="s">
        <v>1281</v>
      </c>
      <c r="H915" s="13"/>
      <c r="I915" s="39" t="s">
        <v>4884</v>
      </c>
      <c r="J915" s="39" t="s">
        <v>6361</v>
      </c>
      <c r="K915" s="13"/>
      <c r="L915" s="39" t="s">
        <v>3421</v>
      </c>
    </row>
    <row r="916" spans="1:12">
      <c r="A916" s="142" t="s">
        <v>6362</v>
      </c>
      <c r="B916" s="13"/>
      <c r="C916" s="13"/>
      <c r="D916" s="39" t="s">
        <v>6363</v>
      </c>
      <c r="E916" s="39"/>
      <c r="F916" s="39" t="s">
        <v>4013</v>
      </c>
      <c r="G916" s="39" t="s">
        <v>6364</v>
      </c>
      <c r="H916" s="13"/>
      <c r="I916" s="39" t="s">
        <v>4952</v>
      </c>
      <c r="J916" s="39" t="s">
        <v>4080</v>
      </c>
      <c r="K916" s="13"/>
      <c r="L916" s="39" t="s">
        <v>3947</v>
      </c>
    </row>
    <row r="917" spans="1:12">
      <c r="A917" s="143"/>
      <c r="B917" s="13"/>
      <c r="C917" s="13"/>
      <c r="D917" s="39" t="s">
        <v>3852</v>
      </c>
      <c r="E917" s="39" t="s">
        <v>6365</v>
      </c>
      <c r="F917" s="39" t="s">
        <v>6366</v>
      </c>
      <c r="G917" s="39" t="s">
        <v>6367</v>
      </c>
      <c r="H917" s="13"/>
      <c r="I917" s="39" t="s">
        <v>4955</v>
      </c>
      <c r="J917" s="39" t="s">
        <v>5129</v>
      </c>
      <c r="K917" s="13"/>
      <c r="L917" s="39" t="s">
        <v>3435</v>
      </c>
    </row>
    <row r="918" spans="1:12">
      <c r="A918" s="142" t="s">
        <v>6368</v>
      </c>
      <c r="B918" s="13"/>
      <c r="C918" s="13"/>
      <c r="D918" s="39" t="s">
        <v>2237</v>
      </c>
      <c r="E918" s="39" t="s">
        <v>6369</v>
      </c>
      <c r="F918" s="39" t="s">
        <v>1273</v>
      </c>
      <c r="G918" s="39" t="s">
        <v>1452</v>
      </c>
      <c r="H918" s="13"/>
      <c r="I918" s="39" t="s">
        <v>4966</v>
      </c>
      <c r="J918" s="39" t="s">
        <v>5133</v>
      </c>
      <c r="K918" s="13"/>
      <c r="L918" s="39" t="s">
        <v>3953</v>
      </c>
    </row>
    <row r="919" spans="1:12">
      <c r="A919" s="142" t="s">
        <v>6370</v>
      </c>
      <c r="B919" s="13"/>
      <c r="C919" s="13"/>
      <c r="D919" s="39" t="s">
        <v>6371</v>
      </c>
      <c r="E919" s="39" t="s">
        <v>6372</v>
      </c>
      <c r="F919" s="39" t="s">
        <v>6373</v>
      </c>
      <c r="G919" s="39" t="s">
        <v>6374</v>
      </c>
      <c r="H919" s="13"/>
      <c r="I919" s="39" t="s">
        <v>4969</v>
      </c>
      <c r="J919" s="39" t="s">
        <v>5138</v>
      </c>
      <c r="K919" s="13"/>
      <c r="L919" s="39" t="s">
        <v>3449</v>
      </c>
    </row>
    <row r="920" spans="1:12">
      <c r="A920" s="142" t="s">
        <v>6375</v>
      </c>
      <c r="B920" s="13"/>
      <c r="C920" s="13"/>
      <c r="D920" s="39" t="s">
        <v>2265</v>
      </c>
      <c r="E920" s="39" t="s">
        <v>6376</v>
      </c>
      <c r="F920" s="39" t="s">
        <v>6377</v>
      </c>
      <c r="G920" s="39" t="s">
        <v>6378</v>
      </c>
      <c r="H920" s="13"/>
      <c r="I920" s="39" t="s">
        <v>4910</v>
      </c>
      <c r="J920" s="39" t="s">
        <v>2345</v>
      </c>
      <c r="K920" s="13"/>
      <c r="L920" s="39" t="s">
        <v>3968</v>
      </c>
    </row>
    <row r="921" spans="1:12">
      <c r="A921" s="142" t="s">
        <v>6379</v>
      </c>
      <c r="B921" s="13"/>
      <c r="C921" s="13"/>
      <c r="D921" s="39"/>
      <c r="E921" s="39" t="s">
        <v>6380</v>
      </c>
      <c r="F921" s="39" t="s">
        <v>6381</v>
      </c>
      <c r="G921" s="39" t="s">
        <v>6382</v>
      </c>
      <c r="H921" s="13"/>
      <c r="I921" s="39" t="s">
        <v>4979</v>
      </c>
      <c r="J921" s="39"/>
      <c r="K921" s="13"/>
      <c r="L921" s="39" t="s">
        <v>6383</v>
      </c>
    </row>
    <row r="922" spans="1:12">
      <c r="A922" s="142" t="s">
        <v>6384</v>
      </c>
      <c r="B922" s="13"/>
      <c r="C922" s="13"/>
      <c r="D922" s="39" t="s">
        <v>6385</v>
      </c>
      <c r="E922" s="39" t="s">
        <v>6386</v>
      </c>
      <c r="F922" s="39" t="s">
        <v>6386</v>
      </c>
      <c r="G922" s="39" t="s">
        <v>6387</v>
      </c>
      <c r="H922" s="13"/>
      <c r="I922" s="39" t="s">
        <v>4884</v>
      </c>
      <c r="J922" s="39" t="s">
        <v>6057</v>
      </c>
      <c r="K922" s="13"/>
      <c r="L922" s="39" t="s">
        <v>6388</v>
      </c>
    </row>
    <row r="923" spans="1:12">
      <c r="A923" s="142" t="s">
        <v>6389</v>
      </c>
      <c r="B923" s="13"/>
      <c r="C923" s="13"/>
      <c r="D923" s="39"/>
      <c r="E923" s="39"/>
      <c r="F923" s="39" t="s">
        <v>1273</v>
      </c>
      <c r="G923" s="39" t="s">
        <v>6390</v>
      </c>
      <c r="H923" s="13"/>
      <c r="I923" s="39" t="s">
        <v>4987</v>
      </c>
      <c r="J923" s="39" t="s">
        <v>6391</v>
      </c>
      <c r="K923" s="13"/>
      <c r="L923" s="39" t="s">
        <v>4618</v>
      </c>
    </row>
    <row r="924" spans="1:12">
      <c r="A924" s="142" t="s">
        <v>6392</v>
      </c>
      <c r="B924" s="13"/>
      <c r="C924" s="13"/>
      <c r="D924" s="39" t="s">
        <v>6393</v>
      </c>
      <c r="E924" s="39" t="s">
        <v>6394</v>
      </c>
      <c r="F924" s="39" t="s">
        <v>2263</v>
      </c>
      <c r="G924" s="39" t="s">
        <v>5667</v>
      </c>
      <c r="H924" s="13"/>
      <c r="I924" s="39" t="s">
        <v>4992</v>
      </c>
      <c r="J924" s="39" t="s">
        <v>6395</v>
      </c>
      <c r="K924" s="13"/>
      <c r="L924" s="39" t="s">
        <v>6396</v>
      </c>
    </row>
    <row r="925" spans="1:12">
      <c r="A925" s="142" t="s">
        <v>1548</v>
      </c>
      <c r="B925" s="13"/>
      <c r="C925" s="13"/>
      <c r="D925" s="39" t="s">
        <v>6397</v>
      </c>
      <c r="E925" s="39" t="s">
        <v>2265</v>
      </c>
      <c r="F925" s="39" t="s">
        <v>6398</v>
      </c>
      <c r="G925" s="39" t="s">
        <v>1452</v>
      </c>
      <c r="H925" s="13"/>
      <c r="I925" s="39" t="s">
        <v>4910</v>
      </c>
      <c r="J925" s="39" t="s">
        <v>5160</v>
      </c>
      <c r="K925" s="13"/>
      <c r="L925" s="39" t="s">
        <v>2345</v>
      </c>
    </row>
    <row r="926" spans="1:12">
      <c r="A926" s="142" t="s">
        <v>6006</v>
      </c>
      <c r="B926" s="13"/>
      <c r="C926" s="13"/>
      <c r="D926" s="39" t="s">
        <v>6399</v>
      </c>
      <c r="E926" s="39"/>
      <c r="F926" s="39" t="s">
        <v>6400</v>
      </c>
      <c r="G926" s="39" t="s">
        <v>6401</v>
      </c>
      <c r="H926" s="13"/>
      <c r="I926" s="39" t="s">
        <v>5002</v>
      </c>
      <c r="J926" s="39" t="s">
        <v>5167</v>
      </c>
      <c r="K926" s="13"/>
      <c r="L926" s="39"/>
    </row>
    <row r="927" spans="1:12">
      <c r="A927" s="143"/>
      <c r="B927" s="13"/>
      <c r="C927" s="13"/>
      <c r="D927" s="39" t="s">
        <v>2374</v>
      </c>
      <c r="E927" s="39"/>
      <c r="F927" s="39" t="s">
        <v>6402</v>
      </c>
      <c r="G927" s="39" t="s">
        <v>1452</v>
      </c>
      <c r="H927" s="13"/>
      <c r="I927" s="39" t="s">
        <v>5008</v>
      </c>
      <c r="J927" s="39" t="s">
        <v>5173</v>
      </c>
      <c r="K927" s="13"/>
      <c r="L927" s="39" t="s">
        <v>6403</v>
      </c>
    </row>
    <row r="928" spans="1:12">
      <c r="A928" s="142" t="s">
        <v>6404</v>
      </c>
      <c r="B928" s="13"/>
      <c r="C928" s="13"/>
      <c r="D928" s="39" t="s">
        <v>6405</v>
      </c>
      <c r="E928" s="39" t="s">
        <v>6406</v>
      </c>
      <c r="F928" s="39" t="s">
        <v>6407</v>
      </c>
      <c r="G928" s="39" t="s">
        <v>6408</v>
      </c>
      <c r="H928" s="13"/>
      <c r="I928" s="39" t="s">
        <v>5014</v>
      </c>
      <c r="J928" s="39" t="s">
        <v>5190</v>
      </c>
      <c r="K928" s="13"/>
      <c r="L928" s="39" t="s">
        <v>6409</v>
      </c>
    </row>
    <row r="929" spans="1:12">
      <c r="A929" s="142" t="s">
        <v>6410</v>
      </c>
      <c r="B929" s="13"/>
      <c r="C929" s="13"/>
      <c r="D929" s="39" t="s">
        <v>4894</v>
      </c>
      <c r="E929" s="39" t="s">
        <v>1280</v>
      </c>
      <c r="F929" s="39" t="s">
        <v>6411</v>
      </c>
      <c r="G929" s="39" t="s">
        <v>6412</v>
      </c>
      <c r="H929" s="13"/>
      <c r="I929" s="39" t="s">
        <v>5020</v>
      </c>
      <c r="J929" s="39" t="s">
        <v>5181</v>
      </c>
      <c r="K929" s="13"/>
      <c r="L929" s="39" t="s">
        <v>6413</v>
      </c>
    </row>
    <row r="930" spans="1:12">
      <c r="A930" s="142" t="s">
        <v>6414</v>
      </c>
      <c r="B930" s="13"/>
      <c r="C930" s="13"/>
      <c r="D930" s="39" t="s">
        <v>2357</v>
      </c>
      <c r="E930" s="39" t="s">
        <v>6415</v>
      </c>
      <c r="F930" s="39" t="s">
        <v>6416</v>
      </c>
      <c r="G930" s="39" t="s">
        <v>1452</v>
      </c>
      <c r="H930" s="13"/>
      <c r="I930" s="39" t="s">
        <v>1999</v>
      </c>
      <c r="J930" s="39" t="s">
        <v>5201</v>
      </c>
      <c r="K930" s="13"/>
      <c r="L930" s="39" t="s">
        <v>6417</v>
      </c>
    </row>
    <row r="931" spans="1:12">
      <c r="A931" s="142" t="s">
        <v>6418</v>
      </c>
      <c r="B931" s="13"/>
      <c r="C931" s="13"/>
      <c r="D931" s="39" t="s">
        <v>2237</v>
      </c>
      <c r="E931" s="39" t="s">
        <v>1280</v>
      </c>
      <c r="F931" s="39" t="s">
        <v>6419</v>
      </c>
      <c r="G931" s="39" t="s">
        <v>6420</v>
      </c>
      <c r="H931" s="13"/>
      <c r="I931" s="39" t="s">
        <v>4872</v>
      </c>
      <c r="J931" s="39" t="s">
        <v>5207</v>
      </c>
      <c r="K931" s="13"/>
      <c r="L931" s="39" t="s">
        <v>6421</v>
      </c>
    </row>
    <row r="932" spans="1:12">
      <c r="A932" s="142" t="s">
        <v>6422</v>
      </c>
      <c r="B932" s="13"/>
      <c r="C932" s="13"/>
      <c r="D932" s="39" t="s">
        <v>6423</v>
      </c>
      <c r="E932" s="39" t="s">
        <v>6424</v>
      </c>
      <c r="F932" s="39" t="s">
        <v>6425</v>
      </c>
      <c r="G932" s="39" t="s">
        <v>6426</v>
      </c>
      <c r="H932" s="13"/>
      <c r="I932" s="39" t="s">
        <v>5035</v>
      </c>
      <c r="J932" s="110" t="s">
        <v>5213</v>
      </c>
      <c r="K932" s="13"/>
      <c r="L932" s="39" t="s">
        <v>6427</v>
      </c>
    </row>
    <row r="933" spans="1:12">
      <c r="A933" s="143"/>
      <c r="B933" s="13"/>
      <c r="C933" s="13"/>
      <c r="D933" s="39" t="s">
        <v>2265</v>
      </c>
      <c r="E933" s="39" t="s">
        <v>6428</v>
      </c>
      <c r="F933" s="39" t="s">
        <v>2553</v>
      </c>
      <c r="G933" s="39" t="s">
        <v>6429</v>
      </c>
      <c r="H933" s="13"/>
      <c r="I933" s="39" t="s">
        <v>5041</v>
      </c>
      <c r="J933" s="39" t="s">
        <v>3354</v>
      </c>
      <c r="K933" s="13"/>
      <c r="L933" s="39" t="s">
        <v>6430</v>
      </c>
    </row>
    <row r="934" spans="1:12">
      <c r="A934" s="142" t="s">
        <v>6431</v>
      </c>
      <c r="B934" s="13"/>
      <c r="C934" s="13"/>
      <c r="D934" s="39"/>
      <c r="E934" s="39" t="s">
        <v>6432</v>
      </c>
      <c r="F934" s="39" t="s">
        <v>6433</v>
      </c>
      <c r="G934" s="39" t="s">
        <v>6434</v>
      </c>
      <c r="H934" s="13"/>
      <c r="I934" s="39" t="s">
        <v>5047</v>
      </c>
      <c r="J934" s="39" t="s">
        <v>5224</v>
      </c>
      <c r="K934" s="13"/>
      <c r="L934" s="39" t="s">
        <v>6435</v>
      </c>
    </row>
    <row r="935" spans="1:12">
      <c r="A935" s="142" t="s">
        <v>6436</v>
      </c>
      <c r="B935" s="13"/>
      <c r="C935" s="13"/>
      <c r="D935" s="39" t="s">
        <v>5617</v>
      </c>
      <c r="E935" s="39"/>
      <c r="F935" s="39" t="s">
        <v>3054</v>
      </c>
      <c r="G935" s="39" t="s">
        <v>6437</v>
      </c>
      <c r="H935" s="13"/>
      <c r="I935" s="39" t="s">
        <v>5041</v>
      </c>
      <c r="J935" s="110" t="s">
        <v>5230</v>
      </c>
      <c r="K935" s="13"/>
      <c r="L935" s="39" t="s">
        <v>3273</v>
      </c>
    </row>
    <row r="936" spans="1:12">
      <c r="A936" s="142" t="s">
        <v>6438</v>
      </c>
      <c r="B936" s="13"/>
      <c r="C936" s="13"/>
      <c r="D936" s="39" t="s">
        <v>5624</v>
      </c>
      <c r="E936" s="39" t="s">
        <v>6439</v>
      </c>
      <c r="F936" s="39" t="s">
        <v>6440</v>
      </c>
      <c r="G936" s="39" t="s">
        <v>5403</v>
      </c>
      <c r="H936" s="13"/>
      <c r="I936" s="39" t="s">
        <v>5054</v>
      </c>
      <c r="J936" s="39" t="s">
        <v>4859</v>
      </c>
      <c r="K936" s="13"/>
      <c r="L936" s="39" t="s">
        <v>6441</v>
      </c>
    </row>
    <row r="937" spans="1:12">
      <c r="A937" s="142" t="s">
        <v>4232</v>
      </c>
      <c r="B937" s="13"/>
      <c r="C937" s="13"/>
      <c r="D937" s="46" t="s">
        <v>6442</v>
      </c>
      <c r="E937" s="39"/>
      <c r="F937" s="39" t="s">
        <v>6381</v>
      </c>
      <c r="G937" s="39" t="s">
        <v>6443</v>
      </c>
      <c r="H937" s="13"/>
      <c r="I937" s="39" t="s">
        <v>5061</v>
      </c>
      <c r="J937" s="39" t="s">
        <v>5238</v>
      </c>
      <c r="K937" s="13"/>
      <c r="L937" s="39" t="s">
        <v>6444</v>
      </c>
    </row>
    <row r="938" spans="1:12">
      <c r="A938" s="39" t="s">
        <v>3054</v>
      </c>
      <c r="B938" s="13"/>
      <c r="C938" s="13"/>
      <c r="D938" s="39" t="s">
        <v>6445</v>
      </c>
      <c r="E938" s="39" t="s">
        <v>6446</v>
      </c>
      <c r="F938" s="39" t="s">
        <v>3516</v>
      </c>
      <c r="G938" s="39" t="s">
        <v>6447</v>
      </c>
      <c r="H938" s="13"/>
      <c r="I938" s="39" t="s">
        <v>5066</v>
      </c>
      <c r="J938" s="110" t="s">
        <v>5244</v>
      </c>
      <c r="K938" s="13"/>
      <c r="L938" s="39" t="s">
        <v>4138</v>
      </c>
    </row>
    <row r="939" spans="1:12">
      <c r="A939" s="36"/>
      <c r="B939" s="13"/>
      <c r="C939" s="13"/>
      <c r="D939" s="39" t="s">
        <v>5634</v>
      </c>
      <c r="E939" s="39" t="s">
        <v>1273</v>
      </c>
      <c r="F939" s="39" t="s">
        <v>1273</v>
      </c>
      <c r="G939" s="39" t="s">
        <v>6448</v>
      </c>
      <c r="H939" s="13"/>
      <c r="I939" s="39" t="s">
        <v>5072</v>
      </c>
      <c r="J939" s="39" t="s">
        <v>4140</v>
      </c>
      <c r="K939" s="13"/>
      <c r="L939" s="39" t="s">
        <v>2626</v>
      </c>
    </row>
    <row r="940" spans="1:12">
      <c r="A940" s="39" t="s">
        <v>6449</v>
      </c>
      <c r="B940" s="13"/>
      <c r="C940" s="13"/>
      <c r="D940" s="39" t="s">
        <v>4078</v>
      </c>
      <c r="E940" s="39" t="s">
        <v>6450</v>
      </c>
      <c r="F940" s="39" t="s">
        <v>6451</v>
      </c>
      <c r="G940" s="39" t="s">
        <v>6452</v>
      </c>
      <c r="H940" s="13"/>
      <c r="I940" s="39" t="s">
        <v>5079</v>
      </c>
      <c r="J940" s="39" t="s">
        <v>5253</v>
      </c>
      <c r="K940" s="13"/>
      <c r="L940" s="39" t="s">
        <v>2357</v>
      </c>
    </row>
    <row r="941" spans="1:12">
      <c r="A941" s="39" t="s">
        <v>2265</v>
      </c>
      <c r="B941" s="13"/>
      <c r="C941" s="13"/>
      <c r="D941" s="39" t="s">
        <v>5640</v>
      </c>
      <c r="E941" s="39" t="s">
        <v>6453</v>
      </c>
      <c r="F941" s="39" t="s">
        <v>6454</v>
      </c>
      <c r="G941" s="39" t="s">
        <v>6455</v>
      </c>
      <c r="H941" s="13"/>
      <c r="I941" s="39" t="s">
        <v>5087</v>
      </c>
      <c r="J941" s="110" t="s">
        <v>5260</v>
      </c>
      <c r="K941" s="13"/>
      <c r="L941" s="39" t="s">
        <v>6456</v>
      </c>
    </row>
    <row r="942" spans="1:12">
      <c r="A942" s="36"/>
      <c r="B942" s="13"/>
      <c r="C942" s="13"/>
      <c r="D942" s="39" t="s">
        <v>5645</v>
      </c>
      <c r="E942" s="39" t="s">
        <v>6457</v>
      </c>
      <c r="F942" s="39" t="s">
        <v>6458</v>
      </c>
      <c r="G942" s="39" t="s">
        <v>1452</v>
      </c>
      <c r="H942" s="13"/>
      <c r="I942" s="39" t="s">
        <v>5093</v>
      </c>
      <c r="J942" s="39" t="s">
        <v>3747</v>
      </c>
      <c r="K942" s="13"/>
      <c r="L942" s="39" t="s">
        <v>6459</v>
      </c>
    </row>
    <row r="943" spans="1:12">
      <c r="A943" s="39" t="s">
        <v>1278</v>
      </c>
      <c r="B943" s="13"/>
      <c r="C943" s="13"/>
      <c r="D943" s="39" t="s">
        <v>2424</v>
      </c>
      <c r="E943" s="39" t="s">
        <v>6460</v>
      </c>
      <c r="F943" s="39" t="s">
        <v>6461</v>
      </c>
      <c r="G943" s="39" t="s">
        <v>6462</v>
      </c>
      <c r="H943" s="13"/>
      <c r="I943" s="39" t="s">
        <v>5960</v>
      </c>
      <c r="J943" s="39" t="s">
        <v>5269</v>
      </c>
      <c r="K943" s="13"/>
      <c r="L943" s="39" t="s">
        <v>3699</v>
      </c>
    </row>
    <row r="944" spans="1:12">
      <c r="A944" s="39" t="s">
        <v>6463</v>
      </c>
      <c r="B944" s="13"/>
      <c r="C944" s="13"/>
      <c r="D944" s="45" t="s">
        <v>2744</v>
      </c>
      <c r="E944" s="39" t="s">
        <v>6464</v>
      </c>
      <c r="F944" s="39" t="s">
        <v>2424</v>
      </c>
      <c r="G944" s="39" t="s">
        <v>5403</v>
      </c>
      <c r="H944" s="13"/>
      <c r="I944" s="39" t="s">
        <v>5105</v>
      </c>
      <c r="J944" s="110" t="s">
        <v>5275</v>
      </c>
      <c r="K944" s="13"/>
      <c r="L944" s="39" t="s">
        <v>3705</v>
      </c>
    </row>
    <row r="945" spans="1:12">
      <c r="A945" s="36"/>
      <c r="B945" s="13"/>
      <c r="C945" s="13"/>
      <c r="D945" s="39" t="s">
        <v>2596</v>
      </c>
      <c r="E945" s="39" t="s">
        <v>6465</v>
      </c>
      <c r="F945" s="39" t="s">
        <v>6466</v>
      </c>
      <c r="G945" s="39" t="s">
        <v>6443</v>
      </c>
      <c r="H945" s="13"/>
      <c r="I945" s="39" t="s">
        <v>5111</v>
      </c>
      <c r="J945" s="39" t="s">
        <v>5279</v>
      </c>
      <c r="K945" s="13"/>
      <c r="L945" s="39" t="s">
        <v>3711</v>
      </c>
    </row>
    <row r="946" spans="1:12">
      <c r="A946" s="39" t="s">
        <v>4718</v>
      </c>
      <c r="B946" s="13"/>
      <c r="C946" s="13"/>
      <c r="D946" s="39" t="s">
        <v>5659</v>
      </c>
      <c r="E946" s="39" t="s">
        <v>6467</v>
      </c>
      <c r="F946" s="39" t="s">
        <v>6468</v>
      </c>
      <c r="G946" s="39" t="s">
        <v>6469</v>
      </c>
      <c r="H946" s="13"/>
      <c r="I946" s="39" t="s">
        <v>5115</v>
      </c>
      <c r="J946" s="39" t="s">
        <v>5284</v>
      </c>
      <c r="K946" s="13"/>
      <c r="L946" s="39" t="s">
        <v>6470</v>
      </c>
    </row>
    <row r="947" spans="1:12">
      <c r="A947" s="39" t="s">
        <v>4726</v>
      </c>
      <c r="B947" s="13"/>
      <c r="C947" s="13"/>
      <c r="D947" s="39" t="s">
        <v>2265</v>
      </c>
      <c r="E947" s="39"/>
      <c r="F947" s="39" t="s">
        <v>2596</v>
      </c>
      <c r="G947" s="39" t="s">
        <v>6448</v>
      </c>
      <c r="H947" s="13"/>
      <c r="I947" s="39" t="s">
        <v>5122</v>
      </c>
      <c r="J947" s="110" t="s">
        <v>5290</v>
      </c>
      <c r="K947" s="13"/>
      <c r="L947" s="39" t="s">
        <v>6471</v>
      </c>
    </row>
    <row r="948" spans="1:12">
      <c r="A948" s="39" t="s">
        <v>6472</v>
      </c>
      <c r="B948" s="13"/>
      <c r="C948" s="13"/>
      <c r="D948" s="39" t="s">
        <v>6473</v>
      </c>
      <c r="E948" s="39" t="s">
        <v>3130</v>
      </c>
      <c r="F948" s="39" t="s">
        <v>1273</v>
      </c>
      <c r="G948" s="39" t="s">
        <v>6474</v>
      </c>
      <c r="H948" s="13"/>
      <c r="I948" s="39" t="s">
        <v>5128</v>
      </c>
      <c r="J948" s="39" t="s">
        <v>5298</v>
      </c>
      <c r="K948" s="13"/>
      <c r="L948" s="39" t="s">
        <v>6475</v>
      </c>
    </row>
    <row r="949" spans="1:12">
      <c r="A949" s="39" t="s">
        <v>6476</v>
      </c>
      <c r="B949" s="13"/>
      <c r="C949" s="13"/>
      <c r="D949" s="39" t="s">
        <v>6477</v>
      </c>
      <c r="E949" s="39"/>
      <c r="F949" s="39" t="s">
        <v>6478</v>
      </c>
      <c r="G949" s="39" t="s">
        <v>6479</v>
      </c>
      <c r="H949" s="13"/>
      <c r="I949" s="39" t="s">
        <v>5072</v>
      </c>
      <c r="J949" s="110" t="s">
        <v>5303</v>
      </c>
      <c r="K949" s="13"/>
      <c r="L949" s="39" t="s">
        <v>3711</v>
      </c>
    </row>
    <row r="950" spans="1:12">
      <c r="A950" s="39" t="s">
        <v>6480</v>
      </c>
      <c r="B950" s="13"/>
      <c r="C950" s="13"/>
      <c r="D950" s="39" t="s">
        <v>5630</v>
      </c>
      <c r="E950" s="39" t="s">
        <v>6481</v>
      </c>
      <c r="F950" s="39" t="s">
        <v>6482</v>
      </c>
      <c r="G950" s="39" t="s">
        <v>1452</v>
      </c>
      <c r="H950" s="13"/>
      <c r="I950" s="39" t="s">
        <v>5137</v>
      </c>
      <c r="J950" s="39" t="s">
        <v>5310</v>
      </c>
      <c r="K950" s="13"/>
      <c r="L950" s="39" t="s">
        <v>4019</v>
      </c>
    </row>
    <row r="951" spans="1:12">
      <c r="A951" s="39" t="s">
        <v>6483</v>
      </c>
      <c r="B951" s="13"/>
      <c r="C951" s="13"/>
      <c r="D951" s="39" t="s">
        <v>5634</v>
      </c>
      <c r="E951" s="39" t="s">
        <v>6484</v>
      </c>
      <c r="F951" s="39" t="s">
        <v>2424</v>
      </c>
      <c r="G951" s="39" t="s">
        <v>6485</v>
      </c>
      <c r="H951" s="13"/>
      <c r="I951" s="39" t="s">
        <v>5111</v>
      </c>
      <c r="J951" s="39" t="s">
        <v>5301</v>
      </c>
      <c r="K951" s="13"/>
      <c r="L951" s="39" t="s">
        <v>6486</v>
      </c>
    </row>
    <row r="952" spans="1:12">
      <c r="A952" s="39" t="s">
        <v>6487</v>
      </c>
      <c r="B952" s="13"/>
      <c r="C952" s="13"/>
      <c r="D952" s="39" t="s">
        <v>4078</v>
      </c>
      <c r="E952" s="39" t="s">
        <v>6488</v>
      </c>
      <c r="F952" s="39" t="s">
        <v>6113</v>
      </c>
      <c r="G952" s="39" t="s">
        <v>6489</v>
      </c>
      <c r="H952" s="13"/>
      <c r="I952" s="39" t="s">
        <v>5148</v>
      </c>
      <c r="J952" s="39" t="s">
        <v>2799</v>
      </c>
      <c r="K952" s="13"/>
      <c r="L952" s="39" t="s">
        <v>6490</v>
      </c>
    </row>
    <row r="953" spans="1:12">
      <c r="A953" s="39" t="s">
        <v>6491</v>
      </c>
      <c r="B953" s="13"/>
      <c r="C953" s="13"/>
      <c r="D953" s="39" t="s">
        <v>5640</v>
      </c>
      <c r="E953" s="39" t="s">
        <v>6492</v>
      </c>
      <c r="F953" s="39" t="s">
        <v>2357</v>
      </c>
      <c r="G953" s="39" t="s">
        <v>6493</v>
      </c>
      <c r="H953" s="13"/>
      <c r="I953" s="39" t="s">
        <v>5122</v>
      </c>
      <c r="J953" s="39" t="s">
        <v>4138</v>
      </c>
      <c r="K953" s="13"/>
      <c r="L953" s="110" t="s">
        <v>6494</v>
      </c>
    </row>
    <row r="954" spans="1:12">
      <c r="A954" s="39" t="s">
        <v>6495</v>
      </c>
      <c r="B954" s="13"/>
      <c r="C954" s="13"/>
      <c r="D954" s="39" t="s">
        <v>5645</v>
      </c>
      <c r="E954" s="39"/>
      <c r="F954" s="39" t="s">
        <v>6496</v>
      </c>
      <c r="G954" s="39" t="s">
        <v>6497</v>
      </c>
      <c r="H954" s="13"/>
      <c r="I954" s="39" t="s">
        <v>5128</v>
      </c>
      <c r="J954" s="39" t="s">
        <v>4080</v>
      </c>
      <c r="K954" s="13"/>
      <c r="L954" s="39" t="s">
        <v>6498</v>
      </c>
    </row>
    <row r="955" spans="1:12">
      <c r="A955" s="39" t="s">
        <v>6499</v>
      </c>
      <c r="B955" s="13"/>
      <c r="C955" s="13"/>
      <c r="D955" s="39" t="s">
        <v>2424</v>
      </c>
      <c r="E955" s="39" t="s">
        <v>5467</v>
      </c>
      <c r="F955" s="39" t="s">
        <v>6500</v>
      </c>
      <c r="G955" s="39" t="s">
        <v>5719</v>
      </c>
      <c r="H955" s="13"/>
      <c r="I955" s="39" t="s">
        <v>5072</v>
      </c>
      <c r="J955" s="39" t="s">
        <v>3371</v>
      </c>
      <c r="K955" s="13"/>
      <c r="L955" s="39" t="s">
        <v>6501</v>
      </c>
    </row>
    <row r="956" spans="1:12">
      <c r="A956" s="39" t="s">
        <v>6502</v>
      </c>
      <c r="B956" s="13"/>
      <c r="C956" s="13"/>
      <c r="D956" s="45" t="s">
        <v>2744</v>
      </c>
      <c r="E956" s="39" t="s">
        <v>6503</v>
      </c>
      <c r="F956" s="39" t="s">
        <v>6386</v>
      </c>
      <c r="G956" s="39" t="s">
        <v>6504</v>
      </c>
      <c r="H956" s="13"/>
      <c r="I956" s="39" t="s">
        <v>5137</v>
      </c>
      <c r="J956" s="39" t="s">
        <v>2424</v>
      </c>
      <c r="K956" s="13"/>
      <c r="L956" s="39" t="s">
        <v>6505</v>
      </c>
    </row>
    <row r="957" spans="1:12">
      <c r="A957" s="39" t="s">
        <v>6506</v>
      </c>
      <c r="B957" s="13"/>
      <c r="C957" s="13"/>
      <c r="D957" s="39" t="s">
        <v>2596</v>
      </c>
      <c r="E957" s="39" t="s">
        <v>2424</v>
      </c>
      <c r="F957" s="39"/>
      <c r="G957" s="39" t="s">
        <v>6507</v>
      </c>
      <c r="H957" s="13"/>
      <c r="I957" s="39" t="s">
        <v>5111</v>
      </c>
      <c r="J957" s="39" t="s">
        <v>5345</v>
      </c>
      <c r="K957" s="13"/>
      <c r="L957" s="39"/>
    </row>
    <row r="958" spans="1:12">
      <c r="A958" s="39" t="s">
        <v>6508</v>
      </c>
      <c r="B958" s="13"/>
      <c r="C958" s="13"/>
      <c r="D958" s="39" t="s">
        <v>6509</v>
      </c>
      <c r="E958" s="39" t="s">
        <v>6510</v>
      </c>
      <c r="F958" s="39" t="s">
        <v>6511</v>
      </c>
      <c r="G958" s="39" t="s">
        <v>1452</v>
      </c>
      <c r="H958" s="13"/>
      <c r="I958" s="39" t="s">
        <v>5180</v>
      </c>
      <c r="J958" s="39" t="s">
        <v>5349</v>
      </c>
      <c r="K958" s="13"/>
      <c r="L958" s="39" t="s">
        <v>2775</v>
      </c>
    </row>
    <row r="959" spans="1:12">
      <c r="A959" s="39" t="s">
        <v>6512</v>
      </c>
      <c r="B959" s="13"/>
      <c r="C959" s="13"/>
      <c r="D959" s="39" t="s">
        <v>2265</v>
      </c>
      <c r="E959" s="39" t="s">
        <v>2357</v>
      </c>
      <c r="F959" s="39" t="s">
        <v>6513</v>
      </c>
      <c r="G959" s="39" t="s">
        <v>6514</v>
      </c>
      <c r="H959" s="13"/>
      <c r="I959" s="39" t="s">
        <v>5185</v>
      </c>
      <c r="J959" s="39" t="s">
        <v>5352</v>
      </c>
      <c r="K959" s="13"/>
      <c r="L959" s="39" t="s">
        <v>6515</v>
      </c>
    </row>
    <row r="960" spans="1:12">
      <c r="A960" s="39" t="s">
        <v>6516</v>
      </c>
      <c r="B960" s="13"/>
      <c r="C960" s="13"/>
      <c r="D960" s="39" t="s">
        <v>1259</v>
      </c>
      <c r="E960" s="39" t="s">
        <v>1273</v>
      </c>
      <c r="F960" s="39" t="s">
        <v>6517</v>
      </c>
      <c r="G960" s="39" t="s">
        <v>6518</v>
      </c>
      <c r="H960" s="13"/>
      <c r="I960" s="39" t="s">
        <v>5189</v>
      </c>
      <c r="J960" s="39" t="s">
        <v>4743</v>
      </c>
      <c r="K960" s="13"/>
      <c r="L960" s="39" t="s">
        <v>6519</v>
      </c>
    </row>
    <row r="961" spans="1:12">
      <c r="A961" s="39" t="s">
        <v>6520</v>
      </c>
      <c r="B961" s="13"/>
      <c r="C961" s="13"/>
      <c r="D961" s="39" t="s">
        <v>4697</v>
      </c>
      <c r="E961" s="39" t="s">
        <v>6521</v>
      </c>
      <c r="F961" s="39" t="s">
        <v>6522</v>
      </c>
      <c r="G961" s="39" t="s">
        <v>3281</v>
      </c>
      <c r="H961" s="13"/>
      <c r="I961" s="39" t="s">
        <v>5197</v>
      </c>
      <c r="J961" s="39" t="s">
        <v>4859</v>
      </c>
      <c r="K961" s="13"/>
      <c r="L961" s="39" t="s">
        <v>2424</v>
      </c>
    </row>
    <row r="962" spans="1:12">
      <c r="A962" s="39" t="s">
        <v>6523</v>
      </c>
      <c r="B962" s="13"/>
      <c r="C962" s="13"/>
      <c r="D962" s="39" t="s">
        <v>6524</v>
      </c>
      <c r="E962" s="39" t="s">
        <v>6525</v>
      </c>
      <c r="F962" s="39" t="s">
        <v>6386</v>
      </c>
      <c r="G962" s="39" t="s">
        <v>1452</v>
      </c>
      <c r="H962" s="13"/>
      <c r="I962" s="39" t="s">
        <v>5072</v>
      </c>
      <c r="J962" s="110" t="s">
        <v>5367</v>
      </c>
      <c r="K962" s="13"/>
      <c r="L962" s="39" t="s">
        <v>6526</v>
      </c>
    </row>
    <row r="963" spans="1:12">
      <c r="A963" s="39" t="s">
        <v>6527</v>
      </c>
      <c r="B963" s="13"/>
      <c r="C963" s="13"/>
      <c r="D963" s="39" t="s">
        <v>4710</v>
      </c>
      <c r="E963" s="39" t="s">
        <v>6528</v>
      </c>
      <c r="F963" s="39" t="s">
        <v>1273</v>
      </c>
      <c r="G963" s="39" t="s">
        <v>6529</v>
      </c>
      <c r="H963" s="13"/>
      <c r="I963" s="39" t="s">
        <v>5206</v>
      </c>
      <c r="J963" s="39" t="s">
        <v>4080</v>
      </c>
      <c r="K963" s="13"/>
      <c r="L963" s="39" t="s">
        <v>6530</v>
      </c>
    </row>
    <row r="964" spans="1:12">
      <c r="A964" s="39" t="s">
        <v>6531</v>
      </c>
      <c r="B964" s="13"/>
      <c r="C964" s="13"/>
      <c r="D964" s="39" t="s">
        <v>2237</v>
      </c>
      <c r="E964" s="39" t="s">
        <v>6532</v>
      </c>
      <c r="F964" s="39" t="s">
        <v>6533</v>
      </c>
      <c r="G964" s="39" t="s">
        <v>3680</v>
      </c>
      <c r="H964" s="13"/>
      <c r="I964" s="39" t="s">
        <v>5111</v>
      </c>
      <c r="J964" s="39" t="s">
        <v>3354</v>
      </c>
      <c r="K964" s="13"/>
      <c r="L964" s="39" t="s">
        <v>6534</v>
      </c>
    </row>
    <row r="965" spans="1:12">
      <c r="A965" s="39" t="s">
        <v>6535</v>
      </c>
      <c r="B965" s="13"/>
      <c r="C965" s="13"/>
      <c r="D965" s="39" t="s">
        <v>1576</v>
      </c>
      <c r="E965" s="39" t="s">
        <v>6536</v>
      </c>
      <c r="F965" s="39" t="s">
        <v>6537</v>
      </c>
      <c r="G965" s="39" t="s">
        <v>1452</v>
      </c>
      <c r="H965" s="13"/>
      <c r="I965" s="39" t="s">
        <v>5217</v>
      </c>
      <c r="J965" s="39" t="s">
        <v>5380</v>
      </c>
      <c r="K965" s="13"/>
      <c r="L965" s="39" t="s">
        <v>6538</v>
      </c>
    </row>
    <row r="966" spans="1:12">
      <c r="A966" s="39" t="s">
        <v>6539</v>
      </c>
      <c r="B966" s="13"/>
      <c r="C966" s="13"/>
      <c r="D966" s="13"/>
      <c r="E966" s="39"/>
      <c r="F966" s="39" t="s">
        <v>6540</v>
      </c>
      <c r="G966" s="39" t="s">
        <v>1452</v>
      </c>
      <c r="H966" s="13"/>
      <c r="I966" s="39" t="s">
        <v>5223</v>
      </c>
      <c r="J966" s="39" t="s">
        <v>6541</v>
      </c>
      <c r="K966" s="13"/>
      <c r="L966" s="39" t="s">
        <v>2357</v>
      </c>
    </row>
    <row r="967" spans="1:12">
      <c r="A967" s="39" t="s">
        <v>6542</v>
      </c>
      <c r="B967" s="13"/>
      <c r="C967" s="13"/>
      <c r="D967" s="13"/>
      <c r="E967" s="39" t="s">
        <v>6543</v>
      </c>
      <c r="F967" s="39" t="s">
        <v>6544</v>
      </c>
      <c r="G967" s="39" t="s">
        <v>6545</v>
      </c>
      <c r="H967" s="13"/>
      <c r="I967" s="39" t="s">
        <v>5229</v>
      </c>
      <c r="J967" s="110" t="s">
        <v>6546</v>
      </c>
      <c r="K967" s="13"/>
      <c r="L967" s="39"/>
    </row>
    <row r="968" spans="1:12">
      <c r="A968" s="39" t="s">
        <v>6547</v>
      </c>
      <c r="B968" s="13"/>
      <c r="C968" s="13"/>
      <c r="D968" s="13"/>
      <c r="E968" s="39" t="s">
        <v>6548</v>
      </c>
      <c r="F968" s="39" t="s">
        <v>1273</v>
      </c>
      <c r="G968" s="39" t="s">
        <v>1281</v>
      </c>
      <c r="H968" s="13"/>
      <c r="I968" s="39" t="s">
        <v>5020</v>
      </c>
      <c r="J968" s="39" t="s">
        <v>4859</v>
      </c>
      <c r="K968" s="13"/>
      <c r="L968" s="39" t="s">
        <v>3208</v>
      </c>
    </row>
    <row r="969" spans="1:12">
      <c r="A969" s="39" t="s">
        <v>6549</v>
      </c>
      <c r="B969" s="13"/>
      <c r="C969" s="13"/>
      <c r="D969" s="13"/>
      <c r="E969" s="39"/>
      <c r="F969" s="39" t="s">
        <v>6550</v>
      </c>
      <c r="G969" s="39" t="s">
        <v>6551</v>
      </c>
      <c r="H969" s="13"/>
      <c r="I969" s="39"/>
      <c r="J969" s="39" t="s">
        <v>6552</v>
      </c>
      <c r="K969" s="13"/>
      <c r="L969" s="39" t="s">
        <v>6553</v>
      </c>
    </row>
    <row r="970" spans="1:12">
      <c r="A970" s="39" t="s">
        <v>6554</v>
      </c>
      <c r="B970" s="13"/>
      <c r="C970" s="13"/>
      <c r="D970" s="13"/>
      <c r="E970" s="39" t="s">
        <v>6555</v>
      </c>
      <c r="F970" s="39" t="s">
        <v>6556</v>
      </c>
      <c r="G970" s="39" t="s">
        <v>1281</v>
      </c>
      <c r="H970" s="13"/>
      <c r="I970" s="39" t="s">
        <v>6057</v>
      </c>
      <c r="J970" s="110" t="s">
        <v>5510</v>
      </c>
      <c r="K970" s="13"/>
      <c r="L970" s="39" t="s">
        <v>6557</v>
      </c>
    </row>
    <row r="971" spans="1:12">
      <c r="A971" s="39" t="s">
        <v>6558</v>
      </c>
      <c r="B971" s="13"/>
      <c r="C971" s="13"/>
      <c r="D971" s="13"/>
      <c r="E971" s="39" t="s">
        <v>6559</v>
      </c>
      <c r="F971" s="39" t="s">
        <v>6560</v>
      </c>
      <c r="G971" s="39" t="s">
        <v>6561</v>
      </c>
      <c r="H971" s="13"/>
      <c r="I971" s="39" t="s">
        <v>3603</v>
      </c>
      <c r="J971" s="39" t="s">
        <v>4140</v>
      </c>
      <c r="K971" s="13"/>
      <c r="L971" s="39" t="s">
        <v>2619</v>
      </c>
    </row>
    <row r="972" spans="1:12">
      <c r="A972" s="39" t="s">
        <v>6562</v>
      </c>
      <c r="B972" s="13"/>
      <c r="C972" s="13"/>
      <c r="D972" s="13"/>
      <c r="E972" s="39"/>
      <c r="F972" s="39" t="s">
        <v>6563</v>
      </c>
      <c r="G972" s="39" t="s">
        <v>6564</v>
      </c>
      <c r="H972" s="13"/>
      <c r="I972" s="39" t="s">
        <v>6063</v>
      </c>
      <c r="J972" s="39" t="s">
        <v>5517</v>
      </c>
      <c r="K972" s="13"/>
      <c r="L972" s="39" t="s">
        <v>6565</v>
      </c>
    </row>
    <row r="973" spans="1:12">
      <c r="A973" s="39" t="s">
        <v>6566</v>
      </c>
      <c r="B973" s="13"/>
      <c r="C973" s="13"/>
      <c r="D973" s="13"/>
      <c r="E973" s="39" t="s">
        <v>6342</v>
      </c>
      <c r="F973" s="39" t="s">
        <v>6137</v>
      </c>
      <c r="G973" s="39" t="s">
        <v>6567</v>
      </c>
      <c r="H973" s="13"/>
      <c r="I973" s="39" t="s">
        <v>5252</v>
      </c>
      <c r="J973" s="39" t="s">
        <v>5521</v>
      </c>
      <c r="K973" s="13"/>
      <c r="L973" s="39" t="s">
        <v>6568</v>
      </c>
    </row>
    <row r="974" spans="1:12">
      <c r="A974" s="39" t="s">
        <v>6569</v>
      </c>
      <c r="B974" s="13"/>
      <c r="C974" s="13"/>
      <c r="D974" s="13"/>
      <c r="E974" s="39" t="s">
        <v>6570</v>
      </c>
      <c r="F974" s="39" t="s">
        <v>2596</v>
      </c>
      <c r="G974" s="39" t="s">
        <v>6571</v>
      </c>
      <c r="H974" s="13"/>
      <c r="I974" s="39" t="s">
        <v>5167</v>
      </c>
      <c r="J974" s="39" t="s">
        <v>5527</v>
      </c>
      <c r="K974" s="13"/>
      <c r="L974" s="39" t="s">
        <v>6572</v>
      </c>
    </row>
    <row r="975" spans="1:12">
      <c r="A975" s="39" t="s">
        <v>6573</v>
      </c>
      <c r="B975" s="13"/>
      <c r="C975" s="13"/>
      <c r="D975" s="13"/>
      <c r="E975" s="39" t="s">
        <v>6348</v>
      </c>
      <c r="F975" s="39"/>
      <c r="G975" s="39" t="s">
        <v>5858</v>
      </c>
      <c r="H975" s="13"/>
      <c r="I975" s="39" t="s">
        <v>5173</v>
      </c>
      <c r="J975" s="39" t="s">
        <v>3827</v>
      </c>
      <c r="K975" s="13"/>
      <c r="L975" s="39" t="s">
        <v>6574</v>
      </c>
    </row>
    <row r="976" spans="1:12">
      <c r="A976" s="39" t="s">
        <v>6575</v>
      </c>
      <c r="B976" s="13"/>
      <c r="C976" s="13"/>
      <c r="D976" s="13"/>
      <c r="E976" s="39" t="s">
        <v>5070</v>
      </c>
      <c r="F976" s="39" t="s">
        <v>6576</v>
      </c>
      <c r="G976" s="39" t="s">
        <v>1452</v>
      </c>
      <c r="H976" s="13"/>
      <c r="I976" s="39" t="s">
        <v>5190</v>
      </c>
      <c r="J976" s="39" t="s">
        <v>5279</v>
      </c>
      <c r="K976" s="13"/>
      <c r="L976" s="39" t="s">
        <v>6572</v>
      </c>
    </row>
    <row r="977" spans="1:12">
      <c r="A977" s="39" t="s">
        <v>6577</v>
      </c>
      <c r="B977" s="13"/>
      <c r="C977" s="13"/>
      <c r="D977" s="13"/>
      <c r="E977" s="39" t="s">
        <v>6355</v>
      </c>
      <c r="F977" s="39" t="s">
        <v>6578</v>
      </c>
      <c r="G977" s="39" t="s">
        <v>6579</v>
      </c>
      <c r="H977" s="13"/>
      <c r="I977" s="39" t="s">
        <v>5181</v>
      </c>
      <c r="J977" s="110" t="s">
        <v>5537</v>
      </c>
      <c r="K977" s="13"/>
      <c r="L977" s="39" t="s">
        <v>6580</v>
      </c>
    </row>
    <row r="978" spans="1:12">
      <c r="A978" s="39" t="s">
        <v>6581</v>
      </c>
      <c r="B978" s="13"/>
      <c r="C978" s="13"/>
      <c r="D978" s="13"/>
      <c r="E978" s="39" t="s">
        <v>6582</v>
      </c>
      <c r="F978" s="39" t="s">
        <v>2855</v>
      </c>
      <c r="G978" s="39" t="s">
        <v>3680</v>
      </c>
      <c r="H978" s="13"/>
      <c r="I978" s="110" t="s">
        <v>6086</v>
      </c>
      <c r="J978" s="39" t="s">
        <v>5301</v>
      </c>
      <c r="K978" s="13"/>
      <c r="L978" s="39" t="s">
        <v>6583</v>
      </c>
    </row>
    <row r="979" spans="1:12">
      <c r="A979" s="39" t="s">
        <v>6584</v>
      </c>
      <c r="B979" s="13"/>
      <c r="C979" s="13"/>
      <c r="D979" s="13"/>
      <c r="E979" s="39" t="s">
        <v>6585</v>
      </c>
      <c r="F979" s="39" t="s">
        <v>2596</v>
      </c>
      <c r="G979" s="39" t="s">
        <v>1452</v>
      </c>
      <c r="H979" s="13"/>
      <c r="I979" s="39" t="s">
        <v>5424</v>
      </c>
      <c r="J979" s="39" t="s">
        <v>3747</v>
      </c>
      <c r="K979" s="13"/>
      <c r="L979" s="39" t="s">
        <v>3801</v>
      </c>
    </row>
    <row r="980" spans="1:12">
      <c r="A980" s="39" t="s">
        <v>6586</v>
      </c>
      <c r="B980" s="13"/>
      <c r="C980" s="13"/>
      <c r="D980" s="13"/>
      <c r="E980" s="39"/>
      <c r="F980" s="39" t="s">
        <v>1273</v>
      </c>
      <c r="G980" s="39" t="s">
        <v>1452</v>
      </c>
      <c r="H980" s="13"/>
      <c r="I980" s="39"/>
      <c r="J980" s="39" t="s">
        <v>5549</v>
      </c>
      <c r="K980" s="13"/>
      <c r="L980" s="39" t="s">
        <v>3209</v>
      </c>
    </row>
    <row r="981" spans="1:12">
      <c r="A981" s="39" t="s">
        <v>6587</v>
      </c>
      <c r="B981" s="13"/>
      <c r="C981" s="13"/>
      <c r="D981" s="13"/>
      <c r="E981" s="39" t="s">
        <v>6189</v>
      </c>
      <c r="F981" s="39" t="s">
        <v>6588</v>
      </c>
      <c r="G981" s="39" t="s">
        <v>6589</v>
      </c>
      <c r="H981" s="13"/>
      <c r="I981" s="39" t="s">
        <v>5447</v>
      </c>
      <c r="J981" s="39" t="s">
        <v>5553</v>
      </c>
      <c r="K981" s="13"/>
      <c r="L981" s="39"/>
    </row>
    <row r="982" spans="1:12">
      <c r="A982" s="39" t="s">
        <v>6590</v>
      </c>
      <c r="B982" s="13"/>
      <c r="C982" s="13"/>
      <c r="D982" s="13"/>
      <c r="E982" s="39" t="s">
        <v>6591</v>
      </c>
      <c r="F982" s="39" t="s">
        <v>6592</v>
      </c>
      <c r="G982" s="39" t="s">
        <v>1281</v>
      </c>
      <c r="H982" s="13"/>
      <c r="I982" s="39" t="s">
        <v>5452</v>
      </c>
      <c r="J982" s="39" t="s">
        <v>2799</v>
      </c>
      <c r="K982" s="13"/>
      <c r="L982" s="39" t="s">
        <v>2784</v>
      </c>
    </row>
    <row r="983" spans="1:12">
      <c r="A983" s="39" t="s">
        <v>6593</v>
      </c>
      <c r="B983" s="13"/>
      <c r="C983" s="13"/>
      <c r="D983" s="13"/>
      <c r="E983" s="39" t="s">
        <v>2424</v>
      </c>
      <c r="F983" s="39"/>
      <c r="G983" s="39" t="s">
        <v>6594</v>
      </c>
      <c r="H983" s="13"/>
      <c r="I983" s="39" t="s">
        <v>5457</v>
      </c>
      <c r="J983" s="39" t="s">
        <v>4138</v>
      </c>
      <c r="K983" s="13"/>
      <c r="L983" s="39" t="s">
        <v>6595</v>
      </c>
    </row>
    <row r="984" spans="1:12">
      <c r="A984" s="39" t="s">
        <v>6596</v>
      </c>
      <c r="B984" s="13"/>
      <c r="C984" s="13"/>
      <c r="D984" s="13"/>
      <c r="E984" s="39" t="s">
        <v>6597</v>
      </c>
      <c r="F984" s="39" t="s">
        <v>6598</v>
      </c>
      <c r="G984" s="39" t="s">
        <v>1281</v>
      </c>
      <c r="H984" s="13"/>
      <c r="I984" s="39" t="s">
        <v>5463</v>
      </c>
      <c r="J984" s="39" t="s">
        <v>4080</v>
      </c>
      <c r="K984" s="13"/>
      <c r="L984" s="39" t="s">
        <v>6599</v>
      </c>
    </row>
    <row r="985" spans="1:12">
      <c r="A985" s="39" t="s">
        <v>6600</v>
      </c>
      <c r="B985" s="13"/>
      <c r="C985" s="13"/>
      <c r="D985" s="13"/>
      <c r="E985" s="39" t="s">
        <v>2596</v>
      </c>
      <c r="F985" s="39" t="s">
        <v>2265</v>
      </c>
      <c r="G985" s="39" t="s">
        <v>6601</v>
      </c>
      <c r="H985" s="13"/>
      <c r="I985" s="39" t="s">
        <v>5469</v>
      </c>
      <c r="J985" s="39" t="s">
        <v>3371</v>
      </c>
      <c r="K985" s="13"/>
      <c r="L985" s="39" t="s">
        <v>6602</v>
      </c>
    </row>
    <row r="986" spans="1:12">
      <c r="A986" s="39" t="s">
        <v>6603</v>
      </c>
      <c r="B986" s="13"/>
      <c r="C986" s="13"/>
      <c r="D986" s="13"/>
      <c r="E986" s="39" t="s">
        <v>1273</v>
      </c>
      <c r="F986" s="39"/>
      <c r="G986" s="39" t="s">
        <v>6604</v>
      </c>
      <c r="H986" s="13"/>
      <c r="I986" s="39" t="s">
        <v>5475</v>
      </c>
      <c r="J986" s="39" t="s">
        <v>2357</v>
      </c>
      <c r="K986" s="13"/>
      <c r="L986" s="39" t="s">
        <v>6605</v>
      </c>
    </row>
    <row r="987" spans="1:12">
      <c r="A987" s="39" t="s">
        <v>6606</v>
      </c>
      <c r="B987" s="13"/>
      <c r="C987" s="13"/>
      <c r="D987" s="13"/>
      <c r="E987" s="39" t="s">
        <v>6607</v>
      </c>
      <c r="F987" s="39"/>
      <c r="G987" s="39" t="s">
        <v>6608</v>
      </c>
      <c r="H987" s="13"/>
      <c r="I987" s="39" t="s">
        <v>5479</v>
      </c>
      <c r="J987" s="39" t="s">
        <v>5578</v>
      </c>
      <c r="K987" s="13"/>
      <c r="L987" s="39" t="s">
        <v>6609</v>
      </c>
    </row>
    <row r="988" spans="1:12">
      <c r="A988" s="39" t="s">
        <v>6610</v>
      </c>
      <c r="B988" s="13"/>
      <c r="C988" s="13"/>
      <c r="D988" s="13"/>
      <c r="E988" s="39"/>
      <c r="F988" s="39" t="s">
        <v>6611</v>
      </c>
      <c r="G988" s="39" t="s">
        <v>6612</v>
      </c>
      <c r="H988" s="13"/>
      <c r="I988" s="39" t="s">
        <v>5484</v>
      </c>
      <c r="J988" s="39" t="s">
        <v>5582</v>
      </c>
      <c r="K988" s="13"/>
      <c r="L988" s="39" t="s">
        <v>6613</v>
      </c>
    </row>
    <row r="989" spans="1:12">
      <c r="A989" s="39" t="s">
        <v>6614</v>
      </c>
      <c r="B989" s="13"/>
      <c r="C989" s="13"/>
      <c r="D989" s="13"/>
      <c r="E989" s="39" t="s">
        <v>6615</v>
      </c>
      <c r="F989" s="39" t="s">
        <v>1280</v>
      </c>
      <c r="G989" s="110" t="s">
        <v>6616</v>
      </c>
      <c r="H989" s="13"/>
      <c r="I989" s="39" t="s">
        <v>5489</v>
      </c>
      <c r="J989" s="39" t="s">
        <v>5588</v>
      </c>
      <c r="K989" s="13"/>
      <c r="L989" s="39" t="s">
        <v>6617</v>
      </c>
    </row>
    <row r="990" spans="1:12">
      <c r="A990" s="39" t="s">
        <v>6618</v>
      </c>
      <c r="B990" s="13"/>
      <c r="C990" s="13"/>
      <c r="D990" s="13"/>
      <c r="E990" s="39" t="s">
        <v>2265</v>
      </c>
      <c r="F990" s="39" t="s">
        <v>6619</v>
      </c>
      <c r="G990" s="39" t="s">
        <v>6620</v>
      </c>
      <c r="H990" s="13"/>
      <c r="I990" s="39" t="s">
        <v>5494</v>
      </c>
      <c r="J990" s="39" t="s">
        <v>5592</v>
      </c>
      <c r="K990" s="13"/>
      <c r="L990" s="39"/>
    </row>
    <row r="991" spans="1:12">
      <c r="A991" s="39" t="s">
        <v>6621</v>
      </c>
      <c r="B991" s="13"/>
      <c r="C991" s="13"/>
      <c r="D991" s="13"/>
      <c r="E991" s="39"/>
      <c r="F991" s="39" t="s">
        <v>1280</v>
      </c>
      <c r="G991" s="39" t="s">
        <v>6622</v>
      </c>
      <c r="H991" s="13"/>
      <c r="I991" s="39" t="s">
        <v>5497</v>
      </c>
      <c r="J991" s="39"/>
      <c r="K991" s="13"/>
      <c r="L991" s="39" t="s">
        <v>1273</v>
      </c>
    </row>
    <row r="992" spans="1:12">
      <c r="A992" s="39" t="s">
        <v>6623</v>
      </c>
      <c r="B992" s="13"/>
      <c r="C992" s="13"/>
      <c r="D992" s="13"/>
      <c r="E992" s="39"/>
      <c r="F992" s="39" t="s">
        <v>6624</v>
      </c>
      <c r="G992" s="39" t="s">
        <v>6625</v>
      </c>
      <c r="H992" s="13"/>
      <c r="I992" s="39" t="s">
        <v>5502</v>
      </c>
      <c r="J992" s="39" t="s">
        <v>5601</v>
      </c>
      <c r="K992" s="13"/>
      <c r="L992" s="39" t="s">
        <v>1278</v>
      </c>
    </row>
    <row r="993" spans="1:12">
      <c r="A993" s="39" t="s">
        <v>6626</v>
      </c>
      <c r="B993" s="13"/>
      <c r="C993" s="13"/>
      <c r="D993" s="13"/>
      <c r="E993" s="39" t="s">
        <v>6627</v>
      </c>
      <c r="F993" s="39" t="s">
        <v>6628</v>
      </c>
      <c r="G993" s="39" t="s">
        <v>5086</v>
      </c>
      <c r="H993" s="13"/>
      <c r="I993" s="39" t="s">
        <v>5506</v>
      </c>
      <c r="J993" s="39" t="s">
        <v>3717</v>
      </c>
      <c r="K993" s="13"/>
      <c r="L993" s="39" t="s">
        <v>4697</v>
      </c>
    </row>
    <row r="994" spans="1:12">
      <c r="A994" s="39" t="s">
        <v>6629</v>
      </c>
      <c r="B994" s="13"/>
      <c r="C994" s="13"/>
      <c r="D994" s="13"/>
      <c r="E994" s="39" t="s">
        <v>1280</v>
      </c>
      <c r="F994" s="39" t="s">
        <v>6630</v>
      </c>
      <c r="G994" s="39" t="s">
        <v>1274</v>
      </c>
      <c r="H994" s="13"/>
      <c r="I994" s="39" t="s">
        <v>5509</v>
      </c>
      <c r="J994" s="39" t="s">
        <v>3722</v>
      </c>
      <c r="K994" s="13"/>
      <c r="L994" s="39" t="s">
        <v>6631</v>
      </c>
    </row>
    <row r="995" spans="1:12">
      <c r="A995" s="39" t="s">
        <v>6632</v>
      </c>
      <c r="B995" s="13"/>
      <c r="C995" s="13"/>
      <c r="D995" s="13"/>
      <c r="E995" s="39" t="s">
        <v>6633</v>
      </c>
      <c r="F995" s="39" t="s">
        <v>6634</v>
      </c>
      <c r="G995" s="39" t="s">
        <v>5831</v>
      </c>
      <c r="H995" s="13"/>
      <c r="I995" s="39"/>
      <c r="J995" s="39" t="s">
        <v>5616</v>
      </c>
      <c r="K995" s="13"/>
      <c r="L995" s="39" t="s">
        <v>6635</v>
      </c>
    </row>
    <row r="996" spans="1:12">
      <c r="A996" s="39" t="s">
        <v>6636</v>
      </c>
      <c r="B996" s="13"/>
      <c r="C996" s="13"/>
      <c r="D996" s="13"/>
      <c r="E996" s="39" t="s">
        <v>1280</v>
      </c>
      <c r="F996" s="39"/>
      <c r="G996" s="39" t="s">
        <v>5834</v>
      </c>
      <c r="H996" s="13"/>
      <c r="I996" s="39" t="s">
        <v>5426</v>
      </c>
      <c r="J996" s="39" t="s">
        <v>5623</v>
      </c>
      <c r="K996" s="13"/>
      <c r="L996" s="39" t="s">
        <v>6637</v>
      </c>
    </row>
    <row r="997" spans="1:12">
      <c r="A997" s="39" t="s">
        <v>6638</v>
      </c>
      <c r="B997" s="13"/>
      <c r="C997" s="13"/>
      <c r="D997" s="13"/>
      <c r="E997" s="39" t="s">
        <v>6639</v>
      </c>
      <c r="F997" s="39" t="s">
        <v>6640</v>
      </c>
      <c r="G997" s="39" t="s">
        <v>1274</v>
      </c>
      <c r="H997" s="13"/>
      <c r="I997" s="39" t="s">
        <v>5433</v>
      </c>
      <c r="J997" s="39" t="s">
        <v>5629</v>
      </c>
      <c r="K997" s="13"/>
      <c r="L997" s="39" t="s">
        <v>2265</v>
      </c>
    </row>
    <row r="998" spans="1:12">
      <c r="A998" s="39" t="s">
        <v>6641</v>
      </c>
      <c r="B998" s="13"/>
      <c r="C998" s="13"/>
      <c r="D998" s="13"/>
      <c r="E998" s="39" t="s">
        <v>6642</v>
      </c>
      <c r="F998" s="39" t="s">
        <v>6643</v>
      </c>
      <c r="G998" s="39" t="s">
        <v>5841</v>
      </c>
      <c r="H998" s="13"/>
      <c r="I998" s="39" t="s">
        <v>3717</v>
      </c>
      <c r="J998" s="39" t="s">
        <v>3694</v>
      </c>
      <c r="K998" s="13"/>
      <c r="L998" s="13"/>
    </row>
    <row r="999" spans="1:12">
      <c r="A999" s="39" t="s">
        <v>6644</v>
      </c>
      <c r="B999" s="13"/>
      <c r="C999" s="13"/>
      <c r="D999" s="13"/>
      <c r="E999" s="39" t="s">
        <v>6645</v>
      </c>
      <c r="F999" s="39" t="s">
        <v>6646</v>
      </c>
      <c r="G999" s="39" t="s">
        <v>5846</v>
      </c>
      <c r="H999" s="13"/>
      <c r="I999" s="39" t="s">
        <v>5520</v>
      </c>
      <c r="J999" s="39" t="s">
        <v>3729</v>
      </c>
      <c r="K999" s="13"/>
      <c r="L999" s="13"/>
    </row>
    <row r="1000" spans="1:12">
      <c r="A1000" s="39" t="s">
        <v>6647</v>
      </c>
      <c r="B1000" s="13"/>
      <c r="C1000" s="13"/>
      <c r="D1000" s="13"/>
      <c r="E1000" s="39"/>
      <c r="F1000" s="39" t="s">
        <v>6648</v>
      </c>
      <c r="G1000" s="39" t="s">
        <v>5851</v>
      </c>
      <c r="H1000" s="13"/>
      <c r="I1000" s="39" t="s">
        <v>5526</v>
      </c>
      <c r="J1000" s="39" t="s">
        <v>3736</v>
      </c>
      <c r="K1000" s="13"/>
      <c r="L1000" s="13"/>
    </row>
    <row r="1001" spans="1:12">
      <c r="A1001" s="39" t="s">
        <v>6649</v>
      </c>
      <c r="B1001" s="13"/>
      <c r="C1001" s="13"/>
      <c r="D1001" s="13"/>
      <c r="E1001" s="39" t="s">
        <v>6365</v>
      </c>
      <c r="F1001" s="39" t="s">
        <v>6650</v>
      </c>
      <c r="G1001" s="39" t="s">
        <v>5858</v>
      </c>
      <c r="H1001" s="13"/>
      <c r="I1001" s="39" t="s">
        <v>5528</v>
      </c>
      <c r="J1001" s="39" t="s">
        <v>3743</v>
      </c>
      <c r="K1001" s="13"/>
      <c r="L1001" s="13"/>
    </row>
    <row r="1002" spans="1:12">
      <c r="A1002" s="39" t="s">
        <v>6651</v>
      </c>
      <c r="B1002" s="13"/>
      <c r="C1002" s="13"/>
      <c r="D1002" s="13"/>
      <c r="E1002" s="39" t="s">
        <v>6652</v>
      </c>
      <c r="F1002" s="39" t="s">
        <v>6653</v>
      </c>
      <c r="G1002" s="39" t="s">
        <v>1274</v>
      </c>
      <c r="H1002" s="13"/>
      <c r="I1002" s="39" t="s">
        <v>5531</v>
      </c>
      <c r="J1002" s="39" t="s">
        <v>3752</v>
      </c>
      <c r="K1002" s="13"/>
      <c r="L1002" s="13"/>
    </row>
    <row r="1003" spans="1:12">
      <c r="A1003" s="39" t="s">
        <v>6654</v>
      </c>
      <c r="B1003" s="13"/>
      <c r="C1003" s="13"/>
      <c r="D1003" s="13"/>
      <c r="E1003" s="39" t="s">
        <v>6655</v>
      </c>
      <c r="F1003" s="39"/>
      <c r="G1003" s="39" t="s">
        <v>4547</v>
      </c>
      <c r="H1003" s="13"/>
      <c r="I1003" s="39" t="s">
        <v>5536</v>
      </c>
      <c r="J1003" s="39" t="s">
        <v>5692</v>
      </c>
      <c r="K1003" s="13"/>
      <c r="L1003" s="13"/>
    </row>
    <row r="1004" spans="1:12">
      <c r="A1004" s="39" t="s">
        <v>6656</v>
      </c>
      <c r="B1004" s="13"/>
      <c r="C1004" s="13"/>
      <c r="D1004" s="13"/>
      <c r="E1004" s="39" t="s">
        <v>6657</v>
      </c>
      <c r="F1004" s="39" t="s">
        <v>6658</v>
      </c>
      <c r="G1004" s="39" t="s">
        <v>5869</v>
      </c>
      <c r="H1004" s="13"/>
      <c r="I1004" s="39" t="s">
        <v>5538</v>
      </c>
      <c r="J1004" s="39" t="s">
        <v>3736</v>
      </c>
      <c r="K1004" s="13"/>
      <c r="L1004" s="13"/>
    </row>
    <row r="1005" spans="1:12">
      <c r="A1005" s="39" t="s">
        <v>6659</v>
      </c>
      <c r="B1005" s="13"/>
      <c r="C1005" s="13"/>
      <c r="D1005" s="13"/>
      <c r="E1005" s="39" t="s">
        <v>2424</v>
      </c>
      <c r="F1005" s="39" t="s">
        <v>6643</v>
      </c>
      <c r="G1005" s="39" t="s">
        <v>5874</v>
      </c>
      <c r="H1005" s="13"/>
      <c r="I1005" s="39" t="s">
        <v>5542</v>
      </c>
      <c r="J1005" s="39" t="s">
        <v>5700</v>
      </c>
      <c r="K1005" s="13"/>
      <c r="L1005" s="13"/>
    </row>
    <row r="1006" spans="1:12">
      <c r="A1006" s="39" t="s">
        <v>6629</v>
      </c>
      <c r="B1006" s="13"/>
      <c r="C1006" s="13"/>
      <c r="D1006" s="13"/>
      <c r="E1006" s="39" t="s">
        <v>6660</v>
      </c>
      <c r="F1006" s="39" t="s">
        <v>6646</v>
      </c>
      <c r="G1006" s="39" t="s">
        <v>5878</v>
      </c>
      <c r="H1006" s="13"/>
      <c r="I1006" s="39" t="s">
        <v>5548</v>
      </c>
      <c r="J1006" s="39" t="s">
        <v>3752</v>
      </c>
      <c r="K1006" s="13"/>
      <c r="L1006" s="13"/>
    </row>
    <row r="1007" spans="1:12">
      <c r="A1007" s="39" t="s">
        <v>6661</v>
      </c>
      <c r="B1007" s="13"/>
      <c r="C1007" s="13"/>
      <c r="D1007" s="13"/>
      <c r="E1007" s="39" t="s">
        <v>6662</v>
      </c>
      <c r="F1007" s="39" t="s">
        <v>6648</v>
      </c>
      <c r="G1007" s="39" t="s">
        <v>6663</v>
      </c>
      <c r="H1007" s="13"/>
      <c r="I1007" s="39" t="s">
        <v>5552</v>
      </c>
      <c r="J1007" s="39" t="s">
        <v>5710</v>
      </c>
      <c r="K1007" s="13"/>
      <c r="L1007" s="13"/>
    </row>
    <row r="1008" spans="1:12">
      <c r="A1008" s="39" t="s">
        <v>6664</v>
      </c>
      <c r="B1008" s="13"/>
      <c r="C1008" s="13"/>
      <c r="D1008" s="13"/>
      <c r="E1008" s="39" t="s">
        <v>6665</v>
      </c>
      <c r="F1008" s="39" t="s">
        <v>6666</v>
      </c>
      <c r="G1008" s="39" t="s">
        <v>5907</v>
      </c>
      <c r="H1008" s="13"/>
      <c r="I1008" s="39" t="s">
        <v>5558</v>
      </c>
      <c r="J1008" s="39" t="s">
        <v>3736</v>
      </c>
      <c r="K1008" s="13"/>
      <c r="L1008" s="13"/>
    </row>
    <row r="1009" spans="1:12">
      <c r="A1009" s="39" t="s">
        <v>6667</v>
      </c>
      <c r="B1009" s="13"/>
      <c r="C1009" s="13"/>
      <c r="D1009" s="13"/>
      <c r="E1009" s="39" t="s">
        <v>6668</v>
      </c>
      <c r="F1009" s="39" t="s">
        <v>6669</v>
      </c>
      <c r="G1009" s="39" t="s">
        <v>5912</v>
      </c>
      <c r="H1009" s="13"/>
      <c r="I1009" s="39" t="s">
        <v>5563</v>
      </c>
      <c r="J1009" s="39" t="s">
        <v>5721</v>
      </c>
      <c r="K1009" s="13"/>
      <c r="L1009" s="13"/>
    </row>
    <row r="1010" spans="1:12">
      <c r="A1010" s="39" t="s">
        <v>6632</v>
      </c>
      <c r="B1010" s="13"/>
      <c r="C1010" s="13"/>
      <c r="D1010" s="13"/>
      <c r="E1010" s="39" t="s">
        <v>6670</v>
      </c>
      <c r="F1010" s="39" t="s">
        <v>6255</v>
      </c>
      <c r="G1010" s="39" t="s">
        <v>4236</v>
      </c>
      <c r="H1010" s="13"/>
      <c r="I1010" s="39" t="s">
        <v>5548</v>
      </c>
      <c r="J1010" s="39" t="s">
        <v>3752</v>
      </c>
      <c r="K1010" s="13"/>
      <c r="L1010" s="13"/>
    </row>
    <row r="1011" spans="1:12">
      <c r="A1011" s="39" t="s">
        <v>4855</v>
      </c>
      <c r="B1011" s="13"/>
      <c r="C1011" s="13"/>
      <c r="D1011" s="13"/>
      <c r="E1011" s="39" t="s">
        <v>6671</v>
      </c>
      <c r="F1011" s="39" t="s">
        <v>6646</v>
      </c>
      <c r="G1011" s="39" t="s">
        <v>5919</v>
      </c>
      <c r="H1011" s="13"/>
      <c r="I1011" s="39" t="s">
        <v>5569</v>
      </c>
      <c r="J1011" s="39" t="s">
        <v>6672</v>
      </c>
      <c r="K1011" s="13"/>
      <c r="L1011" s="13"/>
    </row>
    <row r="1012" spans="1:12">
      <c r="A1012" s="39" t="s">
        <v>6673</v>
      </c>
      <c r="B1012" s="13"/>
      <c r="C1012" s="13"/>
      <c r="D1012" s="13"/>
      <c r="E1012" s="39" t="s">
        <v>6674</v>
      </c>
      <c r="F1012" s="39" t="s">
        <v>6648</v>
      </c>
      <c r="G1012" s="39" t="s">
        <v>5851</v>
      </c>
      <c r="H1012" s="13"/>
      <c r="I1012" s="39" t="s">
        <v>5558</v>
      </c>
      <c r="J1012" s="39" t="s">
        <v>5737</v>
      </c>
      <c r="K1012" s="13"/>
      <c r="L1012" s="13"/>
    </row>
    <row r="1013" spans="1:12">
      <c r="A1013" s="39" t="s">
        <v>6675</v>
      </c>
      <c r="B1013" s="13"/>
      <c r="C1013" s="13"/>
      <c r="D1013" s="13"/>
      <c r="E1013" s="39" t="s">
        <v>6676</v>
      </c>
      <c r="F1013" s="39"/>
      <c r="G1013" s="39" t="s">
        <v>5858</v>
      </c>
      <c r="H1013" s="13"/>
      <c r="I1013" s="39" t="s">
        <v>5577</v>
      </c>
      <c r="J1013" s="39" t="s">
        <v>5743</v>
      </c>
      <c r="K1013" s="13"/>
      <c r="L1013" s="13"/>
    </row>
    <row r="1014" spans="1:12">
      <c r="A1014" s="39" t="s">
        <v>6677</v>
      </c>
      <c r="B1014" s="13"/>
      <c r="C1014" s="13"/>
      <c r="D1014" s="13"/>
      <c r="E1014" s="39" t="s">
        <v>6678</v>
      </c>
      <c r="F1014" s="39" t="s">
        <v>6679</v>
      </c>
      <c r="G1014" s="39" t="s">
        <v>1274</v>
      </c>
      <c r="H1014" s="13"/>
      <c r="I1014" s="39" t="s">
        <v>5548</v>
      </c>
      <c r="J1014" s="39" t="s">
        <v>5751</v>
      </c>
      <c r="K1014" s="13"/>
      <c r="L1014" s="13"/>
    </row>
    <row r="1015" spans="1:12">
      <c r="A1015" s="39" t="s">
        <v>4739</v>
      </c>
      <c r="B1015" s="13"/>
      <c r="C1015" s="13"/>
      <c r="D1015" s="13"/>
      <c r="E1015" s="39" t="s">
        <v>2596</v>
      </c>
      <c r="F1015" s="39" t="s">
        <v>6255</v>
      </c>
      <c r="G1015" s="39" t="s">
        <v>6680</v>
      </c>
      <c r="H1015" s="13"/>
      <c r="I1015" s="39" t="s">
        <v>5587</v>
      </c>
      <c r="J1015" s="39" t="s">
        <v>5756</v>
      </c>
      <c r="K1015" s="13"/>
      <c r="L1015" s="13"/>
    </row>
    <row r="1016" spans="1:12">
      <c r="A1016" s="39" t="s">
        <v>6681</v>
      </c>
      <c r="B1016" s="13"/>
      <c r="C1016" s="13"/>
      <c r="D1016" s="13"/>
      <c r="E1016" s="39"/>
      <c r="F1016" s="39" t="s">
        <v>6646</v>
      </c>
      <c r="G1016" s="39" t="s">
        <v>6682</v>
      </c>
      <c r="H1016" s="13"/>
      <c r="I1016" s="39" t="s">
        <v>5558</v>
      </c>
      <c r="J1016" s="39" t="s">
        <v>5760</v>
      </c>
      <c r="K1016" s="13"/>
      <c r="L1016" s="13"/>
    </row>
    <row r="1017" spans="1:12">
      <c r="A1017" s="39" t="s">
        <v>2966</v>
      </c>
      <c r="B1017" s="13"/>
      <c r="C1017" s="13"/>
      <c r="D1017" s="13"/>
      <c r="E1017" s="39" t="s">
        <v>6683</v>
      </c>
      <c r="F1017" s="39" t="s">
        <v>6648</v>
      </c>
      <c r="G1017" s="39" t="s">
        <v>6684</v>
      </c>
      <c r="H1017" s="13"/>
      <c r="I1017" s="39" t="s">
        <v>5598</v>
      </c>
      <c r="J1017" s="39" t="s">
        <v>5743</v>
      </c>
      <c r="K1017" s="13"/>
      <c r="L1017" s="13"/>
    </row>
    <row r="1018" spans="1:12">
      <c r="A1018" s="39" t="s">
        <v>6685</v>
      </c>
      <c r="B1018" s="13"/>
      <c r="C1018" s="13"/>
      <c r="D1018" s="13"/>
      <c r="E1018" s="39" t="s">
        <v>6686</v>
      </c>
      <c r="F1018" s="39"/>
      <c r="G1018" s="39" t="s">
        <v>6687</v>
      </c>
      <c r="H1018" s="13"/>
      <c r="I1018" s="39" t="s">
        <v>5548</v>
      </c>
      <c r="J1018" s="39" t="s">
        <v>5767</v>
      </c>
      <c r="K1018" s="13"/>
      <c r="L1018" s="13"/>
    </row>
    <row r="1019" spans="1:12">
      <c r="A1019" s="39" t="s">
        <v>6688</v>
      </c>
      <c r="B1019" s="13"/>
      <c r="C1019" s="13"/>
      <c r="D1019" s="13"/>
      <c r="E1019" s="39" t="s">
        <v>6689</v>
      </c>
      <c r="F1019" s="39" t="s">
        <v>6634</v>
      </c>
      <c r="G1019" s="39" t="s">
        <v>6690</v>
      </c>
      <c r="H1019" s="13"/>
      <c r="I1019" s="39" t="s">
        <v>5604</v>
      </c>
      <c r="J1019" s="39" t="s">
        <v>5756</v>
      </c>
      <c r="K1019" s="13"/>
      <c r="L1019" s="13"/>
    </row>
    <row r="1020" spans="1:12">
      <c r="A1020" s="39" t="s">
        <v>6691</v>
      </c>
      <c r="B1020" s="13"/>
      <c r="C1020" s="13"/>
      <c r="D1020" s="13"/>
      <c r="E1020" s="39" t="s">
        <v>6692</v>
      </c>
      <c r="F1020" s="39"/>
      <c r="G1020" s="39" t="s">
        <v>6693</v>
      </c>
      <c r="H1020" s="13"/>
      <c r="I1020" s="39" t="s">
        <v>5558</v>
      </c>
      <c r="J1020" s="39" t="s">
        <v>6672</v>
      </c>
      <c r="K1020" s="13"/>
      <c r="L1020" s="13"/>
    </row>
    <row r="1021" spans="1:12">
      <c r="A1021" s="39" t="s">
        <v>4232</v>
      </c>
      <c r="B1021" s="13"/>
      <c r="C1021" s="13"/>
      <c r="D1021" s="13"/>
      <c r="E1021" s="39" t="s">
        <v>6694</v>
      </c>
      <c r="F1021" s="39" t="s">
        <v>6695</v>
      </c>
      <c r="G1021" s="39" t="s">
        <v>5858</v>
      </c>
      <c r="H1021" s="13"/>
      <c r="I1021" s="39" t="s">
        <v>5611</v>
      </c>
      <c r="J1021" s="39" t="s">
        <v>6696</v>
      </c>
      <c r="K1021" s="13"/>
      <c r="L1021" s="13"/>
    </row>
    <row r="1022" spans="1:12">
      <c r="A1022" s="39" t="s">
        <v>6697</v>
      </c>
      <c r="B1022" s="13"/>
      <c r="C1022" s="13"/>
      <c r="D1022" s="13"/>
      <c r="E1022" s="39" t="s">
        <v>6386</v>
      </c>
      <c r="F1022" s="39" t="s">
        <v>6643</v>
      </c>
      <c r="G1022" s="39" t="s">
        <v>1274</v>
      </c>
      <c r="H1022" s="13"/>
      <c r="I1022" s="39" t="s">
        <v>5548</v>
      </c>
      <c r="J1022" s="39" t="s">
        <v>6698</v>
      </c>
      <c r="K1022" s="13"/>
      <c r="L1022" s="13"/>
    </row>
    <row r="1023" spans="1:12">
      <c r="A1023" s="39" t="s">
        <v>6699</v>
      </c>
      <c r="B1023" s="13"/>
      <c r="C1023" s="13"/>
      <c r="D1023" s="13"/>
      <c r="E1023" s="39"/>
      <c r="F1023" s="39" t="s">
        <v>6646</v>
      </c>
      <c r="G1023" s="39" t="s">
        <v>6700</v>
      </c>
      <c r="H1023" s="13"/>
      <c r="I1023" s="39" t="s">
        <v>5622</v>
      </c>
      <c r="J1023" s="39" t="s">
        <v>6701</v>
      </c>
      <c r="K1023" s="13"/>
      <c r="L1023" s="13"/>
    </row>
    <row r="1024" spans="1:12">
      <c r="A1024" s="39" t="s">
        <v>6702</v>
      </c>
      <c r="B1024" s="13"/>
      <c r="C1024" s="13"/>
      <c r="D1024" s="13"/>
      <c r="E1024" s="39" t="s">
        <v>6703</v>
      </c>
      <c r="F1024" s="39" t="s">
        <v>6648</v>
      </c>
      <c r="G1024" s="39" t="s">
        <v>4547</v>
      </c>
      <c r="H1024" s="13"/>
      <c r="I1024" s="39" t="s">
        <v>5558</v>
      </c>
      <c r="J1024" s="39" t="s">
        <v>6704</v>
      </c>
      <c r="K1024" s="13"/>
      <c r="L1024" s="13"/>
    </row>
    <row r="1025" spans="1:12">
      <c r="A1025" s="39" t="s">
        <v>6705</v>
      </c>
      <c r="B1025" s="13"/>
      <c r="C1025" s="13"/>
      <c r="D1025" s="13"/>
      <c r="E1025" s="39" t="s">
        <v>6706</v>
      </c>
      <c r="F1025" s="39" t="s">
        <v>6707</v>
      </c>
      <c r="G1025" s="39" t="s">
        <v>6708</v>
      </c>
      <c r="H1025" s="13"/>
      <c r="I1025" s="39" t="s">
        <v>5633</v>
      </c>
      <c r="J1025" s="39" t="s">
        <v>6696</v>
      </c>
      <c r="K1025" s="13"/>
      <c r="L1025" s="13"/>
    </row>
    <row r="1026" spans="1:12">
      <c r="A1026" s="39" t="s">
        <v>6709</v>
      </c>
      <c r="B1026" s="13"/>
      <c r="C1026" s="13"/>
      <c r="D1026" s="13"/>
      <c r="E1026" s="39" t="s">
        <v>6710</v>
      </c>
      <c r="F1026" s="39" t="s">
        <v>6653</v>
      </c>
      <c r="G1026" s="39" t="s">
        <v>6711</v>
      </c>
      <c r="H1026" s="13"/>
      <c r="I1026" s="39" t="s">
        <v>5548</v>
      </c>
      <c r="J1026" s="39" t="s">
        <v>6698</v>
      </c>
      <c r="K1026" s="13"/>
      <c r="L1026" s="13"/>
    </row>
    <row r="1027" spans="1:12">
      <c r="A1027" s="39" t="s">
        <v>6712</v>
      </c>
      <c r="B1027" s="13"/>
      <c r="C1027" s="13"/>
      <c r="D1027" s="13"/>
      <c r="E1027" s="39" t="s">
        <v>6713</v>
      </c>
      <c r="F1027" s="39"/>
      <c r="G1027" s="39" t="s">
        <v>6714</v>
      </c>
      <c r="H1027" s="13"/>
      <c r="I1027" s="39" t="s">
        <v>5638</v>
      </c>
      <c r="J1027" s="39" t="s">
        <v>6701</v>
      </c>
      <c r="K1027" s="13"/>
      <c r="L1027" s="13"/>
    </row>
    <row r="1028" spans="1:12">
      <c r="A1028" s="39" t="s">
        <v>6715</v>
      </c>
      <c r="B1028" s="13"/>
      <c r="C1028" s="13"/>
      <c r="D1028" s="13"/>
      <c r="E1028" s="39" t="s">
        <v>6694</v>
      </c>
      <c r="F1028" s="39" t="s">
        <v>6716</v>
      </c>
      <c r="G1028" s="39" t="s">
        <v>6717</v>
      </c>
      <c r="H1028" s="13"/>
      <c r="I1028" s="39" t="s">
        <v>5558</v>
      </c>
      <c r="J1028" s="39" t="s">
        <v>6704</v>
      </c>
      <c r="K1028" s="13"/>
      <c r="L1028" s="13"/>
    </row>
    <row r="1029" spans="1:12">
      <c r="A1029" s="39" t="s">
        <v>3054</v>
      </c>
      <c r="B1029" s="13"/>
      <c r="C1029" s="13"/>
      <c r="D1029" s="13"/>
      <c r="E1029" s="39" t="s">
        <v>6386</v>
      </c>
      <c r="F1029" s="39" t="s">
        <v>6643</v>
      </c>
      <c r="G1029" s="39" t="s">
        <v>6718</v>
      </c>
      <c r="H1029" s="13"/>
      <c r="I1029" s="39" t="s">
        <v>3769</v>
      </c>
      <c r="J1029" s="39" t="s">
        <v>3769</v>
      </c>
      <c r="K1029" s="13"/>
      <c r="L1029" s="13"/>
    </row>
    <row r="1030" spans="1:12">
      <c r="A1030" s="36"/>
      <c r="B1030" s="13"/>
      <c r="C1030" s="13"/>
      <c r="D1030" s="13"/>
      <c r="E1030" s="39"/>
      <c r="F1030" s="39" t="s">
        <v>6646</v>
      </c>
      <c r="G1030" s="39" t="s">
        <v>6719</v>
      </c>
      <c r="H1030" s="13"/>
      <c r="I1030" s="39" t="s">
        <v>3776</v>
      </c>
      <c r="J1030" s="39" t="s">
        <v>3776</v>
      </c>
      <c r="K1030" s="13"/>
      <c r="L1030" s="13"/>
    </row>
    <row r="1031" spans="1:12">
      <c r="A1031" s="39" t="s">
        <v>6720</v>
      </c>
      <c r="B1031" s="13"/>
      <c r="C1031" s="13"/>
      <c r="D1031" s="13"/>
      <c r="E1031" s="39" t="s">
        <v>6721</v>
      </c>
      <c r="F1031" s="39" t="s">
        <v>6648</v>
      </c>
      <c r="G1031" s="39" t="s">
        <v>6722</v>
      </c>
      <c r="H1031" s="13"/>
      <c r="I1031" s="39" t="s">
        <v>3782</v>
      </c>
      <c r="J1031" s="39" t="s">
        <v>3782</v>
      </c>
      <c r="K1031" s="13"/>
      <c r="L1031" s="13"/>
    </row>
    <row r="1032" spans="1:12">
      <c r="A1032" s="39" t="s">
        <v>2265</v>
      </c>
      <c r="B1032" s="13"/>
      <c r="C1032" s="13"/>
      <c r="D1032" s="13"/>
      <c r="E1032" s="39" t="s">
        <v>2265</v>
      </c>
      <c r="F1032" s="39" t="s">
        <v>3054</v>
      </c>
      <c r="G1032" s="39" t="s">
        <v>4236</v>
      </c>
      <c r="H1032" s="13"/>
      <c r="I1032" s="39" t="s">
        <v>5750</v>
      </c>
      <c r="J1032" s="39" t="s">
        <v>5750</v>
      </c>
      <c r="K1032" s="13"/>
      <c r="L1032" s="13"/>
    </row>
    <row r="1033" spans="1:12">
      <c r="A1033" s="39" t="s">
        <v>1278</v>
      </c>
      <c r="B1033" s="13"/>
      <c r="C1033" s="13"/>
      <c r="D1033" s="13"/>
      <c r="E1033" s="39"/>
      <c r="F1033" s="39" t="s">
        <v>1273</v>
      </c>
      <c r="G1033" s="39" t="s">
        <v>6723</v>
      </c>
      <c r="H1033" s="13"/>
      <c r="I1033" s="39" t="s">
        <v>3794</v>
      </c>
      <c r="J1033" s="39" t="s">
        <v>3794</v>
      </c>
      <c r="K1033" s="13"/>
      <c r="L1033" s="13"/>
    </row>
    <row r="1034" spans="1:12">
      <c r="A1034" s="39" t="s">
        <v>6724</v>
      </c>
      <c r="B1034" s="13"/>
      <c r="C1034" s="13"/>
      <c r="D1034" s="13"/>
      <c r="E1034" s="39"/>
      <c r="F1034" s="39" t="s">
        <v>6725</v>
      </c>
      <c r="G1034" s="39" t="s">
        <v>6726</v>
      </c>
      <c r="H1034" s="13"/>
      <c r="I1034" s="39" t="s">
        <v>2237</v>
      </c>
      <c r="J1034" s="39" t="s">
        <v>5950</v>
      </c>
      <c r="K1034" s="13"/>
      <c r="L1034" s="13"/>
    </row>
    <row r="1035" spans="1:12">
      <c r="A1035" s="36"/>
      <c r="B1035" s="13"/>
      <c r="C1035" s="13"/>
      <c r="D1035" s="13"/>
      <c r="E1035" s="39" t="s">
        <v>6727</v>
      </c>
      <c r="F1035" s="39" t="s">
        <v>6728</v>
      </c>
      <c r="G1035" s="39" t="s">
        <v>5858</v>
      </c>
      <c r="H1035" s="13"/>
      <c r="I1035" s="39" t="s">
        <v>6729</v>
      </c>
      <c r="J1035" s="39" t="s">
        <v>2237</v>
      </c>
      <c r="K1035" s="13"/>
      <c r="L1035" s="13"/>
    </row>
    <row r="1036" spans="1:12">
      <c r="A1036" s="39" t="s">
        <v>4718</v>
      </c>
      <c r="B1036" s="13"/>
      <c r="C1036" s="13"/>
      <c r="D1036" s="13"/>
      <c r="E1036" s="39" t="s">
        <v>1280</v>
      </c>
      <c r="F1036" s="39" t="s">
        <v>6730</v>
      </c>
      <c r="G1036" s="39" t="s">
        <v>1452</v>
      </c>
      <c r="H1036" s="13"/>
      <c r="I1036" s="39" t="s">
        <v>2265</v>
      </c>
      <c r="J1036" s="39" t="s">
        <v>6729</v>
      </c>
      <c r="K1036" s="13"/>
      <c r="L1036" s="13"/>
    </row>
    <row r="1037" spans="1:12">
      <c r="A1037" s="39" t="s">
        <v>4999</v>
      </c>
      <c r="B1037" s="13"/>
      <c r="C1037" s="13"/>
      <c r="D1037" s="13"/>
      <c r="E1037" s="39" t="s">
        <v>6731</v>
      </c>
      <c r="F1037" s="39"/>
      <c r="G1037" s="39" t="s">
        <v>6732</v>
      </c>
      <c r="H1037" s="13"/>
      <c r="I1037" s="39" t="s">
        <v>1259</v>
      </c>
      <c r="J1037" s="39" t="s">
        <v>2265</v>
      </c>
      <c r="K1037" s="13"/>
      <c r="L1037" s="13"/>
    </row>
    <row r="1038" spans="1:12">
      <c r="A1038" s="39" t="s">
        <v>6061</v>
      </c>
      <c r="B1038" s="13"/>
      <c r="C1038" s="13"/>
      <c r="D1038" s="13"/>
      <c r="E1038" s="39" t="s">
        <v>1280</v>
      </c>
      <c r="F1038" s="39" t="s">
        <v>6733</v>
      </c>
      <c r="G1038" s="39" t="s">
        <v>3680</v>
      </c>
      <c r="H1038" s="13"/>
      <c r="I1038" s="39" t="s">
        <v>3821</v>
      </c>
      <c r="J1038" s="39" t="s">
        <v>1259</v>
      </c>
      <c r="K1038" s="13"/>
      <c r="L1038" s="13"/>
    </row>
    <row r="1039" spans="1:12">
      <c r="A1039" s="39" t="s">
        <v>6734</v>
      </c>
      <c r="B1039" s="13"/>
      <c r="C1039" s="13"/>
      <c r="D1039" s="13"/>
      <c r="E1039" s="39" t="s">
        <v>6735</v>
      </c>
      <c r="F1039" s="39" t="s">
        <v>6736</v>
      </c>
      <c r="G1039" s="39" t="s">
        <v>1452</v>
      </c>
      <c r="H1039" s="13"/>
      <c r="I1039" s="39" t="s">
        <v>3828</v>
      </c>
      <c r="J1039" s="39" t="s">
        <v>3821</v>
      </c>
      <c r="K1039" s="13"/>
      <c r="L1039" s="13"/>
    </row>
    <row r="1040" spans="1:12">
      <c r="A1040" s="39" t="s">
        <v>6737</v>
      </c>
      <c r="B1040" s="13"/>
      <c r="C1040" s="13"/>
      <c r="D1040" s="13"/>
      <c r="E1040" s="39" t="s">
        <v>1273</v>
      </c>
      <c r="F1040" s="39" t="s">
        <v>6738</v>
      </c>
      <c r="G1040" s="39" t="s">
        <v>1452</v>
      </c>
      <c r="H1040" s="13"/>
      <c r="I1040" s="39" t="s">
        <v>3901</v>
      </c>
      <c r="J1040" s="39" t="s">
        <v>3828</v>
      </c>
      <c r="K1040" s="13"/>
      <c r="L1040" s="13"/>
    </row>
    <row r="1041" spans="1:12">
      <c r="A1041" s="39" t="s">
        <v>6739</v>
      </c>
      <c r="B1041" s="13"/>
      <c r="C1041" s="13"/>
      <c r="D1041" s="13"/>
      <c r="E1041" s="39" t="s">
        <v>6740</v>
      </c>
      <c r="F1041" s="39" t="s">
        <v>6741</v>
      </c>
      <c r="G1041" s="39" t="s">
        <v>1274</v>
      </c>
      <c r="H1041" s="13"/>
      <c r="I1041" s="39" t="s">
        <v>3909</v>
      </c>
      <c r="J1041" s="39" t="s">
        <v>3901</v>
      </c>
      <c r="K1041" s="13"/>
      <c r="L1041" s="13"/>
    </row>
    <row r="1042" spans="1:12">
      <c r="A1042" s="39" t="s">
        <v>6742</v>
      </c>
      <c r="B1042" s="13"/>
      <c r="C1042" s="13"/>
      <c r="D1042" s="13"/>
      <c r="E1042" s="39" t="s">
        <v>6743</v>
      </c>
      <c r="F1042" s="39" t="s">
        <v>6386</v>
      </c>
      <c r="G1042" s="39" t="s">
        <v>6744</v>
      </c>
      <c r="H1042" s="13"/>
      <c r="I1042" s="39" t="s">
        <v>3846</v>
      </c>
      <c r="J1042" s="39" t="s">
        <v>6745</v>
      </c>
      <c r="K1042" s="13"/>
      <c r="L1042" s="13"/>
    </row>
    <row r="1043" spans="1:12">
      <c r="A1043" s="39" t="s">
        <v>6746</v>
      </c>
      <c r="B1043" s="13"/>
      <c r="C1043" s="13"/>
      <c r="D1043" s="13"/>
      <c r="E1043" s="39" t="s">
        <v>6747</v>
      </c>
      <c r="F1043" s="39"/>
      <c r="G1043" s="39" t="s">
        <v>1281</v>
      </c>
      <c r="H1043" s="13"/>
      <c r="I1043" s="39" t="s">
        <v>6748</v>
      </c>
      <c r="J1043" s="39" t="s">
        <v>6749</v>
      </c>
      <c r="K1043" s="13"/>
      <c r="L1043" s="13"/>
    </row>
    <row r="1044" spans="1:12">
      <c r="A1044" s="39" t="s">
        <v>6750</v>
      </c>
      <c r="B1044" s="13"/>
      <c r="C1044" s="13"/>
      <c r="D1044" s="13"/>
      <c r="E1044" s="39"/>
      <c r="F1044" s="39" t="s">
        <v>6751</v>
      </c>
      <c r="G1044" s="39" t="s">
        <v>6752</v>
      </c>
      <c r="H1044" s="13"/>
      <c r="I1044" s="39" t="s">
        <v>2357</v>
      </c>
      <c r="J1044" s="39" t="s">
        <v>6748</v>
      </c>
      <c r="K1044" s="13"/>
      <c r="L1044" s="13"/>
    </row>
    <row r="1045" spans="1:12">
      <c r="A1045" s="39" t="s">
        <v>6753</v>
      </c>
      <c r="B1045" s="13"/>
      <c r="C1045" s="13"/>
      <c r="D1045" s="13"/>
      <c r="E1045" s="39" t="s">
        <v>6754</v>
      </c>
      <c r="F1045" s="39" t="s">
        <v>2265</v>
      </c>
      <c r="G1045" s="39" t="s">
        <v>1281</v>
      </c>
      <c r="H1045" s="13"/>
      <c r="I1045" s="39"/>
      <c r="J1045" s="39" t="s">
        <v>2357</v>
      </c>
      <c r="K1045" s="13"/>
      <c r="L1045" s="13"/>
    </row>
    <row r="1046" spans="1:12">
      <c r="A1046" s="39" t="s">
        <v>6755</v>
      </c>
      <c r="B1046" s="13"/>
      <c r="C1046" s="13"/>
      <c r="D1046" s="13"/>
      <c r="E1046" s="39" t="s">
        <v>2265</v>
      </c>
      <c r="F1046" s="39"/>
      <c r="G1046" s="39" t="s">
        <v>6756</v>
      </c>
      <c r="H1046" s="13"/>
      <c r="I1046" s="39" t="s">
        <v>6757</v>
      </c>
      <c r="J1046" s="39"/>
      <c r="K1046" s="13"/>
      <c r="L1046" s="13"/>
    </row>
    <row r="1047" spans="1:12">
      <c r="A1047" s="39" t="s">
        <v>6758</v>
      </c>
      <c r="B1047" s="13"/>
      <c r="C1047" s="13"/>
      <c r="D1047" s="13"/>
      <c r="E1047" s="39"/>
      <c r="F1047" s="39"/>
      <c r="G1047" s="39" t="s">
        <v>6759</v>
      </c>
      <c r="H1047" s="13"/>
      <c r="I1047" s="39" t="s">
        <v>3838</v>
      </c>
      <c r="J1047" s="39" t="s">
        <v>6760</v>
      </c>
      <c r="K1047" s="13"/>
      <c r="L1047" s="13"/>
    </row>
    <row r="1048" spans="1:12">
      <c r="A1048" s="39" t="s">
        <v>6761</v>
      </c>
      <c r="B1048" s="13"/>
      <c r="C1048" s="13"/>
      <c r="D1048" s="13"/>
      <c r="E1048" s="39"/>
      <c r="F1048" s="39" t="s">
        <v>1273</v>
      </c>
      <c r="G1048" s="39" t="s">
        <v>1452</v>
      </c>
      <c r="H1048" s="13"/>
      <c r="I1048" s="39" t="s">
        <v>6762</v>
      </c>
      <c r="J1048" s="39" t="s">
        <v>6763</v>
      </c>
      <c r="K1048" s="13"/>
      <c r="L1048" s="13"/>
    </row>
    <row r="1049" spans="1:12">
      <c r="A1049" s="39" t="s">
        <v>4232</v>
      </c>
      <c r="B1049" s="13"/>
      <c r="C1049" s="13"/>
      <c r="D1049" s="13"/>
      <c r="E1049" s="39" t="s">
        <v>1273</v>
      </c>
      <c r="F1049" s="39" t="s">
        <v>4204</v>
      </c>
      <c r="G1049" s="39" t="s">
        <v>6764</v>
      </c>
      <c r="H1049" s="13"/>
      <c r="I1049" s="39" t="s">
        <v>6748</v>
      </c>
      <c r="J1049" s="39" t="s">
        <v>6765</v>
      </c>
      <c r="K1049" s="13"/>
      <c r="L1049" s="13"/>
    </row>
    <row r="1050" spans="1:12">
      <c r="A1050" s="39" t="s">
        <v>3054</v>
      </c>
      <c r="B1050" s="13"/>
      <c r="C1050" s="13"/>
      <c r="D1050" s="13"/>
      <c r="E1050" s="39" t="s">
        <v>6766</v>
      </c>
      <c r="F1050" s="39" t="s">
        <v>1280</v>
      </c>
      <c r="G1050" s="39" t="s">
        <v>1452</v>
      </c>
      <c r="H1050" s="13"/>
      <c r="I1050" s="39" t="s">
        <v>2357</v>
      </c>
      <c r="J1050" s="39" t="s">
        <v>6748</v>
      </c>
      <c r="K1050" s="13"/>
      <c r="L1050" s="13"/>
    </row>
    <row r="1051" spans="1:12">
      <c r="A1051" s="36"/>
      <c r="B1051" s="13"/>
      <c r="C1051" s="13"/>
      <c r="D1051" s="13"/>
      <c r="E1051" s="39" t="s">
        <v>1280</v>
      </c>
      <c r="F1051" s="39" t="s">
        <v>4220</v>
      </c>
      <c r="G1051" s="39" t="s">
        <v>6767</v>
      </c>
      <c r="H1051" s="13"/>
      <c r="I1051" s="39"/>
      <c r="J1051" s="39" t="s">
        <v>2357</v>
      </c>
      <c r="K1051" s="13"/>
      <c r="L1051" s="13"/>
    </row>
    <row r="1052" spans="1:12">
      <c r="A1052" s="39" t="s">
        <v>6768</v>
      </c>
      <c r="B1052" s="13"/>
      <c r="C1052" s="13"/>
      <c r="D1052" s="13"/>
      <c r="E1052" s="39" t="s">
        <v>4700</v>
      </c>
      <c r="F1052" s="39" t="s">
        <v>1280</v>
      </c>
      <c r="G1052" s="39" t="s">
        <v>6769</v>
      </c>
      <c r="H1052" s="13"/>
      <c r="I1052" s="39" t="s">
        <v>3937</v>
      </c>
      <c r="J1052" s="39"/>
      <c r="K1052" s="13"/>
      <c r="L1052" s="13"/>
    </row>
    <row r="1053" spans="1:12">
      <c r="A1053" s="39" t="s">
        <v>2265</v>
      </c>
      <c r="B1053" s="13"/>
      <c r="C1053" s="13"/>
      <c r="D1053" s="13"/>
      <c r="E1053" s="39" t="s">
        <v>1280</v>
      </c>
      <c r="F1053" s="39" t="s">
        <v>4237</v>
      </c>
      <c r="G1053" s="39" t="s">
        <v>1452</v>
      </c>
      <c r="H1053" s="13"/>
      <c r="I1053" s="39" t="s">
        <v>3941</v>
      </c>
      <c r="J1053" s="39" t="s">
        <v>6770</v>
      </c>
      <c r="K1053" s="13"/>
      <c r="L1053" s="13"/>
    </row>
    <row r="1054" spans="1:12">
      <c r="A1054" s="39" t="s">
        <v>1278</v>
      </c>
      <c r="B1054" s="13"/>
      <c r="C1054" s="13"/>
      <c r="D1054" s="13"/>
      <c r="E1054" s="39" t="s">
        <v>6771</v>
      </c>
      <c r="F1054" s="39" t="s">
        <v>6772</v>
      </c>
      <c r="G1054" s="39" t="s">
        <v>6773</v>
      </c>
      <c r="H1054" s="13"/>
      <c r="I1054" s="39" t="s">
        <v>3878</v>
      </c>
      <c r="J1054" s="39" t="s">
        <v>6774</v>
      </c>
      <c r="K1054" s="13"/>
      <c r="L1054" s="13"/>
    </row>
    <row r="1055" spans="1:12">
      <c r="A1055" s="39" t="s">
        <v>6775</v>
      </c>
      <c r="B1055" s="13"/>
      <c r="C1055" s="13"/>
      <c r="D1055" s="13"/>
      <c r="E1055" s="39" t="s">
        <v>4721</v>
      </c>
      <c r="F1055" s="39"/>
      <c r="G1055" s="39" t="s">
        <v>1452</v>
      </c>
      <c r="H1055" s="13"/>
      <c r="I1055" s="39" t="s">
        <v>6748</v>
      </c>
      <c r="J1055" s="39" t="s">
        <v>6776</v>
      </c>
      <c r="K1055" s="13"/>
      <c r="L1055" s="13"/>
    </row>
    <row r="1056" spans="1:12">
      <c r="A1056" s="36"/>
      <c r="B1056" s="13"/>
      <c r="C1056" s="13"/>
      <c r="D1056" s="13"/>
      <c r="E1056" s="39" t="s">
        <v>2263</v>
      </c>
      <c r="F1056" s="39" t="s">
        <v>6777</v>
      </c>
      <c r="G1056" s="39" t="s">
        <v>6778</v>
      </c>
      <c r="H1056" s="13"/>
      <c r="I1056" s="39" t="s">
        <v>2357</v>
      </c>
      <c r="J1056" s="39" t="s">
        <v>6748</v>
      </c>
      <c r="K1056" s="13"/>
      <c r="L1056" s="13"/>
    </row>
    <row r="1057" spans="1:12">
      <c r="A1057" s="39" t="s">
        <v>6779</v>
      </c>
      <c r="B1057" s="13"/>
      <c r="C1057" s="13"/>
      <c r="D1057" s="13"/>
      <c r="E1057" s="39" t="s">
        <v>4734</v>
      </c>
      <c r="F1057" s="39"/>
      <c r="G1057" s="39" t="s">
        <v>6780</v>
      </c>
      <c r="H1057" s="13"/>
      <c r="I1057" s="39"/>
      <c r="J1057" s="39" t="s">
        <v>2357</v>
      </c>
      <c r="K1057" s="13"/>
      <c r="L1057" s="13"/>
    </row>
    <row r="1058" spans="1:12">
      <c r="A1058" s="39" t="s">
        <v>4718</v>
      </c>
      <c r="B1058" s="13"/>
      <c r="C1058" s="13"/>
      <c r="D1058" s="13"/>
      <c r="E1058" s="39" t="s">
        <v>4740</v>
      </c>
      <c r="F1058" s="39" t="s">
        <v>3706</v>
      </c>
      <c r="G1058" s="39" t="s">
        <v>6781</v>
      </c>
      <c r="H1058" s="13"/>
      <c r="I1058" s="39" t="s">
        <v>6782</v>
      </c>
      <c r="J1058" s="39"/>
      <c r="K1058" s="13"/>
      <c r="L1058" s="13"/>
    </row>
    <row r="1059" spans="1:12">
      <c r="A1059" s="39" t="s">
        <v>4726</v>
      </c>
      <c r="B1059" s="13"/>
      <c r="C1059" s="13"/>
      <c r="D1059" s="13"/>
      <c r="E1059" s="39" t="s">
        <v>4748</v>
      </c>
      <c r="F1059" s="39" t="s">
        <v>4274</v>
      </c>
      <c r="G1059" s="39" t="s">
        <v>4263</v>
      </c>
      <c r="H1059" s="13"/>
      <c r="I1059" s="39" t="s">
        <v>3873</v>
      </c>
      <c r="J1059" s="39" t="s">
        <v>3937</v>
      </c>
      <c r="K1059" s="13"/>
      <c r="L1059" s="13"/>
    </row>
    <row r="1060" spans="1:12">
      <c r="A1060" s="39" t="s">
        <v>4855</v>
      </c>
      <c r="B1060" s="13"/>
      <c r="C1060" s="13"/>
      <c r="D1060" s="13"/>
      <c r="E1060" s="39" t="s">
        <v>4754</v>
      </c>
      <c r="F1060" s="39"/>
      <c r="G1060" s="39" t="s">
        <v>6783</v>
      </c>
      <c r="H1060" s="13"/>
      <c r="I1060" s="39" t="s">
        <v>6784</v>
      </c>
      <c r="J1060" s="39" t="s">
        <v>6785</v>
      </c>
      <c r="K1060" s="13"/>
      <c r="L1060" s="13"/>
    </row>
    <row r="1061" spans="1:12">
      <c r="A1061" s="39" t="s">
        <v>6786</v>
      </c>
      <c r="B1061" s="13"/>
      <c r="C1061" s="13"/>
      <c r="D1061" s="13"/>
      <c r="E1061" s="39" t="s">
        <v>4760</v>
      </c>
      <c r="F1061" s="39" t="s">
        <v>6787</v>
      </c>
      <c r="G1061" s="39" t="s">
        <v>6788</v>
      </c>
      <c r="H1061" s="13"/>
      <c r="I1061" s="39" t="s">
        <v>6748</v>
      </c>
      <c r="J1061" s="39" t="s">
        <v>6789</v>
      </c>
      <c r="K1061" s="13"/>
      <c r="L1061" s="13"/>
    </row>
    <row r="1062" spans="1:12">
      <c r="A1062" s="39" t="s">
        <v>6790</v>
      </c>
      <c r="B1062" s="13"/>
      <c r="C1062" s="13"/>
      <c r="D1062" s="13"/>
      <c r="E1062" s="39" t="s">
        <v>4766</v>
      </c>
      <c r="F1062" s="39" t="s">
        <v>2501</v>
      </c>
      <c r="G1062" s="39" t="s">
        <v>6791</v>
      </c>
      <c r="H1062" s="13"/>
      <c r="I1062" s="39" t="s">
        <v>2357</v>
      </c>
      <c r="J1062" s="39" t="s">
        <v>6748</v>
      </c>
      <c r="K1062" s="13"/>
      <c r="L1062" s="13"/>
    </row>
    <row r="1063" spans="1:12">
      <c r="A1063" s="39" t="s">
        <v>6792</v>
      </c>
      <c r="B1063" s="13"/>
      <c r="C1063" s="13"/>
      <c r="D1063" s="13"/>
      <c r="E1063" s="39" t="s">
        <v>4773</v>
      </c>
      <c r="F1063" s="39" t="s">
        <v>4577</v>
      </c>
      <c r="G1063" s="39" t="s">
        <v>5667</v>
      </c>
      <c r="H1063" s="13"/>
      <c r="I1063" s="39"/>
      <c r="J1063" s="39" t="s">
        <v>2357</v>
      </c>
      <c r="K1063" s="13"/>
      <c r="L1063" s="13"/>
    </row>
    <row r="1064" spans="1:12">
      <c r="A1064" s="39" t="s">
        <v>3054</v>
      </c>
      <c r="B1064" s="13"/>
      <c r="C1064" s="13"/>
      <c r="D1064" s="13"/>
      <c r="E1064" s="39" t="s">
        <v>4780</v>
      </c>
      <c r="F1064" s="39" t="s">
        <v>6793</v>
      </c>
      <c r="G1064" s="39" t="s">
        <v>3281</v>
      </c>
      <c r="H1064" s="13"/>
      <c r="I1064" s="39" t="s">
        <v>6794</v>
      </c>
      <c r="J1064" s="39"/>
      <c r="K1064" s="13"/>
      <c r="L1064" s="13"/>
    </row>
    <row r="1065" spans="1:12">
      <c r="A1065" s="36"/>
      <c r="B1065" s="13"/>
      <c r="C1065" s="13"/>
      <c r="D1065" s="13"/>
      <c r="E1065" s="39" t="s">
        <v>4786</v>
      </c>
      <c r="F1065" s="39" t="s">
        <v>4599</v>
      </c>
      <c r="G1065" s="39" t="s">
        <v>1452</v>
      </c>
      <c r="H1065" s="13"/>
      <c r="I1065" s="39" t="s">
        <v>6795</v>
      </c>
      <c r="J1065" s="39" t="s">
        <v>6796</v>
      </c>
      <c r="K1065" s="13"/>
      <c r="L1065" s="13"/>
    </row>
    <row r="1066" spans="1:12">
      <c r="A1066" s="39" t="s">
        <v>6797</v>
      </c>
      <c r="B1066" s="13"/>
      <c r="C1066" s="13"/>
      <c r="D1066" s="13"/>
      <c r="E1066" s="39" t="s">
        <v>4793</v>
      </c>
      <c r="F1066" s="39" t="s">
        <v>6798</v>
      </c>
      <c r="G1066" s="39" t="s">
        <v>6799</v>
      </c>
      <c r="H1066" s="13"/>
      <c r="I1066" s="39" t="s">
        <v>2357</v>
      </c>
      <c r="J1066" s="39" t="s">
        <v>6800</v>
      </c>
      <c r="K1066" s="13"/>
      <c r="L1066" s="13"/>
    </row>
    <row r="1067" spans="1:12">
      <c r="A1067" s="39" t="s">
        <v>2265</v>
      </c>
      <c r="B1067" s="13"/>
      <c r="C1067" s="13"/>
      <c r="D1067" s="13"/>
      <c r="E1067" s="39" t="s">
        <v>4800</v>
      </c>
      <c r="F1067" s="39" t="s">
        <v>4621</v>
      </c>
      <c r="G1067" s="39" t="s">
        <v>3680</v>
      </c>
      <c r="H1067" s="13"/>
      <c r="I1067" s="39" t="s">
        <v>4200</v>
      </c>
      <c r="J1067" s="39" t="s">
        <v>6801</v>
      </c>
      <c r="K1067" s="13"/>
      <c r="L1067" s="13"/>
    </row>
    <row r="1068" spans="1:12">
      <c r="A1068" s="39" t="s">
        <v>1278</v>
      </c>
      <c r="B1068" s="13"/>
      <c r="C1068" s="13"/>
      <c r="D1068" s="13"/>
      <c r="E1068" s="39" t="s">
        <v>4808</v>
      </c>
      <c r="F1068" s="39" t="s">
        <v>6802</v>
      </c>
      <c r="G1068" s="39" t="s">
        <v>1452</v>
      </c>
      <c r="H1068" s="13"/>
      <c r="I1068" s="39"/>
      <c r="J1068" s="39" t="s">
        <v>6748</v>
      </c>
      <c r="K1068" s="13"/>
      <c r="L1068" s="13"/>
    </row>
    <row r="1069" spans="1:12">
      <c r="A1069" s="39" t="s">
        <v>6803</v>
      </c>
      <c r="B1069" s="13"/>
      <c r="C1069" s="13"/>
      <c r="D1069" s="13"/>
      <c r="E1069" s="39" t="s">
        <v>4815</v>
      </c>
      <c r="F1069" s="39" t="s">
        <v>2579</v>
      </c>
      <c r="G1069" s="39" t="s">
        <v>1452</v>
      </c>
      <c r="H1069" s="13"/>
      <c r="I1069" s="39" t="s">
        <v>4216</v>
      </c>
      <c r="J1069" s="39" t="s">
        <v>2357</v>
      </c>
      <c r="K1069" s="13"/>
      <c r="L1069" s="13"/>
    </row>
    <row r="1070" spans="1:12">
      <c r="A1070" s="36"/>
      <c r="B1070" s="13"/>
      <c r="C1070" s="13"/>
      <c r="D1070" s="13"/>
      <c r="E1070" s="39" t="s">
        <v>3054</v>
      </c>
      <c r="F1070" s="39"/>
      <c r="G1070" s="39" t="s">
        <v>6804</v>
      </c>
      <c r="H1070" s="13"/>
      <c r="I1070" s="39" t="s">
        <v>4227</v>
      </c>
      <c r="J1070" s="39"/>
      <c r="K1070" s="13"/>
      <c r="L1070" s="13"/>
    </row>
    <row r="1071" spans="1:12">
      <c r="A1071" s="39" t="s">
        <v>6805</v>
      </c>
      <c r="B1071" s="13"/>
      <c r="C1071" s="13"/>
      <c r="D1071" s="13"/>
      <c r="E1071" s="39"/>
      <c r="F1071" s="39" t="s">
        <v>6806</v>
      </c>
      <c r="G1071" s="39" t="s">
        <v>1281</v>
      </c>
      <c r="H1071" s="13"/>
      <c r="I1071" s="39" t="s">
        <v>4234</v>
      </c>
      <c r="J1071" s="39" t="s">
        <v>6807</v>
      </c>
      <c r="K1071" s="13"/>
      <c r="L1071" s="13"/>
    </row>
    <row r="1072" spans="1:12">
      <c r="A1072" s="39" t="s">
        <v>6808</v>
      </c>
      <c r="B1072" s="13"/>
      <c r="C1072" s="13"/>
      <c r="D1072" s="13"/>
      <c r="E1072" s="39" t="s">
        <v>4834</v>
      </c>
      <c r="F1072" s="39" t="s">
        <v>2424</v>
      </c>
      <c r="G1072" s="39" t="s">
        <v>6809</v>
      </c>
      <c r="H1072" s="13"/>
      <c r="I1072" s="39" t="s">
        <v>4241</v>
      </c>
      <c r="J1072" s="39" t="s">
        <v>6810</v>
      </c>
      <c r="K1072" s="13"/>
      <c r="L1072" s="13"/>
    </row>
    <row r="1073" spans="1:12">
      <c r="A1073" s="36"/>
      <c r="B1073" s="13"/>
      <c r="C1073" s="13"/>
      <c r="D1073" s="13"/>
      <c r="E1073" s="39" t="s">
        <v>2263</v>
      </c>
      <c r="F1073" s="39" t="s">
        <v>6811</v>
      </c>
      <c r="G1073" s="39" t="s">
        <v>1281</v>
      </c>
      <c r="H1073" s="13"/>
      <c r="I1073" s="39" t="s">
        <v>6812</v>
      </c>
      <c r="J1073" s="39" t="s">
        <v>6813</v>
      </c>
      <c r="K1073" s="13"/>
      <c r="L1073" s="13"/>
    </row>
    <row r="1074" spans="1:12">
      <c r="A1074" s="39" t="s">
        <v>6814</v>
      </c>
      <c r="B1074" s="13"/>
      <c r="C1074" s="13"/>
      <c r="D1074" s="13"/>
      <c r="E1074" s="39" t="s">
        <v>4734</v>
      </c>
      <c r="F1074" s="39" t="s">
        <v>6815</v>
      </c>
      <c r="G1074" s="39" t="s">
        <v>6816</v>
      </c>
      <c r="H1074" s="13"/>
      <c r="I1074" s="39" t="s">
        <v>6817</v>
      </c>
      <c r="J1074" s="39" t="s">
        <v>6748</v>
      </c>
      <c r="K1074" s="13"/>
      <c r="L1074" s="13"/>
    </row>
    <row r="1075" spans="1:12">
      <c r="A1075" s="39" t="s">
        <v>6818</v>
      </c>
      <c r="B1075" s="13"/>
      <c r="C1075" s="13"/>
      <c r="D1075" s="13"/>
      <c r="E1075" s="39" t="s">
        <v>4851</v>
      </c>
      <c r="F1075" s="39" t="s">
        <v>6819</v>
      </c>
      <c r="G1075" s="39" t="s">
        <v>6820</v>
      </c>
      <c r="H1075" s="13"/>
      <c r="I1075" s="39" t="s">
        <v>6821</v>
      </c>
      <c r="J1075" s="39" t="s">
        <v>2357</v>
      </c>
      <c r="K1075" s="13"/>
      <c r="L1075" s="13"/>
    </row>
    <row r="1076" spans="1:12">
      <c r="A1076" s="39" t="s">
        <v>6822</v>
      </c>
      <c r="B1076" s="13"/>
      <c r="C1076" s="13"/>
      <c r="D1076" s="13"/>
      <c r="E1076" s="39" t="s">
        <v>4748</v>
      </c>
      <c r="F1076" s="39" t="s">
        <v>2626</v>
      </c>
      <c r="G1076" s="39" t="s">
        <v>1452</v>
      </c>
      <c r="H1076" s="13"/>
      <c r="I1076" s="39" t="s">
        <v>6823</v>
      </c>
      <c r="J1076" s="39"/>
      <c r="K1076" s="13"/>
      <c r="L1076" s="13"/>
    </row>
    <row r="1077" spans="1:12">
      <c r="A1077" s="36"/>
      <c r="B1077" s="13"/>
      <c r="C1077" s="13"/>
      <c r="D1077" s="13"/>
      <c r="E1077" s="39" t="s">
        <v>4864</v>
      </c>
      <c r="F1077" s="39" t="s">
        <v>2596</v>
      </c>
      <c r="G1077" s="39" t="s">
        <v>6824</v>
      </c>
      <c r="H1077" s="13"/>
      <c r="I1077" s="39" t="s">
        <v>6825</v>
      </c>
      <c r="J1077" s="39"/>
      <c r="K1077" s="13"/>
      <c r="L1077" s="13"/>
    </row>
    <row r="1078" spans="1:12">
      <c r="A1078" s="39" t="s">
        <v>6826</v>
      </c>
      <c r="B1078" s="13"/>
      <c r="C1078" s="13"/>
      <c r="D1078" s="13"/>
      <c r="E1078" s="39" t="s">
        <v>4760</v>
      </c>
      <c r="F1078" s="39"/>
      <c r="G1078" s="39" t="s">
        <v>1452</v>
      </c>
      <c r="H1078" s="13"/>
      <c r="I1078" s="39" t="s">
        <v>2424</v>
      </c>
      <c r="J1078" s="39" t="s">
        <v>6827</v>
      </c>
      <c r="K1078" s="13"/>
      <c r="L1078" s="13"/>
    </row>
    <row r="1079" spans="1:12">
      <c r="A1079" s="39" t="s">
        <v>6828</v>
      </c>
      <c r="B1079" s="13"/>
      <c r="C1079" s="13"/>
      <c r="D1079" s="13"/>
      <c r="E1079" s="39" t="s">
        <v>4878</v>
      </c>
      <c r="F1079" s="39" t="s">
        <v>4335</v>
      </c>
      <c r="G1079" s="39" t="s">
        <v>3577</v>
      </c>
      <c r="H1079" s="13"/>
      <c r="I1079" s="39" t="s">
        <v>6829</v>
      </c>
      <c r="J1079" s="39" t="s">
        <v>6830</v>
      </c>
      <c r="K1079" s="13"/>
      <c r="L1079" s="13"/>
    </row>
    <row r="1080" spans="1:12">
      <c r="A1080" s="39" t="s">
        <v>6831</v>
      </c>
      <c r="B1080" s="13"/>
      <c r="C1080" s="13"/>
      <c r="D1080" s="13"/>
      <c r="E1080" s="39" t="s">
        <v>4773</v>
      </c>
      <c r="F1080" s="39" t="s">
        <v>2265</v>
      </c>
      <c r="G1080" s="39" t="s">
        <v>6832</v>
      </c>
      <c r="H1080" s="13"/>
      <c r="I1080" s="39" t="s">
        <v>6833</v>
      </c>
      <c r="J1080" s="39" t="s">
        <v>6834</v>
      </c>
      <c r="K1080" s="13"/>
      <c r="L1080" s="13"/>
    </row>
    <row r="1081" spans="1:12">
      <c r="A1081" s="39" t="s">
        <v>6835</v>
      </c>
      <c r="B1081" s="13"/>
      <c r="C1081" s="13"/>
      <c r="D1081" s="13"/>
      <c r="E1081" s="39" t="s">
        <v>4889</v>
      </c>
      <c r="F1081" s="39"/>
      <c r="G1081" s="39" t="s">
        <v>3542</v>
      </c>
      <c r="H1081" s="13"/>
      <c r="I1081" s="39" t="s">
        <v>6836</v>
      </c>
      <c r="J1081" s="39" t="s">
        <v>6837</v>
      </c>
      <c r="K1081" s="13"/>
      <c r="L1081" s="13"/>
    </row>
    <row r="1082" spans="1:12">
      <c r="A1082" s="39" t="s">
        <v>6838</v>
      </c>
      <c r="B1082" s="13"/>
      <c r="C1082" s="13"/>
      <c r="D1082" s="13"/>
      <c r="E1082" s="39" t="s">
        <v>4786</v>
      </c>
      <c r="F1082" s="39"/>
      <c r="G1082" s="39" t="s">
        <v>4263</v>
      </c>
      <c r="H1082" s="13"/>
      <c r="I1082" s="39" t="s">
        <v>6839</v>
      </c>
      <c r="J1082" s="39" t="s">
        <v>6840</v>
      </c>
      <c r="K1082" s="13"/>
      <c r="L1082" s="13"/>
    </row>
    <row r="1083" spans="1:12">
      <c r="A1083" s="39" t="s">
        <v>6841</v>
      </c>
      <c r="B1083" s="13"/>
      <c r="C1083" s="13"/>
      <c r="D1083" s="13"/>
      <c r="E1083" s="39" t="s">
        <v>4899</v>
      </c>
      <c r="F1083" s="39" t="s">
        <v>4350</v>
      </c>
      <c r="G1083" s="39" t="s">
        <v>6842</v>
      </c>
      <c r="H1083" s="13"/>
      <c r="I1083" s="39" t="s">
        <v>3273</v>
      </c>
      <c r="J1083" s="39"/>
      <c r="K1083" s="13"/>
      <c r="L1083" s="13"/>
    </row>
    <row r="1084" spans="1:12">
      <c r="A1084" s="36"/>
      <c r="B1084" s="13"/>
      <c r="C1084" s="13"/>
      <c r="D1084" s="13"/>
      <c r="E1084" s="39" t="s">
        <v>4800</v>
      </c>
      <c r="F1084" s="39" t="s">
        <v>1280</v>
      </c>
      <c r="G1084" s="39" t="s">
        <v>3281</v>
      </c>
      <c r="H1084" s="13"/>
      <c r="I1084" s="39" t="s">
        <v>6843</v>
      </c>
      <c r="J1084" s="39" t="s">
        <v>6844</v>
      </c>
      <c r="K1084" s="13"/>
      <c r="L1084" s="13"/>
    </row>
    <row r="1085" spans="1:12">
      <c r="A1085" s="39" t="s">
        <v>6845</v>
      </c>
      <c r="B1085" s="13"/>
      <c r="C1085" s="13"/>
      <c r="D1085" s="13"/>
      <c r="E1085" s="39" t="s">
        <v>4908</v>
      </c>
      <c r="F1085" s="39" t="s">
        <v>4364</v>
      </c>
      <c r="G1085" s="39" t="s">
        <v>1452</v>
      </c>
      <c r="H1085" s="13"/>
      <c r="I1085" s="39" t="s">
        <v>6836</v>
      </c>
      <c r="J1085" s="39" t="s">
        <v>6846</v>
      </c>
      <c r="K1085" s="13"/>
      <c r="L1085" s="13"/>
    </row>
    <row r="1086" spans="1:12">
      <c r="A1086" s="39" t="s">
        <v>6847</v>
      </c>
      <c r="B1086" s="13"/>
      <c r="C1086" s="13"/>
      <c r="D1086" s="13"/>
      <c r="E1086" s="39" t="s">
        <v>4915</v>
      </c>
      <c r="F1086" s="39" t="s">
        <v>1280</v>
      </c>
      <c r="G1086" s="39" t="s">
        <v>6848</v>
      </c>
      <c r="H1086" s="13"/>
      <c r="I1086" s="39" t="s">
        <v>6849</v>
      </c>
      <c r="J1086" s="39" t="s">
        <v>6850</v>
      </c>
      <c r="K1086" s="13"/>
      <c r="L1086" s="13"/>
    </row>
    <row r="1087" spans="1:12">
      <c r="A1087" s="39" t="s">
        <v>6851</v>
      </c>
      <c r="B1087" s="13"/>
      <c r="C1087" s="13"/>
      <c r="D1087" s="13"/>
      <c r="E1087" s="39" t="s">
        <v>3054</v>
      </c>
      <c r="F1087" s="39" t="s">
        <v>4378</v>
      </c>
      <c r="G1087" s="39" t="s">
        <v>3680</v>
      </c>
      <c r="H1087" s="13"/>
      <c r="I1087" s="39" t="s">
        <v>2626</v>
      </c>
      <c r="J1087" s="39" t="s">
        <v>6837</v>
      </c>
      <c r="K1087" s="13"/>
      <c r="L1087" s="13"/>
    </row>
    <row r="1088" spans="1:12">
      <c r="A1088" s="39" t="s">
        <v>6852</v>
      </c>
      <c r="B1088" s="13"/>
      <c r="C1088" s="13"/>
      <c r="D1088" s="13"/>
      <c r="E1088" s="39"/>
      <c r="F1088" s="39" t="s">
        <v>6853</v>
      </c>
      <c r="G1088" s="39" t="s">
        <v>1452</v>
      </c>
      <c r="H1088" s="13"/>
      <c r="I1088" s="39" t="s">
        <v>2357</v>
      </c>
      <c r="J1088" s="39" t="s">
        <v>6840</v>
      </c>
      <c r="K1088" s="13"/>
      <c r="L1088" s="13"/>
    </row>
    <row r="1089" spans="1:12">
      <c r="A1089" s="39" t="s">
        <v>6854</v>
      </c>
      <c r="B1089" s="13"/>
      <c r="C1089" s="13"/>
      <c r="D1089" s="13"/>
      <c r="E1089" s="39" t="s">
        <v>6855</v>
      </c>
      <c r="F1089" s="39"/>
      <c r="G1089" s="39" t="s">
        <v>1452</v>
      </c>
      <c r="H1089" s="13"/>
      <c r="I1089" s="39" t="s">
        <v>4252</v>
      </c>
      <c r="J1089" s="39"/>
      <c r="K1089" s="13"/>
      <c r="L1089" s="13"/>
    </row>
    <row r="1090" spans="1:12">
      <c r="A1090" s="39" t="s">
        <v>6856</v>
      </c>
      <c r="B1090" s="13"/>
      <c r="C1090" s="13"/>
      <c r="D1090" s="13"/>
      <c r="E1090" s="39" t="s">
        <v>2265</v>
      </c>
      <c r="F1090" s="39" t="s">
        <v>6857</v>
      </c>
      <c r="G1090" s="39" t="s">
        <v>1274</v>
      </c>
      <c r="H1090" s="13"/>
      <c r="I1090" s="39" t="s">
        <v>4260</v>
      </c>
      <c r="J1090" s="39" t="s">
        <v>6858</v>
      </c>
      <c r="K1090" s="13"/>
      <c r="L1090" s="13"/>
    </row>
    <row r="1091" spans="1:12">
      <c r="A1091" s="36"/>
      <c r="B1091" s="13"/>
      <c r="C1091" s="13"/>
      <c r="D1091" s="13"/>
      <c r="E1091" s="39"/>
      <c r="F1091" s="39"/>
      <c r="G1091" s="39" t="s">
        <v>6859</v>
      </c>
      <c r="H1091" s="13"/>
      <c r="I1091" s="39"/>
      <c r="J1091" s="39"/>
      <c r="K1091" s="13"/>
      <c r="L1091" s="13"/>
    </row>
    <row r="1092" spans="1:12">
      <c r="A1092" s="39" t="s">
        <v>5688</v>
      </c>
      <c r="B1092" s="13"/>
      <c r="C1092" s="13"/>
      <c r="D1092" s="13"/>
      <c r="E1092" s="39"/>
      <c r="F1092" s="39" t="s">
        <v>2879</v>
      </c>
      <c r="G1092" s="39" t="s">
        <v>1281</v>
      </c>
      <c r="H1092" s="13"/>
      <c r="I1092" s="39" t="s">
        <v>4271</v>
      </c>
      <c r="J1092" s="39"/>
      <c r="K1092" s="13"/>
      <c r="L1092" s="13"/>
    </row>
    <row r="1093" spans="1:12">
      <c r="A1093" s="39" t="s">
        <v>5693</v>
      </c>
      <c r="B1093" s="13"/>
      <c r="C1093" s="13"/>
      <c r="D1093" s="13"/>
      <c r="E1093" s="39" t="s">
        <v>1273</v>
      </c>
      <c r="F1093" s="39" t="s">
        <v>4401</v>
      </c>
      <c r="G1093" s="39" t="s">
        <v>6860</v>
      </c>
      <c r="H1093" s="13"/>
      <c r="I1093" s="39"/>
      <c r="J1093" s="39" t="s">
        <v>6794</v>
      </c>
      <c r="K1093" s="13"/>
      <c r="L1093" s="13"/>
    </row>
    <row r="1094" spans="1:12">
      <c r="A1094" s="39" t="s">
        <v>6861</v>
      </c>
      <c r="B1094" s="13"/>
      <c r="C1094" s="13"/>
      <c r="D1094" s="13"/>
      <c r="E1094" s="39" t="s">
        <v>4204</v>
      </c>
      <c r="F1094" s="39" t="s">
        <v>2855</v>
      </c>
      <c r="G1094" s="39" t="s">
        <v>1281</v>
      </c>
      <c r="H1094" s="13"/>
      <c r="I1094" s="39" t="s">
        <v>4283</v>
      </c>
      <c r="J1094" s="39" t="s">
        <v>6862</v>
      </c>
      <c r="K1094" s="13"/>
      <c r="L1094" s="13"/>
    </row>
    <row r="1095" spans="1:12">
      <c r="A1095" s="39" t="s">
        <v>6863</v>
      </c>
      <c r="B1095" s="13"/>
      <c r="C1095" s="13"/>
      <c r="D1095" s="13"/>
      <c r="E1095" s="39" t="s">
        <v>1280</v>
      </c>
      <c r="F1095" s="39" t="s">
        <v>2424</v>
      </c>
      <c r="G1095" s="39" t="s">
        <v>6864</v>
      </c>
      <c r="H1095" s="13"/>
      <c r="I1095" s="39" t="s">
        <v>4290</v>
      </c>
      <c r="J1095" s="39" t="s">
        <v>2357</v>
      </c>
      <c r="K1095" s="13"/>
      <c r="L1095" s="13"/>
    </row>
    <row r="1096" spans="1:12">
      <c r="A1096" s="39" t="s">
        <v>6865</v>
      </c>
      <c r="B1096" s="13"/>
      <c r="C1096" s="13"/>
      <c r="D1096" s="13"/>
      <c r="E1096" s="39" t="s">
        <v>4220</v>
      </c>
      <c r="F1096" s="39" t="s">
        <v>4419</v>
      </c>
      <c r="G1096" s="39" t="s">
        <v>6866</v>
      </c>
      <c r="H1096" s="13"/>
      <c r="I1096" s="39" t="s">
        <v>4297</v>
      </c>
      <c r="J1096" s="39"/>
      <c r="K1096" s="13"/>
      <c r="L1096" s="13"/>
    </row>
    <row r="1097" spans="1:12">
      <c r="A1097" s="39" t="s">
        <v>3209</v>
      </c>
      <c r="B1097" s="13"/>
      <c r="C1097" s="13"/>
      <c r="D1097" s="13"/>
      <c r="E1097" s="39" t="s">
        <v>1280</v>
      </c>
      <c r="F1097" s="39" t="s">
        <v>2596</v>
      </c>
      <c r="G1097" s="39" t="s">
        <v>6867</v>
      </c>
      <c r="H1097" s="13"/>
      <c r="I1097" s="39" t="s">
        <v>4304</v>
      </c>
      <c r="J1097" s="39" t="s">
        <v>6868</v>
      </c>
      <c r="K1097" s="13"/>
      <c r="L1097" s="13"/>
    </row>
    <row r="1098" spans="1:12">
      <c r="A1098" s="39" t="s">
        <v>6869</v>
      </c>
      <c r="B1098" s="13"/>
      <c r="C1098" s="13"/>
      <c r="D1098" s="13"/>
      <c r="E1098" s="39" t="s">
        <v>4237</v>
      </c>
      <c r="F1098" s="39"/>
      <c r="G1098" s="39" t="s">
        <v>1452</v>
      </c>
      <c r="H1098" s="13"/>
      <c r="I1098" s="39" t="s">
        <v>4311</v>
      </c>
      <c r="J1098" s="39"/>
      <c r="K1098" s="13"/>
      <c r="L1098" s="13"/>
    </row>
    <row r="1099" spans="1:12">
      <c r="A1099" s="39" t="s">
        <v>6870</v>
      </c>
      <c r="B1099" s="13"/>
      <c r="C1099" s="13"/>
      <c r="D1099" s="13"/>
      <c r="E1099" s="39" t="s">
        <v>6871</v>
      </c>
      <c r="F1099" s="39" t="s">
        <v>4431</v>
      </c>
      <c r="G1099" s="39" t="s">
        <v>6872</v>
      </c>
      <c r="H1099" s="13"/>
      <c r="I1099" s="39"/>
      <c r="J1099" s="39" t="s">
        <v>4216</v>
      </c>
      <c r="K1099" s="13"/>
      <c r="L1099" s="13"/>
    </row>
    <row r="1100" spans="1:12">
      <c r="A1100" s="39" t="s">
        <v>6873</v>
      </c>
      <c r="B1100" s="13"/>
      <c r="C1100" s="13"/>
      <c r="D1100" s="13"/>
      <c r="E1100" s="39"/>
      <c r="F1100" s="39" t="s">
        <v>2265</v>
      </c>
      <c r="G1100" s="39" t="s">
        <v>1452</v>
      </c>
      <c r="H1100" s="13"/>
      <c r="I1100" s="39" t="s">
        <v>6874</v>
      </c>
      <c r="J1100" s="39" t="s">
        <v>4227</v>
      </c>
      <c r="K1100" s="13"/>
      <c r="L1100" s="13"/>
    </row>
    <row r="1101" spans="1:12">
      <c r="A1101" s="39" t="s">
        <v>6875</v>
      </c>
      <c r="B1101" s="13"/>
      <c r="C1101" s="13"/>
      <c r="D1101" s="13"/>
      <c r="E1101" s="39" t="s">
        <v>6876</v>
      </c>
      <c r="F1101" s="39"/>
      <c r="G1101" s="39" t="s">
        <v>6877</v>
      </c>
      <c r="H1101" s="13"/>
      <c r="I1101" s="39" t="s">
        <v>3545</v>
      </c>
      <c r="J1101" s="39" t="s">
        <v>4234</v>
      </c>
      <c r="K1101" s="13"/>
      <c r="L1101" s="13"/>
    </row>
    <row r="1102" spans="1:12">
      <c r="A1102" s="39" t="s">
        <v>4508</v>
      </c>
      <c r="B1102" s="13"/>
      <c r="C1102" s="13"/>
      <c r="D1102" s="13"/>
      <c r="E1102" s="39" t="s">
        <v>6878</v>
      </c>
      <c r="F1102" s="39"/>
      <c r="G1102" s="39" t="s">
        <v>3680</v>
      </c>
      <c r="H1102" s="13"/>
      <c r="I1102" s="39" t="s">
        <v>6879</v>
      </c>
      <c r="J1102" s="39" t="s">
        <v>4241</v>
      </c>
      <c r="K1102" s="13"/>
      <c r="L1102" s="13"/>
    </row>
    <row r="1103" spans="1:12">
      <c r="A1103" s="36"/>
      <c r="B1103" s="13"/>
      <c r="C1103" s="13"/>
      <c r="D1103" s="13"/>
      <c r="E1103" s="39"/>
      <c r="F1103" s="39" t="s">
        <v>1273</v>
      </c>
      <c r="G1103" s="39" t="s">
        <v>1452</v>
      </c>
      <c r="H1103" s="13"/>
      <c r="I1103" s="39" t="s">
        <v>6880</v>
      </c>
      <c r="J1103" s="39" t="s">
        <v>6881</v>
      </c>
      <c r="K1103" s="13"/>
      <c r="L1103" s="13"/>
    </row>
    <row r="1104" spans="1:12">
      <c r="A1104" s="39" t="s">
        <v>5688</v>
      </c>
      <c r="B1104" s="13"/>
      <c r="C1104" s="13"/>
      <c r="D1104" s="13"/>
      <c r="E1104" s="39" t="s">
        <v>3706</v>
      </c>
      <c r="F1104" s="39" t="s">
        <v>4454</v>
      </c>
      <c r="G1104" s="39" t="s">
        <v>1452</v>
      </c>
      <c r="H1104" s="13"/>
      <c r="I1104" s="39" t="s">
        <v>6882</v>
      </c>
      <c r="J1104" s="39" t="s">
        <v>6817</v>
      </c>
      <c r="K1104" s="13"/>
      <c r="L1104" s="13"/>
    </row>
    <row r="1105" spans="1:12">
      <c r="A1105" s="39" t="s">
        <v>5693</v>
      </c>
      <c r="B1105" s="13"/>
      <c r="C1105" s="13"/>
      <c r="D1105" s="13"/>
      <c r="E1105" s="39" t="s">
        <v>6883</v>
      </c>
      <c r="F1105" s="39" t="s">
        <v>1280</v>
      </c>
      <c r="G1105" s="39" t="s">
        <v>1274</v>
      </c>
      <c r="H1105" s="13"/>
      <c r="I1105" s="39" t="s">
        <v>6884</v>
      </c>
      <c r="J1105" s="39" t="s">
        <v>6821</v>
      </c>
      <c r="K1105" s="13"/>
      <c r="L1105" s="13"/>
    </row>
    <row r="1106" spans="1:12">
      <c r="A1106" s="39" t="s">
        <v>6861</v>
      </c>
      <c r="B1106" s="13"/>
      <c r="C1106" s="13"/>
      <c r="D1106" s="13"/>
      <c r="E1106" s="39" t="s">
        <v>6885</v>
      </c>
      <c r="F1106" s="39" t="s">
        <v>4465</v>
      </c>
      <c r="G1106" s="39" t="s">
        <v>6886</v>
      </c>
      <c r="H1106" s="13"/>
      <c r="I1106" s="39" t="s">
        <v>6887</v>
      </c>
      <c r="J1106" s="39" t="s">
        <v>6823</v>
      </c>
      <c r="K1106" s="13"/>
      <c r="L1106" s="13"/>
    </row>
    <row r="1107" spans="1:12">
      <c r="A1107" s="39" t="s">
        <v>6888</v>
      </c>
      <c r="B1107" s="13"/>
      <c r="C1107" s="13"/>
      <c r="D1107" s="13"/>
      <c r="E1107" s="39" t="s">
        <v>6889</v>
      </c>
      <c r="F1107" s="39" t="s">
        <v>1280</v>
      </c>
      <c r="G1107" s="39" t="s">
        <v>6890</v>
      </c>
      <c r="H1107" s="13"/>
      <c r="I1107" s="39" t="s">
        <v>2424</v>
      </c>
      <c r="J1107" s="39" t="s">
        <v>6825</v>
      </c>
      <c r="K1107" s="13"/>
      <c r="L1107" s="13"/>
    </row>
    <row r="1108" spans="1:12">
      <c r="A1108" s="39" t="s">
        <v>6865</v>
      </c>
      <c r="B1108" s="13"/>
      <c r="C1108" s="13"/>
      <c r="D1108" s="13"/>
      <c r="E1108" s="39" t="s">
        <v>6891</v>
      </c>
      <c r="F1108" s="39" t="s">
        <v>4481</v>
      </c>
      <c r="G1108" s="13"/>
      <c r="H1108" s="13"/>
      <c r="I1108" s="39" t="s">
        <v>6892</v>
      </c>
      <c r="J1108" s="39" t="s">
        <v>2424</v>
      </c>
      <c r="K1108" s="13"/>
      <c r="L1108" s="13"/>
    </row>
    <row r="1109" spans="1:12">
      <c r="A1109" s="39" t="s">
        <v>3209</v>
      </c>
      <c r="B1109" s="13"/>
      <c r="C1109" s="13"/>
      <c r="D1109" s="13"/>
      <c r="E1109" s="39" t="s">
        <v>6893</v>
      </c>
      <c r="F1109" s="39" t="s">
        <v>4487</v>
      </c>
      <c r="G1109" s="13"/>
      <c r="H1109" s="13"/>
      <c r="I1109" s="39" t="s">
        <v>6894</v>
      </c>
      <c r="J1109" s="39" t="s">
        <v>6829</v>
      </c>
      <c r="K1109" s="13"/>
      <c r="L1109" s="13"/>
    </row>
    <row r="1110" spans="1:12">
      <c r="A1110" s="39" t="s">
        <v>6895</v>
      </c>
      <c r="B1110" s="13"/>
      <c r="C1110" s="13"/>
      <c r="D1110" s="13"/>
      <c r="E1110" s="39" t="s">
        <v>6896</v>
      </c>
      <c r="F1110" s="39" t="s">
        <v>4497</v>
      </c>
      <c r="G1110" s="13"/>
      <c r="H1110" s="13"/>
      <c r="I1110" s="39" t="s">
        <v>2357</v>
      </c>
      <c r="J1110" s="39" t="s">
        <v>6833</v>
      </c>
      <c r="K1110" s="13"/>
      <c r="L1110" s="13"/>
    </row>
    <row r="1111" spans="1:12">
      <c r="A1111" s="39" t="s">
        <v>6870</v>
      </c>
      <c r="B1111" s="13"/>
      <c r="C1111" s="13"/>
      <c r="D1111" s="13"/>
      <c r="E1111" s="39" t="s">
        <v>3273</v>
      </c>
      <c r="F1111" s="39"/>
      <c r="G1111" s="13"/>
      <c r="H1111" s="13"/>
      <c r="I1111" s="39"/>
      <c r="J1111" s="39" t="s">
        <v>6836</v>
      </c>
      <c r="K1111" s="13"/>
      <c r="L1111" s="13"/>
    </row>
    <row r="1112" spans="1:12">
      <c r="A1112" s="39" t="s">
        <v>6897</v>
      </c>
      <c r="B1112" s="13"/>
      <c r="C1112" s="13"/>
      <c r="D1112" s="13"/>
      <c r="E1112" s="39" t="s">
        <v>6898</v>
      </c>
      <c r="F1112" s="39" t="s">
        <v>6899</v>
      </c>
      <c r="G1112" s="13"/>
      <c r="H1112" s="13"/>
      <c r="I1112" s="39" t="s">
        <v>6900</v>
      </c>
      <c r="J1112" s="39" t="s">
        <v>6839</v>
      </c>
      <c r="K1112" s="13"/>
      <c r="L1112" s="13"/>
    </row>
    <row r="1113" spans="1:12">
      <c r="A1113" s="39" t="s">
        <v>6901</v>
      </c>
      <c r="B1113" s="13"/>
      <c r="C1113" s="13"/>
      <c r="D1113" s="13"/>
      <c r="E1113" s="39" t="s">
        <v>6902</v>
      </c>
      <c r="F1113" s="39"/>
      <c r="G1113" s="13"/>
      <c r="H1113" s="13"/>
      <c r="I1113" s="39" t="s">
        <v>6903</v>
      </c>
      <c r="J1113" s="39" t="s">
        <v>3273</v>
      </c>
      <c r="K1113" s="13"/>
      <c r="L1113" s="13"/>
    </row>
    <row r="1114" spans="1:12">
      <c r="A1114" s="39" t="s">
        <v>4508</v>
      </c>
      <c r="B1114" s="13"/>
      <c r="C1114" s="13"/>
      <c r="D1114" s="13"/>
      <c r="E1114" s="39" t="s">
        <v>6904</v>
      </c>
      <c r="F1114" s="39" t="s">
        <v>4535</v>
      </c>
      <c r="G1114" s="13"/>
      <c r="H1114" s="13"/>
      <c r="I1114" s="39" t="s">
        <v>6905</v>
      </c>
      <c r="J1114" s="39" t="s">
        <v>6843</v>
      </c>
      <c r="K1114" s="13"/>
      <c r="L1114" s="13"/>
    </row>
    <row r="1115" spans="1:12">
      <c r="A1115" s="36"/>
      <c r="B1115" s="13"/>
      <c r="C1115" s="13"/>
      <c r="D1115" s="13"/>
      <c r="E1115" s="39" t="s">
        <v>2626</v>
      </c>
      <c r="F1115" s="39" t="s">
        <v>2265</v>
      </c>
      <c r="G1115" s="13"/>
      <c r="H1115" s="13"/>
      <c r="I1115" s="39" t="s">
        <v>6906</v>
      </c>
      <c r="J1115" s="39" t="s">
        <v>6836</v>
      </c>
      <c r="K1115" s="13"/>
      <c r="L1115" s="13"/>
    </row>
    <row r="1116" spans="1:12">
      <c r="A1116" s="39" t="s">
        <v>6907</v>
      </c>
      <c r="B1116" s="13"/>
      <c r="C1116" s="13"/>
      <c r="D1116" s="13"/>
      <c r="E1116" s="39" t="s">
        <v>2424</v>
      </c>
      <c r="F1116" s="39"/>
      <c r="G1116" s="13"/>
      <c r="H1116" s="13"/>
      <c r="I1116" s="39" t="s">
        <v>6908</v>
      </c>
      <c r="J1116" s="39" t="s">
        <v>6849</v>
      </c>
      <c r="K1116" s="13"/>
      <c r="L1116" s="13"/>
    </row>
    <row r="1117" spans="1:12">
      <c r="A1117" s="39" t="s">
        <v>6909</v>
      </c>
      <c r="B1117" s="13"/>
      <c r="C1117" s="13"/>
      <c r="D1117" s="13"/>
      <c r="E1117" s="39" t="s">
        <v>6811</v>
      </c>
      <c r="F1117" s="39"/>
      <c r="G1117" s="13"/>
      <c r="H1117" s="13"/>
      <c r="I1117" s="39" t="s">
        <v>6910</v>
      </c>
      <c r="J1117" s="39" t="s">
        <v>2626</v>
      </c>
      <c r="K1117" s="13"/>
      <c r="L1117" s="13"/>
    </row>
    <row r="1118" spans="1:12">
      <c r="A1118" s="39" t="s">
        <v>6911</v>
      </c>
      <c r="B1118" s="13"/>
      <c r="C1118" s="13"/>
      <c r="D1118" s="13"/>
      <c r="E1118" s="39" t="s">
        <v>6815</v>
      </c>
      <c r="F1118" s="39" t="s">
        <v>1273</v>
      </c>
      <c r="G1118" s="13"/>
      <c r="H1118" s="13"/>
      <c r="I1118" s="39" t="s">
        <v>6912</v>
      </c>
      <c r="J1118" s="39" t="s">
        <v>2357</v>
      </c>
      <c r="K1118" s="13"/>
      <c r="L1118" s="13"/>
    </row>
    <row r="1119" spans="1:12">
      <c r="A1119" s="39" t="s">
        <v>4508</v>
      </c>
      <c r="B1119" s="13"/>
      <c r="C1119" s="13"/>
      <c r="D1119" s="13"/>
      <c r="E1119" s="39" t="s">
        <v>6819</v>
      </c>
      <c r="F1119" s="39" t="s">
        <v>6913</v>
      </c>
      <c r="G1119" s="13"/>
      <c r="H1119" s="13"/>
      <c r="I1119" s="39" t="s">
        <v>6914</v>
      </c>
      <c r="J1119" s="39" t="s">
        <v>4252</v>
      </c>
      <c r="K1119" s="13"/>
      <c r="L1119" s="13"/>
    </row>
    <row r="1120" spans="1:12">
      <c r="A1120" s="36"/>
      <c r="B1120" s="13"/>
      <c r="C1120" s="13"/>
      <c r="D1120" s="13"/>
      <c r="E1120" s="39" t="s">
        <v>2626</v>
      </c>
      <c r="F1120" s="39" t="s">
        <v>6915</v>
      </c>
      <c r="G1120" s="13"/>
      <c r="H1120" s="13"/>
      <c r="I1120" s="39" t="s">
        <v>6916</v>
      </c>
      <c r="J1120" s="39" t="s">
        <v>4260</v>
      </c>
      <c r="K1120" s="13"/>
      <c r="L1120" s="13"/>
    </row>
    <row r="1121" spans="1:12">
      <c r="A1121" s="39" t="s">
        <v>6917</v>
      </c>
      <c r="B1121" s="13"/>
      <c r="C1121" s="13"/>
      <c r="D1121" s="13"/>
      <c r="E1121" s="39" t="s">
        <v>2596</v>
      </c>
      <c r="F1121" s="13"/>
      <c r="G1121" s="13"/>
      <c r="H1121" s="13"/>
      <c r="I1121" s="39" t="s">
        <v>6918</v>
      </c>
      <c r="J1121" s="39"/>
      <c r="K1121" s="13"/>
      <c r="L1121" s="13"/>
    </row>
    <row r="1122" spans="1:12">
      <c r="A1122" s="39" t="s">
        <v>6919</v>
      </c>
      <c r="B1122" s="13"/>
      <c r="C1122" s="13"/>
      <c r="D1122" s="13"/>
      <c r="E1122" s="39"/>
      <c r="F1122" s="13"/>
      <c r="G1122" s="13"/>
      <c r="H1122" s="13"/>
      <c r="I1122" s="39" t="s">
        <v>6920</v>
      </c>
      <c r="J1122" s="39" t="s">
        <v>4271</v>
      </c>
      <c r="K1122" s="13"/>
      <c r="L1122" s="13"/>
    </row>
    <row r="1123" spans="1:12">
      <c r="A1123" s="39" t="s">
        <v>2424</v>
      </c>
      <c r="B1123" s="13"/>
      <c r="C1123" s="13"/>
      <c r="D1123" s="13"/>
      <c r="E1123" s="39" t="s">
        <v>4335</v>
      </c>
      <c r="F1123" s="13"/>
      <c r="G1123" s="13"/>
      <c r="H1123" s="13"/>
      <c r="I1123" s="39" t="s">
        <v>6921</v>
      </c>
      <c r="J1123" s="39"/>
      <c r="K1123" s="13"/>
      <c r="L1123" s="13"/>
    </row>
    <row r="1124" spans="1:12">
      <c r="A1124" s="39" t="s">
        <v>6922</v>
      </c>
      <c r="B1124" s="13"/>
      <c r="C1124" s="13"/>
      <c r="D1124" s="13"/>
      <c r="E1124" s="39" t="s">
        <v>2265</v>
      </c>
      <c r="F1124" s="13"/>
      <c r="G1124" s="13"/>
      <c r="H1124" s="13"/>
      <c r="I1124" s="39" t="s">
        <v>6923</v>
      </c>
      <c r="J1124" s="39" t="s">
        <v>6924</v>
      </c>
      <c r="K1124" s="13"/>
      <c r="L1124" s="13"/>
    </row>
    <row r="1125" spans="1:12">
      <c r="A1125" s="39" t="s">
        <v>2596</v>
      </c>
      <c r="B1125" s="13"/>
      <c r="C1125" s="13"/>
      <c r="D1125" s="13"/>
      <c r="E1125" s="39"/>
      <c r="F1125" s="13"/>
      <c r="G1125" s="13"/>
      <c r="H1125" s="13"/>
      <c r="I1125" s="39" t="s">
        <v>6925</v>
      </c>
      <c r="J1125" s="39" t="s">
        <v>6926</v>
      </c>
      <c r="K1125" s="13"/>
      <c r="L1125" s="13"/>
    </row>
    <row r="1126" spans="1:12">
      <c r="A1126" s="36"/>
      <c r="B1126" s="13"/>
      <c r="C1126" s="13"/>
      <c r="D1126" s="13"/>
      <c r="E1126" s="39"/>
      <c r="F1126" s="13"/>
      <c r="G1126" s="13"/>
      <c r="H1126" s="13"/>
      <c r="I1126" s="39" t="s">
        <v>6927</v>
      </c>
      <c r="J1126" s="39" t="s">
        <v>6928</v>
      </c>
      <c r="K1126" s="13"/>
      <c r="L1126" s="13"/>
    </row>
    <row r="1127" spans="1:12">
      <c r="A1127" s="39" t="s">
        <v>6929</v>
      </c>
      <c r="B1127" s="13"/>
      <c r="C1127" s="13"/>
      <c r="D1127" s="13"/>
      <c r="E1127" s="39" t="s">
        <v>4350</v>
      </c>
      <c r="F1127" s="13"/>
      <c r="G1127" s="13"/>
      <c r="H1127" s="13"/>
      <c r="I1127" s="39" t="s">
        <v>6930</v>
      </c>
      <c r="J1127" s="39" t="s">
        <v>6931</v>
      </c>
      <c r="K1127" s="13"/>
      <c r="L1127" s="13"/>
    </row>
    <row r="1128" spans="1:12">
      <c r="A1128" s="39" t="s">
        <v>2265</v>
      </c>
      <c r="B1128" s="13"/>
      <c r="C1128" s="13"/>
      <c r="D1128" s="13"/>
      <c r="E1128" s="39" t="s">
        <v>1280</v>
      </c>
      <c r="F1128" s="13"/>
      <c r="G1128" s="13"/>
      <c r="H1128" s="13"/>
      <c r="I1128" s="39" t="s">
        <v>6932</v>
      </c>
      <c r="J1128" s="39" t="s">
        <v>6933</v>
      </c>
      <c r="K1128" s="13"/>
      <c r="L1128" s="13"/>
    </row>
    <row r="1129" spans="1:12">
      <c r="A1129" s="39" t="s">
        <v>1278</v>
      </c>
      <c r="B1129" s="13"/>
      <c r="C1129" s="13"/>
      <c r="D1129" s="13"/>
      <c r="E1129" s="39" t="s">
        <v>6934</v>
      </c>
      <c r="F1129" s="13"/>
      <c r="G1129" s="13"/>
      <c r="H1129" s="13"/>
      <c r="I1129" s="39" t="s">
        <v>6935</v>
      </c>
      <c r="J1129" s="39"/>
      <c r="K1129" s="13"/>
      <c r="L1129" s="13"/>
    </row>
    <row r="1130" spans="1:12">
      <c r="A1130" s="39" t="s">
        <v>6936</v>
      </c>
      <c r="B1130" s="13"/>
      <c r="C1130" s="13"/>
      <c r="D1130" s="13"/>
      <c r="E1130" s="39" t="s">
        <v>1280</v>
      </c>
      <c r="F1130" s="13"/>
      <c r="G1130" s="13"/>
      <c r="H1130" s="13"/>
      <c r="I1130" s="39" t="s">
        <v>6937</v>
      </c>
      <c r="J1130" s="39" t="s">
        <v>6938</v>
      </c>
      <c r="K1130" s="13"/>
      <c r="L1130" s="13"/>
    </row>
    <row r="1131" spans="1:12">
      <c r="A1131" s="36"/>
      <c r="B1131" s="13"/>
      <c r="C1131" s="13"/>
      <c r="D1131" s="13"/>
      <c r="E1131" s="39" t="s">
        <v>4378</v>
      </c>
      <c r="F1131" s="13"/>
      <c r="G1131" s="13"/>
      <c r="H1131" s="13"/>
      <c r="I1131" s="39" t="s">
        <v>6939</v>
      </c>
      <c r="J1131" s="39" t="s">
        <v>6879</v>
      </c>
      <c r="K1131" s="13"/>
      <c r="L1131" s="13"/>
    </row>
    <row r="1132" spans="1:12">
      <c r="A1132" s="39" t="s">
        <v>4718</v>
      </c>
      <c r="B1132" s="13"/>
      <c r="C1132" s="13"/>
      <c r="D1132" s="13"/>
      <c r="E1132" s="39" t="s">
        <v>6853</v>
      </c>
      <c r="F1132" s="13"/>
      <c r="G1132" s="13"/>
      <c r="H1132" s="13"/>
      <c r="I1132" s="39" t="s">
        <v>6940</v>
      </c>
      <c r="J1132" s="39" t="s">
        <v>6941</v>
      </c>
      <c r="K1132" s="13"/>
      <c r="L1132" s="13"/>
    </row>
    <row r="1133" spans="1:12">
      <c r="A1133" s="39" t="s">
        <v>4726</v>
      </c>
      <c r="B1133" s="13"/>
      <c r="C1133" s="13"/>
      <c r="D1133" s="13"/>
      <c r="E1133" s="39"/>
      <c r="F1133" s="13"/>
      <c r="G1133" s="13"/>
      <c r="H1133" s="13"/>
      <c r="I1133" s="39" t="s">
        <v>6942</v>
      </c>
      <c r="J1133" s="39" t="s">
        <v>6943</v>
      </c>
      <c r="K1133" s="13"/>
      <c r="L1133" s="13"/>
    </row>
    <row r="1134" spans="1:12">
      <c r="A1134" s="39" t="s">
        <v>6944</v>
      </c>
      <c r="B1134" s="13"/>
      <c r="C1134" s="13"/>
      <c r="D1134" s="13"/>
      <c r="E1134" s="39" t="s">
        <v>6857</v>
      </c>
      <c r="F1134" s="13"/>
      <c r="G1134" s="13"/>
      <c r="H1134" s="13"/>
      <c r="I1134" s="39" t="s">
        <v>6945</v>
      </c>
      <c r="J1134" s="39" t="s">
        <v>6946</v>
      </c>
      <c r="K1134" s="13"/>
      <c r="L1134" s="13"/>
    </row>
    <row r="1135" spans="1:12">
      <c r="A1135" s="36"/>
      <c r="B1135" s="13"/>
      <c r="C1135" s="13"/>
      <c r="D1135" s="13"/>
      <c r="E1135" s="39"/>
      <c r="F1135" s="13"/>
      <c r="G1135" s="13"/>
      <c r="H1135" s="13"/>
      <c r="I1135" s="39" t="s">
        <v>6947</v>
      </c>
      <c r="J1135" s="39" t="s">
        <v>6948</v>
      </c>
      <c r="K1135" s="13"/>
      <c r="L1135" s="13"/>
    </row>
    <row r="1136" spans="1:12">
      <c r="A1136" s="39" t="s">
        <v>6949</v>
      </c>
      <c r="B1136" s="13"/>
      <c r="C1136" s="13"/>
      <c r="D1136" s="13"/>
      <c r="E1136" s="39" t="s">
        <v>2879</v>
      </c>
      <c r="F1136" s="13"/>
      <c r="G1136" s="13"/>
      <c r="H1136" s="13"/>
      <c r="I1136" s="39" t="s">
        <v>6950</v>
      </c>
      <c r="J1136" s="39" t="s">
        <v>6951</v>
      </c>
      <c r="K1136" s="13"/>
      <c r="L1136" s="13"/>
    </row>
    <row r="1137" spans="1:12">
      <c r="A1137" s="39" t="s">
        <v>6952</v>
      </c>
      <c r="B1137" s="13"/>
      <c r="C1137" s="13"/>
      <c r="D1137" s="13"/>
      <c r="E1137" s="39" t="s">
        <v>4401</v>
      </c>
      <c r="F1137" s="13"/>
      <c r="G1137" s="13"/>
      <c r="H1137" s="13"/>
      <c r="I1137" s="39" t="s">
        <v>6953</v>
      </c>
      <c r="J1137" s="39" t="s">
        <v>6954</v>
      </c>
      <c r="K1137" s="13"/>
      <c r="L1137" s="13"/>
    </row>
    <row r="1138" spans="1:12">
      <c r="A1138" s="39" t="s">
        <v>6955</v>
      </c>
      <c r="B1138" s="13"/>
      <c r="C1138" s="13"/>
      <c r="D1138" s="13"/>
      <c r="E1138" s="39" t="s">
        <v>2855</v>
      </c>
      <c r="F1138" s="13"/>
      <c r="G1138" s="13"/>
      <c r="H1138" s="13"/>
      <c r="I1138" s="39" t="s">
        <v>6956</v>
      </c>
      <c r="J1138" s="39" t="s">
        <v>6957</v>
      </c>
      <c r="K1138" s="13"/>
      <c r="L1138" s="13"/>
    </row>
    <row r="1139" spans="1:12">
      <c r="A1139" s="39" t="s">
        <v>6958</v>
      </c>
      <c r="B1139" s="13"/>
      <c r="C1139" s="13"/>
      <c r="D1139" s="13"/>
      <c r="E1139" s="39" t="s">
        <v>2424</v>
      </c>
      <c r="F1139" s="13"/>
      <c r="G1139" s="13"/>
      <c r="H1139" s="13"/>
      <c r="I1139" s="39" t="s">
        <v>6959</v>
      </c>
      <c r="J1139" s="39" t="s">
        <v>6960</v>
      </c>
      <c r="K1139" s="13"/>
      <c r="L1139" s="13"/>
    </row>
    <row r="1140" spans="1:12">
      <c r="A1140" s="39" t="s">
        <v>6961</v>
      </c>
      <c r="B1140" s="13"/>
      <c r="C1140" s="13"/>
      <c r="D1140" s="13"/>
      <c r="E1140" s="39" t="s">
        <v>4419</v>
      </c>
      <c r="F1140" s="13"/>
      <c r="G1140" s="13"/>
      <c r="H1140" s="13"/>
      <c r="I1140" s="39" t="s">
        <v>6962</v>
      </c>
      <c r="J1140" s="39" t="s">
        <v>2424</v>
      </c>
      <c r="K1140" s="13"/>
      <c r="L1140" s="13"/>
    </row>
    <row r="1141" spans="1:12">
      <c r="A1141" s="39" t="s">
        <v>6963</v>
      </c>
      <c r="B1141" s="13"/>
      <c r="C1141" s="13"/>
      <c r="D1141" s="13"/>
      <c r="E1141" s="39" t="s">
        <v>2596</v>
      </c>
      <c r="F1141" s="13"/>
      <c r="G1141" s="13"/>
      <c r="H1141" s="13"/>
      <c r="I1141" s="39" t="s">
        <v>6964</v>
      </c>
      <c r="J1141" s="39" t="s">
        <v>6965</v>
      </c>
      <c r="K1141" s="13"/>
      <c r="L1141" s="13"/>
    </row>
    <row r="1142" spans="1:12">
      <c r="A1142" s="39" t="s">
        <v>6966</v>
      </c>
      <c r="B1142" s="13"/>
      <c r="C1142" s="13"/>
      <c r="D1142" s="13"/>
      <c r="E1142" s="39"/>
      <c r="F1142" s="13"/>
      <c r="G1142" s="13"/>
      <c r="H1142" s="13"/>
      <c r="I1142" s="39" t="s">
        <v>6967</v>
      </c>
      <c r="J1142" s="39" t="s">
        <v>6957</v>
      </c>
      <c r="K1142" s="13"/>
      <c r="L1142" s="13"/>
    </row>
    <row r="1143" spans="1:12">
      <c r="A1143" s="39" t="s">
        <v>1548</v>
      </c>
      <c r="B1143" s="13"/>
      <c r="C1143" s="13"/>
      <c r="D1143" s="13"/>
      <c r="E1143" s="39" t="s">
        <v>4431</v>
      </c>
      <c r="F1143" s="13"/>
      <c r="G1143" s="13"/>
      <c r="H1143" s="13"/>
      <c r="I1143" s="39" t="s">
        <v>6968</v>
      </c>
      <c r="J1143" s="39" t="s">
        <v>6969</v>
      </c>
      <c r="K1143" s="13"/>
      <c r="L1143" s="13"/>
    </row>
    <row r="1144" spans="1:12">
      <c r="A1144" s="39" t="s">
        <v>6006</v>
      </c>
      <c r="B1144" s="13"/>
      <c r="C1144" s="13"/>
      <c r="D1144" s="13"/>
      <c r="E1144" s="39" t="s">
        <v>2265</v>
      </c>
      <c r="F1144" s="13"/>
      <c r="G1144" s="13"/>
      <c r="H1144" s="13"/>
      <c r="I1144" s="39" t="s">
        <v>6970</v>
      </c>
      <c r="J1144" s="39" t="s">
        <v>2357</v>
      </c>
      <c r="K1144" s="13"/>
      <c r="L1144" s="13"/>
    </row>
    <row r="1145" spans="1:12">
      <c r="A1145" s="36"/>
      <c r="B1145" s="13"/>
      <c r="C1145" s="13"/>
      <c r="D1145" s="13"/>
      <c r="E1145" s="39"/>
      <c r="F1145" s="13"/>
      <c r="G1145" s="13"/>
      <c r="H1145" s="13"/>
      <c r="I1145" s="39" t="s">
        <v>6971</v>
      </c>
      <c r="J1145" s="39" t="s">
        <v>6972</v>
      </c>
      <c r="K1145" s="13"/>
      <c r="L1145" s="13"/>
    </row>
    <row r="1146" spans="1:12">
      <c r="A1146" s="39" t="s">
        <v>6014</v>
      </c>
      <c r="B1146" s="13"/>
      <c r="C1146" s="13"/>
      <c r="D1146" s="13"/>
      <c r="E1146" s="39"/>
      <c r="F1146" s="13"/>
      <c r="G1146" s="13"/>
      <c r="H1146" s="13"/>
      <c r="I1146" s="39" t="s">
        <v>4784</v>
      </c>
      <c r="J1146" s="39" t="s">
        <v>6973</v>
      </c>
      <c r="K1146" s="13"/>
      <c r="L1146" s="13"/>
    </row>
    <row r="1147" spans="1:12">
      <c r="A1147" s="39" t="s">
        <v>6017</v>
      </c>
      <c r="B1147" s="13"/>
      <c r="C1147" s="13"/>
      <c r="D1147" s="13"/>
      <c r="E1147" s="39" t="s">
        <v>6974</v>
      </c>
      <c r="F1147" s="13"/>
      <c r="G1147" s="13"/>
      <c r="H1147" s="13"/>
      <c r="I1147" s="39" t="s">
        <v>6975</v>
      </c>
      <c r="J1147" s="39" t="s">
        <v>5750</v>
      </c>
      <c r="K1147" s="13"/>
      <c r="L1147" s="13"/>
    </row>
    <row r="1148" spans="1:12">
      <c r="A1148" s="39" t="s">
        <v>6020</v>
      </c>
      <c r="B1148" s="13"/>
      <c r="C1148" s="13"/>
      <c r="D1148" s="13"/>
      <c r="E1148" s="39" t="s">
        <v>1280</v>
      </c>
      <c r="F1148" s="13"/>
      <c r="G1148" s="13"/>
      <c r="H1148" s="13"/>
      <c r="I1148" s="39" t="s">
        <v>6976</v>
      </c>
      <c r="J1148" s="39"/>
      <c r="K1148" s="13"/>
      <c r="L1148" s="13"/>
    </row>
    <row r="1149" spans="1:12">
      <c r="A1149" s="39" t="s">
        <v>6025</v>
      </c>
      <c r="B1149" s="13"/>
      <c r="C1149" s="13"/>
      <c r="D1149" s="13"/>
      <c r="E1149" s="39" t="s">
        <v>6977</v>
      </c>
      <c r="F1149" s="13"/>
      <c r="G1149" s="13"/>
      <c r="H1149" s="13"/>
      <c r="I1149" s="39" t="s">
        <v>6978</v>
      </c>
      <c r="J1149" s="39" t="s">
        <v>2237</v>
      </c>
      <c r="K1149" s="13"/>
      <c r="L1149" s="13"/>
    </row>
    <row r="1150" spans="1:12">
      <c r="A1150" s="39" t="s">
        <v>6979</v>
      </c>
      <c r="B1150" s="13"/>
      <c r="C1150" s="13"/>
      <c r="D1150" s="13"/>
      <c r="E1150" s="39" t="s">
        <v>1280</v>
      </c>
      <c r="F1150" s="13"/>
      <c r="G1150" s="13"/>
      <c r="H1150" s="13"/>
      <c r="I1150" s="39" t="s">
        <v>6980</v>
      </c>
      <c r="J1150" s="39" t="s">
        <v>4411</v>
      </c>
      <c r="K1150" s="13"/>
      <c r="L1150" s="13"/>
    </row>
    <row r="1151" spans="1:12">
      <c r="A1151" s="36"/>
      <c r="B1151" s="13"/>
      <c r="C1151" s="13"/>
      <c r="D1151" s="13"/>
      <c r="E1151" s="39" t="s">
        <v>6981</v>
      </c>
      <c r="F1151" s="13"/>
      <c r="G1151" s="13"/>
      <c r="H1151" s="13"/>
      <c r="I1151" s="39" t="s">
        <v>6982</v>
      </c>
      <c r="J1151" s="39" t="s">
        <v>2265</v>
      </c>
      <c r="K1151" s="13"/>
      <c r="L1151" s="13"/>
    </row>
    <row r="1152" spans="1:12">
      <c r="A1152" s="39" t="s">
        <v>6983</v>
      </c>
      <c r="B1152" s="13"/>
      <c r="C1152" s="13"/>
      <c r="D1152" s="13"/>
      <c r="E1152" s="39" t="s">
        <v>6984</v>
      </c>
      <c r="F1152" s="13"/>
      <c r="G1152" s="13"/>
      <c r="H1152" s="13"/>
      <c r="I1152" s="39" t="s">
        <v>2424</v>
      </c>
      <c r="J1152" s="39" t="s">
        <v>1259</v>
      </c>
      <c r="K1152" s="13"/>
      <c r="L1152" s="13"/>
    </row>
    <row r="1153" spans="1:12">
      <c r="A1153" s="39" t="s">
        <v>6985</v>
      </c>
      <c r="B1153" s="13"/>
      <c r="C1153" s="13"/>
      <c r="D1153" s="13"/>
      <c r="E1153" s="39" t="s">
        <v>6986</v>
      </c>
      <c r="F1153" s="13"/>
      <c r="G1153" s="13"/>
      <c r="H1153" s="13"/>
      <c r="I1153" s="39" t="s">
        <v>6987</v>
      </c>
      <c r="J1153" s="39" t="s">
        <v>6988</v>
      </c>
      <c r="K1153" s="13"/>
      <c r="L1153" s="13"/>
    </row>
    <row r="1154" spans="1:12">
      <c r="A1154" s="39" t="s">
        <v>6044</v>
      </c>
      <c r="B1154" s="13"/>
      <c r="C1154" s="13"/>
      <c r="D1154" s="13"/>
      <c r="E1154" s="39" t="s">
        <v>6989</v>
      </c>
      <c r="F1154" s="13"/>
      <c r="G1154" s="13"/>
      <c r="H1154" s="13"/>
      <c r="I1154" s="39" t="s">
        <v>6990</v>
      </c>
      <c r="J1154" s="39" t="s">
        <v>3828</v>
      </c>
      <c r="K1154" s="13"/>
      <c r="L1154" s="13"/>
    </row>
    <row r="1155" spans="1:12">
      <c r="A1155" s="39" t="s">
        <v>4232</v>
      </c>
      <c r="B1155" s="13"/>
      <c r="C1155" s="13"/>
      <c r="D1155" s="13"/>
      <c r="E1155" s="39" t="s">
        <v>6991</v>
      </c>
      <c r="F1155" s="13"/>
      <c r="G1155" s="13"/>
      <c r="H1155" s="13"/>
      <c r="I1155" s="39" t="s">
        <v>6980</v>
      </c>
      <c r="J1155" s="39" t="s">
        <v>3901</v>
      </c>
      <c r="K1155" s="13"/>
      <c r="L1155" s="13"/>
    </row>
    <row r="1156" spans="1:12">
      <c r="A1156" s="36"/>
      <c r="B1156" s="13"/>
      <c r="C1156" s="13"/>
      <c r="D1156" s="13"/>
      <c r="E1156" s="39" t="s">
        <v>6992</v>
      </c>
      <c r="F1156" s="13"/>
      <c r="G1156" s="13"/>
      <c r="H1156" s="13"/>
      <c r="I1156" s="39" t="s">
        <v>6982</v>
      </c>
      <c r="J1156" s="39" t="s">
        <v>6993</v>
      </c>
      <c r="K1156" s="13"/>
      <c r="L1156" s="13"/>
    </row>
    <row r="1157" spans="1:12">
      <c r="A1157" s="39" t="s">
        <v>4999</v>
      </c>
      <c r="B1157" s="13"/>
      <c r="C1157" s="13"/>
      <c r="D1157" s="13"/>
      <c r="E1157" s="39" t="s">
        <v>6994</v>
      </c>
      <c r="F1157" s="13"/>
      <c r="G1157" s="13"/>
      <c r="H1157" s="13"/>
      <c r="I1157" s="39" t="s">
        <v>2357</v>
      </c>
      <c r="J1157" s="39" t="s">
        <v>6749</v>
      </c>
      <c r="K1157" s="13"/>
      <c r="L1157" s="13"/>
    </row>
    <row r="1158" spans="1:12">
      <c r="A1158" s="39" t="s">
        <v>6944</v>
      </c>
      <c r="B1158" s="13"/>
      <c r="C1158" s="13"/>
      <c r="D1158" s="13"/>
      <c r="E1158" s="39" t="s">
        <v>6995</v>
      </c>
      <c r="F1158" s="13"/>
      <c r="G1158" s="13"/>
      <c r="H1158" s="13"/>
      <c r="I1158" s="39"/>
      <c r="J1158" s="39" t="s">
        <v>6748</v>
      </c>
      <c r="K1158" s="13"/>
      <c r="L1158" s="13"/>
    </row>
    <row r="1159" spans="1:12">
      <c r="A1159" s="39" t="s">
        <v>6949</v>
      </c>
      <c r="B1159" s="13"/>
      <c r="C1159" s="13"/>
      <c r="D1159" s="13"/>
      <c r="E1159" s="39"/>
      <c r="F1159" s="13"/>
      <c r="G1159" s="13"/>
      <c r="H1159" s="13"/>
      <c r="I1159" s="39" t="s">
        <v>6996</v>
      </c>
      <c r="J1159" s="39" t="s">
        <v>2357</v>
      </c>
      <c r="K1159" s="13"/>
      <c r="L1159" s="13"/>
    </row>
    <row r="1160" spans="1:12">
      <c r="A1160" s="39" t="s">
        <v>6952</v>
      </c>
      <c r="B1160" s="13"/>
      <c r="C1160" s="13"/>
      <c r="D1160" s="13"/>
      <c r="E1160" s="39" t="s">
        <v>6997</v>
      </c>
      <c r="F1160" s="13"/>
      <c r="G1160" s="13"/>
      <c r="H1160" s="13"/>
      <c r="I1160" s="39"/>
      <c r="J1160" s="39"/>
      <c r="K1160" s="13"/>
      <c r="L1160" s="13"/>
    </row>
    <row r="1161" spans="1:12">
      <c r="A1161" s="39" t="s">
        <v>6955</v>
      </c>
      <c r="B1161" s="13"/>
      <c r="C1161" s="13"/>
      <c r="D1161" s="13"/>
      <c r="E1161" s="39" t="s">
        <v>6998</v>
      </c>
      <c r="F1161" s="13"/>
      <c r="G1161" s="13"/>
      <c r="H1161" s="13"/>
      <c r="I1161" s="39" t="s">
        <v>6999</v>
      </c>
      <c r="J1161" s="39" t="s">
        <v>6757</v>
      </c>
      <c r="K1161" s="13"/>
      <c r="L1161" s="13"/>
    </row>
    <row r="1162" spans="1:12">
      <c r="A1162" s="39" t="s">
        <v>6958</v>
      </c>
      <c r="B1162" s="13"/>
      <c r="C1162" s="13"/>
      <c r="D1162" s="13"/>
      <c r="E1162" s="39" t="s">
        <v>7000</v>
      </c>
      <c r="F1162" s="13"/>
      <c r="G1162" s="13"/>
      <c r="H1162" s="13"/>
      <c r="I1162" s="39" t="s">
        <v>7001</v>
      </c>
      <c r="J1162" s="39" t="s">
        <v>7002</v>
      </c>
      <c r="K1162" s="13"/>
      <c r="L1162" s="13"/>
    </row>
    <row r="1163" spans="1:12">
      <c r="A1163" s="39" t="s">
        <v>6961</v>
      </c>
      <c r="B1163" s="13"/>
      <c r="C1163" s="13"/>
      <c r="D1163" s="13"/>
      <c r="E1163" s="39" t="s">
        <v>7003</v>
      </c>
      <c r="F1163" s="13"/>
      <c r="G1163" s="13"/>
      <c r="H1163" s="13"/>
      <c r="I1163" s="39" t="s">
        <v>7004</v>
      </c>
      <c r="J1163" s="39" t="s">
        <v>6765</v>
      </c>
      <c r="K1163" s="13"/>
      <c r="L1163" s="13"/>
    </row>
    <row r="1164" spans="1:12">
      <c r="A1164" s="39" t="s">
        <v>6963</v>
      </c>
      <c r="B1164" s="13"/>
      <c r="C1164" s="13"/>
      <c r="D1164" s="13"/>
      <c r="E1164" s="39"/>
      <c r="F1164" s="13"/>
      <c r="G1164" s="13"/>
      <c r="H1164" s="13"/>
      <c r="I1164" s="39" t="s">
        <v>7005</v>
      </c>
      <c r="J1164" s="39" t="s">
        <v>6748</v>
      </c>
      <c r="K1164" s="13"/>
      <c r="L1164" s="13"/>
    </row>
    <row r="1165" spans="1:12">
      <c r="A1165" s="39" t="s">
        <v>6966</v>
      </c>
      <c r="B1165" s="13"/>
      <c r="C1165" s="13"/>
      <c r="D1165" s="13"/>
      <c r="E1165" s="39" t="s">
        <v>7006</v>
      </c>
      <c r="F1165" s="13"/>
      <c r="G1165" s="13"/>
      <c r="H1165" s="13"/>
      <c r="I1165" s="39" t="s">
        <v>7007</v>
      </c>
      <c r="J1165" s="39" t="s">
        <v>2357</v>
      </c>
      <c r="K1165" s="13"/>
      <c r="L1165" s="13"/>
    </row>
    <row r="1166" spans="1:12">
      <c r="A1166" s="39" t="s">
        <v>1548</v>
      </c>
      <c r="B1166" s="13"/>
      <c r="C1166" s="13"/>
      <c r="D1166" s="13"/>
      <c r="E1166" s="39" t="s">
        <v>7008</v>
      </c>
      <c r="F1166" s="13"/>
      <c r="G1166" s="13"/>
      <c r="H1166" s="13"/>
      <c r="I1166" s="39" t="s">
        <v>5750</v>
      </c>
      <c r="J1166" s="39"/>
      <c r="K1166" s="13"/>
      <c r="L1166" s="13"/>
    </row>
    <row r="1167" spans="1:12">
      <c r="A1167" s="39" t="s">
        <v>6006</v>
      </c>
      <c r="B1167" s="13"/>
      <c r="C1167" s="13"/>
      <c r="D1167" s="13"/>
      <c r="E1167" s="39" t="s">
        <v>7009</v>
      </c>
      <c r="F1167" s="13"/>
      <c r="G1167" s="13"/>
      <c r="H1167" s="13"/>
      <c r="I1167" s="39" t="s">
        <v>2237</v>
      </c>
      <c r="J1167" s="39" t="s">
        <v>7010</v>
      </c>
      <c r="K1167" s="13"/>
      <c r="L1167" s="13"/>
    </row>
    <row r="1168" spans="1:12">
      <c r="A1168" s="36"/>
      <c r="B1168" s="13"/>
      <c r="C1168" s="13"/>
      <c r="D1168" s="13"/>
      <c r="E1168" s="39" t="s">
        <v>7011</v>
      </c>
      <c r="F1168" s="13"/>
      <c r="G1168" s="13"/>
      <c r="H1168" s="13"/>
      <c r="I1168" s="39" t="s">
        <v>4411</v>
      </c>
      <c r="J1168" s="39" t="s">
        <v>7012</v>
      </c>
      <c r="K1168" s="13"/>
      <c r="L1168" s="13"/>
    </row>
    <row r="1169" spans="1:12">
      <c r="A1169" s="39" t="s">
        <v>7013</v>
      </c>
      <c r="B1169" s="13"/>
      <c r="C1169" s="13"/>
      <c r="D1169" s="13"/>
      <c r="E1169" s="39" t="s">
        <v>7014</v>
      </c>
      <c r="F1169" s="13"/>
      <c r="G1169" s="13"/>
      <c r="H1169" s="13"/>
      <c r="I1169" s="39" t="s">
        <v>2265</v>
      </c>
      <c r="J1169" s="39" t="s">
        <v>6834</v>
      </c>
      <c r="K1169" s="13"/>
      <c r="L1169" s="13"/>
    </row>
    <row r="1170" spans="1:12">
      <c r="A1170" s="39" t="s">
        <v>7015</v>
      </c>
      <c r="B1170" s="13"/>
      <c r="C1170" s="13"/>
      <c r="D1170" s="13"/>
      <c r="E1170" s="39" t="s">
        <v>7016</v>
      </c>
      <c r="F1170" s="13"/>
      <c r="G1170" s="13"/>
      <c r="H1170" s="13"/>
      <c r="I1170" s="39" t="s">
        <v>1259</v>
      </c>
      <c r="J1170" s="39" t="s">
        <v>6837</v>
      </c>
      <c r="K1170" s="13"/>
      <c r="L1170" s="13"/>
    </row>
    <row r="1171" spans="1:12">
      <c r="A1171" s="39" t="s">
        <v>7017</v>
      </c>
      <c r="B1171" s="13"/>
      <c r="C1171" s="13"/>
      <c r="D1171" s="13"/>
      <c r="E1171" s="39" t="s">
        <v>7018</v>
      </c>
      <c r="F1171" s="13"/>
      <c r="G1171" s="13"/>
      <c r="H1171" s="13"/>
      <c r="I1171" s="39" t="s">
        <v>6988</v>
      </c>
      <c r="J1171" s="39" t="s">
        <v>6840</v>
      </c>
      <c r="K1171" s="13"/>
      <c r="L1171" s="13"/>
    </row>
    <row r="1172" spans="1:12">
      <c r="A1172" s="39" t="s">
        <v>7019</v>
      </c>
      <c r="B1172" s="13"/>
      <c r="C1172" s="13"/>
      <c r="D1172" s="13"/>
      <c r="E1172" s="39" t="s">
        <v>7020</v>
      </c>
      <c r="F1172" s="13"/>
      <c r="G1172" s="13"/>
      <c r="H1172" s="13"/>
      <c r="I1172" s="39" t="s">
        <v>3828</v>
      </c>
      <c r="J1172" s="39"/>
      <c r="K1172" s="13"/>
      <c r="L1172" s="13"/>
    </row>
    <row r="1173" spans="1:12">
      <c r="A1173" s="39" t="s">
        <v>6979</v>
      </c>
      <c r="B1173" s="13"/>
      <c r="C1173" s="13"/>
      <c r="D1173" s="13"/>
      <c r="E1173" s="39" t="s">
        <v>7021</v>
      </c>
      <c r="F1173" s="13"/>
      <c r="G1173" s="13"/>
      <c r="H1173" s="13"/>
      <c r="I1173" s="39" t="s">
        <v>3901</v>
      </c>
      <c r="J1173" s="39" t="s">
        <v>3937</v>
      </c>
      <c r="K1173" s="13"/>
      <c r="L1173" s="13"/>
    </row>
    <row r="1174" spans="1:12">
      <c r="A1174" s="36"/>
      <c r="B1174" s="13"/>
      <c r="C1174" s="13"/>
      <c r="D1174" s="13"/>
      <c r="E1174" s="39" t="s">
        <v>7022</v>
      </c>
      <c r="F1174" s="13"/>
      <c r="G1174" s="13"/>
      <c r="H1174" s="13"/>
      <c r="I1174" s="39" t="s">
        <v>6993</v>
      </c>
      <c r="J1174" s="39" t="s">
        <v>7023</v>
      </c>
      <c r="K1174" s="13"/>
      <c r="L1174" s="13"/>
    </row>
    <row r="1175" spans="1:12">
      <c r="A1175" s="39" t="s">
        <v>6983</v>
      </c>
      <c r="B1175" s="13"/>
      <c r="C1175" s="13"/>
      <c r="D1175" s="13"/>
      <c r="E1175" s="39" t="s">
        <v>7024</v>
      </c>
      <c r="F1175" s="13"/>
      <c r="G1175" s="13"/>
      <c r="H1175" s="13"/>
      <c r="I1175" s="39" t="s">
        <v>3846</v>
      </c>
      <c r="J1175" s="39" t="s">
        <v>6789</v>
      </c>
      <c r="K1175" s="13"/>
      <c r="L1175" s="13"/>
    </row>
    <row r="1176" spans="1:12">
      <c r="A1176" s="39" t="s">
        <v>6985</v>
      </c>
      <c r="B1176" s="13"/>
      <c r="C1176" s="13"/>
      <c r="D1176" s="13"/>
      <c r="E1176" s="39" t="s">
        <v>7025</v>
      </c>
      <c r="F1176" s="13"/>
      <c r="G1176" s="13"/>
      <c r="H1176" s="13"/>
      <c r="I1176" s="39" t="s">
        <v>6748</v>
      </c>
      <c r="J1176" s="39" t="s">
        <v>6748</v>
      </c>
      <c r="K1176" s="13"/>
      <c r="L1176" s="13"/>
    </row>
    <row r="1177" spans="1:12">
      <c r="A1177" s="39" t="s">
        <v>6044</v>
      </c>
      <c r="B1177" s="13"/>
      <c r="C1177" s="13"/>
      <c r="D1177" s="13"/>
      <c r="E1177" s="39" t="s">
        <v>7026</v>
      </c>
      <c r="F1177" s="13"/>
      <c r="G1177" s="13"/>
      <c r="H1177" s="13"/>
      <c r="I1177" s="39" t="s">
        <v>2357</v>
      </c>
      <c r="J1177" s="39" t="s">
        <v>2357</v>
      </c>
      <c r="K1177" s="13"/>
      <c r="L1177" s="13"/>
    </row>
    <row r="1178" spans="1:12">
      <c r="A1178" s="39" t="s">
        <v>4232</v>
      </c>
      <c r="B1178" s="13"/>
      <c r="C1178" s="13"/>
      <c r="D1178" s="13"/>
      <c r="E1178" s="39" t="s">
        <v>7027</v>
      </c>
      <c r="F1178" s="13"/>
      <c r="G1178" s="13"/>
      <c r="H1178" s="13"/>
      <c r="I1178" s="39"/>
      <c r="J1178" s="39"/>
      <c r="K1178" s="13"/>
      <c r="L1178" s="13"/>
    </row>
    <row r="1179" spans="1:12">
      <c r="A1179" s="39" t="s">
        <v>3054</v>
      </c>
      <c r="B1179" s="13"/>
      <c r="C1179" s="13"/>
      <c r="D1179" s="13"/>
      <c r="E1179" s="39" t="s">
        <v>7028</v>
      </c>
      <c r="F1179" s="13"/>
      <c r="G1179" s="13"/>
      <c r="H1179" s="13"/>
      <c r="I1179" s="39" t="s">
        <v>6757</v>
      </c>
      <c r="J1179" s="39" t="s">
        <v>6782</v>
      </c>
      <c r="K1179" s="13"/>
      <c r="L1179" s="13"/>
    </row>
    <row r="1180" spans="1:12">
      <c r="A1180" s="36"/>
      <c r="B1180" s="13"/>
      <c r="C1180" s="13"/>
      <c r="D1180" s="13"/>
      <c r="E1180" s="39" t="s">
        <v>7000</v>
      </c>
      <c r="F1180" s="13"/>
      <c r="G1180" s="13"/>
      <c r="H1180" s="13"/>
      <c r="I1180" s="39" t="s">
        <v>7002</v>
      </c>
      <c r="J1180" s="39" t="s">
        <v>7029</v>
      </c>
      <c r="K1180" s="13"/>
      <c r="L1180" s="13"/>
    </row>
    <row r="1181" spans="1:12">
      <c r="A1181" s="39" t="s">
        <v>7030</v>
      </c>
      <c r="B1181" s="13"/>
      <c r="C1181" s="13"/>
      <c r="D1181" s="13"/>
      <c r="E1181" s="39" t="s">
        <v>7003</v>
      </c>
      <c r="F1181" s="13"/>
      <c r="G1181" s="13"/>
      <c r="H1181" s="13"/>
      <c r="I1181" s="39" t="s">
        <v>6762</v>
      </c>
      <c r="J1181" s="39" t="s">
        <v>6801</v>
      </c>
      <c r="K1181" s="13"/>
      <c r="L1181" s="13"/>
    </row>
    <row r="1182" spans="1:12">
      <c r="A1182" s="39" t="s">
        <v>2265</v>
      </c>
      <c r="B1182" s="13"/>
      <c r="C1182" s="13"/>
      <c r="D1182" s="13"/>
      <c r="E1182" s="39"/>
      <c r="F1182" s="13"/>
      <c r="G1182" s="13"/>
      <c r="H1182" s="13"/>
      <c r="I1182" s="39" t="s">
        <v>6748</v>
      </c>
      <c r="J1182" s="39" t="s">
        <v>6748</v>
      </c>
      <c r="K1182" s="13"/>
      <c r="L1182" s="13"/>
    </row>
    <row r="1183" spans="1:12">
      <c r="A1183" s="39" t="s">
        <v>1259</v>
      </c>
      <c r="B1183" s="13"/>
      <c r="C1183" s="13"/>
      <c r="D1183" s="13"/>
      <c r="E1183" s="110" t="s">
        <v>7031</v>
      </c>
      <c r="F1183" s="13"/>
      <c r="G1183" s="13"/>
      <c r="H1183" s="13"/>
      <c r="I1183" s="39" t="s">
        <v>2357</v>
      </c>
      <c r="J1183" s="39" t="s">
        <v>2357</v>
      </c>
      <c r="K1183" s="13"/>
      <c r="L1183" s="13"/>
    </row>
    <row r="1184" spans="1:12">
      <c r="A1184" s="39" t="s">
        <v>7032</v>
      </c>
      <c r="B1184" s="13"/>
      <c r="C1184" s="13"/>
      <c r="D1184" s="13"/>
      <c r="E1184" s="39" t="s">
        <v>7033</v>
      </c>
      <c r="F1184" s="13"/>
      <c r="G1184" s="13"/>
      <c r="H1184" s="13"/>
      <c r="I1184" s="39"/>
      <c r="J1184" s="39"/>
      <c r="K1184" s="13"/>
      <c r="L1184" s="13"/>
    </row>
    <row r="1185" spans="1:12">
      <c r="A1185" s="36"/>
      <c r="B1185" s="13"/>
      <c r="C1185" s="13"/>
      <c r="D1185" s="13"/>
      <c r="E1185" s="39" t="s">
        <v>7034</v>
      </c>
      <c r="F1185" s="13"/>
      <c r="G1185" s="13"/>
      <c r="H1185" s="13"/>
      <c r="I1185" s="39" t="s">
        <v>3937</v>
      </c>
      <c r="J1185" s="39" t="s">
        <v>7035</v>
      </c>
      <c r="K1185" s="13"/>
      <c r="L1185" s="13"/>
    </row>
    <row r="1186" spans="1:12">
      <c r="A1186" s="39" t="s">
        <v>7036</v>
      </c>
      <c r="B1186" s="13"/>
      <c r="C1186" s="13"/>
      <c r="D1186" s="13"/>
      <c r="E1186" s="39" t="s">
        <v>7037</v>
      </c>
      <c r="F1186" s="13"/>
      <c r="G1186" s="13"/>
      <c r="H1186" s="13"/>
      <c r="I1186" s="39" t="s">
        <v>7023</v>
      </c>
      <c r="J1186" s="39"/>
      <c r="K1186" s="13"/>
      <c r="L1186" s="13"/>
    </row>
    <row r="1187" spans="1:12">
      <c r="A1187" s="39" t="s">
        <v>1273</v>
      </c>
      <c r="B1187" s="13"/>
      <c r="C1187" s="13"/>
      <c r="D1187" s="13"/>
      <c r="E1187" s="39" t="s">
        <v>7038</v>
      </c>
      <c r="F1187" s="13"/>
      <c r="G1187" s="13"/>
      <c r="H1187" s="13"/>
      <c r="I1187" s="39" t="s">
        <v>3878</v>
      </c>
      <c r="J1187" s="39" t="s">
        <v>4216</v>
      </c>
      <c r="K1187" s="13"/>
      <c r="L1187" s="13"/>
    </row>
    <row r="1188" spans="1:12">
      <c r="A1188" s="39" t="s">
        <v>4718</v>
      </c>
      <c r="B1188" s="13"/>
      <c r="C1188" s="13"/>
      <c r="D1188" s="13"/>
      <c r="E1188" s="39" t="s">
        <v>7039</v>
      </c>
      <c r="F1188" s="13"/>
      <c r="G1188" s="13"/>
      <c r="H1188" s="13"/>
      <c r="I1188" s="39" t="s">
        <v>6748</v>
      </c>
      <c r="J1188" s="39" t="s">
        <v>4227</v>
      </c>
      <c r="K1188" s="13"/>
      <c r="L1188" s="13"/>
    </row>
    <row r="1189" spans="1:12">
      <c r="A1189" s="39" t="s">
        <v>7040</v>
      </c>
      <c r="B1189" s="13"/>
      <c r="C1189" s="13"/>
      <c r="D1189" s="13"/>
      <c r="E1189" s="39" t="s">
        <v>7041</v>
      </c>
      <c r="F1189" s="13"/>
      <c r="G1189" s="13"/>
      <c r="H1189" s="13"/>
      <c r="I1189" s="39" t="s">
        <v>2357</v>
      </c>
      <c r="J1189" s="39" t="s">
        <v>4234</v>
      </c>
      <c r="K1189" s="13"/>
      <c r="L1189" s="13"/>
    </row>
    <row r="1190" spans="1:12">
      <c r="A1190" s="39" t="s">
        <v>4726</v>
      </c>
      <c r="B1190" s="13"/>
      <c r="C1190" s="13"/>
      <c r="D1190" s="13"/>
      <c r="E1190" s="39" t="s">
        <v>7042</v>
      </c>
      <c r="F1190" s="13"/>
      <c r="G1190" s="13"/>
      <c r="H1190" s="13"/>
      <c r="I1190" s="39"/>
      <c r="J1190" s="39" t="s">
        <v>4241</v>
      </c>
      <c r="K1190" s="13"/>
      <c r="L1190" s="13"/>
    </row>
    <row r="1191" spans="1:12">
      <c r="A1191" s="39" t="s">
        <v>7043</v>
      </c>
      <c r="B1191" s="13"/>
      <c r="C1191" s="13"/>
      <c r="D1191" s="13"/>
      <c r="E1191" s="39" t="s">
        <v>7044</v>
      </c>
      <c r="F1191" s="13"/>
      <c r="G1191" s="13"/>
      <c r="H1191" s="13"/>
      <c r="I1191" s="39" t="s">
        <v>6782</v>
      </c>
      <c r="J1191" s="39" t="s">
        <v>6881</v>
      </c>
      <c r="K1191" s="13"/>
      <c r="L1191" s="13"/>
    </row>
    <row r="1192" spans="1:12">
      <c r="A1192" s="39" t="s">
        <v>7045</v>
      </c>
      <c r="B1192" s="13"/>
      <c r="C1192" s="13"/>
      <c r="D1192" s="13"/>
      <c r="E1192" s="39" t="s">
        <v>7046</v>
      </c>
      <c r="F1192" s="13"/>
      <c r="G1192" s="13"/>
      <c r="H1192" s="13"/>
      <c r="I1192" s="39" t="s">
        <v>7029</v>
      </c>
      <c r="J1192" s="39" t="s">
        <v>6817</v>
      </c>
      <c r="K1192" s="13"/>
      <c r="L1192" s="13"/>
    </row>
    <row r="1193" spans="1:12">
      <c r="A1193" s="39" t="s">
        <v>7047</v>
      </c>
      <c r="B1193" s="13"/>
      <c r="C1193" s="13"/>
      <c r="D1193" s="13"/>
      <c r="E1193" s="39" t="s">
        <v>7048</v>
      </c>
      <c r="F1193" s="13"/>
      <c r="G1193" s="13"/>
      <c r="H1193" s="13"/>
      <c r="I1193" s="39" t="s">
        <v>6784</v>
      </c>
      <c r="J1193" s="39" t="s">
        <v>6821</v>
      </c>
      <c r="K1193" s="13"/>
      <c r="L1193" s="13"/>
    </row>
    <row r="1194" spans="1:12">
      <c r="A1194" s="39" t="s">
        <v>7049</v>
      </c>
      <c r="B1194" s="13"/>
      <c r="C1194" s="13"/>
      <c r="D1194" s="13"/>
      <c r="E1194" s="39" t="s">
        <v>7050</v>
      </c>
      <c r="F1194" s="13"/>
      <c r="G1194" s="13"/>
      <c r="H1194" s="13"/>
      <c r="I1194" s="39" t="s">
        <v>6748</v>
      </c>
      <c r="J1194" s="39" t="s">
        <v>6823</v>
      </c>
      <c r="K1194" s="13"/>
      <c r="L1194" s="13"/>
    </row>
    <row r="1195" spans="1:12">
      <c r="A1195" s="39" t="s">
        <v>3747</v>
      </c>
      <c r="B1195" s="13"/>
      <c r="C1195" s="13"/>
      <c r="D1195" s="13"/>
      <c r="E1195" s="39" t="s">
        <v>7051</v>
      </c>
      <c r="F1195" s="13"/>
      <c r="G1195" s="13"/>
      <c r="H1195" s="13"/>
      <c r="I1195" s="39" t="s">
        <v>2357</v>
      </c>
      <c r="J1195" s="39" t="s">
        <v>6825</v>
      </c>
      <c r="K1195" s="13"/>
      <c r="L1195" s="13"/>
    </row>
    <row r="1196" spans="1:12">
      <c r="A1196" s="39" t="s">
        <v>7052</v>
      </c>
      <c r="B1196" s="13"/>
      <c r="C1196" s="13"/>
      <c r="D1196" s="13"/>
      <c r="E1196" s="39" t="s">
        <v>7053</v>
      </c>
      <c r="F1196" s="13"/>
      <c r="G1196" s="13"/>
      <c r="H1196" s="13"/>
      <c r="I1196" s="39"/>
      <c r="J1196" s="39" t="s">
        <v>2424</v>
      </c>
      <c r="K1196" s="13"/>
      <c r="L1196" s="13"/>
    </row>
    <row r="1197" spans="1:12">
      <c r="A1197" s="39" t="s">
        <v>7054</v>
      </c>
      <c r="B1197" s="13"/>
      <c r="C1197" s="13"/>
      <c r="D1197" s="13"/>
      <c r="E1197" s="39" t="s">
        <v>7055</v>
      </c>
      <c r="F1197" s="13"/>
      <c r="G1197" s="13"/>
      <c r="H1197" s="13"/>
      <c r="I1197" s="39" t="s">
        <v>7056</v>
      </c>
      <c r="J1197" s="39" t="s">
        <v>6829</v>
      </c>
      <c r="K1197" s="13"/>
      <c r="L1197" s="13"/>
    </row>
    <row r="1198" spans="1:12">
      <c r="A1198" s="39" t="s">
        <v>2799</v>
      </c>
      <c r="B1198" s="13"/>
      <c r="C1198" s="13"/>
      <c r="D1198" s="13"/>
      <c r="E1198" s="39" t="s">
        <v>5232</v>
      </c>
      <c r="F1198" s="13"/>
      <c r="G1198" s="13"/>
      <c r="H1198" s="13"/>
      <c r="I1198" s="39"/>
      <c r="J1198" s="39" t="s">
        <v>6833</v>
      </c>
      <c r="K1198" s="13"/>
      <c r="L1198" s="13"/>
    </row>
    <row r="1199" spans="1:12">
      <c r="A1199" s="39" t="s">
        <v>2809</v>
      </c>
      <c r="B1199" s="13"/>
      <c r="C1199" s="13"/>
      <c r="D1199" s="13"/>
      <c r="E1199" s="39"/>
      <c r="F1199" s="13"/>
      <c r="G1199" s="13"/>
      <c r="H1199" s="13"/>
      <c r="I1199" s="39" t="s">
        <v>4216</v>
      </c>
      <c r="J1199" s="39" t="s">
        <v>6836</v>
      </c>
      <c r="K1199" s="13"/>
      <c r="L1199" s="13"/>
    </row>
    <row r="1200" spans="1:12">
      <c r="A1200" s="39" t="s">
        <v>7057</v>
      </c>
      <c r="B1200" s="13"/>
      <c r="C1200" s="13"/>
      <c r="D1200" s="13"/>
      <c r="E1200" s="39" t="s">
        <v>7058</v>
      </c>
      <c r="F1200" s="13"/>
      <c r="G1200" s="13"/>
      <c r="H1200" s="13"/>
      <c r="I1200" s="39" t="s">
        <v>4227</v>
      </c>
      <c r="J1200" s="39" t="s">
        <v>6839</v>
      </c>
      <c r="K1200" s="13"/>
      <c r="L1200" s="13"/>
    </row>
    <row r="1201" spans="1:12">
      <c r="A1201" s="39" t="s">
        <v>7059</v>
      </c>
      <c r="B1201" s="13"/>
      <c r="C1201" s="13"/>
      <c r="D1201" s="13"/>
      <c r="E1201" s="39" t="s">
        <v>7060</v>
      </c>
      <c r="F1201" s="13"/>
      <c r="G1201" s="13"/>
      <c r="H1201" s="13"/>
      <c r="I1201" s="39" t="s">
        <v>4234</v>
      </c>
      <c r="J1201" s="39" t="s">
        <v>3273</v>
      </c>
      <c r="K1201" s="13"/>
      <c r="L1201" s="13"/>
    </row>
    <row r="1202" spans="1:12">
      <c r="A1202" s="39" t="s">
        <v>2836</v>
      </c>
      <c r="B1202" s="13"/>
      <c r="C1202" s="13"/>
      <c r="D1202" s="13"/>
      <c r="E1202" s="110" t="s">
        <v>7031</v>
      </c>
      <c r="F1202" s="13"/>
      <c r="G1202" s="13"/>
      <c r="H1202" s="13"/>
      <c r="I1202" s="39" t="s">
        <v>4241</v>
      </c>
      <c r="J1202" s="39" t="s">
        <v>6843</v>
      </c>
      <c r="K1202" s="13"/>
      <c r="L1202" s="13"/>
    </row>
    <row r="1203" spans="1:12">
      <c r="A1203" s="36"/>
      <c r="B1203" s="13"/>
      <c r="C1203" s="13"/>
      <c r="D1203" s="13"/>
      <c r="E1203" s="39" t="s">
        <v>7061</v>
      </c>
      <c r="F1203" s="13"/>
      <c r="G1203" s="13"/>
      <c r="H1203" s="13"/>
      <c r="I1203" s="39" t="s">
        <v>6881</v>
      </c>
      <c r="J1203" s="39" t="s">
        <v>6836</v>
      </c>
      <c r="K1203" s="13"/>
      <c r="L1203" s="13"/>
    </row>
    <row r="1204" spans="1:12">
      <c r="A1204" s="39" t="s">
        <v>7062</v>
      </c>
      <c r="B1204" s="13"/>
      <c r="C1204" s="13"/>
      <c r="D1204" s="13"/>
      <c r="E1204" s="39" t="s">
        <v>5972</v>
      </c>
      <c r="F1204" s="13"/>
      <c r="G1204" s="13"/>
      <c r="H1204" s="13"/>
      <c r="I1204" s="39" t="s">
        <v>6817</v>
      </c>
      <c r="J1204" s="39" t="s">
        <v>6849</v>
      </c>
      <c r="K1204" s="13"/>
      <c r="L1204" s="13"/>
    </row>
    <row r="1205" spans="1:12">
      <c r="A1205" s="39" t="s">
        <v>7063</v>
      </c>
      <c r="B1205" s="13"/>
      <c r="C1205" s="13"/>
      <c r="D1205" s="13"/>
      <c r="E1205" s="39" t="s">
        <v>7064</v>
      </c>
      <c r="F1205" s="13"/>
      <c r="G1205" s="13"/>
      <c r="H1205" s="13"/>
      <c r="I1205" s="39" t="s">
        <v>6821</v>
      </c>
      <c r="J1205" s="39" t="s">
        <v>2626</v>
      </c>
      <c r="K1205" s="13"/>
      <c r="L1205" s="13"/>
    </row>
    <row r="1206" spans="1:12">
      <c r="A1206" s="39" t="s">
        <v>7065</v>
      </c>
      <c r="B1206" s="13"/>
      <c r="C1206" s="13"/>
      <c r="D1206" s="13"/>
      <c r="E1206" s="39" t="s">
        <v>5232</v>
      </c>
      <c r="F1206" s="13"/>
      <c r="G1206" s="13"/>
      <c r="H1206" s="13"/>
      <c r="I1206" s="39" t="s">
        <v>6823</v>
      </c>
      <c r="J1206" s="39" t="s">
        <v>2357</v>
      </c>
      <c r="K1206" s="13"/>
      <c r="L1206" s="13"/>
    </row>
    <row r="1207" spans="1:12">
      <c r="A1207" s="39" t="s">
        <v>7066</v>
      </c>
      <c r="B1207" s="13"/>
      <c r="C1207" s="13"/>
      <c r="D1207" s="13"/>
      <c r="E1207" s="39" t="s">
        <v>3054</v>
      </c>
      <c r="F1207" s="13"/>
      <c r="G1207" s="13"/>
      <c r="H1207" s="13"/>
      <c r="I1207" s="39" t="s">
        <v>6825</v>
      </c>
      <c r="J1207" s="39" t="s">
        <v>4252</v>
      </c>
      <c r="K1207" s="13"/>
      <c r="L1207" s="13"/>
    </row>
    <row r="1208" spans="1:12">
      <c r="A1208" s="39" t="s">
        <v>7067</v>
      </c>
      <c r="B1208" s="13"/>
      <c r="C1208" s="13"/>
      <c r="D1208" s="13"/>
      <c r="E1208" s="39"/>
      <c r="F1208" s="13"/>
      <c r="G1208" s="13"/>
      <c r="H1208" s="13"/>
      <c r="I1208" s="39" t="s">
        <v>2424</v>
      </c>
      <c r="J1208" s="39" t="s">
        <v>4260</v>
      </c>
      <c r="K1208" s="13"/>
      <c r="L1208" s="13"/>
    </row>
    <row r="1209" spans="1:12">
      <c r="A1209" s="39" t="s">
        <v>7068</v>
      </c>
      <c r="B1209" s="13"/>
      <c r="C1209" s="13"/>
      <c r="D1209" s="13"/>
      <c r="E1209" s="39" t="s">
        <v>7069</v>
      </c>
      <c r="F1209" s="13"/>
      <c r="G1209" s="13"/>
      <c r="H1209" s="13"/>
      <c r="I1209" s="39" t="s">
        <v>6829</v>
      </c>
      <c r="J1209" s="39"/>
      <c r="K1209" s="13"/>
      <c r="L1209" s="13"/>
    </row>
    <row r="1210" spans="1:12">
      <c r="A1210" s="39" t="s">
        <v>7070</v>
      </c>
      <c r="B1210" s="13"/>
      <c r="C1210" s="13"/>
      <c r="D1210" s="13"/>
      <c r="E1210" s="39" t="s">
        <v>2265</v>
      </c>
      <c r="F1210" s="13"/>
      <c r="G1210" s="13"/>
      <c r="H1210" s="13"/>
      <c r="I1210" s="39" t="s">
        <v>6833</v>
      </c>
      <c r="J1210" s="39" t="s">
        <v>4271</v>
      </c>
      <c r="K1210" s="13"/>
      <c r="L1210" s="13"/>
    </row>
    <row r="1211" spans="1:12">
      <c r="A1211" s="39" t="s">
        <v>7071</v>
      </c>
      <c r="B1211" s="13"/>
      <c r="C1211" s="13"/>
      <c r="D1211" s="13"/>
      <c r="E1211" s="39"/>
      <c r="F1211" s="13"/>
      <c r="G1211" s="13"/>
      <c r="H1211" s="13"/>
      <c r="I1211" s="39" t="s">
        <v>6836</v>
      </c>
      <c r="J1211" s="39"/>
      <c r="K1211" s="13"/>
      <c r="L1211" s="13"/>
    </row>
    <row r="1212" spans="1:12">
      <c r="A1212" s="36"/>
      <c r="B1212" s="13"/>
      <c r="C1212" s="13"/>
      <c r="D1212" s="13"/>
      <c r="E1212" s="39"/>
      <c r="F1212" s="13"/>
      <c r="G1212" s="13"/>
      <c r="H1212" s="13"/>
      <c r="I1212" s="39" t="s">
        <v>6839</v>
      </c>
      <c r="J1212" s="39" t="s">
        <v>7072</v>
      </c>
      <c r="K1212" s="13"/>
      <c r="L1212" s="13"/>
    </row>
    <row r="1213" spans="1:12">
      <c r="A1213" s="39" t="s">
        <v>7073</v>
      </c>
      <c r="B1213" s="13"/>
      <c r="C1213" s="13"/>
      <c r="D1213" s="13"/>
      <c r="E1213" s="39" t="s">
        <v>1273</v>
      </c>
      <c r="F1213" s="13"/>
      <c r="G1213" s="13"/>
      <c r="H1213" s="13"/>
      <c r="I1213" s="39" t="s">
        <v>3273</v>
      </c>
      <c r="J1213" s="39" t="s">
        <v>7074</v>
      </c>
      <c r="K1213" s="13"/>
      <c r="L1213" s="13"/>
    </row>
    <row r="1214" spans="1:12">
      <c r="A1214" s="39" t="s">
        <v>4855</v>
      </c>
      <c r="B1214" s="13"/>
      <c r="C1214" s="13"/>
      <c r="D1214" s="13"/>
      <c r="E1214" s="39" t="s">
        <v>4454</v>
      </c>
      <c r="F1214" s="13"/>
      <c r="G1214" s="13"/>
      <c r="H1214" s="13"/>
      <c r="I1214" s="39" t="s">
        <v>6843</v>
      </c>
      <c r="J1214" s="39" t="s">
        <v>7075</v>
      </c>
      <c r="K1214" s="13"/>
      <c r="L1214" s="13"/>
    </row>
    <row r="1215" spans="1:12">
      <c r="A1215" s="39" t="s">
        <v>7076</v>
      </c>
      <c r="B1215" s="13"/>
      <c r="C1215" s="13"/>
      <c r="D1215" s="13"/>
      <c r="E1215" s="39" t="s">
        <v>1280</v>
      </c>
      <c r="F1215" s="13"/>
      <c r="G1215" s="13"/>
      <c r="H1215" s="13"/>
      <c r="I1215" s="39" t="s">
        <v>6836</v>
      </c>
      <c r="J1215" s="39" t="s">
        <v>7077</v>
      </c>
      <c r="K1215" s="13"/>
      <c r="L1215" s="13"/>
    </row>
    <row r="1216" spans="1:12">
      <c r="A1216" s="39" t="s">
        <v>7078</v>
      </c>
      <c r="B1216" s="13"/>
      <c r="C1216" s="13"/>
      <c r="D1216" s="13"/>
      <c r="E1216" s="39" t="s">
        <v>4465</v>
      </c>
      <c r="F1216" s="13"/>
      <c r="G1216" s="13"/>
      <c r="H1216" s="13"/>
      <c r="I1216" s="39" t="s">
        <v>6849</v>
      </c>
      <c r="J1216" s="39" t="s">
        <v>7079</v>
      </c>
      <c r="K1216" s="13"/>
      <c r="L1216" s="13"/>
    </row>
    <row r="1217" spans="1:12">
      <c r="A1217" s="39" t="s">
        <v>7080</v>
      </c>
      <c r="B1217" s="13"/>
      <c r="C1217" s="13"/>
      <c r="D1217" s="13"/>
      <c r="E1217" s="39" t="s">
        <v>1280</v>
      </c>
      <c r="F1217" s="13"/>
      <c r="G1217" s="13"/>
      <c r="H1217" s="13"/>
      <c r="I1217" s="39" t="s">
        <v>2626</v>
      </c>
      <c r="J1217" s="39"/>
      <c r="K1217" s="13"/>
      <c r="L1217" s="13"/>
    </row>
    <row r="1218" spans="1:12">
      <c r="A1218" s="39" t="s">
        <v>7081</v>
      </c>
      <c r="B1218" s="13"/>
      <c r="C1218" s="13"/>
      <c r="D1218" s="13"/>
      <c r="E1218" s="39" t="s">
        <v>4481</v>
      </c>
      <c r="F1218" s="13"/>
      <c r="G1218" s="13"/>
      <c r="H1218" s="13"/>
      <c r="I1218" s="39" t="s">
        <v>2357</v>
      </c>
      <c r="J1218" s="39" t="s">
        <v>7082</v>
      </c>
      <c r="K1218" s="13"/>
      <c r="L1218" s="13"/>
    </row>
    <row r="1219" spans="1:12">
      <c r="A1219" s="39" t="s">
        <v>7083</v>
      </c>
      <c r="B1219" s="13"/>
      <c r="C1219" s="13"/>
      <c r="D1219" s="13"/>
      <c r="E1219" s="39" t="s">
        <v>4487</v>
      </c>
      <c r="F1219" s="13"/>
      <c r="G1219" s="13"/>
      <c r="H1219" s="13"/>
      <c r="I1219" s="39" t="s">
        <v>4252</v>
      </c>
      <c r="J1219" s="39" t="s">
        <v>7084</v>
      </c>
      <c r="K1219" s="13"/>
      <c r="L1219" s="13"/>
    </row>
    <row r="1220" spans="1:12">
      <c r="A1220" s="39" t="s">
        <v>7085</v>
      </c>
      <c r="B1220" s="13"/>
      <c r="C1220" s="13"/>
      <c r="D1220" s="13"/>
      <c r="E1220" s="39" t="s">
        <v>4497</v>
      </c>
      <c r="F1220" s="13"/>
      <c r="G1220" s="13"/>
      <c r="H1220" s="13"/>
      <c r="I1220" s="39" t="s">
        <v>4260</v>
      </c>
      <c r="J1220" s="39" t="s">
        <v>7086</v>
      </c>
      <c r="K1220" s="13"/>
      <c r="L1220" s="13"/>
    </row>
    <row r="1221" spans="1:12">
      <c r="A1221" s="39" t="s">
        <v>7087</v>
      </c>
      <c r="B1221" s="13"/>
      <c r="C1221" s="13"/>
      <c r="D1221" s="13"/>
      <c r="E1221" s="39"/>
      <c r="F1221" s="13"/>
      <c r="G1221" s="13"/>
      <c r="H1221" s="13"/>
      <c r="I1221" s="39"/>
      <c r="J1221" s="39" t="s">
        <v>7088</v>
      </c>
      <c r="K1221" s="13"/>
      <c r="L1221" s="13"/>
    </row>
    <row r="1222" spans="1:12">
      <c r="A1222" s="39" t="s">
        <v>7089</v>
      </c>
      <c r="B1222" s="13"/>
      <c r="C1222" s="13"/>
      <c r="D1222" s="13"/>
      <c r="E1222" s="39" t="s">
        <v>6899</v>
      </c>
      <c r="F1222" s="13"/>
      <c r="G1222" s="13"/>
      <c r="H1222" s="13"/>
      <c r="I1222" s="39" t="s">
        <v>4271</v>
      </c>
      <c r="J1222" s="39" t="s">
        <v>7090</v>
      </c>
      <c r="K1222" s="13"/>
      <c r="L1222" s="13"/>
    </row>
    <row r="1223" spans="1:12">
      <c r="A1223" s="39" t="s">
        <v>7091</v>
      </c>
      <c r="B1223" s="13"/>
      <c r="C1223" s="13"/>
      <c r="D1223" s="13"/>
      <c r="E1223" s="39"/>
      <c r="F1223" s="13"/>
      <c r="G1223" s="13"/>
      <c r="H1223" s="13"/>
      <c r="I1223" s="39"/>
      <c r="J1223" s="39" t="s">
        <v>7092</v>
      </c>
      <c r="K1223" s="13"/>
      <c r="L1223" s="13"/>
    </row>
    <row r="1224" spans="1:12">
      <c r="A1224" s="39" t="s">
        <v>7093</v>
      </c>
      <c r="B1224" s="13"/>
      <c r="C1224" s="13"/>
      <c r="D1224" s="13"/>
      <c r="E1224" s="39" t="s">
        <v>4535</v>
      </c>
      <c r="F1224" s="13"/>
      <c r="G1224" s="13"/>
      <c r="H1224" s="13"/>
      <c r="I1224" s="39" t="s">
        <v>7094</v>
      </c>
      <c r="J1224" s="39" t="s">
        <v>5750</v>
      </c>
      <c r="K1224" s="13"/>
      <c r="L1224" s="13"/>
    </row>
    <row r="1225" spans="1:12">
      <c r="A1225" s="39" t="s">
        <v>7095</v>
      </c>
      <c r="B1225" s="13"/>
      <c r="C1225" s="13"/>
      <c r="D1225" s="13"/>
      <c r="E1225" s="39" t="s">
        <v>2265</v>
      </c>
      <c r="F1225" s="13"/>
      <c r="G1225" s="13"/>
      <c r="H1225" s="13"/>
      <c r="I1225" s="39" t="s">
        <v>7096</v>
      </c>
      <c r="J1225" s="39" t="s">
        <v>2237</v>
      </c>
      <c r="K1225" s="13"/>
      <c r="L1225" s="13"/>
    </row>
    <row r="1226" spans="1:12">
      <c r="A1226" s="39" t="s">
        <v>7097</v>
      </c>
      <c r="B1226" s="13"/>
      <c r="C1226" s="13"/>
      <c r="D1226" s="13"/>
      <c r="E1226" s="39"/>
      <c r="F1226" s="13"/>
      <c r="G1226" s="13"/>
      <c r="H1226" s="13"/>
      <c r="I1226" s="39" t="s">
        <v>7098</v>
      </c>
      <c r="J1226" s="39" t="s">
        <v>7099</v>
      </c>
      <c r="K1226" s="13"/>
      <c r="L1226" s="13"/>
    </row>
    <row r="1227" spans="1:12">
      <c r="A1227" s="39" t="s">
        <v>7100</v>
      </c>
      <c r="B1227" s="13"/>
      <c r="C1227" s="13"/>
      <c r="D1227" s="13"/>
      <c r="E1227" s="39"/>
      <c r="F1227" s="13"/>
      <c r="G1227" s="13"/>
      <c r="H1227" s="13"/>
      <c r="I1227" s="39" t="s">
        <v>7101</v>
      </c>
      <c r="J1227" s="39" t="s">
        <v>2265</v>
      </c>
      <c r="K1227" s="13"/>
      <c r="L1227" s="13"/>
    </row>
    <row r="1228" spans="1:12">
      <c r="A1228" s="39" t="s">
        <v>7102</v>
      </c>
      <c r="B1228" s="13"/>
      <c r="C1228" s="13"/>
      <c r="D1228" s="13"/>
      <c r="E1228" s="39" t="s">
        <v>1273</v>
      </c>
      <c r="F1228" s="13"/>
      <c r="G1228" s="13"/>
      <c r="H1228" s="13"/>
      <c r="I1228" s="39" t="s">
        <v>7103</v>
      </c>
      <c r="J1228" s="39" t="s">
        <v>1259</v>
      </c>
      <c r="K1228" s="13"/>
      <c r="L1228" s="13"/>
    </row>
    <row r="1229" spans="1:12">
      <c r="A1229" s="39" t="s">
        <v>7104</v>
      </c>
      <c r="B1229" s="13"/>
      <c r="C1229" s="13"/>
      <c r="D1229" s="13"/>
      <c r="E1229" s="39" t="s">
        <v>6913</v>
      </c>
      <c r="F1229" s="13"/>
      <c r="G1229" s="13"/>
      <c r="H1229" s="13"/>
      <c r="I1229" s="39"/>
      <c r="J1229" s="39" t="s">
        <v>7105</v>
      </c>
      <c r="K1229" s="13"/>
      <c r="L1229" s="13"/>
    </row>
    <row r="1230" spans="1:12">
      <c r="A1230" s="39" t="s">
        <v>7106</v>
      </c>
      <c r="B1230" s="13"/>
      <c r="C1230" s="13"/>
      <c r="D1230" s="13"/>
      <c r="E1230" s="39" t="s">
        <v>6915</v>
      </c>
      <c r="F1230" s="13"/>
      <c r="G1230" s="13"/>
      <c r="H1230" s="13"/>
      <c r="I1230" s="39" t="s">
        <v>7107</v>
      </c>
      <c r="J1230" s="39" t="s">
        <v>7108</v>
      </c>
      <c r="K1230" s="13"/>
      <c r="L1230" s="13"/>
    </row>
    <row r="1231" spans="1:12">
      <c r="A1231" s="39" t="s">
        <v>4177</v>
      </c>
      <c r="B1231" s="13"/>
      <c r="C1231" s="13"/>
      <c r="D1231" s="13"/>
      <c r="E1231" s="13"/>
      <c r="F1231" s="13"/>
      <c r="G1231" s="13"/>
      <c r="H1231" s="13"/>
      <c r="I1231" s="39" t="s">
        <v>7109</v>
      </c>
      <c r="J1231" s="39" t="s">
        <v>7110</v>
      </c>
      <c r="K1231" s="13"/>
      <c r="L1231" s="13"/>
    </row>
    <row r="1232" spans="1:12">
      <c r="A1232" s="39" t="s">
        <v>7111</v>
      </c>
      <c r="B1232" s="13"/>
      <c r="C1232" s="13"/>
      <c r="D1232" s="13"/>
      <c r="E1232" s="13"/>
      <c r="F1232" s="13"/>
      <c r="G1232" s="13"/>
      <c r="H1232" s="13"/>
      <c r="I1232" s="39" t="s">
        <v>7086</v>
      </c>
      <c r="J1232" s="39" t="s">
        <v>7112</v>
      </c>
      <c r="K1232" s="13"/>
      <c r="L1232" s="13"/>
    </row>
    <row r="1233" spans="1:12">
      <c r="A1233" s="39" t="s">
        <v>7113</v>
      </c>
      <c r="B1233" s="13"/>
      <c r="C1233" s="13"/>
      <c r="D1233" s="13"/>
      <c r="E1233" s="13"/>
      <c r="F1233" s="13"/>
      <c r="G1233" s="13"/>
      <c r="H1233" s="13"/>
      <c r="I1233" s="39" t="s">
        <v>7114</v>
      </c>
      <c r="J1233" s="39" t="s">
        <v>7115</v>
      </c>
      <c r="K1233" s="13"/>
      <c r="L1233" s="13"/>
    </row>
    <row r="1234" spans="1:12">
      <c r="A1234" s="39" t="s">
        <v>7116</v>
      </c>
      <c r="B1234" s="13"/>
      <c r="C1234" s="13"/>
      <c r="D1234" s="13"/>
      <c r="E1234" s="13"/>
      <c r="F1234" s="13"/>
      <c r="G1234" s="13"/>
      <c r="H1234" s="13"/>
      <c r="I1234" s="39" t="s">
        <v>7090</v>
      </c>
      <c r="J1234" s="39" t="s">
        <v>6748</v>
      </c>
      <c r="K1234" s="13"/>
      <c r="L1234" s="13"/>
    </row>
    <row r="1235" spans="1:12">
      <c r="A1235" s="39" t="s">
        <v>7117</v>
      </c>
      <c r="B1235" s="13"/>
      <c r="C1235" s="13"/>
      <c r="D1235" s="13"/>
      <c r="E1235" s="13"/>
      <c r="F1235" s="13"/>
      <c r="G1235" s="13"/>
      <c r="H1235" s="13"/>
      <c r="I1235" s="39" t="s">
        <v>7118</v>
      </c>
      <c r="J1235" s="39" t="s">
        <v>2357</v>
      </c>
      <c r="K1235" s="13"/>
      <c r="L1235" s="13"/>
    </row>
    <row r="1236" spans="1:12">
      <c r="A1236" s="39" t="s">
        <v>7119</v>
      </c>
      <c r="B1236" s="13"/>
      <c r="C1236" s="13"/>
      <c r="D1236" s="13"/>
      <c r="E1236" s="13"/>
      <c r="F1236" s="13"/>
      <c r="G1236" s="13"/>
      <c r="H1236" s="13"/>
      <c r="I1236" s="39" t="s">
        <v>5750</v>
      </c>
      <c r="J1236" s="39"/>
      <c r="K1236" s="13"/>
      <c r="L1236" s="13"/>
    </row>
    <row r="1237" spans="1:12">
      <c r="A1237" s="39" t="s">
        <v>7120</v>
      </c>
      <c r="B1237" s="13"/>
      <c r="C1237" s="13"/>
      <c r="D1237" s="13"/>
      <c r="E1237" s="13"/>
      <c r="F1237" s="13"/>
      <c r="G1237" s="13"/>
      <c r="H1237" s="13"/>
      <c r="I1237" s="39" t="s">
        <v>2237</v>
      </c>
      <c r="J1237" s="39" t="s">
        <v>7121</v>
      </c>
      <c r="K1237" s="13"/>
      <c r="L1237" s="13"/>
    </row>
    <row r="1238" spans="1:12">
      <c r="A1238" s="39" t="s">
        <v>7117</v>
      </c>
      <c r="B1238" s="13"/>
      <c r="C1238" s="13"/>
      <c r="D1238" s="13"/>
      <c r="E1238" s="13"/>
      <c r="F1238" s="13"/>
      <c r="G1238" s="13"/>
      <c r="H1238" s="13"/>
      <c r="I1238" s="39" t="s">
        <v>7099</v>
      </c>
      <c r="J1238" s="39" t="s">
        <v>7122</v>
      </c>
      <c r="K1238" s="13"/>
      <c r="L1238" s="13"/>
    </row>
    <row r="1239" spans="1:12">
      <c r="A1239" s="39" t="s">
        <v>4188</v>
      </c>
      <c r="B1239" s="13"/>
      <c r="C1239" s="13"/>
      <c r="D1239" s="13"/>
      <c r="E1239" s="13"/>
      <c r="F1239" s="13"/>
      <c r="G1239" s="13"/>
      <c r="H1239" s="13"/>
      <c r="I1239" s="39" t="s">
        <v>2265</v>
      </c>
      <c r="J1239" s="39" t="s">
        <v>7123</v>
      </c>
      <c r="K1239" s="13"/>
      <c r="L1239" s="13"/>
    </row>
    <row r="1240" spans="1:12">
      <c r="A1240" s="39" t="s">
        <v>4063</v>
      </c>
      <c r="B1240" s="13"/>
      <c r="C1240" s="13"/>
      <c r="D1240" s="13"/>
      <c r="E1240" s="13"/>
      <c r="F1240" s="13"/>
      <c r="G1240" s="13"/>
      <c r="H1240" s="13"/>
      <c r="I1240" s="39" t="s">
        <v>1259</v>
      </c>
      <c r="J1240" s="39" t="s">
        <v>6748</v>
      </c>
      <c r="K1240" s="13"/>
      <c r="L1240" s="13"/>
    </row>
    <row r="1241" spans="1:12">
      <c r="A1241" s="39" t="s">
        <v>7124</v>
      </c>
      <c r="B1241" s="13"/>
      <c r="C1241" s="13"/>
      <c r="D1241" s="13"/>
      <c r="E1241" s="13"/>
      <c r="F1241" s="13"/>
      <c r="G1241" s="13"/>
      <c r="H1241" s="13"/>
      <c r="I1241" s="39" t="s">
        <v>7105</v>
      </c>
      <c r="J1241" s="39" t="s">
        <v>2357</v>
      </c>
      <c r="K1241" s="13"/>
      <c r="L1241" s="13"/>
    </row>
    <row r="1242" spans="1:12">
      <c r="A1242" s="39" t="s">
        <v>7125</v>
      </c>
      <c r="B1242" s="13"/>
      <c r="C1242" s="13"/>
      <c r="D1242" s="13"/>
      <c r="E1242" s="13"/>
      <c r="F1242" s="13"/>
      <c r="G1242" s="13"/>
      <c r="H1242" s="13"/>
      <c r="I1242" s="39" t="s">
        <v>7108</v>
      </c>
      <c r="J1242" s="39"/>
      <c r="K1242" s="13"/>
      <c r="L1242" s="13"/>
    </row>
    <row r="1243" spans="1:12">
      <c r="A1243" s="39" t="s">
        <v>7126</v>
      </c>
      <c r="B1243" s="13"/>
      <c r="C1243" s="13"/>
      <c r="D1243" s="13"/>
      <c r="E1243" s="13"/>
      <c r="F1243" s="13"/>
      <c r="G1243" s="13"/>
      <c r="H1243" s="13"/>
      <c r="I1243" s="39" t="s">
        <v>7110</v>
      </c>
      <c r="J1243" s="39" t="s">
        <v>7127</v>
      </c>
      <c r="K1243" s="13"/>
      <c r="L1243" s="13"/>
    </row>
    <row r="1244" spans="1:12">
      <c r="A1244" s="39" t="s">
        <v>5310</v>
      </c>
      <c r="B1244" s="13"/>
      <c r="C1244" s="13"/>
      <c r="D1244" s="13"/>
      <c r="E1244" s="13"/>
      <c r="F1244" s="13"/>
      <c r="G1244" s="13"/>
      <c r="H1244" s="13"/>
      <c r="I1244" s="39" t="s">
        <v>7128</v>
      </c>
      <c r="J1244" s="39" t="s">
        <v>7129</v>
      </c>
      <c r="K1244" s="13"/>
      <c r="L1244" s="13"/>
    </row>
    <row r="1245" spans="1:12">
      <c r="A1245" s="39" t="s">
        <v>7130</v>
      </c>
      <c r="B1245" s="13"/>
      <c r="C1245" s="13"/>
      <c r="D1245" s="13"/>
      <c r="E1245" s="13"/>
      <c r="F1245" s="13"/>
      <c r="G1245" s="13"/>
      <c r="H1245" s="13"/>
      <c r="I1245" s="39" t="s">
        <v>7131</v>
      </c>
      <c r="J1245" s="39" t="s">
        <v>7132</v>
      </c>
      <c r="K1245" s="13"/>
      <c r="L1245" s="13"/>
    </row>
    <row r="1246" spans="1:12">
      <c r="A1246" s="39" t="s">
        <v>7133</v>
      </c>
      <c r="B1246" s="13"/>
      <c r="C1246" s="13"/>
      <c r="D1246" s="13"/>
      <c r="E1246" s="13"/>
      <c r="F1246" s="13"/>
      <c r="G1246" s="13"/>
      <c r="H1246" s="13"/>
      <c r="I1246" s="39" t="s">
        <v>6748</v>
      </c>
      <c r="J1246" s="39" t="s">
        <v>6748</v>
      </c>
      <c r="K1246" s="13"/>
      <c r="L1246" s="13"/>
    </row>
    <row r="1247" spans="1:12">
      <c r="A1247" s="39" t="s">
        <v>5310</v>
      </c>
      <c r="B1247" s="13"/>
      <c r="C1247" s="13"/>
      <c r="D1247" s="13"/>
      <c r="E1247" s="13"/>
      <c r="F1247" s="13"/>
      <c r="G1247" s="13"/>
      <c r="H1247" s="13"/>
      <c r="I1247" s="39" t="s">
        <v>2357</v>
      </c>
      <c r="J1247" s="39" t="s">
        <v>2357</v>
      </c>
      <c r="K1247" s="13"/>
      <c r="L1247" s="13"/>
    </row>
    <row r="1248" spans="1:12">
      <c r="A1248" s="39" t="s">
        <v>4085</v>
      </c>
      <c r="B1248" s="13"/>
      <c r="C1248" s="13"/>
      <c r="D1248" s="13"/>
      <c r="E1248" s="13"/>
      <c r="F1248" s="13"/>
      <c r="G1248" s="13"/>
      <c r="H1248" s="13"/>
      <c r="I1248" s="39"/>
      <c r="J1248" s="39"/>
      <c r="K1248" s="13"/>
      <c r="L1248" s="13"/>
    </row>
    <row r="1249" spans="1:12">
      <c r="A1249" s="39" t="s">
        <v>7134</v>
      </c>
      <c r="B1249" s="13"/>
      <c r="C1249" s="13"/>
      <c r="D1249" s="13"/>
      <c r="E1249" s="13"/>
      <c r="F1249" s="13"/>
      <c r="G1249" s="13"/>
      <c r="H1249" s="13"/>
      <c r="I1249" s="39" t="s">
        <v>7121</v>
      </c>
      <c r="J1249" s="39" t="s">
        <v>7135</v>
      </c>
      <c r="K1249" s="13"/>
      <c r="L1249" s="13"/>
    </row>
    <row r="1250" spans="1:12">
      <c r="A1250" s="36"/>
      <c r="B1250" s="13"/>
      <c r="C1250" s="13"/>
      <c r="D1250" s="13"/>
      <c r="E1250" s="13"/>
      <c r="F1250" s="13"/>
      <c r="G1250" s="13"/>
      <c r="H1250" s="13"/>
      <c r="I1250" s="39" t="s">
        <v>7136</v>
      </c>
      <c r="J1250" s="39" t="s">
        <v>7137</v>
      </c>
      <c r="K1250" s="13"/>
      <c r="L1250" s="13"/>
    </row>
    <row r="1251" spans="1:12">
      <c r="A1251" s="39" t="s">
        <v>7138</v>
      </c>
      <c r="B1251" s="13"/>
      <c r="C1251" s="13"/>
      <c r="D1251" s="13"/>
      <c r="E1251" s="13"/>
      <c r="F1251" s="13"/>
      <c r="G1251" s="13"/>
      <c r="H1251" s="13"/>
      <c r="I1251" s="39" t="s">
        <v>7139</v>
      </c>
      <c r="J1251" s="39" t="s">
        <v>7140</v>
      </c>
      <c r="K1251" s="13"/>
      <c r="L1251" s="13"/>
    </row>
    <row r="1252" spans="1:12">
      <c r="A1252" s="39" t="s">
        <v>7141</v>
      </c>
      <c r="B1252" s="13"/>
      <c r="C1252" s="13"/>
      <c r="D1252" s="13"/>
      <c r="E1252" s="13"/>
      <c r="F1252" s="13"/>
      <c r="G1252" s="13"/>
      <c r="H1252" s="13"/>
      <c r="I1252" s="39" t="s">
        <v>6748</v>
      </c>
      <c r="J1252" s="39" t="s">
        <v>6748</v>
      </c>
      <c r="K1252" s="13"/>
      <c r="L1252" s="13"/>
    </row>
    <row r="1253" spans="1:12">
      <c r="A1253" s="39" t="s">
        <v>7142</v>
      </c>
      <c r="B1253" s="13"/>
      <c r="C1253" s="13"/>
      <c r="D1253" s="13"/>
      <c r="E1253" s="13"/>
      <c r="F1253" s="13"/>
      <c r="G1253" s="13"/>
      <c r="H1253" s="13"/>
      <c r="I1253" s="39" t="s">
        <v>2357</v>
      </c>
      <c r="J1253" s="39" t="s">
        <v>2357</v>
      </c>
      <c r="K1253" s="13"/>
      <c r="L1253" s="13"/>
    </row>
    <row r="1254" spans="1:12">
      <c r="A1254" s="39" t="s">
        <v>7143</v>
      </c>
      <c r="B1254" s="13"/>
      <c r="C1254" s="13"/>
      <c r="D1254" s="13"/>
      <c r="E1254" s="13"/>
      <c r="F1254" s="13"/>
      <c r="G1254" s="13"/>
      <c r="H1254" s="13"/>
      <c r="I1254" s="39"/>
      <c r="J1254" s="39"/>
      <c r="K1254" s="13"/>
      <c r="L1254" s="13"/>
    </row>
    <row r="1255" spans="1:12">
      <c r="A1255" s="39" t="s">
        <v>7144</v>
      </c>
      <c r="B1255" s="13"/>
      <c r="C1255" s="13"/>
      <c r="D1255" s="13"/>
      <c r="E1255" s="13"/>
      <c r="F1255" s="13"/>
      <c r="G1255" s="13"/>
      <c r="H1255" s="13"/>
      <c r="I1255" s="39" t="s">
        <v>7127</v>
      </c>
      <c r="J1255" s="39" t="s">
        <v>7145</v>
      </c>
      <c r="K1255" s="13"/>
      <c r="L1255" s="13"/>
    </row>
    <row r="1256" spans="1:12">
      <c r="A1256" s="39" t="s">
        <v>7146</v>
      </c>
      <c r="B1256" s="13"/>
      <c r="C1256" s="13"/>
      <c r="D1256" s="13"/>
      <c r="E1256" s="13"/>
      <c r="F1256" s="13"/>
      <c r="G1256" s="13"/>
      <c r="H1256" s="13"/>
      <c r="I1256" s="39" t="s">
        <v>7147</v>
      </c>
      <c r="J1256" s="39" t="s">
        <v>7148</v>
      </c>
      <c r="K1256" s="13"/>
      <c r="L1256" s="13"/>
    </row>
    <row r="1257" spans="1:12">
      <c r="A1257" s="39" t="s">
        <v>1273</v>
      </c>
      <c r="B1257" s="13"/>
      <c r="C1257" s="13"/>
      <c r="D1257" s="13"/>
      <c r="E1257" s="13"/>
      <c r="F1257" s="13"/>
      <c r="G1257" s="13"/>
      <c r="H1257" s="13"/>
      <c r="I1257" s="39" t="s">
        <v>7149</v>
      </c>
      <c r="J1257" s="39" t="s">
        <v>7123</v>
      </c>
      <c r="K1257" s="13"/>
      <c r="L1257" s="13"/>
    </row>
    <row r="1258" spans="1:12">
      <c r="A1258" s="39" t="s">
        <v>7150</v>
      </c>
      <c r="B1258" s="13"/>
      <c r="C1258" s="13"/>
      <c r="D1258" s="13"/>
      <c r="E1258" s="13"/>
      <c r="F1258" s="13"/>
      <c r="G1258" s="13"/>
      <c r="H1258" s="13"/>
      <c r="I1258" s="39" t="s">
        <v>6748</v>
      </c>
      <c r="J1258" s="39" t="s">
        <v>6748</v>
      </c>
      <c r="K1258" s="13"/>
      <c r="L1258" s="13"/>
    </row>
    <row r="1259" spans="1:12">
      <c r="A1259" s="39" t="s">
        <v>7151</v>
      </c>
      <c r="B1259" s="13"/>
      <c r="C1259" s="13"/>
      <c r="D1259" s="13"/>
      <c r="E1259" s="13"/>
      <c r="F1259" s="13"/>
      <c r="G1259" s="13"/>
      <c r="H1259" s="13"/>
      <c r="I1259" s="39" t="s">
        <v>2357</v>
      </c>
      <c r="J1259" s="39" t="s">
        <v>2357</v>
      </c>
      <c r="K1259" s="13"/>
      <c r="L1259" s="13"/>
    </row>
    <row r="1260" spans="1:12">
      <c r="A1260" s="39" t="s">
        <v>7152</v>
      </c>
      <c r="B1260" s="13"/>
      <c r="C1260" s="13"/>
      <c r="D1260" s="13"/>
      <c r="E1260" s="13"/>
      <c r="F1260" s="13"/>
      <c r="G1260" s="13"/>
      <c r="H1260" s="13"/>
      <c r="I1260" s="39"/>
      <c r="J1260" s="39"/>
      <c r="K1260" s="13"/>
      <c r="L1260" s="13"/>
    </row>
    <row r="1261" spans="1:12">
      <c r="A1261" s="39" t="s">
        <v>7153</v>
      </c>
      <c r="B1261" s="13"/>
      <c r="C1261" s="13"/>
      <c r="D1261" s="13"/>
      <c r="E1261" s="13"/>
      <c r="F1261" s="13"/>
      <c r="G1261" s="13"/>
      <c r="H1261" s="13"/>
      <c r="I1261" s="39" t="s">
        <v>7135</v>
      </c>
      <c r="J1261" s="39" t="s">
        <v>7154</v>
      </c>
      <c r="K1261" s="13"/>
      <c r="L1261" s="13"/>
    </row>
    <row r="1262" spans="1:12">
      <c r="A1262" s="39" t="s">
        <v>7095</v>
      </c>
      <c r="B1262" s="13"/>
      <c r="C1262" s="13"/>
      <c r="D1262" s="13"/>
      <c r="E1262" s="13"/>
      <c r="F1262" s="13"/>
      <c r="G1262" s="13"/>
      <c r="H1262" s="13"/>
      <c r="I1262" s="39" t="s">
        <v>7155</v>
      </c>
      <c r="J1262" s="39" t="s">
        <v>7156</v>
      </c>
      <c r="K1262" s="13"/>
      <c r="L1262" s="13"/>
    </row>
    <row r="1263" spans="1:12">
      <c r="A1263" s="39" t="s">
        <v>7097</v>
      </c>
      <c r="B1263" s="13"/>
      <c r="C1263" s="13"/>
      <c r="D1263" s="13"/>
      <c r="E1263" s="13"/>
      <c r="F1263" s="13"/>
      <c r="G1263" s="13"/>
      <c r="H1263" s="13"/>
      <c r="I1263" s="39" t="s">
        <v>7157</v>
      </c>
      <c r="J1263" s="39" t="s">
        <v>7158</v>
      </c>
      <c r="K1263" s="13"/>
      <c r="L1263" s="13"/>
    </row>
    <row r="1264" spans="1:12">
      <c r="A1264" s="39" t="s">
        <v>7100</v>
      </c>
      <c r="B1264" s="13"/>
      <c r="C1264" s="13"/>
      <c r="D1264" s="13"/>
      <c r="E1264" s="13"/>
      <c r="F1264" s="13"/>
      <c r="G1264" s="13"/>
      <c r="H1264" s="13"/>
      <c r="I1264" s="39" t="s">
        <v>6748</v>
      </c>
      <c r="J1264" s="39" t="s">
        <v>6748</v>
      </c>
      <c r="K1264" s="13"/>
      <c r="L1264" s="13"/>
    </row>
    <row r="1265" spans="1:12">
      <c r="A1265" s="39" t="s">
        <v>7159</v>
      </c>
      <c r="B1265" s="13"/>
      <c r="C1265" s="13"/>
      <c r="D1265" s="13"/>
      <c r="E1265" s="13"/>
      <c r="F1265" s="13"/>
      <c r="G1265" s="13"/>
      <c r="H1265" s="13"/>
      <c r="I1265" s="39" t="s">
        <v>2357</v>
      </c>
      <c r="J1265" s="39" t="s">
        <v>2357</v>
      </c>
      <c r="K1265" s="13"/>
      <c r="L1265" s="13"/>
    </row>
    <row r="1266" spans="1:12">
      <c r="A1266" s="39" t="s">
        <v>7104</v>
      </c>
      <c r="B1266" s="13"/>
      <c r="C1266" s="13"/>
      <c r="D1266" s="13"/>
      <c r="E1266" s="13"/>
      <c r="F1266" s="13"/>
      <c r="G1266" s="13"/>
      <c r="H1266" s="13"/>
      <c r="I1266" s="39"/>
      <c r="J1266" s="39"/>
      <c r="K1266" s="13"/>
      <c r="L1266" s="13"/>
    </row>
    <row r="1267" spans="1:12">
      <c r="A1267" s="39" t="s">
        <v>7160</v>
      </c>
      <c r="B1267" s="13"/>
      <c r="C1267" s="13"/>
      <c r="D1267" s="13"/>
      <c r="E1267" s="13"/>
      <c r="F1267" s="13"/>
      <c r="G1267" s="13"/>
      <c r="H1267" s="13"/>
      <c r="I1267" s="39" t="s">
        <v>7145</v>
      </c>
      <c r="J1267" s="39" t="s">
        <v>7161</v>
      </c>
      <c r="K1267" s="13"/>
      <c r="L1267" s="13"/>
    </row>
    <row r="1268" spans="1:12">
      <c r="A1268" s="39" t="s">
        <v>4177</v>
      </c>
      <c r="B1268" s="13"/>
      <c r="C1268" s="13"/>
      <c r="D1268" s="13"/>
      <c r="E1268" s="13"/>
      <c r="F1268" s="13"/>
      <c r="G1268" s="13"/>
      <c r="H1268" s="13"/>
      <c r="I1268" s="39" t="s">
        <v>7162</v>
      </c>
      <c r="J1268" s="39" t="s">
        <v>7163</v>
      </c>
      <c r="K1268" s="13"/>
      <c r="L1268" s="13"/>
    </row>
    <row r="1269" spans="1:12">
      <c r="A1269" s="39" t="s">
        <v>7160</v>
      </c>
      <c r="B1269" s="13"/>
      <c r="C1269" s="13"/>
      <c r="D1269" s="13"/>
      <c r="E1269" s="13"/>
      <c r="F1269" s="13"/>
      <c r="G1269" s="13"/>
      <c r="H1269" s="13"/>
      <c r="I1269" s="39" t="s">
        <v>7139</v>
      </c>
      <c r="J1269" s="39" t="s">
        <v>7164</v>
      </c>
      <c r="K1269" s="13"/>
      <c r="L1269" s="13"/>
    </row>
    <row r="1270" spans="1:12">
      <c r="A1270" s="39" t="s">
        <v>4188</v>
      </c>
      <c r="B1270" s="13"/>
      <c r="C1270" s="13"/>
      <c r="D1270" s="13"/>
      <c r="E1270" s="13"/>
      <c r="F1270" s="13"/>
      <c r="G1270" s="13"/>
      <c r="H1270" s="13"/>
      <c r="I1270" s="39" t="s">
        <v>6748</v>
      </c>
      <c r="J1270" s="39" t="s">
        <v>6748</v>
      </c>
      <c r="K1270" s="13"/>
      <c r="L1270" s="13"/>
    </row>
    <row r="1271" spans="1:12">
      <c r="A1271" s="39" t="s">
        <v>4063</v>
      </c>
      <c r="B1271" s="13"/>
      <c r="C1271" s="13"/>
      <c r="D1271" s="13"/>
      <c r="E1271" s="13"/>
      <c r="F1271" s="13"/>
      <c r="G1271" s="13"/>
      <c r="H1271" s="13"/>
      <c r="I1271" s="39" t="s">
        <v>2357</v>
      </c>
      <c r="J1271" s="39" t="s">
        <v>2357</v>
      </c>
      <c r="K1271" s="13"/>
      <c r="L1271" s="13"/>
    </row>
    <row r="1272" spans="1:12">
      <c r="A1272" s="39" t="s">
        <v>7165</v>
      </c>
      <c r="B1272" s="13"/>
      <c r="C1272" s="13"/>
      <c r="D1272" s="13"/>
      <c r="E1272" s="13"/>
      <c r="F1272" s="13"/>
      <c r="G1272" s="13"/>
      <c r="H1272" s="13"/>
      <c r="I1272" s="39"/>
      <c r="J1272" s="39"/>
      <c r="K1272" s="13"/>
      <c r="L1272" s="13"/>
    </row>
    <row r="1273" spans="1:12">
      <c r="A1273" s="39" t="s">
        <v>4085</v>
      </c>
      <c r="B1273" s="13"/>
      <c r="C1273" s="13"/>
      <c r="D1273" s="13"/>
      <c r="E1273" s="13"/>
      <c r="F1273" s="13"/>
      <c r="G1273" s="13"/>
      <c r="H1273" s="13"/>
      <c r="I1273" s="39" t="s">
        <v>7154</v>
      </c>
      <c r="J1273" s="39" t="s">
        <v>7166</v>
      </c>
      <c r="K1273" s="13"/>
      <c r="L1273" s="13"/>
    </row>
    <row r="1274" spans="1:12">
      <c r="A1274" s="36"/>
      <c r="B1274" s="13"/>
      <c r="C1274" s="13"/>
      <c r="D1274" s="13"/>
      <c r="E1274" s="13"/>
      <c r="F1274" s="13"/>
      <c r="G1274" s="13"/>
      <c r="H1274" s="13"/>
      <c r="I1274" s="39" t="s">
        <v>7167</v>
      </c>
      <c r="J1274" s="39" t="s">
        <v>7168</v>
      </c>
      <c r="K1274" s="13"/>
      <c r="L1274" s="13"/>
    </row>
    <row r="1275" spans="1:12">
      <c r="A1275" s="39" t="s">
        <v>7169</v>
      </c>
      <c r="B1275" s="13"/>
      <c r="C1275" s="13"/>
      <c r="D1275" s="13"/>
      <c r="E1275" s="13"/>
      <c r="F1275" s="13"/>
      <c r="G1275" s="13"/>
      <c r="H1275" s="13"/>
      <c r="I1275" s="39" t="s">
        <v>7170</v>
      </c>
      <c r="J1275" s="39" t="s">
        <v>7171</v>
      </c>
      <c r="K1275" s="13"/>
      <c r="L1275" s="13"/>
    </row>
    <row r="1276" spans="1:12">
      <c r="A1276" s="39" t="s">
        <v>7172</v>
      </c>
      <c r="B1276" s="13"/>
      <c r="C1276" s="13"/>
      <c r="D1276" s="13"/>
      <c r="E1276" s="13"/>
      <c r="F1276" s="13"/>
      <c r="G1276" s="13"/>
      <c r="H1276" s="13"/>
      <c r="I1276" s="39" t="s">
        <v>6748</v>
      </c>
      <c r="J1276" s="39" t="s">
        <v>6748</v>
      </c>
      <c r="K1276" s="13"/>
      <c r="L1276" s="13"/>
    </row>
    <row r="1277" spans="1:12">
      <c r="A1277" s="39" t="s">
        <v>7173</v>
      </c>
      <c r="B1277" s="13"/>
      <c r="C1277" s="13"/>
      <c r="D1277" s="13"/>
      <c r="E1277" s="13"/>
      <c r="F1277" s="13"/>
      <c r="G1277" s="13"/>
      <c r="H1277" s="13"/>
      <c r="I1277" s="39" t="s">
        <v>2357</v>
      </c>
      <c r="J1277" s="39" t="s">
        <v>2357</v>
      </c>
      <c r="K1277" s="13"/>
      <c r="L1277" s="13"/>
    </row>
    <row r="1278" spans="1:12">
      <c r="A1278" s="39" t="s">
        <v>7174</v>
      </c>
      <c r="B1278" s="13"/>
      <c r="C1278" s="13"/>
      <c r="D1278" s="13"/>
      <c r="E1278" s="13"/>
      <c r="F1278" s="13"/>
      <c r="G1278" s="13"/>
      <c r="H1278" s="13"/>
      <c r="I1278" s="39"/>
      <c r="J1278" s="39"/>
      <c r="K1278" s="13"/>
      <c r="L1278" s="13"/>
    </row>
    <row r="1279" spans="1:12">
      <c r="A1279" s="39" t="s">
        <v>7175</v>
      </c>
      <c r="B1279" s="13"/>
      <c r="C1279" s="13"/>
      <c r="D1279" s="13"/>
      <c r="E1279" s="13"/>
      <c r="F1279" s="13"/>
      <c r="G1279" s="13"/>
      <c r="H1279" s="13"/>
      <c r="I1279" s="39" t="s">
        <v>7176</v>
      </c>
      <c r="J1279" s="39" t="s">
        <v>7177</v>
      </c>
      <c r="K1279" s="13"/>
      <c r="L1279" s="13"/>
    </row>
    <row r="1280" spans="1:12">
      <c r="A1280" s="39" t="s">
        <v>7178</v>
      </c>
      <c r="B1280" s="13"/>
      <c r="C1280" s="13"/>
      <c r="D1280" s="13"/>
      <c r="E1280" s="13"/>
      <c r="F1280" s="13"/>
      <c r="G1280" s="13"/>
      <c r="H1280" s="13"/>
      <c r="I1280" s="39" t="s">
        <v>7179</v>
      </c>
      <c r="J1280" s="39" t="s">
        <v>7168</v>
      </c>
      <c r="K1280" s="13"/>
      <c r="L1280" s="13"/>
    </row>
    <row r="1281" spans="1:12">
      <c r="A1281" s="39" t="s">
        <v>7180</v>
      </c>
      <c r="B1281" s="13"/>
      <c r="C1281" s="13"/>
      <c r="D1281" s="13"/>
      <c r="E1281" s="13"/>
      <c r="F1281" s="13"/>
      <c r="G1281" s="13"/>
      <c r="H1281" s="13"/>
      <c r="I1281" s="39" t="s">
        <v>7181</v>
      </c>
      <c r="J1281" s="39" t="s">
        <v>7171</v>
      </c>
      <c r="K1281" s="13"/>
      <c r="L1281" s="13"/>
    </row>
    <row r="1282" spans="1:12">
      <c r="A1282" s="39" t="s">
        <v>7182</v>
      </c>
      <c r="B1282" s="13"/>
      <c r="C1282" s="13"/>
      <c r="D1282" s="13"/>
      <c r="E1282" s="13"/>
      <c r="F1282" s="13"/>
      <c r="G1282" s="13"/>
      <c r="H1282" s="13"/>
      <c r="I1282" s="39" t="s">
        <v>6748</v>
      </c>
      <c r="J1282" s="39" t="s">
        <v>6748</v>
      </c>
      <c r="K1282" s="13"/>
      <c r="L1282" s="13"/>
    </row>
    <row r="1283" spans="1:12">
      <c r="A1283" s="39" t="s">
        <v>4138</v>
      </c>
      <c r="B1283" s="13"/>
      <c r="C1283" s="13"/>
      <c r="D1283" s="13"/>
      <c r="E1283" s="13"/>
      <c r="F1283" s="13"/>
      <c r="G1283" s="13"/>
      <c r="H1283" s="13"/>
      <c r="I1283" s="39" t="s">
        <v>2357</v>
      </c>
      <c r="J1283" s="39" t="s">
        <v>2357</v>
      </c>
      <c r="K1283" s="13"/>
      <c r="L1283" s="13"/>
    </row>
    <row r="1284" spans="1:12">
      <c r="A1284" s="39" t="s">
        <v>7183</v>
      </c>
      <c r="B1284" s="13"/>
      <c r="C1284" s="13"/>
      <c r="D1284" s="13"/>
      <c r="E1284" s="13"/>
      <c r="F1284" s="13"/>
      <c r="G1284" s="13"/>
      <c r="H1284" s="13"/>
      <c r="I1284" s="39"/>
      <c r="J1284" s="39"/>
      <c r="K1284" s="13"/>
      <c r="L1284" s="13"/>
    </row>
    <row r="1285" spans="1:12">
      <c r="A1285" s="36"/>
      <c r="B1285" s="13"/>
      <c r="C1285" s="13"/>
      <c r="D1285" s="13"/>
      <c r="E1285" s="13"/>
      <c r="F1285" s="13"/>
      <c r="G1285" s="13"/>
      <c r="H1285" s="13"/>
      <c r="I1285" s="39" t="s">
        <v>7184</v>
      </c>
      <c r="J1285" s="39" t="s">
        <v>7185</v>
      </c>
      <c r="K1285" s="13"/>
      <c r="L1285" s="13"/>
    </row>
    <row r="1286" spans="1:12">
      <c r="A1286" s="39" t="s">
        <v>7186</v>
      </c>
      <c r="B1286" s="13"/>
      <c r="C1286" s="13"/>
      <c r="D1286" s="13"/>
      <c r="E1286" s="13"/>
      <c r="F1286" s="13"/>
      <c r="G1286" s="13"/>
      <c r="H1286" s="13"/>
      <c r="I1286" s="39" t="s">
        <v>7187</v>
      </c>
      <c r="J1286" s="39" t="s">
        <v>7188</v>
      </c>
      <c r="K1286" s="13"/>
      <c r="L1286" s="13"/>
    </row>
    <row r="1287" spans="1:12">
      <c r="A1287" s="39" t="s">
        <v>4999</v>
      </c>
      <c r="B1287" s="13"/>
      <c r="C1287" s="13"/>
      <c r="D1287" s="13"/>
      <c r="E1287" s="13"/>
      <c r="F1287" s="13"/>
      <c r="G1287" s="13"/>
      <c r="H1287" s="13"/>
      <c r="I1287" s="39" t="s">
        <v>7189</v>
      </c>
      <c r="J1287" s="39" t="s">
        <v>7190</v>
      </c>
      <c r="K1287" s="13"/>
      <c r="L1287" s="13"/>
    </row>
    <row r="1288" spans="1:12">
      <c r="A1288" s="39" t="s">
        <v>7191</v>
      </c>
      <c r="B1288" s="13"/>
      <c r="C1288" s="13"/>
      <c r="D1288" s="13"/>
      <c r="E1288" s="13"/>
      <c r="F1288" s="13"/>
      <c r="G1288" s="13"/>
      <c r="H1288" s="13"/>
      <c r="I1288" s="39" t="s">
        <v>6748</v>
      </c>
      <c r="J1288" s="39" t="s">
        <v>6748</v>
      </c>
      <c r="K1288" s="13"/>
      <c r="L1288" s="13"/>
    </row>
    <row r="1289" spans="1:12">
      <c r="A1289" s="39" t="s">
        <v>7192</v>
      </c>
      <c r="B1289" s="13"/>
      <c r="C1289" s="13"/>
      <c r="D1289" s="13"/>
      <c r="E1289" s="13"/>
      <c r="F1289" s="13"/>
      <c r="G1289" s="13"/>
      <c r="H1289" s="13"/>
      <c r="I1289" s="39" t="s">
        <v>2357</v>
      </c>
      <c r="J1289" s="39" t="s">
        <v>2357</v>
      </c>
      <c r="K1289" s="13"/>
      <c r="L1289" s="13"/>
    </row>
    <row r="1290" spans="1:12">
      <c r="A1290" s="39" t="s">
        <v>7062</v>
      </c>
      <c r="B1290" s="13"/>
      <c r="C1290" s="13"/>
      <c r="D1290" s="13"/>
      <c r="E1290" s="13"/>
      <c r="F1290" s="13"/>
      <c r="G1290" s="13"/>
      <c r="H1290" s="13"/>
      <c r="I1290" s="39"/>
      <c r="J1290" s="39"/>
      <c r="K1290" s="13"/>
      <c r="L1290" s="13"/>
    </row>
    <row r="1291" spans="1:12">
      <c r="A1291" s="39" t="s">
        <v>7063</v>
      </c>
      <c r="B1291" s="13"/>
      <c r="C1291" s="13"/>
      <c r="D1291" s="13"/>
      <c r="E1291" s="13"/>
      <c r="F1291" s="13"/>
      <c r="G1291" s="13"/>
      <c r="H1291" s="13"/>
      <c r="I1291" s="39" t="s">
        <v>7193</v>
      </c>
      <c r="J1291" s="39" t="s">
        <v>7176</v>
      </c>
      <c r="K1291" s="13"/>
      <c r="L1291" s="13"/>
    </row>
    <row r="1292" spans="1:12">
      <c r="A1292" s="39" t="s">
        <v>7194</v>
      </c>
      <c r="B1292" s="13"/>
      <c r="C1292" s="13"/>
      <c r="D1292" s="13"/>
      <c r="E1292" s="13"/>
      <c r="F1292" s="13"/>
      <c r="G1292" s="13"/>
      <c r="H1292" s="13"/>
      <c r="I1292" s="39" t="s">
        <v>7179</v>
      </c>
      <c r="J1292" s="39" t="s">
        <v>7195</v>
      </c>
      <c r="K1292" s="13"/>
      <c r="L1292" s="13"/>
    </row>
    <row r="1293" spans="1:12">
      <c r="A1293" s="39" t="s">
        <v>7196</v>
      </c>
      <c r="B1293" s="13"/>
      <c r="C1293" s="13"/>
      <c r="D1293" s="13"/>
      <c r="E1293" s="13"/>
      <c r="F1293" s="13"/>
      <c r="G1293" s="13"/>
      <c r="H1293" s="13"/>
      <c r="I1293" s="39" t="s">
        <v>7181</v>
      </c>
      <c r="J1293" s="39" t="s">
        <v>7197</v>
      </c>
      <c r="K1293" s="13"/>
      <c r="L1293" s="13"/>
    </row>
    <row r="1294" spans="1:12">
      <c r="A1294" s="39" t="s">
        <v>7066</v>
      </c>
      <c r="B1294" s="13"/>
      <c r="C1294" s="13"/>
      <c r="D1294" s="13"/>
      <c r="E1294" s="13"/>
      <c r="F1294" s="13"/>
      <c r="G1294" s="13"/>
      <c r="H1294" s="13"/>
      <c r="I1294" s="39" t="s">
        <v>6748</v>
      </c>
      <c r="J1294" s="39" t="s">
        <v>6748</v>
      </c>
      <c r="K1294" s="13"/>
      <c r="L1294" s="13"/>
    </row>
    <row r="1295" spans="1:12">
      <c r="A1295" s="39" t="s">
        <v>7198</v>
      </c>
      <c r="B1295" s="13"/>
      <c r="C1295" s="13"/>
      <c r="D1295" s="13"/>
      <c r="E1295" s="13"/>
      <c r="F1295" s="13"/>
      <c r="G1295" s="13"/>
      <c r="H1295" s="13"/>
      <c r="I1295" s="39" t="s">
        <v>2357</v>
      </c>
      <c r="J1295" s="39" t="s">
        <v>2357</v>
      </c>
      <c r="K1295" s="13"/>
      <c r="L1295" s="13"/>
    </row>
    <row r="1296" spans="1:12">
      <c r="A1296" s="39" t="s">
        <v>7199</v>
      </c>
      <c r="B1296" s="13"/>
      <c r="C1296" s="13"/>
      <c r="D1296" s="13"/>
      <c r="E1296" s="13"/>
      <c r="F1296" s="13"/>
      <c r="G1296" s="13"/>
      <c r="H1296" s="13"/>
      <c r="I1296" s="39"/>
      <c r="J1296" s="39"/>
      <c r="K1296" s="13"/>
      <c r="L1296" s="13"/>
    </row>
    <row r="1297" spans="1:12">
      <c r="A1297" s="39" t="s">
        <v>7200</v>
      </c>
      <c r="B1297" s="13"/>
      <c r="C1297" s="13"/>
      <c r="D1297" s="13"/>
      <c r="E1297" s="13"/>
      <c r="F1297" s="13"/>
      <c r="G1297" s="13"/>
      <c r="H1297" s="13"/>
      <c r="I1297" s="39" t="s">
        <v>7201</v>
      </c>
      <c r="J1297" s="39" t="s">
        <v>7184</v>
      </c>
      <c r="K1297" s="13"/>
      <c r="L1297" s="13"/>
    </row>
    <row r="1298" spans="1:12">
      <c r="A1298" s="36"/>
      <c r="B1298" s="13"/>
      <c r="C1298" s="13"/>
      <c r="D1298" s="13"/>
      <c r="E1298" s="13"/>
      <c r="F1298" s="13"/>
      <c r="G1298" s="13"/>
      <c r="H1298" s="13"/>
      <c r="I1298" s="39" t="s">
        <v>7187</v>
      </c>
      <c r="J1298" s="39" t="s">
        <v>7202</v>
      </c>
      <c r="K1298" s="13"/>
      <c r="L1298" s="13"/>
    </row>
    <row r="1299" spans="1:12">
      <c r="A1299" s="39" t="s">
        <v>3054</v>
      </c>
      <c r="B1299" s="13"/>
      <c r="C1299" s="13"/>
      <c r="D1299" s="13"/>
      <c r="E1299" s="13"/>
      <c r="F1299" s="13"/>
      <c r="G1299" s="13"/>
      <c r="H1299" s="13"/>
      <c r="I1299" s="39" t="s">
        <v>7189</v>
      </c>
      <c r="J1299" s="39" t="s">
        <v>7203</v>
      </c>
      <c r="K1299" s="13"/>
      <c r="L1299" s="13"/>
    </row>
    <row r="1300" spans="1:12">
      <c r="A1300" s="39" t="s">
        <v>1273</v>
      </c>
      <c r="B1300" s="13"/>
      <c r="C1300" s="13"/>
      <c r="D1300" s="13"/>
      <c r="E1300" s="13"/>
      <c r="F1300" s="13"/>
      <c r="G1300" s="13"/>
      <c r="H1300" s="13"/>
      <c r="I1300" s="39" t="s">
        <v>6748</v>
      </c>
      <c r="J1300" s="39" t="s">
        <v>6748</v>
      </c>
      <c r="K1300" s="13"/>
      <c r="L1300" s="13"/>
    </row>
    <row r="1301" spans="1:12">
      <c r="A1301" s="39" t="s">
        <v>7204</v>
      </c>
      <c r="B1301" s="13"/>
      <c r="C1301" s="13"/>
      <c r="D1301" s="13"/>
      <c r="E1301" s="13"/>
      <c r="F1301" s="13"/>
      <c r="G1301" s="13"/>
      <c r="H1301" s="13"/>
      <c r="I1301" s="39" t="s">
        <v>2357</v>
      </c>
      <c r="J1301" s="39" t="s">
        <v>2357</v>
      </c>
      <c r="K1301" s="13"/>
      <c r="L1301" s="13"/>
    </row>
    <row r="1302" spans="1:12">
      <c r="A1302" s="39" t="s">
        <v>7205</v>
      </c>
      <c r="B1302" s="13"/>
      <c r="C1302" s="13"/>
      <c r="D1302" s="13"/>
      <c r="E1302" s="13"/>
      <c r="F1302" s="13"/>
      <c r="G1302" s="13"/>
      <c r="H1302" s="13"/>
      <c r="I1302" s="39"/>
      <c r="J1302" s="39" t="s">
        <v>7193</v>
      </c>
      <c r="K1302" s="13"/>
      <c r="L1302" s="13"/>
    </row>
    <row r="1303" spans="1:12">
      <c r="A1303" s="39" t="s">
        <v>2237</v>
      </c>
      <c r="B1303" s="13"/>
      <c r="C1303" s="13"/>
      <c r="D1303" s="13"/>
      <c r="E1303" s="13"/>
      <c r="F1303" s="13"/>
      <c r="G1303" s="13"/>
      <c r="H1303" s="13"/>
      <c r="I1303" s="39" t="s">
        <v>7206</v>
      </c>
      <c r="J1303" s="39" t="s">
        <v>7195</v>
      </c>
      <c r="K1303" s="13"/>
      <c r="L1303" s="13"/>
    </row>
    <row r="1304" spans="1:12">
      <c r="A1304" s="36"/>
      <c r="B1304" s="13"/>
      <c r="C1304" s="13"/>
      <c r="D1304" s="13"/>
      <c r="E1304" s="13"/>
      <c r="F1304" s="13"/>
      <c r="G1304" s="13"/>
      <c r="H1304" s="13"/>
      <c r="I1304" s="39" t="s">
        <v>7207</v>
      </c>
      <c r="J1304" s="39" t="s">
        <v>7197</v>
      </c>
      <c r="K1304" s="13"/>
      <c r="L1304" s="13"/>
    </row>
    <row r="1305" spans="1:12">
      <c r="A1305" s="39" t="s">
        <v>7208</v>
      </c>
      <c r="B1305" s="13"/>
      <c r="C1305" s="13"/>
      <c r="D1305" s="13"/>
      <c r="E1305" s="13"/>
      <c r="F1305" s="13"/>
      <c r="G1305" s="13"/>
      <c r="H1305" s="13"/>
      <c r="I1305" s="39" t="s">
        <v>7209</v>
      </c>
      <c r="J1305" s="39" t="s">
        <v>6748</v>
      </c>
      <c r="K1305" s="13"/>
      <c r="L1305" s="13"/>
    </row>
    <row r="1306" spans="1:12">
      <c r="A1306" s="39" t="s">
        <v>2265</v>
      </c>
      <c r="B1306" s="13"/>
      <c r="C1306" s="13"/>
      <c r="D1306" s="13"/>
      <c r="E1306" s="13"/>
      <c r="F1306" s="13"/>
      <c r="G1306" s="13"/>
      <c r="H1306" s="13"/>
      <c r="I1306" s="39" t="s">
        <v>6748</v>
      </c>
      <c r="J1306" s="39" t="s">
        <v>2357</v>
      </c>
      <c r="K1306" s="13"/>
      <c r="L1306" s="13"/>
    </row>
    <row r="1307" spans="1:12">
      <c r="A1307" s="39" t="s">
        <v>1259</v>
      </c>
      <c r="B1307" s="13"/>
      <c r="C1307" s="13"/>
      <c r="D1307" s="13"/>
      <c r="E1307" s="13"/>
      <c r="F1307" s="13"/>
      <c r="G1307" s="13"/>
      <c r="H1307" s="13"/>
      <c r="I1307" s="39" t="s">
        <v>2357</v>
      </c>
      <c r="J1307" s="39"/>
      <c r="K1307" s="13"/>
      <c r="L1307" s="13"/>
    </row>
    <row r="1308" spans="1:12">
      <c r="A1308" s="39" t="s">
        <v>7210</v>
      </c>
      <c r="B1308" s="13"/>
      <c r="C1308" s="13"/>
      <c r="D1308" s="13"/>
      <c r="E1308" s="13"/>
      <c r="F1308" s="13"/>
      <c r="G1308" s="13"/>
      <c r="H1308" s="13"/>
      <c r="I1308" s="39"/>
      <c r="J1308" s="39" t="s">
        <v>7201</v>
      </c>
      <c r="K1308" s="13"/>
      <c r="L1308" s="13"/>
    </row>
    <row r="1309" spans="1:12">
      <c r="A1309" s="36"/>
      <c r="B1309" s="13"/>
      <c r="C1309" s="13"/>
      <c r="D1309" s="13"/>
      <c r="E1309" s="13"/>
      <c r="F1309" s="13"/>
      <c r="G1309" s="13"/>
      <c r="H1309" s="13"/>
      <c r="I1309" s="39" t="s">
        <v>7211</v>
      </c>
      <c r="J1309" s="39" t="s">
        <v>7202</v>
      </c>
      <c r="K1309" s="13"/>
      <c r="L1309" s="13"/>
    </row>
    <row r="1310" spans="1:12">
      <c r="A1310" s="39" t="s">
        <v>7212</v>
      </c>
      <c r="B1310" s="13"/>
      <c r="C1310" s="13"/>
      <c r="D1310" s="13"/>
      <c r="E1310" s="13"/>
      <c r="F1310" s="13"/>
      <c r="G1310" s="13"/>
      <c r="H1310" s="13"/>
      <c r="I1310" s="39" t="s">
        <v>7213</v>
      </c>
      <c r="J1310" s="39" t="s">
        <v>7203</v>
      </c>
      <c r="K1310" s="13"/>
      <c r="L1310" s="13"/>
    </row>
    <row r="1311" spans="1:12">
      <c r="A1311" s="39" t="s">
        <v>7214</v>
      </c>
      <c r="B1311" s="13"/>
      <c r="C1311" s="13"/>
      <c r="D1311" s="13"/>
      <c r="E1311" s="13"/>
      <c r="F1311" s="13"/>
      <c r="G1311" s="13"/>
      <c r="H1311" s="13"/>
      <c r="I1311" s="39" t="s">
        <v>7215</v>
      </c>
      <c r="J1311" s="39" t="s">
        <v>6748</v>
      </c>
      <c r="K1311" s="13"/>
      <c r="L1311" s="13"/>
    </row>
    <row r="1312" spans="1:12">
      <c r="A1312" s="39" t="s">
        <v>7216</v>
      </c>
      <c r="B1312" s="13"/>
      <c r="C1312" s="13"/>
      <c r="D1312" s="13"/>
      <c r="E1312" s="13"/>
      <c r="F1312" s="13"/>
      <c r="G1312" s="13"/>
      <c r="H1312" s="13"/>
      <c r="I1312" s="39" t="s">
        <v>6748</v>
      </c>
      <c r="J1312" s="39" t="s">
        <v>2357</v>
      </c>
      <c r="K1312" s="13"/>
      <c r="L1312" s="13"/>
    </row>
    <row r="1313" spans="1:12">
      <c r="A1313" s="39" t="s">
        <v>7217</v>
      </c>
      <c r="B1313" s="13"/>
      <c r="C1313" s="13"/>
      <c r="D1313" s="13"/>
      <c r="E1313" s="13"/>
      <c r="F1313" s="13"/>
      <c r="G1313" s="13"/>
      <c r="H1313" s="13"/>
      <c r="I1313" s="39" t="s">
        <v>2357</v>
      </c>
      <c r="J1313" s="39"/>
      <c r="K1313" s="13"/>
      <c r="L1313" s="13"/>
    </row>
    <row r="1314" spans="1:12">
      <c r="A1314" s="39" t="s">
        <v>7218</v>
      </c>
      <c r="B1314" s="13"/>
      <c r="C1314" s="13"/>
      <c r="D1314" s="13"/>
      <c r="E1314" s="13"/>
      <c r="F1314" s="13"/>
      <c r="G1314" s="13"/>
      <c r="H1314" s="13"/>
      <c r="I1314" s="39"/>
      <c r="J1314" s="39" t="s">
        <v>7206</v>
      </c>
      <c r="K1314" s="13"/>
      <c r="L1314" s="13"/>
    </row>
    <row r="1315" spans="1:12">
      <c r="A1315" s="39" t="s">
        <v>2626</v>
      </c>
      <c r="B1315" s="13"/>
      <c r="C1315" s="13"/>
      <c r="D1315" s="13"/>
      <c r="E1315" s="13"/>
      <c r="F1315" s="13"/>
      <c r="G1315" s="13"/>
      <c r="H1315" s="13"/>
      <c r="I1315" s="39" t="s">
        <v>7219</v>
      </c>
      <c r="J1315" s="39" t="s">
        <v>7220</v>
      </c>
      <c r="K1315" s="13"/>
      <c r="L1315" s="13"/>
    </row>
    <row r="1316" spans="1:12">
      <c r="A1316" s="39" t="s">
        <v>2357</v>
      </c>
      <c r="B1316" s="13"/>
      <c r="C1316" s="13"/>
      <c r="D1316" s="13"/>
      <c r="E1316" s="13"/>
      <c r="F1316" s="13"/>
      <c r="G1316" s="13"/>
      <c r="H1316" s="13"/>
      <c r="I1316" s="39" t="s">
        <v>7221</v>
      </c>
      <c r="J1316" s="39" t="s">
        <v>7222</v>
      </c>
      <c r="K1316" s="13"/>
      <c r="L1316" s="13"/>
    </row>
    <row r="1317" spans="1:12">
      <c r="A1317" s="39" t="s">
        <v>7223</v>
      </c>
      <c r="B1317" s="13"/>
      <c r="C1317" s="13"/>
      <c r="D1317" s="13"/>
      <c r="E1317" s="13"/>
      <c r="F1317" s="13"/>
      <c r="G1317" s="13"/>
      <c r="H1317" s="13"/>
      <c r="I1317" s="39" t="s">
        <v>7224</v>
      </c>
      <c r="J1317" s="39" t="s">
        <v>6748</v>
      </c>
      <c r="K1317" s="13"/>
      <c r="L1317" s="13"/>
    </row>
    <row r="1318" spans="1:12">
      <c r="A1318" s="39" t="s">
        <v>7225</v>
      </c>
      <c r="B1318" s="13"/>
      <c r="C1318" s="13"/>
      <c r="D1318" s="13"/>
      <c r="E1318" s="13"/>
      <c r="F1318" s="13"/>
      <c r="G1318" s="13"/>
      <c r="H1318" s="13"/>
      <c r="I1318" s="39" t="s">
        <v>6748</v>
      </c>
      <c r="J1318" s="39" t="s">
        <v>2357</v>
      </c>
      <c r="K1318" s="13"/>
      <c r="L1318" s="13"/>
    </row>
    <row r="1319" spans="1:12">
      <c r="A1319" s="39" t="s">
        <v>7226</v>
      </c>
      <c r="B1319" s="13"/>
      <c r="C1319" s="13"/>
      <c r="D1319" s="13"/>
      <c r="E1319" s="13"/>
      <c r="F1319" s="13"/>
      <c r="G1319" s="13"/>
      <c r="H1319" s="13"/>
      <c r="I1319" s="39" t="s">
        <v>2357</v>
      </c>
      <c r="J1319" s="39"/>
      <c r="K1319" s="13"/>
      <c r="L1319" s="13"/>
    </row>
    <row r="1320" spans="1:12">
      <c r="A1320" s="39" t="s">
        <v>7227</v>
      </c>
      <c r="B1320" s="13"/>
      <c r="C1320" s="13"/>
      <c r="D1320" s="13"/>
      <c r="E1320" s="13"/>
      <c r="F1320" s="13"/>
      <c r="G1320" s="13"/>
      <c r="H1320" s="13"/>
      <c r="I1320" s="39"/>
      <c r="J1320" s="39" t="s">
        <v>7211</v>
      </c>
      <c r="K1320" s="13"/>
      <c r="L1320" s="13"/>
    </row>
    <row r="1321" spans="1:12">
      <c r="A1321" s="39" t="s">
        <v>7228</v>
      </c>
      <c r="B1321" s="13"/>
      <c r="C1321" s="13"/>
      <c r="D1321" s="13"/>
      <c r="E1321" s="13"/>
      <c r="F1321" s="13"/>
      <c r="G1321" s="13"/>
      <c r="H1321" s="13"/>
      <c r="I1321" s="39" t="s">
        <v>7229</v>
      </c>
      <c r="J1321" s="39" t="s">
        <v>7230</v>
      </c>
      <c r="K1321" s="13"/>
      <c r="L1321" s="13"/>
    </row>
    <row r="1322" spans="1:12">
      <c r="A1322" s="39" t="s">
        <v>7231</v>
      </c>
      <c r="B1322" s="13"/>
      <c r="C1322" s="13"/>
      <c r="D1322" s="13"/>
      <c r="E1322" s="13"/>
      <c r="F1322" s="13"/>
      <c r="G1322" s="13"/>
      <c r="H1322" s="13"/>
      <c r="I1322" s="39" t="s">
        <v>7232</v>
      </c>
      <c r="J1322" s="39" t="s">
        <v>7233</v>
      </c>
      <c r="K1322" s="13"/>
      <c r="L1322" s="13"/>
    </row>
    <row r="1323" spans="1:12">
      <c r="A1323" s="39" t="s">
        <v>7234</v>
      </c>
      <c r="B1323" s="13"/>
      <c r="C1323" s="13"/>
      <c r="D1323" s="13"/>
      <c r="E1323" s="13"/>
      <c r="F1323" s="13"/>
      <c r="G1323" s="13"/>
      <c r="H1323" s="13"/>
      <c r="I1323" s="39" t="s">
        <v>7235</v>
      </c>
      <c r="J1323" s="39" t="s">
        <v>6748</v>
      </c>
      <c r="K1323" s="13"/>
      <c r="L1323" s="13"/>
    </row>
    <row r="1324" spans="1:12">
      <c r="A1324" s="39" t="s">
        <v>7236</v>
      </c>
      <c r="B1324" s="13"/>
      <c r="C1324" s="13"/>
      <c r="D1324" s="13"/>
      <c r="E1324" s="13"/>
      <c r="F1324" s="13"/>
      <c r="G1324" s="13"/>
      <c r="H1324" s="13"/>
      <c r="I1324" s="39" t="s">
        <v>6748</v>
      </c>
      <c r="J1324" s="39" t="s">
        <v>2357</v>
      </c>
      <c r="K1324" s="13"/>
      <c r="L1324" s="13"/>
    </row>
    <row r="1325" spans="1:12">
      <c r="A1325" s="39" t="s">
        <v>7237</v>
      </c>
      <c r="B1325" s="13"/>
      <c r="C1325" s="13"/>
      <c r="D1325" s="13"/>
      <c r="E1325" s="13"/>
      <c r="F1325" s="13"/>
      <c r="G1325" s="13"/>
      <c r="H1325" s="13"/>
      <c r="I1325" s="39" t="s">
        <v>2357</v>
      </c>
      <c r="J1325" s="39"/>
      <c r="K1325" s="13"/>
      <c r="L1325" s="13"/>
    </row>
    <row r="1326" spans="1:12">
      <c r="A1326" s="36"/>
      <c r="B1326" s="13"/>
      <c r="C1326" s="13"/>
      <c r="D1326" s="13"/>
      <c r="E1326" s="13"/>
      <c r="F1326" s="13"/>
      <c r="G1326" s="13"/>
      <c r="H1326" s="13"/>
      <c r="I1326" s="39"/>
      <c r="J1326" s="39" t="s">
        <v>7219</v>
      </c>
      <c r="K1326" s="13"/>
      <c r="L1326" s="13"/>
    </row>
    <row r="1327" spans="1:12">
      <c r="A1327" s="39" t="s">
        <v>7238</v>
      </c>
      <c r="B1327" s="13"/>
      <c r="C1327" s="13"/>
      <c r="D1327" s="13"/>
      <c r="E1327" s="13"/>
      <c r="F1327" s="13"/>
      <c r="G1327" s="13"/>
      <c r="H1327" s="13"/>
      <c r="I1327" s="39" t="s">
        <v>7239</v>
      </c>
      <c r="J1327" s="39" t="s">
        <v>7240</v>
      </c>
      <c r="K1327" s="13"/>
      <c r="L1327" s="13"/>
    </row>
    <row r="1328" spans="1:12">
      <c r="A1328" s="39" t="s">
        <v>7241</v>
      </c>
      <c r="B1328" s="13"/>
      <c r="C1328" s="13"/>
      <c r="D1328" s="13"/>
      <c r="E1328" s="13"/>
      <c r="F1328" s="13"/>
      <c r="G1328" s="13"/>
      <c r="H1328" s="13"/>
      <c r="I1328" s="39" t="s">
        <v>7242</v>
      </c>
      <c r="J1328" s="39" t="s">
        <v>7243</v>
      </c>
      <c r="K1328" s="13"/>
      <c r="L1328" s="13"/>
    </row>
    <row r="1329" spans="1:12">
      <c r="A1329" s="39" t="s">
        <v>7244</v>
      </c>
      <c r="B1329" s="13"/>
      <c r="C1329" s="13"/>
      <c r="D1329" s="13"/>
      <c r="E1329" s="13"/>
      <c r="F1329" s="13"/>
      <c r="G1329" s="13"/>
      <c r="H1329" s="13"/>
      <c r="I1329" s="39" t="s">
        <v>7245</v>
      </c>
      <c r="J1329" s="39" t="s">
        <v>6748</v>
      </c>
      <c r="K1329" s="13"/>
      <c r="L1329" s="13"/>
    </row>
    <row r="1330" spans="1:12">
      <c r="A1330" s="39" t="s">
        <v>2596</v>
      </c>
      <c r="B1330" s="13"/>
      <c r="C1330" s="13"/>
      <c r="D1330" s="13"/>
      <c r="E1330" s="13"/>
      <c r="F1330" s="13"/>
      <c r="G1330" s="13"/>
      <c r="H1330" s="13"/>
      <c r="I1330" s="39" t="s">
        <v>3364</v>
      </c>
      <c r="J1330" s="39" t="s">
        <v>2357</v>
      </c>
      <c r="K1330" s="13"/>
      <c r="L1330" s="13"/>
    </row>
    <row r="1331" spans="1:12">
      <c r="A1331" s="39" t="s">
        <v>7246</v>
      </c>
      <c r="B1331" s="13"/>
      <c r="C1331" s="13"/>
      <c r="D1331" s="13"/>
      <c r="E1331" s="13"/>
      <c r="F1331" s="13"/>
      <c r="G1331" s="13"/>
      <c r="H1331" s="13"/>
      <c r="I1331" s="39" t="s">
        <v>1999</v>
      </c>
      <c r="J1331" s="39"/>
      <c r="K1331" s="13"/>
      <c r="L1331" s="13"/>
    </row>
    <row r="1332" spans="1:12">
      <c r="A1332" s="39" t="s">
        <v>7247</v>
      </c>
      <c r="B1332" s="13"/>
      <c r="C1332" s="13"/>
      <c r="D1332" s="13"/>
      <c r="E1332" s="13"/>
      <c r="F1332" s="13"/>
      <c r="G1332" s="13"/>
      <c r="H1332" s="13"/>
      <c r="I1332" s="39" t="s">
        <v>2237</v>
      </c>
      <c r="J1332" s="39" t="s">
        <v>7229</v>
      </c>
      <c r="K1332" s="13"/>
      <c r="L1332" s="13"/>
    </row>
    <row r="1333" spans="1:12">
      <c r="A1333" s="39" t="s">
        <v>2596</v>
      </c>
      <c r="B1333" s="13"/>
      <c r="C1333" s="13"/>
      <c r="D1333" s="13"/>
      <c r="E1333" s="13"/>
      <c r="F1333" s="13"/>
      <c r="G1333" s="13"/>
      <c r="H1333" s="13"/>
      <c r="I1333" s="39" t="s">
        <v>7248</v>
      </c>
      <c r="J1333" s="39" t="s">
        <v>7249</v>
      </c>
      <c r="K1333" s="13"/>
      <c r="L1333" s="13"/>
    </row>
    <row r="1334" spans="1:12">
      <c r="A1334" s="39" t="s">
        <v>7250</v>
      </c>
      <c r="B1334" s="13"/>
      <c r="C1334" s="13"/>
      <c r="D1334" s="13"/>
      <c r="E1334" s="13"/>
      <c r="F1334" s="13"/>
      <c r="G1334" s="13"/>
      <c r="H1334" s="13"/>
      <c r="I1334" s="39" t="s">
        <v>2265</v>
      </c>
      <c r="J1334" s="39" t="s">
        <v>7251</v>
      </c>
      <c r="K1334" s="13"/>
      <c r="L1334" s="13"/>
    </row>
    <row r="1335" spans="1:12">
      <c r="A1335" s="39" t="s">
        <v>7252</v>
      </c>
      <c r="B1335" s="13"/>
      <c r="C1335" s="13"/>
      <c r="D1335" s="13"/>
      <c r="E1335" s="13"/>
      <c r="F1335" s="13"/>
      <c r="G1335" s="13"/>
      <c r="H1335" s="13"/>
      <c r="I1335" s="39" t="s">
        <v>1259</v>
      </c>
      <c r="J1335" s="39" t="s">
        <v>6748</v>
      </c>
      <c r="K1335" s="13"/>
      <c r="L1335" s="13"/>
    </row>
    <row r="1336" spans="1:12">
      <c r="A1336" s="39" t="s">
        <v>2596</v>
      </c>
      <c r="B1336" s="13"/>
      <c r="C1336" s="13"/>
      <c r="D1336" s="13"/>
      <c r="E1336" s="13"/>
      <c r="F1336" s="13"/>
      <c r="G1336" s="13"/>
      <c r="H1336" s="13"/>
      <c r="I1336" s="39" t="s">
        <v>7253</v>
      </c>
      <c r="J1336" s="39" t="s">
        <v>2357</v>
      </c>
      <c r="K1336" s="13"/>
      <c r="L1336" s="13"/>
    </row>
    <row r="1337" spans="1:12">
      <c r="A1337" s="39" t="s">
        <v>7254</v>
      </c>
      <c r="B1337" s="13"/>
      <c r="C1337" s="13"/>
      <c r="D1337" s="13"/>
      <c r="E1337" s="13"/>
      <c r="F1337" s="13"/>
      <c r="G1337" s="13"/>
      <c r="H1337" s="13"/>
      <c r="I1337" s="39" t="s">
        <v>1999</v>
      </c>
      <c r="J1337" s="39" t="s">
        <v>7255</v>
      </c>
      <c r="K1337" s="13"/>
      <c r="L1337" s="13"/>
    </row>
    <row r="1338" spans="1:12">
      <c r="A1338" s="39" t="s">
        <v>7256</v>
      </c>
      <c r="B1338" s="13"/>
      <c r="C1338" s="13"/>
      <c r="D1338" s="13"/>
      <c r="E1338" s="13"/>
      <c r="F1338" s="13"/>
      <c r="G1338" s="13"/>
      <c r="H1338" s="13"/>
      <c r="I1338" s="39" t="s">
        <v>4956</v>
      </c>
      <c r="J1338" s="39" t="s">
        <v>7257</v>
      </c>
      <c r="K1338" s="13"/>
      <c r="L1338" s="13"/>
    </row>
    <row r="1339" spans="1:12">
      <c r="A1339" s="39" t="s">
        <v>7234</v>
      </c>
      <c r="B1339" s="13"/>
      <c r="C1339" s="13"/>
      <c r="D1339" s="13"/>
      <c r="E1339" s="13"/>
      <c r="F1339" s="13"/>
      <c r="G1339" s="13"/>
      <c r="H1339" s="13"/>
      <c r="I1339" s="39" t="s">
        <v>4961</v>
      </c>
      <c r="J1339" s="39" t="s">
        <v>7258</v>
      </c>
      <c r="K1339" s="13"/>
      <c r="L1339" s="13"/>
    </row>
    <row r="1340" spans="1:12">
      <c r="A1340" s="39" t="s">
        <v>7236</v>
      </c>
      <c r="B1340" s="13"/>
      <c r="C1340" s="13"/>
      <c r="D1340" s="13"/>
      <c r="E1340" s="13"/>
      <c r="F1340" s="13"/>
      <c r="G1340" s="13"/>
      <c r="H1340" s="13"/>
      <c r="I1340" s="39" t="s">
        <v>4962</v>
      </c>
      <c r="J1340" s="39" t="s">
        <v>7259</v>
      </c>
      <c r="K1340" s="13"/>
      <c r="L1340" s="13"/>
    </row>
    <row r="1341" spans="1:12">
      <c r="A1341" s="39" t="s">
        <v>7237</v>
      </c>
      <c r="B1341" s="13"/>
      <c r="C1341" s="13"/>
      <c r="D1341" s="13"/>
      <c r="E1341" s="13"/>
      <c r="F1341" s="13"/>
      <c r="G1341" s="13"/>
      <c r="H1341" s="13"/>
      <c r="I1341" s="39" t="s">
        <v>4967</v>
      </c>
      <c r="J1341" s="39" t="s">
        <v>7260</v>
      </c>
      <c r="K1341" s="13"/>
      <c r="L1341" s="13"/>
    </row>
    <row r="1342" spans="1:12">
      <c r="A1342" s="36"/>
      <c r="B1342" s="13"/>
      <c r="C1342" s="13"/>
      <c r="D1342" s="13"/>
      <c r="E1342" s="13"/>
      <c r="F1342" s="13"/>
      <c r="G1342" s="13"/>
      <c r="H1342" s="13"/>
      <c r="I1342" s="39" t="s">
        <v>4970</v>
      </c>
      <c r="J1342" s="39"/>
      <c r="K1342" s="13"/>
      <c r="L1342" s="13"/>
    </row>
    <row r="1343" spans="1:12">
      <c r="A1343" s="39" t="s">
        <v>7261</v>
      </c>
      <c r="B1343" s="13"/>
      <c r="C1343" s="13"/>
      <c r="D1343" s="13"/>
      <c r="E1343" s="13"/>
      <c r="F1343" s="13"/>
      <c r="G1343" s="13"/>
      <c r="H1343" s="13"/>
      <c r="I1343" s="39" t="s">
        <v>4975</v>
      </c>
      <c r="J1343" s="39" t="s">
        <v>7262</v>
      </c>
      <c r="K1343" s="13"/>
      <c r="L1343" s="13"/>
    </row>
    <row r="1344" spans="1:12">
      <c r="A1344" s="39" t="s">
        <v>7263</v>
      </c>
      <c r="B1344" s="13"/>
      <c r="C1344" s="13"/>
      <c r="D1344" s="13"/>
      <c r="E1344" s="13"/>
      <c r="F1344" s="13"/>
      <c r="G1344" s="13"/>
      <c r="H1344" s="13"/>
      <c r="I1344" s="39" t="s">
        <v>4980</v>
      </c>
      <c r="J1344" s="39" t="s">
        <v>7264</v>
      </c>
      <c r="K1344" s="13"/>
      <c r="L1344" s="13"/>
    </row>
    <row r="1345" spans="1:12">
      <c r="A1345" s="39" t="s">
        <v>7254</v>
      </c>
      <c r="B1345" s="13"/>
      <c r="C1345" s="13"/>
      <c r="D1345" s="13"/>
      <c r="E1345" s="13"/>
      <c r="F1345" s="13"/>
      <c r="G1345" s="13"/>
      <c r="H1345" s="13"/>
      <c r="I1345" s="39" t="s">
        <v>4983</v>
      </c>
      <c r="J1345" s="39"/>
      <c r="K1345" s="13"/>
      <c r="L1345" s="13"/>
    </row>
    <row r="1346" spans="1:12">
      <c r="A1346" s="39" t="s">
        <v>7256</v>
      </c>
      <c r="B1346" s="13"/>
      <c r="C1346" s="13"/>
      <c r="D1346" s="13"/>
      <c r="E1346" s="13"/>
      <c r="F1346" s="13"/>
      <c r="G1346" s="13"/>
      <c r="H1346" s="13"/>
      <c r="I1346" s="39" t="s">
        <v>4988</v>
      </c>
      <c r="J1346" s="39" t="s">
        <v>7265</v>
      </c>
      <c r="K1346" s="13"/>
      <c r="L1346" s="13"/>
    </row>
    <row r="1347" spans="1:12">
      <c r="A1347" s="39" t="s">
        <v>7266</v>
      </c>
      <c r="B1347" s="13"/>
      <c r="C1347" s="13"/>
      <c r="D1347" s="13"/>
      <c r="E1347" s="13"/>
      <c r="F1347" s="13"/>
      <c r="G1347" s="13"/>
      <c r="H1347" s="13"/>
      <c r="I1347" s="39" t="s">
        <v>4994</v>
      </c>
      <c r="J1347" s="39" t="s">
        <v>7267</v>
      </c>
      <c r="K1347" s="13"/>
      <c r="L1347" s="13"/>
    </row>
    <row r="1348" spans="1:12">
      <c r="A1348" s="39" t="s">
        <v>7268</v>
      </c>
      <c r="B1348" s="13"/>
      <c r="C1348" s="13"/>
      <c r="D1348" s="13"/>
      <c r="E1348" s="13"/>
      <c r="F1348" s="13"/>
      <c r="G1348" s="13"/>
      <c r="H1348" s="13"/>
      <c r="I1348" s="39" t="s">
        <v>4998</v>
      </c>
      <c r="J1348" s="39" t="s">
        <v>6748</v>
      </c>
      <c r="K1348" s="13"/>
      <c r="L1348" s="13"/>
    </row>
    <row r="1349" spans="1:12">
      <c r="A1349" s="39" t="s">
        <v>7269</v>
      </c>
      <c r="B1349" s="13"/>
      <c r="C1349" s="13"/>
      <c r="D1349" s="13"/>
      <c r="E1349" s="13"/>
      <c r="F1349" s="13"/>
      <c r="G1349" s="13"/>
      <c r="H1349" s="13"/>
      <c r="I1349" s="39" t="s">
        <v>5003</v>
      </c>
      <c r="J1349" s="39" t="s">
        <v>7270</v>
      </c>
      <c r="K1349" s="13"/>
      <c r="L1349" s="13"/>
    </row>
    <row r="1350" spans="1:12">
      <c r="A1350" s="39" t="s">
        <v>7271</v>
      </c>
      <c r="B1350" s="13"/>
      <c r="C1350" s="13"/>
      <c r="D1350" s="13"/>
      <c r="E1350" s="13"/>
      <c r="F1350" s="13"/>
      <c r="G1350" s="13"/>
      <c r="H1350" s="13"/>
      <c r="I1350" s="39" t="s">
        <v>5009</v>
      </c>
      <c r="J1350" s="39" t="s">
        <v>7272</v>
      </c>
      <c r="K1350" s="13"/>
      <c r="L1350" s="13"/>
    </row>
    <row r="1351" spans="1:12">
      <c r="A1351" s="39" t="s">
        <v>7273</v>
      </c>
      <c r="B1351" s="13"/>
      <c r="C1351" s="13"/>
      <c r="D1351" s="13"/>
      <c r="E1351" s="13"/>
      <c r="F1351" s="13"/>
      <c r="G1351" s="13"/>
      <c r="H1351" s="13"/>
      <c r="I1351" s="39" t="s">
        <v>5016</v>
      </c>
      <c r="J1351" s="39" t="s">
        <v>7274</v>
      </c>
      <c r="K1351" s="13"/>
      <c r="L1351" s="13"/>
    </row>
    <row r="1352" spans="1:12">
      <c r="A1352" s="39" t="s">
        <v>7234</v>
      </c>
      <c r="B1352" s="13"/>
      <c r="C1352" s="13"/>
      <c r="D1352" s="13"/>
      <c r="E1352" s="13"/>
      <c r="F1352" s="13"/>
      <c r="G1352" s="13"/>
      <c r="H1352" s="13"/>
      <c r="I1352" s="39" t="s">
        <v>5022</v>
      </c>
      <c r="J1352" s="39" t="s">
        <v>7275</v>
      </c>
      <c r="K1352" s="13"/>
      <c r="L1352" s="13"/>
    </row>
    <row r="1353" spans="1:12">
      <c r="A1353" s="39" t="s">
        <v>7276</v>
      </c>
      <c r="B1353" s="13"/>
      <c r="C1353" s="13"/>
      <c r="D1353" s="13"/>
      <c r="E1353" s="13"/>
      <c r="F1353" s="13"/>
      <c r="G1353" s="13"/>
      <c r="H1353" s="13"/>
      <c r="I1353" s="39" t="s">
        <v>5026</v>
      </c>
      <c r="J1353" s="39" t="s">
        <v>6748</v>
      </c>
      <c r="K1353" s="13"/>
      <c r="L1353" s="13"/>
    </row>
    <row r="1354" spans="1:12">
      <c r="A1354" s="39" t="s">
        <v>7214</v>
      </c>
      <c r="B1354" s="13"/>
      <c r="C1354" s="13"/>
      <c r="D1354" s="13"/>
      <c r="E1354" s="13"/>
      <c r="F1354" s="13"/>
      <c r="G1354" s="13"/>
      <c r="H1354" s="13"/>
      <c r="I1354" s="39" t="s">
        <v>5032</v>
      </c>
      <c r="J1354" s="39" t="s">
        <v>7259</v>
      </c>
      <c r="K1354" s="13"/>
      <c r="L1354" s="13"/>
    </row>
    <row r="1355" spans="1:12">
      <c r="A1355" s="39" t="s">
        <v>7216</v>
      </c>
      <c r="B1355" s="13"/>
      <c r="C1355" s="13"/>
      <c r="D1355" s="13"/>
      <c r="E1355" s="13"/>
      <c r="F1355" s="13"/>
      <c r="G1355" s="13"/>
      <c r="H1355" s="13"/>
      <c r="I1355" s="39" t="s">
        <v>5037</v>
      </c>
      <c r="J1355" s="39" t="s">
        <v>7260</v>
      </c>
      <c r="K1355" s="13"/>
      <c r="L1355" s="13"/>
    </row>
    <row r="1356" spans="1:12">
      <c r="A1356" s="39" t="s">
        <v>7277</v>
      </c>
      <c r="B1356" s="13"/>
      <c r="C1356" s="13"/>
      <c r="D1356" s="13"/>
      <c r="E1356" s="13"/>
      <c r="F1356" s="13"/>
      <c r="G1356" s="13"/>
      <c r="H1356" s="13"/>
      <c r="I1356" s="39" t="s">
        <v>5043</v>
      </c>
      <c r="J1356" s="39" t="s">
        <v>7262</v>
      </c>
      <c r="K1356" s="13"/>
      <c r="L1356" s="13"/>
    </row>
    <row r="1357" spans="1:12">
      <c r="A1357" s="39" t="s">
        <v>7278</v>
      </c>
      <c r="B1357" s="13"/>
      <c r="C1357" s="13"/>
      <c r="D1357" s="13"/>
      <c r="E1357" s="13"/>
      <c r="F1357" s="13"/>
      <c r="G1357" s="13"/>
      <c r="H1357" s="13"/>
      <c r="I1357" s="39" t="s">
        <v>5049</v>
      </c>
      <c r="J1357" s="39" t="s">
        <v>7264</v>
      </c>
      <c r="K1357" s="13"/>
      <c r="L1357" s="13"/>
    </row>
    <row r="1358" spans="1:12">
      <c r="A1358" s="39" t="s">
        <v>3273</v>
      </c>
      <c r="B1358" s="13"/>
      <c r="C1358" s="13"/>
      <c r="D1358" s="13"/>
      <c r="E1358" s="13"/>
      <c r="F1358" s="13"/>
      <c r="G1358" s="13"/>
      <c r="H1358" s="13"/>
      <c r="I1358" s="39" t="s">
        <v>7279</v>
      </c>
      <c r="J1358" s="39" t="s">
        <v>7280</v>
      </c>
      <c r="K1358" s="13"/>
      <c r="L1358" s="13"/>
    </row>
    <row r="1359" spans="1:12">
      <c r="A1359" s="39" t="s">
        <v>7281</v>
      </c>
      <c r="B1359" s="13"/>
      <c r="C1359" s="13"/>
      <c r="D1359" s="13"/>
      <c r="E1359" s="13"/>
      <c r="F1359" s="13"/>
      <c r="G1359" s="13"/>
      <c r="H1359" s="13"/>
      <c r="I1359" s="39" t="s">
        <v>5056</v>
      </c>
      <c r="J1359" s="39" t="s">
        <v>7282</v>
      </c>
      <c r="K1359" s="13"/>
      <c r="L1359" s="13"/>
    </row>
    <row r="1360" spans="1:12">
      <c r="A1360" s="39" t="s">
        <v>7278</v>
      </c>
      <c r="B1360" s="13"/>
      <c r="C1360" s="13"/>
      <c r="D1360" s="13"/>
      <c r="E1360" s="13"/>
      <c r="F1360" s="13"/>
      <c r="G1360" s="13"/>
      <c r="H1360" s="13"/>
      <c r="I1360" s="39" t="s">
        <v>5026</v>
      </c>
      <c r="J1360" s="39" t="s">
        <v>6748</v>
      </c>
      <c r="K1360" s="13"/>
      <c r="L1360" s="13"/>
    </row>
    <row r="1361" spans="1:12">
      <c r="A1361" s="39" t="s">
        <v>2626</v>
      </c>
      <c r="B1361" s="13"/>
      <c r="C1361" s="13"/>
      <c r="D1361" s="13"/>
      <c r="E1361" s="13"/>
      <c r="F1361" s="13"/>
      <c r="G1361" s="13"/>
      <c r="H1361" s="13"/>
      <c r="I1361" s="39" t="s">
        <v>5068</v>
      </c>
      <c r="J1361" s="39" t="s">
        <v>7270</v>
      </c>
      <c r="K1361" s="13"/>
      <c r="L1361" s="13"/>
    </row>
    <row r="1362" spans="1:12">
      <c r="A1362" s="39" t="s">
        <v>2424</v>
      </c>
      <c r="B1362" s="13"/>
      <c r="C1362" s="13"/>
      <c r="D1362" s="13"/>
      <c r="E1362" s="13"/>
      <c r="F1362" s="13"/>
      <c r="G1362" s="13"/>
      <c r="H1362" s="13"/>
      <c r="I1362" s="39" t="s">
        <v>5037</v>
      </c>
      <c r="J1362" s="39" t="s">
        <v>7272</v>
      </c>
      <c r="K1362" s="13"/>
      <c r="L1362" s="13"/>
    </row>
    <row r="1363" spans="1:12">
      <c r="A1363" s="39" t="s">
        <v>7283</v>
      </c>
      <c r="B1363" s="13"/>
      <c r="C1363" s="13"/>
      <c r="D1363" s="13"/>
      <c r="E1363" s="13"/>
      <c r="F1363" s="13"/>
      <c r="G1363" s="13"/>
      <c r="H1363" s="13"/>
      <c r="I1363" s="39" t="s">
        <v>7284</v>
      </c>
      <c r="J1363" s="39" t="s">
        <v>7285</v>
      </c>
      <c r="K1363" s="13"/>
      <c r="L1363" s="13"/>
    </row>
    <row r="1364" spans="1:12">
      <c r="A1364" s="39" t="s">
        <v>7286</v>
      </c>
      <c r="B1364" s="13"/>
      <c r="C1364" s="13"/>
      <c r="D1364" s="13"/>
      <c r="E1364" s="13"/>
      <c r="F1364" s="13"/>
      <c r="G1364" s="13"/>
      <c r="H1364" s="13"/>
      <c r="I1364" s="39" t="s">
        <v>7287</v>
      </c>
      <c r="J1364" s="39" t="s">
        <v>7288</v>
      </c>
      <c r="K1364" s="13"/>
      <c r="L1364" s="13"/>
    </row>
    <row r="1365" spans="1:12">
      <c r="A1365" s="39" t="s">
        <v>2357</v>
      </c>
      <c r="B1365" s="13"/>
      <c r="C1365" s="13"/>
      <c r="D1365" s="13"/>
      <c r="E1365" s="13"/>
      <c r="F1365" s="13"/>
      <c r="G1365" s="13"/>
      <c r="H1365" s="13"/>
      <c r="I1365" s="39" t="s">
        <v>7289</v>
      </c>
      <c r="J1365" s="39" t="s">
        <v>6748</v>
      </c>
      <c r="K1365" s="13"/>
      <c r="L1365" s="13"/>
    </row>
    <row r="1366" spans="1:12">
      <c r="A1366" s="39" t="s">
        <v>7290</v>
      </c>
      <c r="B1366" s="13"/>
      <c r="C1366" s="13"/>
      <c r="D1366" s="13"/>
      <c r="E1366" s="13"/>
      <c r="F1366" s="13"/>
      <c r="G1366" s="13"/>
      <c r="H1366" s="13"/>
      <c r="I1366" s="39" t="s">
        <v>7291</v>
      </c>
      <c r="J1366" s="39" t="s">
        <v>2357</v>
      </c>
      <c r="K1366" s="13"/>
      <c r="L1366" s="13"/>
    </row>
    <row r="1367" spans="1:12">
      <c r="A1367" s="39" t="s">
        <v>7237</v>
      </c>
      <c r="B1367" s="13"/>
      <c r="C1367" s="13"/>
      <c r="D1367" s="13"/>
      <c r="E1367" s="13"/>
      <c r="F1367" s="13"/>
      <c r="G1367" s="13"/>
      <c r="H1367" s="13"/>
      <c r="I1367" s="39" t="s">
        <v>7292</v>
      </c>
      <c r="J1367" s="39" t="s">
        <v>7293</v>
      </c>
      <c r="K1367" s="13"/>
      <c r="L1367" s="13"/>
    </row>
    <row r="1368" spans="1:12">
      <c r="A1368" s="36"/>
      <c r="B1368" s="13"/>
      <c r="C1368" s="13"/>
      <c r="D1368" s="13"/>
      <c r="E1368" s="13"/>
      <c r="F1368" s="13"/>
      <c r="G1368" s="13"/>
      <c r="H1368" s="13"/>
      <c r="I1368" s="39" t="s">
        <v>7294</v>
      </c>
      <c r="J1368" s="39" t="s">
        <v>7259</v>
      </c>
      <c r="K1368" s="13"/>
      <c r="L1368" s="13"/>
    </row>
    <row r="1369" spans="1:12">
      <c r="A1369" s="39" t="s">
        <v>7295</v>
      </c>
      <c r="B1369" s="13"/>
      <c r="C1369" s="13"/>
      <c r="D1369" s="13"/>
      <c r="E1369" s="13"/>
      <c r="F1369" s="13"/>
      <c r="G1369" s="13"/>
      <c r="H1369" s="13"/>
      <c r="I1369" s="39" t="s">
        <v>7296</v>
      </c>
      <c r="J1369" s="39" t="s">
        <v>7260</v>
      </c>
      <c r="K1369" s="13"/>
      <c r="L1369" s="13"/>
    </row>
    <row r="1370" spans="1:12">
      <c r="A1370" s="39" t="s">
        <v>2265</v>
      </c>
      <c r="B1370" s="13"/>
      <c r="C1370" s="13"/>
      <c r="D1370" s="13"/>
      <c r="E1370" s="13"/>
      <c r="F1370" s="13"/>
      <c r="G1370" s="13"/>
      <c r="H1370" s="13"/>
      <c r="I1370" s="39" t="s">
        <v>7289</v>
      </c>
      <c r="J1370" s="39"/>
      <c r="K1370" s="13"/>
      <c r="L1370" s="13"/>
    </row>
    <row r="1371" spans="1:12">
      <c r="A1371" s="39" t="s">
        <v>1259</v>
      </c>
      <c r="B1371" s="13"/>
      <c r="C1371" s="13"/>
      <c r="D1371" s="13"/>
      <c r="E1371" s="13"/>
      <c r="F1371" s="13"/>
      <c r="G1371" s="13"/>
      <c r="H1371" s="13"/>
      <c r="I1371" s="39" t="s">
        <v>7297</v>
      </c>
      <c r="J1371" s="39" t="s">
        <v>7262</v>
      </c>
      <c r="K1371" s="13"/>
      <c r="L1371" s="13"/>
    </row>
    <row r="1372" spans="1:12">
      <c r="A1372" s="39" t="s">
        <v>7298</v>
      </c>
      <c r="B1372" s="13"/>
      <c r="C1372" s="13"/>
      <c r="D1372" s="13"/>
      <c r="E1372" s="13"/>
      <c r="F1372" s="13"/>
      <c r="G1372" s="13"/>
      <c r="H1372" s="13"/>
      <c r="I1372" s="39" t="s">
        <v>7292</v>
      </c>
      <c r="J1372" s="39" t="s">
        <v>7264</v>
      </c>
      <c r="K1372" s="13"/>
      <c r="L1372" s="13"/>
    </row>
    <row r="1373" spans="1:12">
      <c r="A1373" s="36"/>
      <c r="B1373" s="13"/>
      <c r="C1373" s="13"/>
      <c r="D1373" s="13"/>
      <c r="E1373" s="13"/>
      <c r="F1373" s="13"/>
      <c r="G1373" s="13"/>
      <c r="H1373" s="13"/>
      <c r="I1373" s="39" t="s">
        <v>5112</v>
      </c>
      <c r="J1373" s="39"/>
      <c r="K1373" s="13"/>
      <c r="L1373" s="13"/>
    </row>
    <row r="1374" spans="1:12">
      <c r="A1374" s="39" t="s">
        <v>4718</v>
      </c>
      <c r="B1374" s="13"/>
      <c r="C1374" s="13"/>
      <c r="D1374" s="13"/>
      <c r="E1374" s="13"/>
      <c r="F1374" s="13"/>
      <c r="G1374" s="13"/>
      <c r="H1374" s="13"/>
      <c r="I1374" s="110" t="s">
        <v>5117</v>
      </c>
      <c r="J1374" s="39" t="s">
        <v>7265</v>
      </c>
      <c r="K1374" s="13"/>
      <c r="L1374" s="13"/>
    </row>
    <row r="1375" spans="1:12">
      <c r="A1375" s="39" t="s">
        <v>4726</v>
      </c>
      <c r="B1375" s="13"/>
      <c r="C1375" s="13"/>
      <c r="D1375" s="13"/>
      <c r="E1375" s="13"/>
      <c r="F1375" s="13"/>
      <c r="G1375" s="13"/>
      <c r="H1375" s="13"/>
      <c r="I1375" s="39" t="s">
        <v>5123</v>
      </c>
      <c r="J1375" s="39" t="s">
        <v>7267</v>
      </c>
      <c r="K1375" s="13"/>
      <c r="L1375" s="13"/>
    </row>
    <row r="1376" spans="1:12">
      <c r="A1376" s="39" t="s">
        <v>7299</v>
      </c>
      <c r="B1376" s="13"/>
      <c r="C1376" s="13"/>
      <c r="D1376" s="13"/>
      <c r="E1376" s="13"/>
      <c r="F1376" s="13"/>
      <c r="G1376" s="13"/>
      <c r="H1376" s="13"/>
      <c r="I1376" s="39" t="s">
        <v>5130</v>
      </c>
      <c r="J1376" s="39" t="s">
        <v>6748</v>
      </c>
      <c r="K1376" s="13"/>
      <c r="L1376" s="13"/>
    </row>
    <row r="1377" spans="1:12">
      <c r="A1377" s="39" t="s">
        <v>7300</v>
      </c>
      <c r="B1377" s="13"/>
      <c r="C1377" s="13"/>
      <c r="D1377" s="13"/>
      <c r="E1377" s="13"/>
      <c r="F1377" s="13"/>
      <c r="G1377" s="13"/>
      <c r="H1377" s="13"/>
      <c r="I1377" s="39" t="s">
        <v>5134</v>
      </c>
      <c r="J1377" s="39" t="s">
        <v>7270</v>
      </c>
      <c r="K1377" s="13"/>
      <c r="L1377" s="13"/>
    </row>
    <row r="1378" spans="1:12">
      <c r="A1378" s="39" t="s">
        <v>7301</v>
      </c>
      <c r="B1378" s="13"/>
      <c r="C1378" s="13"/>
      <c r="D1378" s="13"/>
      <c r="E1378" s="13"/>
      <c r="F1378" s="13"/>
      <c r="G1378" s="13"/>
      <c r="H1378" s="13"/>
      <c r="I1378" s="39" t="s">
        <v>7302</v>
      </c>
      <c r="J1378" s="39" t="s">
        <v>7272</v>
      </c>
      <c r="K1378" s="13"/>
      <c r="L1378" s="13"/>
    </row>
    <row r="1379" spans="1:12">
      <c r="A1379" s="39" t="s">
        <v>7303</v>
      </c>
      <c r="B1379" s="13"/>
      <c r="C1379" s="13"/>
      <c r="D1379" s="13"/>
      <c r="E1379" s="13"/>
      <c r="F1379" s="13"/>
      <c r="G1379" s="13"/>
      <c r="H1379" s="13"/>
      <c r="I1379" s="39" t="s">
        <v>7304</v>
      </c>
      <c r="J1379" s="39" t="s">
        <v>7274</v>
      </c>
      <c r="K1379" s="13"/>
      <c r="L1379" s="13"/>
    </row>
    <row r="1380" spans="1:12">
      <c r="A1380" s="39" t="s">
        <v>4140</v>
      </c>
      <c r="B1380" s="13"/>
      <c r="C1380" s="13"/>
      <c r="D1380" s="13"/>
      <c r="E1380" s="13"/>
      <c r="F1380" s="13"/>
      <c r="G1380" s="13"/>
      <c r="H1380" s="13"/>
      <c r="I1380" s="39" t="s">
        <v>5149</v>
      </c>
      <c r="J1380" s="39" t="s">
        <v>7275</v>
      </c>
      <c r="K1380" s="13"/>
      <c r="L1380" s="13"/>
    </row>
    <row r="1381" spans="1:12">
      <c r="A1381" s="39" t="s">
        <v>7305</v>
      </c>
      <c r="B1381" s="13"/>
      <c r="C1381" s="13"/>
      <c r="D1381" s="13"/>
      <c r="E1381" s="13"/>
      <c r="F1381" s="13"/>
      <c r="G1381" s="13"/>
      <c r="H1381" s="13"/>
      <c r="I1381" s="39" t="s">
        <v>5151</v>
      </c>
      <c r="J1381" s="39" t="s">
        <v>6748</v>
      </c>
      <c r="K1381" s="13"/>
      <c r="L1381" s="13"/>
    </row>
    <row r="1382" spans="1:12">
      <c r="A1382" s="39" t="s">
        <v>7306</v>
      </c>
      <c r="B1382" s="13"/>
      <c r="C1382" s="13"/>
      <c r="D1382" s="13"/>
      <c r="E1382" s="13"/>
      <c r="F1382" s="13"/>
      <c r="G1382" s="13"/>
      <c r="H1382" s="13"/>
      <c r="I1382" s="39" t="s">
        <v>5157</v>
      </c>
      <c r="J1382" s="39" t="s">
        <v>7259</v>
      </c>
      <c r="K1382" s="13"/>
      <c r="L1382" s="13"/>
    </row>
    <row r="1383" spans="1:12">
      <c r="A1383" s="39" t="s">
        <v>4138</v>
      </c>
      <c r="B1383" s="13"/>
      <c r="C1383" s="13"/>
      <c r="D1383" s="13"/>
      <c r="E1383" s="13"/>
      <c r="F1383" s="13"/>
      <c r="G1383" s="13"/>
      <c r="H1383" s="13"/>
      <c r="I1383" s="39" t="s">
        <v>5161</v>
      </c>
      <c r="J1383" s="39" t="s">
        <v>7260</v>
      </c>
      <c r="K1383" s="13"/>
      <c r="L1383" s="13"/>
    </row>
    <row r="1384" spans="1:12">
      <c r="A1384" s="39" t="s">
        <v>7307</v>
      </c>
      <c r="B1384" s="13"/>
      <c r="C1384" s="13"/>
      <c r="D1384" s="13"/>
      <c r="E1384" s="13"/>
      <c r="F1384" s="13"/>
      <c r="G1384" s="13"/>
      <c r="H1384" s="13"/>
      <c r="I1384" s="39" t="s">
        <v>5168</v>
      </c>
      <c r="J1384" s="39" t="s">
        <v>7262</v>
      </c>
      <c r="K1384" s="13"/>
      <c r="L1384" s="13"/>
    </row>
    <row r="1385" spans="1:12">
      <c r="A1385" s="39" t="s">
        <v>7308</v>
      </c>
      <c r="B1385" s="13"/>
      <c r="C1385" s="13"/>
      <c r="D1385" s="13"/>
      <c r="E1385" s="13"/>
      <c r="F1385" s="13"/>
      <c r="G1385" s="13"/>
      <c r="H1385" s="13"/>
      <c r="I1385" s="39" t="s">
        <v>7309</v>
      </c>
      <c r="J1385" s="39" t="s">
        <v>7264</v>
      </c>
      <c r="K1385" s="13"/>
      <c r="L1385" s="13"/>
    </row>
    <row r="1386" spans="1:12">
      <c r="A1386" s="39" t="s">
        <v>7310</v>
      </c>
      <c r="B1386" s="13"/>
      <c r="C1386" s="13"/>
      <c r="D1386" s="13"/>
      <c r="E1386" s="13"/>
      <c r="F1386" s="13"/>
      <c r="G1386" s="13"/>
      <c r="H1386" s="13"/>
      <c r="I1386" s="39" t="s">
        <v>3364</v>
      </c>
      <c r="J1386" s="39" t="s">
        <v>7280</v>
      </c>
      <c r="K1386" s="13"/>
      <c r="L1386" s="13"/>
    </row>
    <row r="1387" spans="1:12">
      <c r="A1387" s="39" t="s">
        <v>7311</v>
      </c>
      <c r="B1387" s="13"/>
      <c r="C1387" s="13"/>
      <c r="D1387" s="13"/>
      <c r="E1387" s="13"/>
      <c r="F1387" s="13"/>
      <c r="G1387" s="13"/>
      <c r="H1387" s="13"/>
      <c r="I1387" s="39" t="s">
        <v>5186</v>
      </c>
      <c r="J1387" s="39" t="s">
        <v>7282</v>
      </c>
      <c r="K1387" s="13"/>
      <c r="L1387" s="13"/>
    </row>
    <row r="1388" spans="1:12">
      <c r="A1388" s="39" t="s">
        <v>7146</v>
      </c>
      <c r="B1388" s="13"/>
      <c r="C1388" s="13"/>
      <c r="D1388" s="13"/>
      <c r="E1388" s="13"/>
      <c r="F1388" s="13"/>
      <c r="G1388" s="13"/>
      <c r="H1388" s="13"/>
      <c r="I1388" s="39" t="s">
        <v>7312</v>
      </c>
      <c r="J1388" s="39" t="s">
        <v>6748</v>
      </c>
      <c r="K1388" s="13"/>
      <c r="L1388" s="13"/>
    </row>
    <row r="1389" spans="1:12">
      <c r="A1389" s="39" t="s">
        <v>1273</v>
      </c>
      <c r="B1389" s="13"/>
      <c r="C1389" s="13"/>
      <c r="D1389" s="13"/>
      <c r="E1389" s="13"/>
      <c r="F1389" s="13"/>
      <c r="G1389" s="13"/>
      <c r="H1389" s="13"/>
      <c r="I1389" s="39" t="s">
        <v>5198</v>
      </c>
      <c r="J1389" s="39" t="s">
        <v>7270</v>
      </c>
      <c r="K1389" s="13"/>
      <c r="L1389" s="13"/>
    </row>
    <row r="1390" spans="1:12">
      <c r="A1390" s="39" t="s">
        <v>7313</v>
      </c>
      <c r="B1390" s="13"/>
      <c r="C1390" s="13"/>
      <c r="D1390" s="13"/>
      <c r="E1390" s="13"/>
      <c r="F1390" s="13"/>
      <c r="G1390" s="13"/>
      <c r="H1390" s="13"/>
      <c r="I1390" s="39" t="s">
        <v>1259</v>
      </c>
      <c r="J1390" s="39" t="s">
        <v>7272</v>
      </c>
      <c r="K1390" s="13"/>
      <c r="L1390" s="13"/>
    </row>
    <row r="1391" spans="1:12">
      <c r="A1391" s="39" t="s">
        <v>7314</v>
      </c>
      <c r="B1391" s="13"/>
      <c r="C1391" s="13"/>
      <c r="D1391" s="13"/>
      <c r="E1391" s="13"/>
      <c r="F1391" s="13"/>
      <c r="G1391" s="13"/>
      <c r="H1391" s="13"/>
      <c r="I1391" s="39" t="s">
        <v>6328</v>
      </c>
      <c r="J1391" s="39" t="s">
        <v>7285</v>
      </c>
      <c r="K1391" s="13"/>
      <c r="L1391" s="13"/>
    </row>
    <row r="1392" spans="1:12">
      <c r="A1392" s="39" t="s">
        <v>7315</v>
      </c>
      <c r="B1392" s="13"/>
      <c r="C1392" s="13"/>
      <c r="D1392" s="13"/>
      <c r="E1392" s="13"/>
      <c r="F1392" s="13"/>
      <c r="G1392" s="13"/>
      <c r="H1392" s="13"/>
      <c r="I1392" s="39"/>
      <c r="J1392" s="39" t="s">
        <v>7288</v>
      </c>
      <c r="K1392" s="13"/>
      <c r="L1392" s="13"/>
    </row>
    <row r="1393" spans="1:12">
      <c r="A1393" s="39" t="s">
        <v>7316</v>
      </c>
      <c r="B1393" s="13"/>
      <c r="C1393" s="13"/>
      <c r="D1393" s="13"/>
      <c r="E1393" s="13"/>
      <c r="F1393" s="13"/>
      <c r="G1393" s="13"/>
      <c r="H1393" s="13"/>
      <c r="I1393" s="39" t="s">
        <v>6393</v>
      </c>
      <c r="J1393" s="39" t="s">
        <v>6748</v>
      </c>
      <c r="K1393" s="13"/>
      <c r="L1393" s="13"/>
    </row>
    <row r="1394" spans="1:12">
      <c r="A1394" s="39" t="s">
        <v>7317</v>
      </c>
      <c r="B1394" s="13"/>
      <c r="C1394" s="13"/>
      <c r="D1394" s="13"/>
      <c r="E1394" s="13"/>
      <c r="F1394" s="13"/>
      <c r="G1394" s="13"/>
      <c r="H1394" s="13"/>
      <c r="I1394" s="39" t="s">
        <v>6397</v>
      </c>
      <c r="J1394" s="39" t="s">
        <v>2357</v>
      </c>
      <c r="K1394" s="13"/>
      <c r="L1394" s="13"/>
    </row>
    <row r="1395" spans="1:12">
      <c r="A1395" s="39" t="s">
        <v>7318</v>
      </c>
      <c r="B1395" s="13"/>
      <c r="C1395" s="13"/>
      <c r="D1395" s="13"/>
      <c r="E1395" s="13"/>
      <c r="F1395" s="13"/>
      <c r="G1395" s="13"/>
      <c r="H1395" s="13"/>
      <c r="I1395" s="39" t="s">
        <v>6399</v>
      </c>
      <c r="J1395" s="39" t="s">
        <v>7319</v>
      </c>
      <c r="K1395" s="13"/>
      <c r="L1395" s="13"/>
    </row>
    <row r="1396" spans="1:12">
      <c r="A1396" s="39" t="s">
        <v>7320</v>
      </c>
      <c r="B1396" s="13"/>
      <c r="C1396" s="13"/>
      <c r="D1396" s="13"/>
      <c r="E1396" s="13"/>
      <c r="F1396" s="13"/>
      <c r="G1396" s="13"/>
      <c r="H1396" s="13"/>
      <c r="I1396" s="39" t="s">
        <v>7321</v>
      </c>
      <c r="J1396" s="39" t="s">
        <v>7259</v>
      </c>
      <c r="K1396" s="13"/>
      <c r="L1396" s="13"/>
    </row>
    <row r="1397" spans="1:12">
      <c r="A1397" s="39" t="s">
        <v>7322</v>
      </c>
      <c r="B1397" s="13"/>
      <c r="C1397" s="13"/>
      <c r="D1397" s="13"/>
      <c r="E1397" s="13"/>
      <c r="F1397" s="13"/>
      <c r="G1397" s="13"/>
      <c r="H1397" s="13"/>
      <c r="I1397" s="39"/>
      <c r="J1397" s="39" t="s">
        <v>7260</v>
      </c>
      <c r="K1397" s="13"/>
      <c r="L1397" s="13"/>
    </row>
    <row r="1398" spans="1:12">
      <c r="A1398" s="39" t="s">
        <v>7323</v>
      </c>
      <c r="B1398" s="13"/>
      <c r="C1398" s="13"/>
      <c r="D1398" s="13"/>
      <c r="E1398" s="13"/>
      <c r="F1398" s="13"/>
      <c r="G1398" s="13"/>
      <c r="H1398" s="13"/>
      <c r="I1398" s="39" t="s">
        <v>2374</v>
      </c>
      <c r="J1398" s="39"/>
      <c r="K1398" s="13"/>
      <c r="L1398" s="13"/>
    </row>
    <row r="1399" spans="1:12">
      <c r="A1399" s="39" t="s">
        <v>7324</v>
      </c>
      <c r="B1399" s="13"/>
      <c r="C1399" s="13"/>
      <c r="D1399" s="13"/>
      <c r="E1399" s="13"/>
      <c r="F1399" s="13"/>
      <c r="G1399" s="13"/>
      <c r="H1399" s="13"/>
      <c r="I1399" s="39" t="s">
        <v>7325</v>
      </c>
      <c r="J1399" s="39" t="s">
        <v>7262</v>
      </c>
      <c r="K1399" s="13"/>
      <c r="L1399" s="13"/>
    </row>
    <row r="1400" spans="1:12">
      <c r="A1400" s="39" t="s">
        <v>7326</v>
      </c>
      <c r="B1400" s="13"/>
      <c r="C1400" s="13"/>
      <c r="D1400" s="13"/>
      <c r="E1400" s="13"/>
      <c r="F1400" s="13"/>
      <c r="G1400" s="13"/>
      <c r="H1400" s="13"/>
      <c r="I1400" s="39" t="s">
        <v>4894</v>
      </c>
      <c r="J1400" s="39" t="s">
        <v>7264</v>
      </c>
      <c r="K1400" s="13"/>
      <c r="L1400" s="13"/>
    </row>
    <row r="1401" spans="1:12">
      <c r="A1401" s="39" t="s">
        <v>7327</v>
      </c>
      <c r="B1401" s="13"/>
      <c r="C1401" s="13"/>
      <c r="D1401" s="13"/>
      <c r="E1401" s="13"/>
      <c r="F1401" s="13"/>
      <c r="G1401" s="13"/>
      <c r="H1401" s="13"/>
      <c r="I1401" s="39" t="s">
        <v>2357</v>
      </c>
      <c r="J1401" s="39"/>
      <c r="K1401" s="13"/>
      <c r="L1401" s="13"/>
    </row>
    <row r="1402" spans="1:12">
      <c r="A1402" s="39" t="s">
        <v>7328</v>
      </c>
      <c r="B1402" s="13"/>
      <c r="C1402" s="13"/>
      <c r="D1402" s="13"/>
      <c r="E1402" s="13"/>
      <c r="F1402" s="13"/>
      <c r="G1402" s="13"/>
      <c r="H1402" s="13"/>
      <c r="I1402" s="39" t="s">
        <v>5291</v>
      </c>
      <c r="J1402" s="39" t="s">
        <v>7329</v>
      </c>
      <c r="K1402" s="13"/>
      <c r="L1402" s="13"/>
    </row>
    <row r="1403" spans="1:12">
      <c r="A1403" s="39" t="s">
        <v>7330</v>
      </c>
      <c r="B1403" s="13"/>
      <c r="C1403" s="13"/>
      <c r="D1403" s="13"/>
      <c r="E1403" s="13"/>
      <c r="F1403" s="13"/>
      <c r="G1403" s="13"/>
      <c r="H1403" s="13"/>
      <c r="I1403" s="39" t="s">
        <v>2237</v>
      </c>
      <c r="J1403" s="39" t="s">
        <v>7331</v>
      </c>
      <c r="K1403" s="13"/>
      <c r="L1403" s="13"/>
    </row>
    <row r="1404" spans="1:12">
      <c r="A1404" s="39" t="s">
        <v>7332</v>
      </c>
      <c r="B1404" s="13"/>
      <c r="C1404" s="13"/>
      <c r="D1404" s="13"/>
      <c r="E1404" s="13"/>
      <c r="F1404" s="13"/>
      <c r="G1404" s="13"/>
      <c r="H1404" s="13"/>
      <c r="I1404" s="39" t="s">
        <v>6371</v>
      </c>
      <c r="J1404" s="39" t="s">
        <v>6748</v>
      </c>
      <c r="K1404" s="13"/>
      <c r="L1404" s="13"/>
    </row>
    <row r="1405" spans="1:12">
      <c r="A1405" s="39" t="s">
        <v>7333</v>
      </c>
      <c r="B1405" s="13"/>
      <c r="C1405" s="13"/>
      <c r="D1405" s="13"/>
      <c r="E1405" s="13"/>
      <c r="F1405" s="13"/>
      <c r="G1405" s="13"/>
      <c r="H1405" s="13"/>
      <c r="I1405" s="39" t="s">
        <v>2265</v>
      </c>
      <c r="J1405" s="39" t="s">
        <v>7270</v>
      </c>
      <c r="K1405" s="13"/>
      <c r="L1405" s="13"/>
    </row>
    <row r="1406" spans="1:12">
      <c r="A1406" s="39" t="s">
        <v>7334</v>
      </c>
      <c r="B1406" s="13"/>
      <c r="C1406" s="13"/>
      <c r="D1406" s="13"/>
      <c r="E1406" s="13"/>
      <c r="F1406" s="13"/>
      <c r="G1406" s="13"/>
      <c r="H1406" s="13"/>
      <c r="I1406" s="39" t="s">
        <v>1259</v>
      </c>
      <c r="J1406" s="39" t="s">
        <v>7272</v>
      </c>
      <c r="K1406" s="13"/>
      <c r="L1406" s="13"/>
    </row>
    <row r="1407" spans="1:12">
      <c r="A1407" s="39" t="s">
        <v>7335</v>
      </c>
      <c r="B1407" s="13"/>
      <c r="C1407" s="13"/>
      <c r="D1407" s="13"/>
      <c r="E1407" s="13"/>
      <c r="F1407" s="13"/>
      <c r="G1407" s="13"/>
      <c r="H1407" s="13"/>
      <c r="I1407" s="39" t="s">
        <v>7336</v>
      </c>
      <c r="J1407" s="39" t="s">
        <v>7337</v>
      </c>
      <c r="K1407" s="13"/>
      <c r="L1407" s="13"/>
    </row>
    <row r="1408" spans="1:12">
      <c r="A1408" s="36"/>
      <c r="B1408" s="13"/>
      <c r="C1408" s="13"/>
      <c r="D1408" s="13"/>
      <c r="E1408" s="13"/>
      <c r="F1408" s="13"/>
      <c r="G1408" s="13"/>
      <c r="H1408" s="13"/>
      <c r="I1408" s="39" t="s">
        <v>7338</v>
      </c>
      <c r="J1408" s="39" t="s">
        <v>7339</v>
      </c>
      <c r="K1408" s="13"/>
      <c r="L1408" s="13"/>
    </row>
    <row r="1409" spans="1:12">
      <c r="A1409" s="39" t="s">
        <v>4855</v>
      </c>
      <c r="B1409" s="13"/>
      <c r="C1409" s="13"/>
      <c r="D1409" s="13"/>
      <c r="E1409" s="13"/>
      <c r="F1409" s="13"/>
      <c r="G1409" s="13"/>
      <c r="H1409" s="13"/>
      <c r="I1409" s="39"/>
      <c r="J1409" s="39" t="s">
        <v>6748</v>
      </c>
      <c r="K1409" s="13"/>
      <c r="L1409" s="13"/>
    </row>
    <row r="1410" spans="1:12">
      <c r="A1410" s="39" t="s">
        <v>7340</v>
      </c>
      <c r="B1410" s="13"/>
      <c r="C1410" s="13"/>
      <c r="D1410" s="13"/>
      <c r="E1410" s="13"/>
      <c r="F1410" s="13"/>
      <c r="G1410" s="13"/>
      <c r="H1410" s="13"/>
      <c r="I1410" s="39"/>
      <c r="J1410" s="39" t="s">
        <v>7259</v>
      </c>
      <c r="K1410" s="13"/>
      <c r="L1410" s="13"/>
    </row>
    <row r="1411" spans="1:12">
      <c r="A1411" s="39" t="s">
        <v>7308</v>
      </c>
      <c r="B1411" s="13"/>
      <c r="C1411" s="13"/>
      <c r="D1411" s="13"/>
      <c r="E1411" s="13"/>
      <c r="F1411" s="13"/>
      <c r="G1411" s="13"/>
      <c r="H1411" s="13"/>
      <c r="I1411" s="39" t="s">
        <v>7341</v>
      </c>
      <c r="J1411" s="39" t="s">
        <v>7260</v>
      </c>
      <c r="K1411" s="13"/>
      <c r="L1411" s="13"/>
    </row>
    <row r="1412" spans="1:12">
      <c r="A1412" s="39" t="s">
        <v>7307</v>
      </c>
      <c r="B1412" s="13"/>
      <c r="C1412" s="13"/>
      <c r="D1412" s="13"/>
      <c r="E1412" s="13"/>
      <c r="F1412" s="13"/>
      <c r="G1412" s="13"/>
      <c r="H1412" s="13"/>
      <c r="I1412" s="39" t="s">
        <v>7342</v>
      </c>
      <c r="J1412" s="39"/>
      <c r="K1412" s="13"/>
      <c r="L1412" s="13"/>
    </row>
    <row r="1413" spans="1:12">
      <c r="A1413" s="39" t="s">
        <v>7310</v>
      </c>
      <c r="B1413" s="13"/>
      <c r="C1413" s="13"/>
      <c r="D1413" s="13"/>
      <c r="E1413" s="13"/>
      <c r="F1413" s="13"/>
      <c r="G1413" s="13"/>
      <c r="H1413" s="13"/>
      <c r="I1413" s="39" t="s">
        <v>7343</v>
      </c>
      <c r="J1413" s="39" t="s">
        <v>7262</v>
      </c>
      <c r="K1413" s="13"/>
      <c r="L1413" s="13"/>
    </row>
    <row r="1414" spans="1:12">
      <c r="A1414" s="39" t="s">
        <v>7311</v>
      </c>
      <c r="B1414" s="13"/>
      <c r="C1414" s="13"/>
      <c r="D1414" s="13"/>
      <c r="E1414" s="13"/>
      <c r="F1414" s="13"/>
      <c r="G1414" s="13"/>
      <c r="H1414" s="13"/>
      <c r="I1414" s="39"/>
      <c r="J1414" s="39" t="s">
        <v>7264</v>
      </c>
      <c r="K1414" s="13"/>
      <c r="L1414" s="13"/>
    </row>
    <row r="1415" spans="1:12">
      <c r="A1415" s="39" t="s">
        <v>7146</v>
      </c>
      <c r="B1415" s="13"/>
      <c r="C1415" s="13"/>
      <c r="D1415" s="13"/>
      <c r="E1415" s="13"/>
      <c r="F1415" s="13"/>
      <c r="G1415" s="13"/>
      <c r="H1415" s="13"/>
      <c r="I1415" s="39" t="s">
        <v>7344</v>
      </c>
      <c r="J1415" s="39"/>
      <c r="K1415" s="13"/>
      <c r="L1415" s="13"/>
    </row>
    <row r="1416" spans="1:12">
      <c r="A1416" s="36"/>
      <c r="B1416" s="13"/>
      <c r="C1416" s="13"/>
      <c r="D1416" s="13"/>
      <c r="E1416" s="13"/>
      <c r="F1416" s="13"/>
      <c r="G1416" s="13"/>
      <c r="H1416" s="13"/>
      <c r="I1416" s="39" t="s">
        <v>7345</v>
      </c>
      <c r="J1416" s="39" t="s">
        <v>7346</v>
      </c>
      <c r="K1416" s="13"/>
      <c r="L1416" s="13"/>
    </row>
    <row r="1417" spans="1:12">
      <c r="A1417" s="39" t="s">
        <v>2930</v>
      </c>
      <c r="B1417" s="13"/>
      <c r="C1417" s="13"/>
      <c r="D1417" s="13"/>
      <c r="E1417" s="13"/>
      <c r="F1417" s="13"/>
      <c r="G1417" s="13"/>
      <c r="H1417" s="13"/>
      <c r="I1417" s="39" t="s">
        <v>7347</v>
      </c>
      <c r="J1417" s="39" t="s">
        <v>7348</v>
      </c>
      <c r="K1417" s="13"/>
      <c r="L1417" s="13"/>
    </row>
    <row r="1418" spans="1:12">
      <c r="A1418" s="39" t="s">
        <v>7349</v>
      </c>
      <c r="B1418" s="13"/>
      <c r="C1418" s="13"/>
      <c r="D1418" s="13"/>
      <c r="E1418" s="13"/>
      <c r="F1418" s="13"/>
      <c r="G1418" s="13"/>
      <c r="H1418" s="13"/>
      <c r="I1418" s="39" t="s">
        <v>7350</v>
      </c>
      <c r="J1418" s="39" t="s">
        <v>6748</v>
      </c>
      <c r="K1418" s="13"/>
      <c r="L1418" s="13"/>
    </row>
    <row r="1419" spans="1:12">
      <c r="A1419" s="39" t="s">
        <v>7351</v>
      </c>
      <c r="B1419" s="13"/>
      <c r="C1419" s="13"/>
      <c r="D1419" s="13"/>
      <c r="E1419" s="13"/>
      <c r="F1419" s="13"/>
      <c r="G1419" s="13"/>
      <c r="H1419" s="13"/>
      <c r="I1419" s="39" t="s">
        <v>7352</v>
      </c>
      <c r="J1419" s="39" t="s">
        <v>7270</v>
      </c>
      <c r="K1419" s="13"/>
      <c r="L1419" s="13"/>
    </row>
    <row r="1420" spans="1:12">
      <c r="A1420" s="39" t="s">
        <v>7353</v>
      </c>
      <c r="B1420" s="13"/>
      <c r="C1420" s="13"/>
      <c r="D1420" s="13"/>
      <c r="E1420" s="13"/>
      <c r="F1420" s="13"/>
      <c r="G1420" s="13"/>
      <c r="H1420" s="13"/>
      <c r="I1420" s="39" t="s">
        <v>7354</v>
      </c>
      <c r="J1420" s="39" t="s">
        <v>7272</v>
      </c>
      <c r="K1420" s="13"/>
      <c r="L1420" s="13"/>
    </row>
    <row r="1421" spans="1:12">
      <c r="A1421" s="39" t="s">
        <v>7355</v>
      </c>
      <c r="B1421" s="13"/>
      <c r="C1421" s="13"/>
      <c r="D1421" s="13"/>
      <c r="E1421" s="13"/>
      <c r="F1421" s="13"/>
      <c r="G1421" s="13"/>
      <c r="H1421" s="13"/>
      <c r="I1421" s="39" t="s">
        <v>7356</v>
      </c>
      <c r="J1421" s="39" t="s">
        <v>7357</v>
      </c>
      <c r="K1421" s="13"/>
      <c r="L1421" s="13"/>
    </row>
    <row r="1422" spans="1:12">
      <c r="A1422" s="39" t="s">
        <v>7358</v>
      </c>
      <c r="B1422" s="13"/>
      <c r="C1422" s="13"/>
      <c r="D1422" s="13"/>
      <c r="E1422" s="13"/>
      <c r="F1422" s="13"/>
      <c r="G1422" s="13"/>
      <c r="H1422" s="13"/>
      <c r="I1422" s="39" t="s">
        <v>7359</v>
      </c>
      <c r="J1422" s="39" t="s">
        <v>7360</v>
      </c>
      <c r="K1422" s="13"/>
      <c r="L1422" s="13"/>
    </row>
    <row r="1423" spans="1:12">
      <c r="A1423" s="39" t="s">
        <v>7361</v>
      </c>
      <c r="B1423" s="13"/>
      <c r="C1423" s="13"/>
      <c r="D1423" s="13"/>
      <c r="E1423" s="13"/>
      <c r="F1423" s="13"/>
      <c r="G1423" s="13"/>
      <c r="H1423" s="13"/>
      <c r="I1423" s="39" t="s">
        <v>7362</v>
      </c>
      <c r="J1423" s="39" t="s">
        <v>6748</v>
      </c>
      <c r="K1423" s="13"/>
      <c r="L1423" s="13"/>
    </row>
    <row r="1424" spans="1:12">
      <c r="A1424" s="39" t="s">
        <v>7363</v>
      </c>
      <c r="B1424" s="13"/>
      <c r="C1424" s="13"/>
      <c r="D1424" s="13"/>
      <c r="E1424" s="13"/>
      <c r="F1424" s="13"/>
      <c r="G1424" s="13"/>
      <c r="H1424" s="13"/>
      <c r="I1424" s="39" t="s">
        <v>7364</v>
      </c>
      <c r="J1424" s="39" t="s">
        <v>2357</v>
      </c>
      <c r="K1424" s="13"/>
      <c r="L1424" s="13"/>
    </row>
    <row r="1425" spans="1:12">
      <c r="A1425" s="39" t="s">
        <v>7349</v>
      </c>
      <c r="B1425" s="13"/>
      <c r="C1425" s="13"/>
      <c r="D1425" s="13"/>
      <c r="E1425" s="13"/>
      <c r="F1425" s="13"/>
      <c r="G1425" s="13"/>
      <c r="H1425" s="13"/>
      <c r="I1425" s="39" t="s">
        <v>7365</v>
      </c>
      <c r="J1425" s="39" t="s">
        <v>7366</v>
      </c>
      <c r="K1425" s="13"/>
      <c r="L1425" s="13"/>
    </row>
    <row r="1426" spans="1:12">
      <c r="A1426" s="39" t="s">
        <v>7367</v>
      </c>
      <c r="B1426" s="13"/>
      <c r="C1426" s="13"/>
      <c r="D1426" s="13"/>
      <c r="E1426" s="13"/>
      <c r="F1426" s="13"/>
      <c r="G1426" s="13"/>
      <c r="H1426" s="13"/>
      <c r="I1426" s="39" t="s">
        <v>7368</v>
      </c>
      <c r="J1426" s="39"/>
      <c r="K1426" s="13"/>
      <c r="L1426" s="13"/>
    </row>
    <row r="1427" spans="1:12">
      <c r="A1427" s="39" t="s">
        <v>7353</v>
      </c>
      <c r="B1427" s="13"/>
      <c r="C1427" s="13"/>
      <c r="D1427" s="13"/>
      <c r="E1427" s="13"/>
      <c r="F1427" s="13"/>
      <c r="G1427" s="13"/>
      <c r="H1427" s="13"/>
      <c r="I1427" s="39" t="s">
        <v>3354</v>
      </c>
      <c r="J1427" s="39" t="s">
        <v>7259</v>
      </c>
      <c r="K1427" s="13"/>
      <c r="L1427" s="13"/>
    </row>
    <row r="1428" spans="1:12">
      <c r="A1428" s="39" t="s">
        <v>7355</v>
      </c>
      <c r="B1428" s="13"/>
      <c r="C1428" s="13"/>
      <c r="D1428" s="13"/>
      <c r="E1428" s="13"/>
      <c r="F1428" s="13"/>
      <c r="G1428" s="13"/>
      <c r="H1428" s="13"/>
      <c r="I1428" s="39" t="s">
        <v>7369</v>
      </c>
      <c r="J1428" s="39" t="s">
        <v>7260</v>
      </c>
      <c r="K1428" s="13"/>
      <c r="L1428" s="13"/>
    </row>
    <row r="1429" spans="1:12">
      <c r="A1429" s="39" t="s">
        <v>7358</v>
      </c>
      <c r="B1429" s="13"/>
      <c r="C1429" s="13"/>
      <c r="D1429" s="13"/>
      <c r="E1429" s="13"/>
      <c r="F1429" s="13"/>
      <c r="G1429" s="13"/>
      <c r="H1429" s="13"/>
      <c r="I1429" s="39" t="s">
        <v>7370</v>
      </c>
      <c r="J1429" s="39"/>
      <c r="K1429" s="13"/>
      <c r="L1429" s="13"/>
    </row>
    <row r="1430" spans="1:12">
      <c r="A1430" s="39" t="s">
        <v>7371</v>
      </c>
      <c r="B1430" s="13"/>
      <c r="C1430" s="13"/>
      <c r="D1430" s="13"/>
      <c r="E1430" s="13"/>
      <c r="F1430" s="13"/>
      <c r="G1430" s="13"/>
      <c r="H1430" s="13"/>
      <c r="I1430" s="39" t="s">
        <v>7372</v>
      </c>
      <c r="J1430" s="39" t="s">
        <v>7262</v>
      </c>
      <c r="K1430" s="13"/>
      <c r="L1430" s="13"/>
    </row>
    <row r="1431" spans="1:12">
      <c r="A1431" s="36"/>
      <c r="B1431" s="13"/>
      <c r="C1431" s="13"/>
      <c r="D1431" s="13"/>
      <c r="E1431" s="13"/>
      <c r="F1431" s="13"/>
      <c r="G1431" s="13"/>
      <c r="H1431" s="13"/>
      <c r="I1431" s="39" t="s">
        <v>7373</v>
      </c>
      <c r="J1431" s="39" t="s">
        <v>7264</v>
      </c>
      <c r="K1431" s="13"/>
      <c r="L1431" s="13"/>
    </row>
    <row r="1432" spans="1:12">
      <c r="A1432" s="39" t="s">
        <v>7374</v>
      </c>
      <c r="B1432" s="13"/>
      <c r="C1432" s="13"/>
      <c r="D1432" s="13"/>
      <c r="E1432" s="13"/>
      <c r="F1432" s="13"/>
      <c r="G1432" s="13"/>
      <c r="H1432" s="13"/>
      <c r="I1432" s="39" t="s">
        <v>7375</v>
      </c>
      <c r="J1432" s="39"/>
      <c r="K1432" s="13"/>
      <c r="L1432" s="13"/>
    </row>
    <row r="1433" spans="1:12">
      <c r="A1433" s="39" t="s">
        <v>7376</v>
      </c>
      <c r="B1433" s="13"/>
      <c r="C1433" s="13"/>
      <c r="D1433" s="13"/>
      <c r="E1433" s="13"/>
      <c r="F1433" s="13"/>
      <c r="G1433" s="13"/>
      <c r="H1433" s="13"/>
      <c r="I1433" s="39" t="s">
        <v>7377</v>
      </c>
      <c r="J1433" s="39" t="s">
        <v>7378</v>
      </c>
      <c r="K1433" s="13"/>
      <c r="L1433" s="13"/>
    </row>
    <row r="1434" spans="1:12">
      <c r="A1434" s="39" t="s">
        <v>7379</v>
      </c>
      <c r="B1434" s="13"/>
      <c r="C1434" s="13"/>
      <c r="D1434" s="13"/>
      <c r="E1434" s="13"/>
      <c r="F1434" s="13"/>
      <c r="G1434" s="13"/>
      <c r="H1434" s="13"/>
      <c r="I1434" s="39" t="s">
        <v>7380</v>
      </c>
      <c r="J1434" s="39" t="s">
        <v>7381</v>
      </c>
      <c r="K1434" s="13"/>
      <c r="L1434" s="13"/>
    </row>
    <row r="1435" spans="1:12">
      <c r="A1435" s="39" t="s">
        <v>7382</v>
      </c>
      <c r="B1435" s="13"/>
      <c r="C1435" s="13"/>
      <c r="D1435" s="13"/>
      <c r="E1435" s="13"/>
      <c r="F1435" s="13"/>
      <c r="G1435" s="13"/>
      <c r="H1435" s="13"/>
      <c r="I1435" s="39" t="s">
        <v>2836</v>
      </c>
      <c r="J1435" s="39" t="s">
        <v>6748</v>
      </c>
      <c r="K1435" s="13"/>
      <c r="L1435" s="13"/>
    </row>
    <row r="1436" spans="1:12">
      <c r="A1436" s="39" t="s">
        <v>7383</v>
      </c>
      <c r="B1436" s="13"/>
      <c r="C1436" s="13"/>
      <c r="D1436" s="13"/>
      <c r="E1436" s="13"/>
      <c r="F1436" s="13"/>
      <c r="G1436" s="13"/>
      <c r="H1436" s="13"/>
      <c r="I1436" s="39" t="s">
        <v>3371</v>
      </c>
      <c r="J1436" s="39" t="s">
        <v>7270</v>
      </c>
      <c r="K1436" s="13"/>
      <c r="L1436" s="13"/>
    </row>
    <row r="1437" spans="1:12">
      <c r="A1437" s="39" t="s">
        <v>7384</v>
      </c>
      <c r="B1437" s="13"/>
      <c r="C1437" s="13"/>
      <c r="D1437" s="13"/>
      <c r="E1437" s="13"/>
      <c r="F1437" s="13"/>
      <c r="G1437" s="13"/>
      <c r="H1437" s="13"/>
      <c r="I1437" s="39" t="s">
        <v>7385</v>
      </c>
      <c r="J1437" s="39" t="s">
        <v>7272</v>
      </c>
      <c r="K1437" s="13"/>
      <c r="L1437" s="13"/>
    </row>
    <row r="1438" spans="1:12">
      <c r="A1438" s="39" t="s">
        <v>7386</v>
      </c>
      <c r="B1438" s="13"/>
      <c r="C1438" s="13"/>
      <c r="D1438" s="13"/>
      <c r="E1438" s="13"/>
      <c r="F1438" s="13"/>
      <c r="G1438" s="13"/>
      <c r="H1438" s="13"/>
      <c r="I1438" s="39" t="s">
        <v>7387</v>
      </c>
      <c r="J1438" s="39" t="s">
        <v>7388</v>
      </c>
      <c r="K1438" s="13"/>
      <c r="L1438" s="13"/>
    </row>
    <row r="1439" spans="1:12">
      <c r="A1439" s="39" t="s">
        <v>7389</v>
      </c>
      <c r="B1439" s="13"/>
      <c r="C1439" s="13"/>
      <c r="D1439" s="13"/>
      <c r="E1439" s="13"/>
      <c r="F1439" s="13"/>
      <c r="G1439" s="13"/>
      <c r="H1439" s="13"/>
      <c r="I1439" s="39" t="s">
        <v>3354</v>
      </c>
      <c r="J1439" s="39" t="s">
        <v>7390</v>
      </c>
      <c r="K1439" s="13"/>
      <c r="L1439" s="13"/>
    </row>
    <row r="1440" spans="1:12">
      <c r="A1440" s="39" t="s">
        <v>1273</v>
      </c>
      <c r="B1440" s="13"/>
      <c r="C1440" s="13"/>
      <c r="D1440" s="13"/>
      <c r="E1440" s="13"/>
      <c r="F1440" s="13"/>
      <c r="G1440" s="13"/>
      <c r="H1440" s="13"/>
      <c r="I1440" s="39" t="s">
        <v>7391</v>
      </c>
      <c r="J1440" s="39" t="s">
        <v>6748</v>
      </c>
      <c r="K1440" s="13"/>
      <c r="L1440" s="13"/>
    </row>
    <row r="1441" spans="1:12">
      <c r="A1441" s="39" t="s">
        <v>7392</v>
      </c>
      <c r="B1441" s="13"/>
      <c r="C1441" s="13"/>
      <c r="D1441" s="13"/>
      <c r="E1441" s="13"/>
      <c r="F1441" s="13"/>
      <c r="G1441" s="13"/>
      <c r="H1441" s="13"/>
      <c r="I1441" s="39" t="s">
        <v>3371</v>
      </c>
      <c r="J1441" s="39" t="s">
        <v>7259</v>
      </c>
      <c r="K1441" s="13"/>
      <c r="L1441" s="13"/>
    </row>
    <row r="1442" spans="1:12">
      <c r="A1442" s="39" t="s">
        <v>7393</v>
      </c>
      <c r="B1442" s="13"/>
      <c r="C1442" s="13"/>
      <c r="D1442" s="13"/>
      <c r="E1442" s="13"/>
      <c r="F1442" s="13"/>
      <c r="G1442" s="13"/>
      <c r="H1442" s="13"/>
      <c r="I1442" s="39"/>
      <c r="J1442" s="39" t="s">
        <v>7260</v>
      </c>
      <c r="K1442" s="13"/>
      <c r="L1442" s="13"/>
    </row>
    <row r="1443" spans="1:12">
      <c r="A1443" s="39" t="s">
        <v>7394</v>
      </c>
      <c r="B1443" s="13"/>
      <c r="C1443" s="13"/>
      <c r="D1443" s="13"/>
      <c r="E1443" s="13"/>
      <c r="F1443" s="13"/>
      <c r="G1443" s="13"/>
      <c r="H1443" s="13"/>
      <c r="I1443" s="39" t="s">
        <v>7395</v>
      </c>
      <c r="J1443" s="39"/>
      <c r="K1443" s="13"/>
      <c r="L1443" s="13"/>
    </row>
    <row r="1444" spans="1:12">
      <c r="A1444" s="39" t="s">
        <v>7383</v>
      </c>
      <c r="B1444" s="13"/>
      <c r="C1444" s="13"/>
      <c r="D1444" s="13"/>
      <c r="E1444" s="13"/>
      <c r="F1444" s="13"/>
      <c r="G1444" s="13"/>
      <c r="H1444" s="13"/>
      <c r="I1444" s="39" t="s">
        <v>7396</v>
      </c>
      <c r="J1444" s="39" t="s">
        <v>7262</v>
      </c>
      <c r="K1444" s="13"/>
      <c r="L1444" s="13"/>
    </row>
    <row r="1445" spans="1:12">
      <c r="A1445" s="39" t="s">
        <v>7384</v>
      </c>
      <c r="B1445" s="13"/>
      <c r="C1445" s="13"/>
      <c r="D1445" s="13"/>
      <c r="E1445" s="13"/>
      <c r="F1445" s="13"/>
      <c r="G1445" s="13"/>
      <c r="H1445" s="13"/>
      <c r="I1445" s="39" t="s">
        <v>7397</v>
      </c>
      <c r="J1445" s="39" t="s">
        <v>7264</v>
      </c>
      <c r="K1445" s="13"/>
      <c r="L1445" s="13"/>
    </row>
    <row r="1446" spans="1:12">
      <c r="A1446" s="39" t="s">
        <v>7386</v>
      </c>
      <c r="B1446" s="13"/>
      <c r="C1446" s="13"/>
      <c r="D1446" s="13"/>
      <c r="E1446" s="13"/>
      <c r="F1446" s="13"/>
      <c r="G1446" s="13"/>
      <c r="H1446" s="13"/>
      <c r="I1446" s="39" t="s">
        <v>7398</v>
      </c>
      <c r="J1446" s="39"/>
      <c r="K1446" s="13"/>
      <c r="L1446" s="13"/>
    </row>
    <row r="1447" spans="1:12">
      <c r="A1447" s="39" t="s">
        <v>7389</v>
      </c>
      <c r="B1447" s="13"/>
      <c r="C1447" s="13"/>
      <c r="D1447" s="13"/>
      <c r="E1447" s="13"/>
      <c r="F1447" s="13"/>
      <c r="G1447" s="13"/>
      <c r="H1447" s="13"/>
      <c r="I1447" s="39" t="s">
        <v>3371</v>
      </c>
      <c r="J1447" s="39" t="s">
        <v>7399</v>
      </c>
      <c r="K1447" s="13"/>
      <c r="L1447" s="13"/>
    </row>
    <row r="1448" spans="1:12">
      <c r="A1448" s="39" t="s">
        <v>1273</v>
      </c>
      <c r="B1448" s="13"/>
      <c r="C1448" s="13"/>
      <c r="D1448" s="13"/>
      <c r="E1448" s="13"/>
      <c r="F1448" s="13"/>
      <c r="G1448" s="13"/>
      <c r="H1448" s="13"/>
      <c r="I1448" s="39"/>
      <c r="J1448" s="39" t="s">
        <v>7400</v>
      </c>
      <c r="K1448" s="13"/>
      <c r="L1448" s="13"/>
    </row>
    <row r="1449" spans="1:12">
      <c r="A1449" s="39" t="s">
        <v>7401</v>
      </c>
      <c r="B1449" s="13"/>
      <c r="C1449" s="13"/>
      <c r="D1449" s="13"/>
      <c r="E1449" s="13"/>
      <c r="F1449" s="13"/>
      <c r="G1449" s="13"/>
      <c r="H1449" s="13"/>
      <c r="I1449" s="39" t="s">
        <v>7402</v>
      </c>
      <c r="J1449" s="39" t="s">
        <v>6748</v>
      </c>
      <c r="K1449" s="13"/>
      <c r="L1449" s="13"/>
    </row>
    <row r="1450" spans="1:12">
      <c r="A1450" s="39" t="s">
        <v>7393</v>
      </c>
      <c r="B1450" s="13"/>
      <c r="C1450" s="13"/>
      <c r="D1450" s="13"/>
      <c r="E1450" s="13"/>
      <c r="F1450" s="13"/>
      <c r="G1450" s="13"/>
      <c r="H1450" s="13"/>
      <c r="I1450" s="39" t="s">
        <v>7403</v>
      </c>
      <c r="J1450" s="39" t="s">
        <v>7270</v>
      </c>
      <c r="K1450" s="13"/>
      <c r="L1450" s="13"/>
    </row>
    <row r="1451" spans="1:12">
      <c r="A1451" s="39" t="s">
        <v>7379</v>
      </c>
      <c r="B1451" s="13"/>
      <c r="C1451" s="13"/>
      <c r="D1451" s="13"/>
      <c r="E1451" s="13"/>
      <c r="F1451" s="13"/>
      <c r="G1451" s="13"/>
      <c r="H1451" s="13"/>
      <c r="I1451" s="39" t="s">
        <v>7404</v>
      </c>
      <c r="J1451" s="39" t="s">
        <v>7272</v>
      </c>
      <c r="K1451" s="13"/>
      <c r="L1451" s="13"/>
    </row>
    <row r="1452" spans="1:12">
      <c r="A1452" s="39" t="s">
        <v>7383</v>
      </c>
      <c r="B1452" s="13"/>
      <c r="C1452" s="13"/>
      <c r="D1452" s="13"/>
      <c r="E1452" s="13"/>
      <c r="F1452" s="13"/>
      <c r="G1452" s="13"/>
      <c r="H1452" s="13"/>
      <c r="I1452" s="39" t="s">
        <v>7405</v>
      </c>
      <c r="J1452" s="39" t="s">
        <v>7406</v>
      </c>
      <c r="K1452" s="13"/>
      <c r="L1452" s="13"/>
    </row>
    <row r="1453" spans="1:12">
      <c r="A1453" s="39" t="s">
        <v>7384</v>
      </c>
      <c r="B1453" s="13"/>
      <c r="C1453" s="13"/>
      <c r="D1453" s="13"/>
      <c r="E1453" s="13"/>
      <c r="F1453" s="13"/>
      <c r="G1453" s="13"/>
      <c r="H1453" s="13"/>
      <c r="I1453" s="39" t="s">
        <v>7407</v>
      </c>
      <c r="J1453" s="39" t="s">
        <v>7408</v>
      </c>
      <c r="K1453" s="13"/>
      <c r="L1453" s="13"/>
    </row>
    <row r="1454" spans="1:12">
      <c r="A1454" s="39" t="s">
        <v>7386</v>
      </c>
      <c r="B1454" s="13"/>
      <c r="C1454" s="13"/>
      <c r="D1454" s="13"/>
      <c r="E1454" s="13"/>
      <c r="F1454" s="13"/>
      <c r="G1454" s="13"/>
      <c r="H1454" s="13"/>
      <c r="I1454" s="39" t="s">
        <v>2357</v>
      </c>
      <c r="J1454" s="39" t="s">
        <v>6748</v>
      </c>
      <c r="K1454" s="13"/>
      <c r="L1454" s="13"/>
    </row>
    <row r="1455" spans="1:12">
      <c r="A1455" s="39" t="s">
        <v>7389</v>
      </c>
      <c r="B1455" s="13"/>
      <c r="C1455" s="13"/>
      <c r="D1455" s="13"/>
      <c r="E1455" s="13"/>
      <c r="F1455" s="13"/>
      <c r="G1455" s="13"/>
      <c r="H1455" s="13"/>
      <c r="I1455" s="39" t="s">
        <v>7409</v>
      </c>
      <c r="J1455" s="39" t="s">
        <v>2357</v>
      </c>
      <c r="K1455" s="13"/>
      <c r="L1455" s="13"/>
    </row>
    <row r="1456" spans="1:12">
      <c r="A1456" s="39" t="s">
        <v>1273</v>
      </c>
      <c r="B1456" s="13"/>
      <c r="C1456" s="13"/>
      <c r="D1456" s="13"/>
      <c r="E1456" s="13"/>
      <c r="F1456" s="13"/>
      <c r="G1456" s="13"/>
      <c r="H1456" s="13"/>
      <c r="I1456" s="39" t="s">
        <v>7410</v>
      </c>
      <c r="J1456" s="39" t="s">
        <v>7411</v>
      </c>
      <c r="K1456" s="13"/>
      <c r="L1456" s="13"/>
    </row>
    <row r="1457" spans="1:12">
      <c r="A1457" s="39" t="s">
        <v>7353</v>
      </c>
      <c r="B1457" s="13"/>
      <c r="C1457" s="13"/>
      <c r="D1457" s="13"/>
      <c r="E1457" s="13"/>
      <c r="F1457" s="13"/>
      <c r="G1457" s="13"/>
      <c r="H1457" s="13"/>
      <c r="I1457" s="39" t="s">
        <v>7412</v>
      </c>
      <c r="J1457" s="39" t="s">
        <v>7259</v>
      </c>
      <c r="K1457" s="13"/>
      <c r="L1457" s="13"/>
    </row>
    <row r="1458" spans="1:12">
      <c r="A1458" s="39" t="s">
        <v>7413</v>
      </c>
      <c r="B1458" s="13"/>
      <c r="C1458" s="13"/>
      <c r="D1458" s="13"/>
      <c r="E1458" s="13"/>
      <c r="F1458" s="13"/>
      <c r="G1458" s="13"/>
      <c r="H1458" s="13"/>
      <c r="I1458" s="39" t="s">
        <v>7414</v>
      </c>
      <c r="J1458" s="39" t="s">
        <v>7260</v>
      </c>
      <c r="K1458" s="13"/>
      <c r="L1458" s="13"/>
    </row>
    <row r="1459" spans="1:12">
      <c r="A1459" s="39" t="s">
        <v>7415</v>
      </c>
      <c r="B1459" s="13"/>
      <c r="C1459" s="13"/>
      <c r="D1459" s="13"/>
      <c r="E1459" s="13"/>
      <c r="F1459" s="13"/>
      <c r="G1459" s="13"/>
      <c r="H1459" s="13"/>
      <c r="I1459" s="39" t="s">
        <v>7416</v>
      </c>
      <c r="J1459" s="39"/>
      <c r="K1459" s="13"/>
      <c r="L1459" s="13"/>
    </row>
    <row r="1460" spans="1:12">
      <c r="A1460" s="39" t="s">
        <v>7417</v>
      </c>
      <c r="B1460" s="13"/>
      <c r="C1460" s="13"/>
      <c r="D1460" s="13"/>
      <c r="E1460" s="13"/>
      <c r="F1460" s="13"/>
      <c r="G1460" s="13"/>
      <c r="H1460" s="13"/>
      <c r="I1460" s="39" t="s">
        <v>7418</v>
      </c>
      <c r="J1460" s="39" t="s">
        <v>7262</v>
      </c>
      <c r="K1460" s="13"/>
      <c r="L1460" s="13"/>
    </row>
    <row r="1461" spans="1:12">
      <c r="A1461" s="39" t="s">
        <v>7419</v>
      </c>
      <c r="B1461" s="13"/>
      <c r="C1461" s="13"/>
      <c r="D1461" s="13"/>
      <c r="E1461" s="13"/>
      <c r="F1461" s="13"/>
      <c r="G1461" s="13"/>
      <c r="H1461" s="13"/>
      <c r="I1461" s="39" t="s">
        <v>7420</v>
      </c>
      <c r="J1461" s="39" t="s">
        <v>7264</v>
      </c>
      <c r="K1461" s="13"/>
      <c r="L1461" s="13"/>
    </row>
    <row r="1462" spans="1:12">
      <c r="A1462" s="39" t="s">
        <v>7349</v>
      </c>
      <c r="B1462" s="13"/>
      <c r="C1462" s="13"/>
      <c r="D1462" s="13"/>
      <c r="E1462" s="13"/>
      <c r="F1462" s="13"/>
      <c r="G1462" s="13"/>
      <c r="H1462" s="13"/>
      <c r="I1462" s="39" t="s">
        <v>7421</v>
      </c>
      <c r="J1462" s="39"/>
      <c r="K1462" s="13"/>
      <c r="L1462" s="13"/>
    </row>
    <row r="1463" spans="1:12">
      <c r="A1463" s="39" t="s">
        <v>4739</v>
      </c>
      <c r="B1463" s="13"/>
      <c r="C1463" s="13"/>
      <c r="D1463" s="13"/>
      <c r="E1463" s="13"/>
      <c r="F1463" s="13"/>
      <c r="G1463" s="13"/>
      <c r="H1463" s="13"/>
      <c r="I1463" s="39" t="s">
        <v>7422</v>
      </c>
      <c r="J1463" s="39" t="s">
        <v>7423</v>
      </c>
      <c r="K1463" s="13"/>
      <c r="L1463" s="13"/>
    </row>
    <row r="1464" spans="1:12">
      <c r="A1464" s="39" t="s">
        <v>7353</v>
      </c>
      <c r="B1464" s="13"/>
      <c r="C1464" s="13"/>
      <c r="D1464" s="13"/>
      <c r="E1464" s="13"/>
      <c r="F1464" s="13"/>
      <c r="G1464" s="13"/>
      <c r="H1464" s="13"/>
      <c r="I1464" s="39"/>
      <c r="J1464" s="39" t="s">
        <v>7424</v>
      </c>
      <c r="K1464" s="13"/>
      <c r="L1464" s="13"/>
    </row>
    <row r="1465" spans="1:12">
      <c r="A1465" s="39" t="s">
        <v>7413</v>
      </c>
      <c r="B1465" s="13"/>
      <c r="C1465" s="13"/>
      <c r="D1465" s="13"/>
      <c r="E1465" s="13"/>
      <c r="F1465" s="13"/>
      <c r="G1465" s="13"/>
      <c r="H1465" s="13"/>
      <c r="I1465" s="39" t="s">
        <v>7425</v>
      </c>
      <c r="J1465" s="39" t="s">
        <v>6748</v>
      </c>
      <c r="K1465" s="13"/>
      <c r="L1465" s="13"/>
    </row>
    <row r="1466" spans="1:12">
      <c r="A1466" s="39" t="s">
        <v>7426</v>
      </c>
      <c r="B1466" s="13"/>
      <c r="C1466" s="13"/>
      <c r="D1466" s="13"/>
      <c r="E1466" s="13"/>
      <c r="F1466" s="13"/>
      <c r="G1466" s="13"/>
      <c r="H1466" s="13"/>
      <c r="I1466" s="39" t="s">
        <v>7427</v>
      </c>
      <c r="J1466" s="39" t="s">
        <v>7270</v>
      </c>
      <c r="K1466" s="13"/>
      <c r="L1466" s="13"/>
    </row>
    <row r="1467" spans="1:12">
      <c r="A1467" s="39" t="s">
        <v>7428</v>
      </c>
      <c r="B1467" s="13"/>
      <c r="C1467" s="13"/>
      <c r="D1467" s="13"/>
      <c r="E1467" s="13"/>
      <c r="F1467" s="13"/>
      <c r="G1467" s="13"/>
      <c r="H1467" s="13"/>
      <c r="I1467" s="39" t="s">
        <v>2357</v>
      </c>
      <c r="J1467" s="39" t="s">
        <v>7272</v>
      </c>
      <c r="K1467" s="13"/>
      <c r="L1467" s="13"/>
    </row>
    <row r="1468" spans="1:12">
      <c r="A1468" s="39" t="s">
        <v>1273</v>
      </c>
      <c r="B1468" s="13"/>
      <c r="C1468" s="13"/>
      <c r="D1468" s="13"/>
      <c r="E1468" s="13"/>
      <c r="F1468" s="13"/>
      <c r="G1468" s="13"/>
      <c r="H1468" s="13"/>
      <c r="I1468" s="39"/>
      <c r="J1468" s="39" t="s">
        <v>7429</v>
      </c>
      <c r="K1468" s="13"/>
      <c r="L1468" s="13"/>
    </row>
    <row r="1469" spans="1:12">
      <c r="A1469" s="39" t="s">
        <v>7374</v>
      </c>
      <c r="B1469" s="13"/>
      <c r="C1469" s="13"/>
      <c r="D1469" s="13"/>
      <c r="E1469" s="13"/>
      <c r="F1469" s="13"/>
      <c r="G1469" s="13"/>
      <c r="H1469" s="13"/>
      <c r="I1469" s="39" t="s">
        <v>7430</v>
      </c>
      <c r="J1469" s="39" t="s">
        <v>7431</v>
      </c>
      <c r="K1469" s="13"/>
      <c r="L1469" s="13"/>
    </row>
    <row r="1470" spans="1:12">
      <c r="A1470" s="39" t="s">
        <v>7376</v>
      </c>
      <c r="B1470" s="13"/>
      <c r="C1470" s="13"/>
      <c r="D1470" s="13"/>
      <c r="E1470" s="13"/>
      <c r="F1470" s="13"/>
      <c r="G1470" s="13"/>
      <c r="H1470" s="13"/>
      <c r="I1470" s="39" t="s">
        <v>7242</v>
      </c>
      <c r="J1470" s="39" t="s">
        <v>6748</v>
      </c>
      <c r="K1470" s="13"/>
      <c r="L1470" s="13"/>
    </row>
    <row r="1471" spans="1:12">
      <c r="A1471" s="39" t="s">
        <v>7379</v>
      </c>
      <c r="B1471" s="13"/>
      <c r="C1471" s="13"/>
      <c r="D1471" s="13"/>
      <c r="E1471" s="13"/>
      <c r="F1471" s="13"/>
      <c r="G1471" s="13"/>
      <c r="H1471" s="13"/>
      <c r="I1471" s="39" t="s">
        <v>7245</v>
      </c>
      <c r="J1471" s="39" t="s">
        <v>7259</v>
      </c>
      <c r="K1471" s="13"/>
      <c r="L1471" s="13"/>
    </row>
    <row r="1472" spans="1:12">
      <c r="A1472" s="39" t="s">
        <v>7382</v>
      </c>
      <c r="B1472" s="13"/>
      <c r="C1472" s="13"/>
      <c r="D1472" s="13"/>
      <c r="E1472" s="13"/>
      <c r="F1472" s="13"/>
      <c r="G1472" s="13"/>
      <c r="H1472" s="13"/>
      <c r="I1472" s="39" t="s">
        <v>7432</v>
      </c>
      <c r="J1472" s="39" t="s">
        <v>7260</v>
      </c>
      <c r="K1472" s="13"/>
      <c r="L1472" s="13"/>
    </row>
    <row r="1473" spans="1:12">
      <c r="A1473" s="39" t="s">
        <v>7383</v>
      </c>
      <c r="B1473" s="13"/>
      <c r="C1473" s="13"/>
      <c r="D1473" s="13"/>
      <c r="E1473" s="13"/>
      <c r="F1473" s="13"/>
      <c r="G1473" s="13"/>
      <c r="H1473" s="13"/>
      <c r="I1473" s="39" t="s">
        <v>7433</v>
      </c>
      <c r="J1473" s="39"/>
      <c r="K1473" s="13"/>
      <c r="L1473" s="13"/>
    </row>
    <row r="1474" spans="1:12">
      <c r="A1474" s="39" t="s">
        <v>7384</v>
      </c>
      <c r="B1474" s="13"/>
      <c r="C1474" s="13"/>
      <c r="D1474" s="13"/>
      <c r="E1474" s="13"/>
      <c r="F1474" s="13"/>
      <c r="G1474" s="13"/>
      <c r="H1474" s="13"/>
      <c r="I1474" s="39" t="s">
        <v>7434</v>
      </c>
      <c r="J1474" s="39" t="s">
        <v>7262</v>
      </c>
      <c r="K1474" s="13"/>
      <c r="L1474" s="13"/>
    </row>
    <row r="1475" spans="1:12">
      <c r="A1475" s="39" t="s">
        <v>7386</v>
      </c>
      <c r="B1475" s="13"/>
      <c r="C1475" s="13"/>
      <c r="D1475" s="13"/>
      <c r="E1475" s="13"/>
      <c r="F1475" s="13"/>
      <c r="G1475" s="13"/>
      <c r="H1475" s="13"/>
      <c r="I1475" s="39" t="s">
        <v>7435</v>
      </c>
      <c r="J1475" s="39" t="s">
        <v>7264</v>
      </c>
      <c r="K1475" s="13"/>
      <c r="L1475" s="13"/>
    </row>
    <row r="1476" spans="1:12">
      <c r="A1476" s="39" t="s">
        <v>7389</v>
      </c>
      <c r="B1476" s="13"/>
      <c r="C1476" s="13"/>
      <c r="D1476" s="13"/>
      <c r="E1476" s="13"/>
      <c r="F1476" s="13"/>
      <c r="G1476" s="13"/>
      <c r="H1476" s="13"/>
      <c r="I1476" s="39" t="s">
        <v>7436</v>
      </c>
      <c r="J1476" s="39"/>
      <c r="K1476" s="13"/>
      <c r="L1476" s="13"/>
    </row>
    <row r="1477" spans="1:12">
      <c r="A1477" s="39" t="s">
        <v>1273</v>
      </c>
      <c r="B1477" s="13"/>
      <c r="C1477" s="13"/>
      <c r="D1477" s="13"/>
      <c r="E1477" s="13"/>
      <c r="F1477" s="13"/>
      <c r="G1477" s="13"/>
      <c r="H1477" s="13"/>
      <c r="I1477" s="39" t="s">
        <v>7437</v>
      </c>
      <c r="J1477" s="39" t="s">
        <v>7438</v>
      </c>
      <c r="K1477" s="13"/>
      <c r="L1477" s="13"/>
    </row>
    <row r="1478" spans="1:12">
      <c r="A1478" s="39" t="s">
        <v>7392</v>
      </c>
      <c r="B1478" s="13"/>
      <c r="C1478" s="13"/>
      <c r="D1478" s="13"/>
      <c r="E1478" s="13"/>
      <c r="F1478" s="13"/>
      <c r="G1478" s="13"/>
      <c r="H1478" s="13"/>
      <c r="I1478" s="39" t="s">
        <v>7439</v>
      </c>
      <c r="J1478" s="39" t="s">
        <v>7440</v>
      </c>
      <c r="K1478" s="13"/>
      <c r="L1478" s="13"/>
    </row>
    <row r="1479" spans="1:12">
      <c r="A1479" s="39" t="s">
        <v>7393</v>
      </c>
      <c r="B1479" s="13"/>
      <c r="C1479" s="13"/>
      <c r="D1479" s="13"/>
      <c r="E1479" s="13"/>
      <c r="F1479" s="13"/>
      <c r="G1479" s="13"/>
      <c r="H1479" s="13"/>
      <c r="I1479" s="39" t="s">
        <v>7441</v>
      </c>
      <c r="J1479" s="39" t="s">
        <v>6748</v>
      </c>
      <c r="K1479" s="13"/>
      <c r="L1479" s="13"/>
    </row>
    <row r="1480" spans="1:12">
      <c r="A1480" s="39" t="s">
        <v>7394</v>
      </c>
      <c r="B1480" s="13"/>
      <c r="C1480" s="13"/>
      <c r="D1480" s="13"/>
      <c r="E1480" s="13"/>
      <c r="F1480" s="13"/>
      <c r="G1480" s="13"/>
      <c r="H1480" s="13"/>
      <c r="I1480" s="39" t="s">
        <v>7442</v>
      </c>
      <c r="J1480" s="39" t="s">
        <v>7270</v>
      </c>
      <c r="K1480" s="13"/>
      <c r="L1480" s="13"/>
    </row>
    <row r="1481" spans="1:12">
      <c r="A1481" s="39" t="s">
        <v>7383</v>
      </c>
      <c r="B1481" s="13"/>
      <c r="C1481" s="13"/>
      <c r="D1481" s="13"/>
      <c r="E1481" s="13"/>
      <c r="F1481" s="13"/>
      <c r="G1481" s="13"/>
      <c r="H1481" s="13"/>
      <c r="I1481" s="39" t="s">
        <v>7443</v>
      </c>
      <c r="J1481" s="39" t="s">
        <v>7272</v>
      </c>
      <c r="K1481" s="13"/>
      <c r="L1481" s="13"/>
    </row>
    <row r="1482" spans="1:12">
      <c r="A1482" s="39" t="s">
        <v>7384</v>
      </c>
      <c r="B1482" s="13"/>
      <c r="C1482" s="13"/>
      <c r="D1482" s="13"/>
      <c r="E1482" s="13"/>
      <c r="F1482" s="13"/>
      <c r="G1482" s="13"/>
      <c r="H1482" s="13"/>
      <c r="I1482" s="39" t="s">
        <v>7444</v>
      </c>
      <c r="J1482" s="39" t="s">
        <v>7445</v>
      </c>
      <c r="K1482" s="13"/>
      <c r="L1482" s="13"/>
    </row>
    <row r="1483" spans="1:12">
      <c r="A1483" s="39" t="s">
        <v>7386</v>
      </c>
      <c r="B1483" s="13"/>
      <c r="C1483" s="13"/>
      <c r="D1483" s="13"/>
      <c r="E1483" s="13"/>
      <c r="F1483" s="13"/>
      <c r="G1483" s="13"/>
      <c r="H1483" s="13"/>
      <c r="I1483" s="39" t="s">
        <v>7446</v>
      </c>
      <c r="J1483" s="39" t="s">
        <v>7447</v>
      </c>
      <c r="K1483" s="13"/>
      <c r="L1483" s="13"/>
    </row>
    <row r="1484" spans="1:12">
      <c r="A1484" s="39" t="s">
        <v>7389</v>
      </c>
      <c r="B1484" s="13"/>
      <c r="C1484" s="13"/>
      <c r="D1484" s="13"/>
      <c r="E1484" s="13"/>
      <c r="F1484" s="13"/>
      <c r="G1484" s="13"/>
      <c r="H1484" s="13"/>
      <c r="I1484" s="39" t="s">
        <v>7448</v>
      </c>
      <c r="J1484" s="39" t="s">
        <v>6748</v>
      </c>
      <c r="K1484" s="13"/>
      <c r="L1484" s="13"/>
    </row>
    <row r="1485" spans="1:12">
      <c r="A1485" s="39" t="s">
        <v>1273</v>
      </c>
      <c r="B1485" s="13"/>
      <c r="C1485" s="13"/>
      <c r="D1485" s="13"/>
      <c r="E1485" s="13"/>
      <c r="F1485" s="13"/>
      <c r="G1485" s="13"/>
      <c r="H1485" s="13"/>
      <c r="I1485" s="39" t="s">
        <v>7449</v>
      </c>
      <c r="J1485" s="39" t="s">
        <v>2357</v>
      </c>
      <c r="K1485" s="13"/>
      <c r="L1485" s="13"/>
    </row>
    <row r="1486" spans="1:12">
      <c r="A1486" s="39" t="s">
        <v>7401</v>
      </c>
      <c r="B1486" s="13"/>
      <c r="C1486" s="13"/>
      <c r="D1486" s="13"/>
      <c r="E1486" s="13"/>
      <c r="F1486" s="13"/>
      <c r="G1486" s="13"/>
      <c r="H1486" s="13"/>
      <c r="I1486" s="39" t="s">
        <v>7450</v>
      </c>
      <c r="J1486" s="39" t="s">
        <v>2237</v>
      </c>
      <c r="K1486" s="13"/>
      <c r="L1486" s="13"/>
    </row>
    <row r="1487" spans="1:12">
      <c r="A1487" s="39" t="s">
        <v>7393</v>
      </c>
      <c r="B1487" s="13"/>
      <c r="C1487" s="13"/>
      <c r="D1487" s="13"/>
      <c r="E1487" s="13"/>
      <c r="F1487" s="13"/>
      <c r="G1487" s="13"/>
      <c r="H1487" s="13"/>
      <c r="I1487" s="39" t="s">
        <v>7451</v>
      </c>
      <c r="J1487" s="39" t="s">
        <v>7248</v>
      </c>
      <c r="K1487" s="13"/>
      <c r="L1487" s="13"/>
    </row>
    <row r="1488" spans="1:12">
      <c r="A1488" s="39" t="s">
        <v>7379</v>
      </c>
      <c r="B1488" s="13"/>
      <c r="C1488" s="13"/>
      <c r="D1488" s="13"/>
      <c r="E1488" s="13"/>
      <c r="F1488" s="13"/>
      <c r="G1488" s="13"/>
      <c r="H1488" s="13"/>
      <c r="I1488" s="39" t="s">
        <v>7452</v>
      </c>
      <c r="J1488" s="39" t="s">
        <v>2265</v>
      </c>
      <c r="K1488" s="13"/>
      <c r="L1488" s="13"/>
    </row>
    <row r="1489" spans="1:12">
      <c r="A1489" s="39" t="s">
        <v>7383</v>
      </c>
      <c r="B1489" s="13"/>
      <c r="C1489" s="13"/>
      <c r="D1489" s="13"/>
      <c r="E1489" s="13"/>
      <c r="F1489" s="13"/>
      <c r="G1489" s="13"/>
      <c r="H1489" s="13"/>
      <c r="I1489" s="39" t="s">
        <v>2357</v>
      </c>
      <c r="J1489" s="39" t="s">
        <v>1259</v>
      </c>
      <c r="K1489" s="13"/>
      <c r="L1489" s="13"/>
    </row>
    <row r="1490" spans="1:12">
      <c r="A1490" s="39" t="s">
        <v>7384</v>
      </c>
      <c r="B1490" s="13"/>
      <c r="C1490" s="13"/>
      <c r="D1490" s="13"/>
      <c r="E1490" s="13"/>
      <c r="F1490" s="13"/>
      <c r="G1490" s="13"/>
      <c r="H1490" s="13"/>
      <c r="I1490" s="39" t="s">
        <v>7453</v>
      </c>
      <c r="J1490" s="39" t="s">
        <v>7454</v>
      </c>
      <c r="K1490" s="13"/>
      <c r="L1490" s="13"/>
    </row>
    <row r="1491" spans="1:12">
      <c r="A1491" s="39" t="s">
        <v>7386</v>
      </c>
      <c r="B1491" s="13"/>
      <c r="C1491" s="13"/>
      <c r="D1491" s="13"/>
      <c r="E1491" s="13"/>
      <c r="F1491" s="13"/>
      <c r="G1491" s="13"/>
      <c r="H1491" s="13"/>
      <c r="I1491" s="39" t="s">
        <v>2501</v>
      </c>
      <c r="J1491" s="39"/>
      <c r="K1491" s="13"/>
      <c r="L1491" s="13"/>
    </row>
    <row r="1492" spans="1:12">
      <c r="A1492" s="39" t="s">
        <v>7389</v>
      </c>
      <c r="B1492" s="13"/>
      <c r="C1492" s="13"/>
      <c r="D1492" s="13"/>
      <c r="E1492" s="13"/>
      <c r="F1492" s="13"/>
      <c r="G1492" s="13"/>
      <c r="H1492" s="13"/>
      <c r="I1492" s="39" t="s">
        <v>7455</v>
      </c>
      <c r="J1492" s="39" t="s">
        <v>6760</v>
      </c>
      <c r="K1492" s="13"/>
      <c r="L1492" s="13"/>
    </row>
    <row r="1493" spans="1:12">
      <c r="A1493" s="39" t="s">
        <v>1273</v>
      </c>
      <c r="B1493" s="13"/>
      <c r="C1493" s="13"/>
      <c r="D1493" s="13"/>
      <c r="E1493" s="13"/>
      <c r="F1493" s="13"/>
      <c r="G1493" s="13"/>
      <c r="H1493" s="13"/>
      <c r="I1493" s="39" t="s">
        <v>7456</v>
      </c>
      <c r="J1493" s="39" t="s">
        <v>6763</v>
      </c>
      <c r="K1493" s="13"/>
      <c r="L1493" s="13"/>
    </row>
    <row r="1494" spans="1:12">
      <c r="A1494" s="39" t="s">
        <v>7353</v>
      </c>
      <c r="B1494" s="13"/>
      <c r="C1494" s="13"/>
      <c r="D1494" s="13"/>
      <c r="E1494" s="13"/>
      <c r="F1494" s="13"/>
      <c r="G1494" s="13"/>
      <c r="H1494" s="13"/>
      <c r="I1494" s="39" t="s">
        <v>7457</v>
      </c>
      <c r="J1494" s="39" t="s">
        <v>6765</v>
      </c>
      <c r="K1494" s="13"/>
      <c r="L1494" s="13"/>
    </row>
    <row r="1495" spans="1:12">
      <c r="A1495" s="39" t="s">
        <v>7413</v>
      </c>
      <c r="B1495" s="13"/>
      <c r="C1495" s="13"/>
      <c r="D1495" s="13"/>
      <c r="E1495" s="13"/>
      <c r="F1495" s="13"/>
      <c r="G1495" s="13"/>
      <c r="H1495" s="13"/>
      <c r="I1495" s="39" t="s">
        <v>7458</v>
      </c>
      <c r="J1495" s="39" t="s">
        <v>7451</v>
      </c>
      <c r="K1495" s="13"/>
      <c r="L1495" s="13"/>
    </row>
    <row r="1496" spans="1:12">
      <c r="A1496" s="39" t="s">
        <v>7459</v>
      </c>
      <c r="B1496" s="13"/>
      <c r="C1496" s="13"/>
      <c r="D1496" s="13"/>
      <c r="E1496" s="13"/>
      <c r="F1496" s="13"/>
      <c r="G1496" s="13"/>
      <c r="H1496" s="13"/>
      <c r="I1496" s="39" t="s">
        <v>7452</v>
      </c>
      <c r="J1496" s="39" t="s">
        <v>7452</v>
      </c>
      <c r="K1496" s="13"/>
      <c r="L1496" s="13"/>
    </row>
    <row r="1497" spans="1:12">
      <c r="A1497" s="39" t="s">
        <v>7460</v>
      </c>
      <c r="B1497" s="13"/>
      <c r="C1497" s="13"/>
      <c r="D1497" s="13"/>
      <c r="E1497" s="13"/>
      <c r="F1497" s="13"/>
      <c r="G1497" s="13"/>
      <c r="H1497" s="13"/>
      <c r="I1497" s="39"/>
      <c r="J1497" s="39" t="s">
        <v>2357</v>
      </c>
      <c r="K1497" s="13"/>
      <c r="L1497" s="13"/>
    </row>
    <row r="1498" spans="1:12">
      <c r="A1498" s="39" t="s">
        <v>7419</v>
      </c>
      <c r="B1498" s="13"/>
      <c r="C1498" s="13"/>
      <c r="D1498" s="13"/>
      <c r="E1498" s="13"/>
      <c r="F1498" s="13"/>
      <c r="G1498" s="13"/>
      <c r="H1498" s="13"/>
      <c r="I1498" s="39" t="s">
        <v>7461</v>
      </c>
      <c r="J1498" s="39"/>
      <c r="K1498" s="13"/>
      <c r="L1498" s="13"/>
    </row>
    <row r="1499" spans="1:12">
      <c r="A1499" s="39" t="s">
        <v>2966</v>
      </c>
      <c r="B1499" s="13"/>
      <c r="C1499" s="13"/>
      <c r="D1499" s="13"/>
      <c r="E1499" s="13"/>
      <c r="F1499" s="13"/>
      <c r="G1499" s="13"/>
      <c r="H1499" s="13"/>
      <c r="I1499" s="39" t="s">
        <v>7462</v>
      </c>
      <c r="J1499" s="39" t="s">
        <v>6770</v>
      </c>
      <c r="K1499" s="13"/>
      <c r="L1499" s="13"/>
    </row>
    <row r="1500" spans="1:12">
      <c r="A1500" s="39" t="s">
        <v>3054</v>
      </c>
      <c r="B1500" s="13"/>
      <c r="C1500" s="13"/>
      <c r="D1500" s="13"/>
      <c r="E1500" s="13"/>
      <c r="F1500" s="13"/>
      <c r="G1500" s="13"/>
      <c r="H1500" s="13"/>
      <c r="I1500" s="39" t="s">
        <v>7463</v>
      </c>
      <c r="J1500" s="39" t="s">
        <v>6774</v>
      </c>
      <c r="K1500" s="13"/>
      <c r="L1500" s="13"/>
    </row>
    <row r="1501" spans="1:12">
      <c r="A1501" s="36"/>
      <c r="B1501" s="13"/>
      <c r="C1501" s="13"/>
      <c r="D1501" s="13"/>
      <c r="E1501" s="13"/>
      <c r="F1501" s="13"/>
      <c r="G1501" s="13"/>
      <c r="H1501" s="13"/>
      <c r="I1501" s="39" t="s">
        <v>7458</v>
      </c>
      <c r="J1501" s="39" t="s">
        <v>6776</v>
      </c>
      <c r="K1501" s="13"/>
      <c r="L1501" s="13"/>
    </row>
    <row r="1502" spans="1:12">
      <c r="A1502" s="39" t="s">
        <v>7464</v>
      </c>
      <c r="B1502" s="13"/>
      <c r="C1502" s="13"/>
      <c r="D1502" s="13"/>
      <c r="E1502" s="13"/>
      <c r="F1502" s="13"/>
      <c r="G1502" s="13"/>
      <c r="H1502" s="13"/>
      <c r="I1502" s="39" t="s">
        <v>7452</v>
      </c>
      <c r="J1502" s="39" t="s">
        <v>7451</v>
      </c>
      <c r="K1502" s="13"/>
      <c r="L1502" s="13"/>
    </row>
    <row r="1503" spans="1:12">
      <c r="A1503" s="39" t="s">
        <v>2265</v>
      </c>
      <c r="B1503" s="13"/>
      <c r="C1503" s="13"/>
      <c r="D1503" s="13"/>
      <c r="E1503" s="13"/>
      <c r="F1503" s="13"/>
      <c r="G1503" s="13"/>
      <c r="H1503" s="13"/>
      <c r="I1503" s="39"/>
      <c r="J1503" s="39" t="s">
        <v>7452</v>
      </c>
      <c r="K1503" s="13"/>
      <c r="L1503" s="13"/>
    </row>
    <row r="1504" spans="1:12">
      <c r="A1504" s="39" t="s">
        <v>1259</v>
      </c>
      <c r="B1504" s="13"/>
      <c r="C1504" s="13"/>
      <c r="D1504" s="13"/>
      <c r="E1504" s="13"/>
      <c r="F1504" s="13"/>
      <c r="G1504" s="13"/>
      <c r="H1504" s="13"/>
      <c r="I1504" s="39" t="s">
        <v>7465</v>
      </c>
      <c r="J1504" s="39" t="s">
        <v>2357</v>
      </c>
      <c r="K1504" s="13"/>
      <c r="L1504" s="13"/>
    </row>
    <row r="1505" spans="1:12">
      <c r="A1505" s="39" t="s">
        <v>7466</v>
      </c>
      <c r="B1505" s="13"/>
      <c r="C1505" s="13"/>
      <c r="D1505" s="13"/>
      <c r="E1505" s="13"/>
      <c r="F1505" s="13"/>
      <c r="G1505" s="13"/>
      <c r="H1505" s="13"/>
      <c r="I1505" s="39" t="s">
        <v>7467</v>
      </c>
      <c r="J1505" s="39"/>
      <c r="K1505" s="13"/>
      <c r="L1505" s="13"/>
    </row>
    <row r="1506" spans="1:12">
      <c r="A1506" s="36"/>
      <c r="B1506" s="13"/>
      <c r="C1506" s="13"/>
      <c r="D1506" s="13"/>
      <c r="E1506" s="13"/>
      <c r="F1506" s="13"/>
      <c r="G1506" s="13"/>
      <c r="H1506" s="13"/>
      <c r="I1506" s="39" t="s">
        <v>7468</v>
      </c>
      <c r="J1506" s="39" t="s">
        <v>6827</v>
      </c>
      <c r="K1506" s="13"/>
      <c r="L1506" s="13"/>
    </row>
    <row r="1507" spans="1:12">
      <c r="A1507" s="39" t="s">
        <v>7469</v>
      </c>
      <c r="B1507" s="13"/>
      <c r="C1507" s="13"/>
      <c r="D1507" s="13"/>
      <c r="E1507" s="13"/>
      <c r="F1507" s="13"/>
      <c r="G1507" s="13"/>
      <c r="H1507" s="13"/>
      <c r="I1507" s="39" t="s">
        <v>7470</v>
      </c>
      <c r="J1507" s="39" t="s">
        <v>6830</v>
      </c>
      <c r="K1507" s="13"/>
      <c r="L1507" s="13"/>
    </row>
    <row r="1508" spans="1:12">
      <c r="A1508" s="39" t="s">
        <v>7471</v>
      </c>
      <c r="B1508" s="13"/>
      <c r="C1508" s="13"/>
      <c r="D1508" s="13"/>
      <c r="E1508" s="13"/>
      <c r="F1508" s="13"/>
      <c r="G1508" s="13"/>
      <c r="H1508" s="13"/>
      <c r="I1508" s="39" t="s">
        <v>2799</v>
      </c>
      <c r="J1508" s="39" t="s">
        <v>6834</v>
      </c>
      <c r="K1508" s="13"/>
      <c r="L1508" s="13"/>
    </row>
    <row r="1509" spans="1:12">
      <c r="A1509" s="39" t="s">
        <v>7472</v>
      </c>
      <c r="B1509" s="13"/>
      <c r="C1509" s="13"/>
      <c r="D1509" s="13"/>
      <c r="E1509" s="13"/>
      <c r="F1509" s="13"/>
      <c r="G1509" s="13"/>
      <c r="H1509" s="13"/>
      <c r="I1509" s="39" t="s">
        <v>7473</v>
      </c>
      <c r="J1509" s="39" t="s">
        <v>7474</v>
      </c>
      <c r="K1509" s="13"/>
      <c r="L1509" s="13"/>
    </row>
    <row r="1510" spans="1:12">
      <c r="A1510" s="36"/>
      <c r="B1510" s="13"/>
      <c r="C1510" s="13"/>
      <c r="D1510" s="13"/>
      <c r="E1510" s="13"/>
      <c r="F1510" s="13"/>
      <c r="G1510" s="13"/>
      <c r="H1510" s="13"/>
      <c r="I1510" s="39" t="s">
        <v>7475</v>
      </c>
      <c r="J1510" s="39" t="s">
        <v>7476</v>
      </c>
      <c r="K1510" s="13"/>
      <c r="L1510" s="13"/>
    </row>
    <row r="1511" spans="1:12">
      <c r="A1511" s="39" t="s">
        <v>7477</v>
      </c>
      <c r="B1511" s="13"/>
      <c r="C1511" s="13"/>
      <c r="D1511" s="13"/>
      <c r="E1511" s="13"/>
      <c r="F1511" s="13"/>
      <c r="G1511" s="13"/>
      <c r="H1511" s="13"/>
      <c r="I1511" s="39" t="s">
        <v>7478</v>
      </c>
      <c r="J1511" s="39" t="s">
        <v>6840</v>
      </c>
      <c r="K1511" s="13"/>
      <c r="L1511" s="13"/>
    </row>
    <row r="1512" spans="1:12">
      <c r="A1512" s="39" t="s">
        <v>7479</v>
      </c>
      <c r="B1512" s="13"/>
      <c r="C1512" s="13"/>
      <c r="D1512" s="13"/>
      <c r="E1512" s="13"/>
      <c r="F1512" s="13"/>
      <c r="G1512" s="13"/>
      <c r="H1512" s="13"/>
      <c r="I1512" s="39" t="s">
        <v>2799</v>
      </c>
      <c r="J1512" s="39"/>
      <c r="K1512" s="13"/>
      <c r="L1512" s="13"/>
    </row>
    <row r="1513" spans="1:12">
      <c r="A1513" s="39" t="s">
        <v>7480</v>
      </c>
      <c r="B1513" s="13"/>
      <c r="C1513" s="13"/>
      <c r="D1513" s="13"/>
      <c r="E1513" s="13"/>
      <c r="F1513" s="13"/>
      <c r="G1513" s="13"/>
      <c r="H1513" s="13"/>
      <c r="I1513" s="39" t="s">
        <v>7481</v>
      </c>
      <c r="J1513" s="39" t="s">
        <v>6844</v>
      </c>
      <c r="K1513" s="13"/>
      <c r="L1513" s="13"/>
    </row>
    <row r="1514" spans="1:12">
      <c r="A1514" s="39" t="s">
        <v>7482</v>
      </c>
      <c r="B1514" s="13"/>
      <c r="C1514" s="13"/>
      <c r="D1514" s="13"/>
      <c r="E1514" s="13"/>
      <c r="F1514" s="13"/>
      <c r="G1514" s="13"/>
      <c r="H1514" s="13"/>
      <c r="I1514" s="39" t="s">
        <v>7483</v>
      </c>
      <c r="J1514" s="39" t="s">
        <v>6846</v>
      </c>
      <c r="K1514" s="13"/>
      <c r="L1514" s="13"/>
    </row>
    <row r="1515" spans="1:12">
      <c r="A1515" s="39" t="s">
        <v>7484</v>
      </c>
      <c r="B1515" s="13"/>
      <c r="C1515" s="13"/>
      <c r="D1515" s="13"/>
      <c r="E1515" s="13"/>
      <c r="F1515" s="13"/>
      <c r="G1515" s="13"/>
      <c r="H1515" s="13"/>
      <c r="I1515" s="39" t="s">
        <v>7485</v>
      </c>
      <c r="J1515" s="39" t="s">
        <v>6850</v>
      </c>
      <c r="K1515" s="13"/>
      <c r="L1515" s="13"/>
    </row>
    <row r="1516" spans="1:12">
      <c r="A1516" s="39" t="s">
        <v>7486</v>
      </c>
      <c r="B1516" s="13"/>
      <c r="C1516" s="13"/>
      <c r="D1516" s="13"/>
      <c r="E1516" s="13"/>
      <c r="F1516" s="13"/>
      <c r="G1516" s="13"/>
      <c r="H1516" s="13"/>
      <c r="I1516" s="39" t="s">
        <v>2799</v>
      </c>
      <c r="J1516" s="39" t="s">
        <v>7474</v>
      </c>
      <c r="K1516" s="13"/>
      <c r="L1516" s="13"/>
    </row>
    <row r="1517" spans="1:12">
      <c r="A1517" s="39" t="s">
        <v>7487</v>
      </c>
      <c r="B1517" s="13"/>
      <c r="C1517" s="13"/>
      <c r="D1517" s="13"/>
      <c r="E1517" s="13"/>
      <c r="F1517" s="13"/>
      <c r="G1517" s="13"/>
      <c r="H1517" s="13"/>
      <c r="I1517" s="39" t="s">
        <v>7488</v>
      </c>
      <c r="J1517" s="39" t="s">
        <v>7476</v>
      </c>
      <c r="K1517" s="13"/>
      <c r="L1517" s="13"/>
    </row>
    <row r="1518" spans="1:12">
      <c r="A1518" s="36"/>
      <c r="B1518" s="13"/>
      <c r="C1518" s="13"/>
      <c r="D1518" s="13"/>
      <c r="E1518" s="13"/>
      <c r="F1518" s="13"/>
      <c r="G1518" s="13"/>
      <c r="H1518" s="13"/>
      <c r="I1518" s="39" t="s">
        <v>7489</v>
      </c>
      <c r="J1518" s="39" t="s">
        <v>6840</v>
      </c>
      <c r="K1518" s="13"/>
      <c r="L1518" s="13"/>
    </row>
    <row r="1519" spans="1:12">
      <c r="A1519" s="39" t="s">
        <v>7490</v>
      </c>
      <c r="B1519" s="13"/>
      <c r="C1519" s="13"/>
      <c r="D1519" s="13"/>
      <c r="E1519" s="13"/>
      <c r="F1519" s="13"/>
      <c r="G1519" s="13"/>
      <c r="H1519" s="13"/>
      <c r="I1519" s="39" t="s">
        <v>7491</v>
      </c>
      <c r="J1519" s="39"/>
      <c r="K1519" s="13"/>
      <c r="L1519" s="13"/>
    </row>
    <row r="1520" spans="1:12">
      <c r="A1520" s="39" t="s">
        <v>2265</v>
      </c>
      <c r="B1520" s="13"/>
      <c r="C1520" s="13"/>
      <c r="D1520" s="13"/>
      <c r="E1520" s="13"/>
      <c r="F1520" s="13"/>
      <c r="G1520" s="13"/>
      <c r="H1520" s="13"/>
      <c r="I1520" s="39" t="s">
        <v>2799</v>
      </c>
      <c r="J1520" s="39" t="s">
        <v>6796</v>
      </c>
      <c r="K1520" s="13"/>
      <c r="L1520" s="13"/>
    </row>
    <row r="1521" spans="1:12">
      <c r="A1521" s="39" t="s">
        <v>1259</v>
      </c>
      <c r="B1521" s="13"/>
      <c r="C1521" s="13"/>
      <c r="D1521" s="13"/>
      <c r="E1521" s="13"/>
      <c r="F1521" s="13"/>
      <c r="G1521" s="13"/>
      <c r="H1521" s="13"/>
      <c r="I1521" s="39" t="s">
        <v>7492</v>
      </c>
      <c r="J1521" s="39" t="s">
        <v>6800</v>
      </c>
      <c r="K1521" s="13"/>
      <c r="L1521" s="13"/>
    </row>
    <row r="1522" spans="1:12">
      <c r="A1522" s="39" t="s">
        <v>7493</v>
      </c>
      <c r="B1522" s="13"/>
      <c r="C1522" s="13"/>
      <c r="D1522" s="13"/>
      <c r="E1522" s="13"/>
      <c r="F1522" s="13"/>
      <c r="G1522" s="13"/>
      <c r="H1522" s="13"/>
      <c r="I1522" s="39" t="s">
        <v>7494</v>
      </c>
      <c r="J1522" s="39" t="s">
        <v>6801</v>
      </c>
      <c r="K1522" s="13"/>
      <c r="L1522" s="13"/>
    </row>
    <row r="1523" spans="1:12">
      <c r="A1523" s="36"/>
      <c r="B1523" s="13"/>
      <c r="C1523" s="13"/>
      <c r="D1523" s="13"/>
      <c r="E1523" s="13"/>
      <c r="F1523" s="13"/>
      <c r="G1523" s="13"/>
      <c r="H1523" s="13"/>
      <c r="I1523" s="39" t="s">
        <v>7495</v>
      </c>
      <c r="J1523" s="39" t="s">
        <v>7451</v>
      </c>
      <c r="K1523" s="13"/>
      <c r="L1523" s="13"/>
    </row>
    <row r="1524" spans="1:12">
      <c r="A1524" s="39" t="s">
        <v>7496</v>
      </c>
      <c r="B1524" s="13"/>
      <c r="C1524" s="13"/>
      <c r="D1524" s="13"/>
      <c r="E1524" s="13"/>
      <c r="F1524" s="13"/>
      <c r="G1524" s="13"/>
      <c r="H1524" s="13"/>
      <c r="I1524" s="39" t="s">
        <v>7497</v>
      </c>
      <c r="J1524" s="39" t="s">
        <v>7452</v>
      </c>
      <c r="K1524" s="13"/>
      <c r="L1524" s="13"/>
    </row>
    <row r="1525" spans="1:12">
      <c r="A1525" s="39" t="s">
        <v>2374</v>
      </c>
      <c r="B1525" s="13"/>
      <c r="C1525" s="13"/>
      <c r="D1525" s="13"/>
      <c r="E1525" s="13"/>
      <c r="F1525" s="13"/>
      <c r="G1525" s="13"/>
      <c r="H1525" s="13"/>
      <c r="I1525" s="39" t="s">
        <v>7498</v>
      </c>
      <c r="J1525" s="39" t="s">
        <v>2357</v>
      </c>
      <c r="K1525" s="13"/>
      <c r="L1525" s="13"/>
    </row>
    <row r="1526" spans="1:12">
      <c r="A1526" s="39" t="s">
        <v>7499</v>
      </c>
      <c r="B1526" s="13"/>
      <c r="C1526" s="13"/>
      <c r="D1526" s="13"/>
      <c r="E1526" s="13"/>
      <c r="F1526" s="13"/>
      <c r="G1526" s="13"/>
      <c r="H1526" s="13"/>
      <c r="I1526" s="39" t="s">
        <v>7500</v>
      </c>
      <c r="J1526" s="39"/>
      <c r="K1526" s="13"/>
      <c r="L1526" s="13"/>
    </row>
    <row r="1527" spans="1:12">
      <c r="A1527" s="39" t="s">
        <v>2354</v>
      </c>
      <c r="B1527" s="13"/>
      <c r="C1527" s="13"/>
      <c r="D1527" s="13"/>
      <c r="E1527" s="13"/>
      <c r="F1527" s="13"/>
      <c r="G1527" s="13"/>
      <c r="H1527" s="13"/>
      <c r="I1527" s="39"/>
      <c r="J1527" s="39" t="s">
        <v>6807</v>
      </c>
      <c r="K1527" s="13"/>
      <c r="L1527" s="13"/>
    </row>
    <row r="1528" spans="1:12">
      <c r="A1528" s="39" t="s">
        <v>2596</v>
      </c>
      <c r="B1528" s="13"/>
      <c r="C1528" s="13"/>
      <c r="D1528" s="13"/>
      <c r="E1528" s="13"/>
      <c r="F1528" s="13"/>
      <c r="G1528" s="13"/>
      <c r="H1528" s="13"/>
      <c r="I1528" s="39" t="s">
        <v>7501</v>
      </c>
      <c r="J1528" s="39" t="s">
        <v>6810</v>
      </c>
      <c r="K1528" s="13"/>
      <c r="L1528" s="13"/>
    </row>
    <row r="1529" spans="1:12">
      <c r="A1529" s="36"/>
      <c r="B1529" s="13"/>
      <c r="C1529" s="13"/>
      <c r="D1529" s="13"/>
      <c r="E1529" s="13"/>
      <c r="F1529" s="13"/>
      <c r="G1529" s="13"/>
      <c r="H1529" s="13"/>
      <c r="I1529" s="39" t="s">
        <v>7502</v>
      </c>
      <c r="J1529" s="39" t="s">
        <v>6813</v>
      </c>
      <c r="K1529" s="13"/>
      <c r="L1529" s="13"/>
    </row>
    <row r="1530" spans="1:12">
      <c r="A1530" s="39" t="s">
        <v>7503</v>
      </c>
      <c r="B1530" s="13"/>
      <c r="C1530" s="13"/>
      <c r="D1530" s="13"/>
      <c r="E1530" s="13"/>
      <c r="F1530" s="13"/>
      <c r="G1530" s="13"/>
      <c r="H1530" s="13"/>
      <c r="I1530" s="39" t="s">
        <v>7504</v>
      </c>
      <c r="J1530" s="39" t="s">
        <v>7451</v>
      </c>
      <c r="K1530" s="13"/>
      <c r="L1530" s="13"/>
    </row>
    <row r="1531" spans="1:12">
      <c r="A1531" s="39" t="s">
        <v>2265</v>
      </c>
      <c r="B1531" s="13"/>
      <c r="C1531" s="13"/>
      <c r="D1531" s="13"/>
      <c r="E1531" s="13"/>
      <c r="F1531" s="13"/>
      <c r="G1531" s="13"/>
      <c r="H1531" s="13"/>
      <c r="I1531" s="39" t="s">
        <v>7492</v>
      </c>
      <c r="J1531" s="39" t="s">
        <v>7452</v>
      </c>
      <c r="K1531" s="13"/>
      <c r="L1531" s="13"/>
    </row>
    <row r="1532" spans="1:12">
      <c r="A1532" s="39" t="s">
        <v>1259</v>
      </c>
      <c r="B1532" s="13"/>
      <c r="C1532" s="13"/>
      <c r="D1532" s="13"/>
      <c r="E1532" s="13"/>
      <c r="F1532" s="13"/>
      <c r="G1532" s="13"/>
      <c r="H1532" s="13"/>
      <c r="I1532" s="39" t="s">
        <v>7494</v>
      </c>
      <c r="J1532" s="39" t="s">
        <v>2357</v>
      </c>
      <c r="K1532" s="13"/>
      <c r="L1532" s="13"/>
    </row>
    <row r="1533" spans="1:12">
      <c r="A1533" s="39" t="s">
        <v>1259</v>
      </c>
      <c r="B1533" s="13"/>
      <c r="C1533" s="13"/>
      <c r="D1533" s="13"/>
      <c r="E1533" s="13"/>
      <c r="F1533" s="13"/>
      <c r="G1533" s="13"/>
      <c r="H1533" s="13"/>
      <c r="I1533" s="39" t="s">
        <v>7495</v>
      </c>
      <c r="J1533" s="39" t="s">
        <v>2237</v>
      </c>
      <c r="K1533" s="13"/>
      <c r="L1533" s="13"/>
    </row>
    <row r="1534" spans="1:12">
      <c r="A1534" s="39" t="s">
        <v>4259</v>
      </c>
      <c r="B1534" s="13"/>
      <c r="C1534" s="13"/>
      <c r="D1534" s="13"/>
      <c r="E1534" s="13"/>
      <c r="F1534" s="13"/>
      <c r="G1534" s="13"/>
      <c r="H1534" s="13"/>
      <c r="I1534" s="39" t="s">
        <v>7497</v>
      </c>
      <c r="J1534" s="39" t="s">
        <v>7505</v>
      </c>
      <c r="K1534" s="13"/>
      <c r="L1534" s="13"/>
    </row>
    <row r="1535" spans="1:12">
      <c r="A1535" s="39" t="s">
        <v>2680</v>
      </c>
      <c r="B1535" s="13"/>
      <c r="C1535" s="13"/>
      <c r="D1535" s="13"/>
      <c r="E1535" s="13"/>
      <c r="F1535" s="13"/>
      <c r="G1535" s="13"/>
      <c r="H1535" s="13"/>
      <c r="I1535" s="39" t="s">
        <v>7498</v>
      </c>
      <c r="J1535" s="39" t="s">
        <v>2265</v>
      </c>
      <c r="K1535" s="13"/>
      <c r="L1535" s="13"/>
    </row>
    <row r="1536" spans="1:12">
      <c r="A1536" s="39" t="s">
        <v>2442</v>
      </c>
      <c r="B1536" s="13"/>
      <c r="C1536" s="13"/>
      <c r="D1536" s="13"/>
      <c r="E1536" s="13"/>
      <c r="F1536" s="13"/>
      <c r="G1536" s="13"/>
      <c r="H1536" s="13"/>
      <c r="I1536" s="39" t="s">
        <v>7500</v>
      </c>
      <c r="J1536" s="39"/>
      <c r="K1536" s="13"/>
      <c r="L1536" s="13"/>
    </row>
    <row r="1537" spans="1:12">
      <c r="A1537" s="39" t="s">
        <v>7506</v>
      </c>
      <c r="B1537" s="13"/>
      <c r="C1537" s="13"/>
      <c r="D1537" s="13"/>
      <c r="E1537" s="13"/>
      <c r="F1537" s="13"/>
      <c r="G1537" s="13"/>
      <c r="H1537" s="13"/>
      <c r="I1537" s="39"/>
      <c r="J1537" s="39" t="s">
        <v>1259</v>
      </c>
      <c r="K1537" s="13"/>
      <c r="L1537" s="13"/>
    </row>
    <row r="1538" spans="1:12">
      <c r="A1538" s="39" t="s">
        <v>2354</v>
      </c>
      <c r="B1538" s="13"/>
      <c r="C1538" s="13"/>
      <c r="D1538" s="13"/>
      <c r="E1538" s="13"/>
      <c r="F1538" s="13"/>
      <c r="G1538" s="13"/>
      <c r="H1538" s="13"/>
      <c r="I1538" s="39" t="s">
        <v>7507</v>
      </c>
      <c r="J1538" s="39" t="s">
        <v>6328</v>
      </c>
      <c r="K1538" s="13"/>
      <c r="L1538" s="13"/>
    </row>
    <row r="1539" spans="1:12">
      <c r="A1539" s="39" t="s">
        <v>2357</v>
      </c>
      <c r="B1539" s="13"/>
      <c r="C1539" s="13"/>
      <c r="D1539" s="13"/>
      <c r="E1539" s="13"/>
      <c r="F1539" s="13"/>
      <c r="G1539" s="13"/>
      <c r="H1539" s="13"/>
      <c r="I1539" s="39" t="s">
        <v>7508</v>
      </c>
      <c r="J1539" s="39"/>
      <c r="K1539" s="13"/>
      <c r="L1539" s="13"/>
    </row>
    <row r="1540" spans="1:12">
      <c r="A1540" s="36"/>
      <c r="B1540" s="13"/>
      <c r="C1540" s="13"/>
      <c r="D1540" s="13"/>
      <c r="E1540" s="13"/>
      <c r="F1540" s="13"/>
      <c r="G1540" s="13"/>
      <c r="H1540" s="13"/>
      <c r="I1540" s="39" t="s">
        <v>7509</v>
      </c>
      <c r="J1540" s="39" t="s">
        <v>6393</v>
      </c>
      <c r="K1540" s="13"/>
      <c r="L1540" s="13"/>
    </row>
    <row r="1541" spans="1:12">
      <c r="A1541" s="39" t="s">
        <v>2503</v>
      </c>
      <c r="B1541" s="13"/>
      <c r="C1541" s="13"/>
      <c r="D1541" s="13"/>
      <c r="E1541" s="13"/>
      <c r="F1541" s="13"/>
      <c r="G1541" s="13"/>
      <c r="H1541" s="13"/>
      <c r="I1541" s="39" t="s">
        <v>7510</v>
      </c>
      <c r="J1541" s="39" t="s">
        <v>6397</v>
      </c>
      <c r="K1541" s="13"/>
      <c r="L1541" s="13"/>
    </row>
    <row r="1542" spans="1:12">
      <c r="A1542" s="39" t="s">
        <v>2374</v>
      </c>
      <c r="B1542" s="13"/>
      <c r="C1542" s="13"/>
      <c r="D1542" s="13"/>
      <c r="E1542" s="13"/>
      <c r="F1542" s="13"/>
      <c r="G1542" s="13"/>
      <c r="H1542" s="13"/>
      <c r="I1542" s="39" t="s">
        <v>7458</v>
      </c>
      <c r="J1542" s="39" t="s">
        <v>7511</v>
      </c>
      <c r="K1542" s="13"/>
      <c r="L1542" s="13"/>
    </row>
    <row r="1543" spans="1:12">
      <c r="A1543" s="39" t="s">
        <v>7512</v>
      </c>
      <c r="B1543" s="13"/>
      <c r="C1543" s="13"/>
      <c r="D1543" s="13"/>
      <c r="E1543" s="13"/>
      <c r="F1543" s="13"/>
      <c r="G1543" s="13"/>
      <c r="H1543" s="13"/>
      <c r="I1543" s="39" t="s">
        <v>7452</v>
      </c>
      <c r="J1543" s="39" t="s">
        <v>7321</v>
      </c>
      <c r="K1543" s="13"/>
      <c r="L1543" s="13"/>
    </row>
    <row r="1544" spans="1:12">
      <c r="A1544" s="39" t="s">
        <v>2354</v>
      </c>
      <c r="B1544" s="13"/>
      <c r="C1544" s="13"/>
      <c r="D1544" s="13"/>
      <c r="E1544" s="13"/>
      <c r="F1544" s="13"/>
      <c r="G1544" s="13"/>
      <c r="H1544" s="13"/>
      <c r="I1544" s="39"/>
      <c r="J1544" s="39" t="s">
        <v>7513</v>
      </c>
      <c r="K1544" s="13"/>
      <c r="L1544" s="13"/>
    </row>
    <row r="1545" spans="1:12">
      <c r="A1545" s="39" t="s">
        <v>2596</v>
      </c>
      <c r="B1545" s="13"/>
      <c r="C1545" s="13"/>
      <c r="D1545" s="13"/>
      <c r="E1545" s="13"/>
      <c r="F1545" s="13"/>
      <c r="G1545" s="13"/>
      <c r="H1545" s="13"/>
      <c r="I1545" s="39" t="s">
        <v>7514</v>
      </c>
      <c r="J1545" s="39" t="s">
        <v>7515</v>
      </c>
      <c r="K1545" s="13"/>
      <c r="L1545" s="13"/>
    </row>
    <row r="1546" spans="1:12">
      <c r="A1546" s="36"/>
      <c r="B1546" s="13"/>
      <c r="C1546" s="13"/>
      <c r="D1546" s="13"/>
      <c r="E1546" s="13"/>
      <c r="F1546" s="13"/>
      <c r="G1546" s="13"/>
      <c r="H1546" s="13"/>
      <c r="I1546" s="39" t="s">
        <v>7516</v>
      </c>
      <c r="J1546" s="39" t="s">
        <v>2357</v>
      </c>
      <c r="K1546" s="13"/>
      <c r="L1546" s="13"/>
    </row>
    <row r="1547" spans="1:12">
      <c r="A1547" s="39" t="s">
        <v>4405</v>
      </c>
      <c r="B1547" s="13"/>
      <c r="C1547" s="13"/>
      <c r="D1547" s="13"/>
      <c r="E1547" s="13"/>
      <c r="F1547" s="13"/>
      <c r="G1547" s="13"/>
      <c r="H1547" s="13"/>
      <c r="I1547" s="39" t="s">
        <v>7517</v>
      </c>
      <c r="J1547" s="39" t="s">
        <v>2374</v>
      </c>
      <c r="K1547" s="13"/>
      <c r="L1547" s="13"/>
    </row>
    <row r="1548" spans="1:12">
      <c r="A1548" s="39" t="s">
        <v>2265</v>
      </c>
      <c r="B1548" s="13"/>
      <c r="C1548" s="13"/>
      <c r="D1548" s="13"/>
      <c r="E1548" s="13"/>
      <c r="F1548" s="13"/>
      <c r="G1548" s="13"/>
      <c r="H1548" s="13"/>
      <c r="I1548" s="39" t="s">
        <v>7458</v>
      </c>
      <c r="J1548" s="39" t="s">
        <v>7518</v>
      </c>
      <c r="K1548" s="13"/>
      <c r="L1548" s="13"/>
    </row>
    <row r="1549" spans="1:12">
      <c r="A1549" s="39" t="s">
        <v>1259</v>
      </c>
      <c r="B1549" s="13"/>
      <c r="C1549" s="13"/>
      <c r="D1549" s="13"/>
      <c r="E1549" s="13"/>
      <c r="F1549" s="13"/>
      <c r="G1549" s="13"/>
      <c r="H1549" s="13"/>
      <c r="I1549" s="39" t="s">
        <v>7452</v>
      </c>
      <c r="J1549" s="39" t="s">
        <v>4894</v>
      </c>
      <c r="K1549" s="13"/>
      <c r="L1549" s="13"/>
    </row>
    <row r="1550" spans="1:12">
      <c r="A1550" s="39" t="s">
        <v>1259</v>
      </c>
      <c r="B1550" s="13"/>
      <c r="C1550" s="13"/>
      <c r="D1550" s="13"/>
      <c r="E1550" s="13"/>
      <c r="F1550" s="13"/>
      <c r="G1550" s="13"/>
      <c r="H1550" s="13"/>
      <c r="I1550" s="39"/>
      <c r="J1550" s="39" t="s">
        <v>2357</v>
      </c>
      <c r="K1550" s="13"/>
      <c r="L1550" s="13"/>
    </row>
    <row r="1551" spans="1:12">
      <c r="A1551" s="39" t="s">
        <v>4697</v>
      </c>
      <c r="B1551" s="13"/>
      <c r="C1551" s="13"/>
      <c r="D1551" s="13"/>
      <c r="E1551" s="13"/>
      <c r="F1551" s="13"/>
      <c r="G1551" s="13"/>
      <c r="H1551" s="13"/>
      <c r="I1551" s="39" t="s">
        <v>7519</v>
      </c>
      <c r="J1551" s="39" t="s">
        <v>7520</v>
      </c>
      <c r="K1551" s="13"/>
      <c r="L1551" s="13"/>
    </row>
    <row r="1552" spans="1:12">
      <c r="A1552" s="39" t="s">
        <v>7521</v>
      </c>
      <c r="B1552" s="13"/>
      <c r="C1552" s="13"/>
      <c r="D1552" s="13"/>
      <c r="E1552" s="13"/>
      <c r="F1552" s="13"/>
      <c r="G1552" s="13"/>
      <c r="H1552" s="13"/>
      <c r="I1552" s="39" t="s">
        <v>7522</v>
      </c>
      <c r="J1552" s="39" t="s">
        <v>2237</v>
      </c>
      <c r="K1552" s="13"/>
      <c r="L1552" s="13"/>
    </row>
    <row r="1553" spans="1:12">
      <c r="A1553" s="39" t="s">
        <v>7523</v>
      </c>
      <c r="B1553" s="13"/>
      <c r="C1553" s="13"/>
      <c r="D1553" s="13"/>
      <c r="E1553" s="13"/>
      <c r="F1553" s="13"/>
      <c r="G1553" s="13"/>
      <c r="H1553" s="13"/>
      <c r="I1553" s="39" t="s">
        <v>7524</v>
      </c>
      <c r="J1553" s="39" t="s">
        <v>6371</v>
      </c>
      <c r="K1553" s="13"/>
      <c r="L1553" s="13"/>
    </row>
    <row r="1554" spans="1:12">
      <c r="A1554" s="39" t="s">
        <v>2237</v>
      </c>
      <c r="B1554" s="13"/>
      <c r="C1554" s="13"/>
      <c r="D1554" s="13"/>
      <c r="E1554" s="13"/>
      <c r="F1554" s="13"/>
      <c r="G1554" s="13"/>
      <c r="H1554" s="13"/>
      <c r="I1554" s="39" t="s">
        <v>7525</v>
      </c>
      <c r="J1554" s="39" t="s">
        <v>2265</v>
      </c>
      <c r="K1554" s="13"/>
      <c r="L1554" s="13"/>
    </row>
    <row r="1555" spans="1:12">
      <c r="A1555" s="39" t="s">
        <v>1576</v>
      </c>
      <c r="B1555" s="13"/>
      <c r="C1555" s="13"/>
      <c r="D1555" s="13"/>
      <c r="E1555" s="13"/>
      <c r="F1555" s="13"/>
      <c r="G1555" s="13"/>
      <c r="H1555" s="13"/>
      <c r="I1555" s="39" t="s">
        <v>7526</v>
      </c>
      <c r="J1555" s="39" t="s">
        <v>1259</v>
      </c>
      <c r="K1555" s="13"/>
      <c r="L1555" s="13"/>
    </row>
    <row r="1556" spans="1:12">
      <c r="A1556" s="39" t="s">
        <v>7527</v>
      </c>
      <c r="B1556" s="13"/>
      <c r="C1556" s="13"/>
      <c r="D1556" s="13"/>
      <c r="E1556" s="13"/>
      <c r="F1556" s="13"/>
      <c r="G1556" s="13"/>
      <c r="H1556" s="13"/>
      <c r="I1556" s="39" t="s">
        <v>7528</v>
      </c>
      <c r="J1556" s="39" t="s">
        <v>7336</v>
      </c>
      <c r="K1556" s="13"/>
      <c r="L1556" s="13"/>
    </row>
    <row r="1557" spans="1:12">
      <c r="A1557" s="39" t="s">
        <v>7529</v>
      </c>
      <c r="B1557" s="13"/>
      <c r="C1557" s="13"/>
      <c r="D1557" s="13"/>
      <c r="E1557" s="13"/>
      <c r="F1557" s="13"/>
      <c r="G1557" s="13"/>
      <c r="H1557" s="13"/>
      <c r="I1557" s="39" t="s">
        <v>7530</v>
      </c>
      <c r="J1557" s="39" t="s">
        <v>7338</v>
      </c>
      <c r="K1557" s="13"/>
      <c r="L1557" s="13"/>
    </row>
    <row r="1558" spans="1:12">
      <c r="A1558" s="39" t="s">
        <v>7531</v>
      </c>
      <c r="B1558" s="13"/>
      <c r="C1558" s="13"/>
      <c r="D1558" s="13"/>
      <c r="E1558" s="13"/>
      <c r="F1558" s="13"/>
      <c r="G1558" s="13"/>
      <c r="H1558" s="13"/>
      <c r="I1558" s="39" t="s">
        <v>7458</v>
      </c>
      <c r="J1558" s="39"/>
      <c r="K1558" s="13"/>
      <c r="L1558" s="13"/>
    </row>
    <row r="1559" spans="1:12">
      <c r="A1559" s="39" t="s">
        <v>7532</v>
      </c>
      <c r="B1559" s="13"/>
      <c r="C1559" s="13"/>
      <c r="D1559" s="13"/>
      <c r="E1559" s="13"/>
      <c r="F1559" s="13"/>
      <c r="G1559" s="13"/>
      <c r="H1559" s="13"/>
      <c r="I1559" s="39" t="s">
        <v>7452</v>
      </c>
      <c r="J1559" s="39"/>
      <c r="K1559" s="13"/>
      <c r="L1559" s="13"/>
    </row>
    <row r="1560" spans="1:12">
      <c r="A1560" s="39" t="s">
        <v>7531</v>
      </c>
      <c r="B1560" s="13"/>
      <c r="C1560" s="13"/>
      <c r="D1560" s="13"/>
      <c r="E1560" s="13"/>
      <c r="F1560" s="13"/>
      <c r="G1560" s="13"/>
      <c r="H1560" s="13"/>
      <c r="I1560" s="39"/>
      <c r="J1560" s="39" t="s">
        <v>7533</v>
      </c>
      <c r="K1560" s="13"/>
      <c r="L1560" s="13"/>
    </row>
    <row r="1561" spans="1:12">
      <c r="A1561" s="39" t="s">
        <v>7534</v>
      </c>
      <c r="B1561" s="13"/>
      <c r="C1561" s="13"/>
      <c r="D1561" s="13"/>
      <c r="E1561" s="13"/>
      <c r="F1561" s="13"/>
      <c r="G1561" s="13"/>
      <c r="H1561" s="13"/>
      <c r="I1561" s="39" t="s">
        <v>7535</v>
      </c>
      <c r="J1561" s="39" t="s">
        <v>7536</v>
      </c>
      <c r="K1561" s="13"/>
      <c r="L1561" s="13"/>
    </row>
    <row r="1562" spans="1:12">
      <c r="A1562" s="39" t="s">
        <v>7537</v>
      </c>
      <c r="B1562" s="13"/>
      <c r="C1562" s="13"/>
      <c r="D1562" s="13"/>
      <c r="E1562" s="13"/>
      <c r="F1562" s="13"/>
      <c r="G1562" s="13"/>
      <c r="H1562" s="13"/>
      <c r="I1562" s="39" t="s">
        <v>7538</v>
      </c>
      <c r="J1562" s="39" t="s">
        <v>7539</v>
      </c>
      <c r="K1562" s="13"/>
      <c r="L1562" s="13"/>
    </row>
    <row r="1563" spans="1:12">
      <c r="A1563" s="39" t="s">
        <v>7540</v>
      </c>
      <c r="B1563" s="13"/>
      <c r="C1563" s="13"/>
      <c r="D1563" s="13"/>
      <c r="E1563" s="13"/>
      <c r="F1563" s="13"/>
      <c r="G1563" s="13"/>
      <c r="H1563" s="13"/>
      <c r="I1563" s="39" t="s">
        <v>7541</v>
      </c>
      <c r="J1563" s="39" t="s">
        <v>7542</v>
      </c>
      <c r="K1563" s="13"/>
      <c r="L1563" s="13"/>
    </row>
    <row r="1564" spans="1:12">
      <c r="A1564" s="39" t="s">
        <v>7543</v>
      </c>
      <c r="B1564" s="13"/>
      <c r="C1564" s="13"/>
      <c r="D1564" s="13"/>
      <c r="E1564" s="13"/>
      <c r="F1564" s="13"/>
      <c r="G1564" s="13"/>
      <c r="H1564" s="13"/>
      <c r="I1564" s="39" t="s">
        <v>7458</v>
      </c>
      <c r="J1564" s="39" t="s">
        <v>7544</v>
      </c>
      <c r="K1564" s="13"/>
      <c r="L1564" s="13"/>
    </row>
    <row r="1565" spans="1:12">
      <c r="A1565" s="39" t="s">
        <v>7545</v>
      </c>
      <c r="B1565" s="13"/>
      <c r="C1565" s="13"/>
      <c r="D1565" s="13"/>
      <c r="E1565" s="13"/>
      <c r="F1565" s="13"/>
      <c r="G1565" s="13"/>
      <c r="H1565" s="13"/>
      <c r="I1565" s="39" t="s">
        <v>7452</v>
      </c>
      <c r="J1565" s="39" t="s">
        <v>7343</v>
      </c>
      <c r="K1565" s="13"/>
      <c r="L1565" s="13"/>
    </row>
    <row r="1566" spans="1:12">
      <c r="A1566" s="39" t="s">
        <v>7546</v>
      </c>
      <c r="B1566" s="13"/>
      <c r="C1566" s="13"/>
      <c r="D1566" s="13"/>
      <c r="E1566" s="13"/>
      <c r="F1566" s="13"/>
      <c r="G1566" s="13"/>
      <c r="H1566" s="13"/>
      <c r="I1566" s="39"/>
      <c r="J1566" s="39" t="s">
        <v>7344</v>
      </c>
      <c r="K1566" s="13"/>
      <c r="L1566" s="13"/>
    </row>
    <row r="1567" spans="1:12">
      <c r="A1567" s="39" t="s">
        <v>7547</v>
      </c>
      <c r="B1567" s="13"/>
      <c r="C1567" s="13"/>
      <c r="D1567" s="13"/>
      <c r="E1567" s="13"/>
      <c r="F1567" s="13"/>
      <c r="G1567" s="13"/>
      <c r="H1567" s="13"/>
      <c r="I1567" s="39" t="s">
        <v>7548</v>
      </c>
      <c r="J1567" s="39" t="s">
        <v>7549</v>
      </c>
      <c r="K1567" s="13"/>
      <c r="L1567" s="13"/>
    </row>
    <row r="1568" spans="1:12">
      <c r="A1568" s="39" t="s">
        <v>7550</v>
      </c>
      <c r="B1568" s="13"/>
      <c r="C1568" s="13"/>
      <c r="D1568" s="13"/>
      <c r="E1568" s="13"/>
      <c r="F1568" s="13"/>
      <c r="G1568" s="13"/>
      <c r="H1568" s="13"/>
      <c r="I1568" s="39" t="s">
        <v>7508</v>
      </c>
      <c r="J1568" s="39" t="s">
        <v>7551</v>
      </c>
      <c r="K1568" s="13"/>
      <c r="L1568" s="13"/>
    </row>
    <row r="1569" spans="1:12">
      <c r="A1569" s="39" t="s">
        <v>7552</v>
      </c>
      <c r="B1569" s="13"/>
      <c r="C1569" s="13"/>
      <c r="D1569" s="13"/>
      <c r="E1569" s="13"/>
      <c r="F1569" s="13"/>
      <c r="G1569" s="13"/>
      <c r="H1569" s="13"/>
      <c r="I1569" s="39" t="s">
        <v>7553</v>
      </c>
      <c r="J1569" s="39" t="s">
        <v>7554</v>
      </c>
      <c r="K1569" s="13"/>
      <c r="L1569" s="13"/>
    </row>
    <row r="1570" spans="1:12">
      <c r="A1570" s="39" t="s">
        <v>7555</v>
      </c>
      <c r="B1570" s="13"/>
      <c r="C1570" s="13"/>
      <c r="D1570" s="13"/>
      <c r="E1570" s="13"/>
      <c r="F1570" s="13"/>
      <c r="G1570" s="13"/>
      <c r="H1570" s="13"/>
      <c r="I1570" s="39" t="s">
        <v>7556</v>
      </c>
      <c r="J1570" s="39" t="s">
        <v>7557</v>
      </c>
      <c r="K1570" s="13"/>
      <c r="L1570" s="13"/>
    </row>
    <row r="1571" spans="1:12">
      <c r="A1571" s="39" t="s">
        <v>7558</v>
      </c>
      <c r="B1571" s="13"/>
      <c r="C1571" s="13"/>
      <c r="D1571" s="13"/>
      <c r="E1571" s="13"/>
      <c r="F1571" s="13"/>
      <c r="G1571" s="13"/>
      <c r="H1571" s="13"/>
      <c r="I1571" s="39" t="s">
        <v>7458</v>
      </c>
      <c r="J1571" s="39" t="s">
        <v>7559</v>
      </c>
      <c r="K1571" s="13"/>
      <c r="L1571" s="13"/>
    </row>
    <row r="1572" spans="1:12">
      <c r="A1572" s="39" t="s">
        <v>7560</v>
      </c>
      <c r="B1572" s="13"/>
      <c r="C1572" s="13"/>
      <c r="D1572" s="13"/>
      <c r="E1572" s="13"/>
      <c r="F1572" s="13"/>
      <c r="G1572" s="13"/>
      <c r="H1572" s="13"/>
      <c r="I1572" s="39" t="s">
        <v>7561</v>
      </c>
      <c r="J1572" s="39" t="s">
        <v>7562</v>
      </c>
      <c r="K1572" s="13"/>
      <c r="L1572" s="13"/>
    </row>
    <row r="1573" spans="1:12">
      <c r="A1573" s="39" t="s">
        <v>7563</v>
      </c>
      <c r="B1573" s="13"/>
      <c r="C1573" s="13"/>
      <c r="D1573" s="13"/>
      <c r="E1573" s="13"/>
      <c r="F1573" s="13"/>
      <c r="G1573" s="13"/>
      <c r="H1573" s="13"/>
      <c r="I1573" s="39" t="s">
        <v>7564</v>
      </c>
      <c r="J1573" s="39" t="s">
        <v>7565</v>
      </c>
      <c r="K1573" s="13"/>
      <c r="L1573" s="13"/>
    </row>
    <row r="1574" spans="1:12">
      <c r="A1574" s="39" t="s">
        <v>7566</v>
      </c>
      <c r="B1574" s="13"/>
      <c r="C1574" s="13"/>
      <c r="D1574" s="13"/>
      <c r="E1574" s="13"/>
      <c r="F1574" s="13"/>
      <c r="G1574" s="13"/>
      <c r="H1574" s="13"/>
      <c r="I1574" s="39" t="s">
        <v>7567</v>
      </c>
      <c r="J1574" s="39" t="s">
        <v>7568</v>
      </c>
      <c r="K1574" s="13"/>
      <c r="L1574" s="13"/>
    </row>
    <row r="1575" spans="1:12">
      <c r="A1575" s="39" t="s">
        <v>7569</v>
      </c>
      <c r="B1575" s="13"/>
      <c r="C1575" s="13"/>
      <c r="D1575" s="13"/>
      <c r="E1575" s="13"/>
      <c r="F1575" s="13"/>
      <c r="G1575" s="13"/>
      <c r="H1575" s="13"/>
      <c r="I1575" s="39" t="s">
        <v>7570</v>
      </c>
      <c r="J1575" s="39" t="s">
        <v>7571</v>
      </c>
      <c r="K1575" s="13"/>
      <c r="L1575" s="13"/>
    </row>
    <row r="1576" spans="1:12">
      <c r="A1576" s="39" t="s">
        <v>7572</v>
      </c>
      <c r="B1576" s="13"/>
      <c r="C1576" s="13"/>
      <c r="D1576" s="13"/>
      <c r="E1576" s="13"/>
      <c r="F1576" s="13"/>
      <c r="G1576" s="13"/>
      <c r="H1576" s="13"/>
      <c r="I1576" s="39" t="s">
        <v>7573</v>
      </c>
      <c r="J1576" s="39" t="s">
        <v>7574</v>
      </c>
      <c r="K1576" s="13"/>
      <c r="L1576" s="13"/>
    </row>
    <row r="1577" spans="1:12">
      <c r="A1577" s="39" t="s">
        <v>3813</v>
      </c>
      <c r="B1577" s="13"/>
      <c r="C1577" s="13"/>
      <c r="D1577" s="13"/>
      <c r="E1577" s="13"/>
      <c r="F1577" s="13"/>
      <c r="G1577" s="13"/>
      <c r="H1577" s="13"/>
      <c r="I1577" s="39" t="s">
        <v>7575</v>
      </c>
      <c r="J1577" s="39" t="s">
        <v>7576</v>
      </c>
      <c r="K1577" s="13"/>
      <c r="L1577" s="13"/>
    </row>
    <row r="1578" spans="1:12">
      <c r="A1578" s="39" t="s">
        <v>3818</v>
      </c>
      <c r="B1578" s="13"/>
      <c r="C1578" s="13"/>
      <c r="D1578" s="13"/>
      <c r="E1578" s="13"/>
      <c r="F1578" s="13"/>
      <c r="G1578" s="13"/>
      <c r="H1578" s="13"/>
      <c r="I1578" s="39" t="s">
        <v>7577</v>
      </c>
      <c r="J1578" s="39" t="s">
        <v>7578</v>
      </c>
      <c r="K1578" s="13"/>
      <c r="L1578" s="13"/>
    </row>
    <row r="1579" spans="1:12">
      <c r="A1579" s="39" t="s">
        <v>7579</v>
      </c>
      <c r="B1579" s="13"/>
      <c r="C1579" s="13"/>
      <c r="D1579" s="13"/>
      <c r="E1579" s="13"/>
      <c r="F1579" s="13"/>
      <c r="G1579" s="13"/>
      <c r="H1579" s="13"/>
      <c r="I1579" s="39" t="s">
        <v>7580</v>
      </c>
      <c r="J1579" s="39" t="s">
        <v>7581</v>
      </c>
      <c r="K1579" s="13"/>
      <c r="L1579" s="13"/>
    </row>
    <row r="1580" spans="1:12">
      <c r="A1580" s="39" t="s">
        <v>7540</v>
      </c>
      <c r="B1580" s="13"/>
      <c r="C1580" s="13"/>
      <c r="D1580" s="13"/>
      <c r="E1580" s="13"/>
      <c r="F1580" s="13"/>
      <c r="G1580" s="13"/>
      <c r="H1580" s="13"/>
      <c r="I1580" s="39" t="s">
        <v>7582</v>
      </c>
      <c r="J1580" s="39" t="s">
        <v>7583</v>
      </c>
      <c r="K1580" s="13"/>
      <c r="L1580" s="13"/>
    </row>
    <row r="1581" spans="1:12">
      <c r="A1581" s="39" t="s">
        <v>7543</v>
      </c>
      <c r="B1581" s="13"/>
      <c r="C1581" s="13"/>
      <c r="D1581" s="13"/>
      <c r="E1581" s="13"/>
      <c r="F1581" s="13"/>
      <c r="G1581" s="13"/>
      <c r="H1581" s="13"/>
      <c r="I1581" s="39" t="s">
        <v>7584</v>
      </c>
      <c r="J1581" s="39" t="s">
        <v>4859</v>
      </c>
      <c r="K1581" s="13"/>
      <c r="L1581" s="13"/>
    </row>
    <row r="1582" spans="1:12">
      <c r="A1582" s="39" t="s">
        <v>7585</v>
      </c>
      <c r="B1582" s="13"/>
      <c r="C1582" s="13"/>
      <c r="D1582" s="13"/>
      <c r="E1582" s="13"/>
      <c r="F1582" s="13"/>
      <c r="G1582" s="13"/>
      <c r="H1582" s="13"/>
      <c r="I1582" s="39"/>
      <c r="J1582" s="39" t="s">
        <v>7586</v>
      </c>
      <c r="K1582" s="13"/>
      <c r="L1582" s="13"/>
    </row>
    <row r="1583" spans="1:12">
      <c r="A1583" s="39" t="s">
        <v>7546</v>
      </c>
      <c r="B1583" s="13"/>
      <c r="C1583" s="13"/>
      <c r="D1583" s="13"/>
      <c r="E1583" s="13"/>
      <c r="F1583" s="13"/>
      <c r="G1583" s="13"/>
      <c r="H1583" s="13"/>
      <c r="I1583" s="39" t="s">
        <v>7587</v>
      </c>
      <c r="J1583" s="39" t="s">
        <v>7588</v>
      </c>
      <c r="K1583" s="13"/>
      <c r="L1583" s="13"/>
    </row>
    <row r="1584" spans="1:12">
      <c r="A1584" s="39" t="s">
        <v>7589</v>
      </c>
      <c r="B1584" s="13"/>
      <c r="C1584" s="13"/>
      <c r="D1584" s="13"/>
      <c r="E1584" s="13"/>
      <c r="F1584" s="13"/>
      <c r="G1584" s="13"/>
      <c r="H1584" s="13"/>
      <c r="I1584" s="39" t="s">
        <v>7590</v>
      </c>
      <c r="J1584" s="39" t="s">
        <v>7591</v>
      </c>
      <c r="K1584" s="13"/>
      <c r="L1584" s="13"/>
    </row>
    <row r="1585" spans="1:12">
      <c r="A1585" s="39" t="s">
        <v>7550</v>
      </c>
      <c r="B1585" s="13"/>
      <c r="C1585" s="13"/>
      <c r="D1585" s="13"/>
      <c r="E1585" s="13"/>
      <c r="F1585" s="13"/>
      <c r="G1585" s="13"/>
      <c r="H1585" s="13"/>
      <c r="I1585" s="39" t="s">
        <v>7528</v>
      </c>
      <c r="J1585" s="39" t="s">
        <v>7592</v>
      </c>
      <c r="K1585" s="13"/>
      <c r="L1585" s="13"/>
    </row>
    <row r="1586" spans="1:12">
      <c r="A1586" s="39" t="s">
        <v>7593</v>
      </c>
      <c r="B1586" s="13"/>
      <c r="C1586" s="13"/>
      <c r="D1586" s="13"/>
      <c r="E1586" s="13"/>
      <c r="F1586" s="13"/>
      <c r="G1586" s="13"/>
      <c r="H1586" s="13"/>
      <c r="I1586" s="39"/>
      <c r="J1586" s="39" t="s">
        <v>4080</v>
      </c>
      <c r="K1586" s="13"/>
      <c r="L1586" s="13"/>
    </row>
    <row r="1587" spans="1:12">
      <c r="A1587" s="39" t="s">
        <v>7555</v>
      </c>
      <c r="B1587" s="13"/>
      <c r="C1587" s="13"/>
      <c r="D1587" s="13"/>
      <c r="E1587" s="13"/>
      <c r="F1587" s="13"/>
      <c r="G1587" s="13"/>
      <c r="H1587" s="13"/>
      <c r="I1587" s="39" t="s">
        <v>7594</v>
      </c>
      <c r="J1587" s="39" t="s">
        <v>3371</v>
      </c>
      <c r="K1587" s="13"/>
      <c r="L1587" s="13"/>
    </row>
    <row r="1588" spans="1:12">
      <c r="A1588" s="39" t="s">
        <v>7595</v>
      </c>
      <c r="B1588" s="13"/>
      <c r="C1588" s="13"/>
      <c r="D1588" s="13"/>
      <c r="E1588" s="13"/>
      <c r="F1588" s="13"/>
      <c r="G1588" s="13"/>
      <c r="H1588" s="13"/>
      <c r="I1588" s="39" t="s">
        <v>7596</v>
      </c>
      <c r="J1588" s="39" t="s">
        <v>7597</v>
      </c>
      <c r="K1588" s="13"/>
      <c r="L1588" s="13"/>
    </row>
    <row r="1589" spans="1:12">
      <c r="A1589" s="39" t="s">
        <v>7560</v>
      </c>
      <c r="B1589" s="13"/>
      <c r="C1589" s="13"/>
      <c r="D1589" s="13"/>
      <c r="E1589" s="13"/>
      <c r="F1589" s="13"/>
      <c r="G1589" s="13"/>
      <c r="H1589" s="13"/>
      <c r="I1589" s="39" t="s">
        <v>7598</v>
      </c>
      <c r="J1589" s="39" t="s">
        <v>7599</v>
      </c>
      <c r="K1589" s="13"/>
      <c r="L1589" s="13"/>
    </row>
    <row r="1590" spans="1:12">
      <c r="A1590" s="39" t="s">
        <v>7600</v>
      </c>
      <c r="B1590" s="13"/>
      <c r="C1590" s="13"/>
      <c r="D1590" s="13"/>
      <c r="E1590" s="13"/>
      <c r="F1590" s="13"/>
      <c r="G1590" s="13"/>
      <c r="H1590" s="13"/>
      <c r="I1590" s="39" t="s">
        <v>7458</v>
      </c>
      <c r="J1590" s="39" t="s">
        <v>7601</v>
      </c>
      <c r="K1590" s="13"/>
      <c r="L1590" s="13"/>
    </row>
    <row r="1591" spans="1:12">
      <c r="A1591" s="39" t="s">
        <v>7566</v>
      </c>
      <c r="B1591" s="13"/>
      <c r="C1591" s="13"/>
      <c r="D1591" s="13"/>
      <c r="E1591" s="13"/>
      <c r="F1591" s="13"/>
      <c r="G1591" s="13"/>
      <c r="H1591" s="13"/>
      <c r="I1591" s="39" t="s">
        <v>7452</v>
      </c>
      <c r="J1591" s="39" t="s">
        <v>7602</v>
      </c>
      <c r="K1591" s="13"/>
      <c r="L1591" s="13"/>
    </row>
    <row r="1592" spans="1:12">
      <c r="A1592" s="39" t="s">
        <v>7603</v>
      </c>
      <c r="B1592" s="13"/>
      <c r="C1592" s="13"/>
      <c r="D1592" s="13"/>
      <c r="E1592" s="13"/>
      <c r="F1592" s="13"/>
      <c r="G1592" s="13"/>
      <c r="H1592" s="13"/>
      <c r="I1592" s="39"/>
      <c r="J1592" s="39" t="s">
        <v>4859</v>
      </c>
      <c r="K1592" s="13"/>
      <c r="L1592" s="13"/>
    </row>
    <row r="1593" spans="1:12">
      <c r="A1593" s="39" t="s">
        <v>7604</v>
      </c>
      <c r="B1593" s="13"/>
      <c r="C1593" s="13"/>
      <c r="D1593" s="13"/>
      <c r="E1593" s="13"/>
      <c r="F1593" s="13"/>
      <c r="G1593" s="13"/>
      <c r="H1593" s="13"/>
      <c r="I1593" s="39" t="s">
        <v>7605</v>
      </c>
      <c r="J1593" s="39" t="s">
        <v>7602</v>
      </c>
      <c r="K1593" s="13"/>
      <c r="L1593" s="13"/>
    </row>
    <row r="1594" spans="1:12">
      <c r="A1594" s="39" t="s">
        <v>3813</v>
      </c>
      <c r="B1594" s="13"/>
      <c r="C1594" s="13"/>
      <c r="D1594" s="13"/>
      <c r="E1594" s="13"/>
      <c r="F1594" s="13"/>
      <c r="G1594" s="13"/>
      <c r="H1594" s="13"/>
      <c r="I1594" s="39" t="s">
        <v>7606</v>
      </c>
      <c r="J1594" s="39" t="s">
        <v>4080</v>
      </c>
      <c r="K1594" s="13"/>
      <c r="L1594" s="13"/>
    </row>
    <row r="1595" spans="1:12">
      <c r="A1595" s="39" t="s">
        <v>3818</v>
      </c>
      <c r="B1595" s="13"/>
      <c r="C1595" s="13"/>
      <c r="D1595" s="13"/>
      <c r="E1595" s="13"/>
      <c r="F1595" s="13"/>
      <c r="G1595" s="13"/>
      <c r="H1595" s="13"/>
      <c r="I1595" s="39" t="s">
        <v>7607</v>
      </c>
      <c r="J1595" s="39" t="s">
        <v>3354</v>
      </c>
      <c r="K1595" s="13"/>
      <c r="L1595" s="13"/>
    </row>
    <row r="1596" spans="1:12">
      <c r="A1596" s="39" t="s">
        <v>7608</v>
      </c>
      <c r="B1596" s="13"/>
      <c r="C1596" s="13"/>
      <c r="D1596" s="13"/>
      <c r="E1596" s="13"/>
      <c r="F1596" s="13"/>
      <c r="G1596" s="13"/>
      <c r="H1596" s="13"/>
      <c r="I1596" s="39" t="s">
        <v>7458</v>
      </c>
      <c r="J1596" s="39" t="s">
        <v>7601</v>
      </c>
      <c r="K1596" s="13"/>
      <c r="L1596" s="13"/>
    </row>
    <row r="1597" spans="1:12">
      <c r="A1597" s="39" t="s">
        <v>7609</v>
      </c>
      <c r="B1597" s="13"/>
      <c r="C1597" s="13"/>
      <c r="D1597" s="13"/>
      <c r="E1597" s="13"/>
      <c r="F1597" s="13"/>
      <c r="G1597" s="13"/>
      <c r="H1597" s="13"/>
      <c r="I1597" s="39" t="s">
        <v>7452</v>
      </c>
      <c r="J1597" s="39" t="s">
        <v>7610</v>
      </c>
      <c r="K1597" s="13"/>
      <c r="L1597" s="13"/>
    </row>
    <row r="1598" spans="1:12">
      <c r="A1598" s="39" t="s">
        <v>1278</v>
      </c>
      <c r="B1598" s="13"/>
      <c r="C1598" s="13"/>
      <c r="D1598" s="13"/>
      <c r="E1598" s="13"/>
      <c r="F1598" s="13"/>
      <c r="G1598" s="13"/>
      <c r="H1598" s="13"/>
      <c r="I1598" s="39" t="s">
        <v>7611</v>
      </c>
      <c r="J1598" s="39" t="s">
        <v>4859</v>
      </c>
      <c r="K1598" s="13"/>
      <c r="L1598" s="13"/>
    </row>
    <row r="1599" spans="1:12">
      <c r="A1599" s="39" t="s">
        <v>7612</v>
      </c>
      <c r="B1599" s="13"/>
      <c r="C1599" s="13"/>
      <c r="D1599" s="13"/>
      <c r="E1599" s="13"/>
      <c r="F1599" s="13"/>
      <c r="G1599" s="13"/>
      <c r="H1599" s="13"/>
      <c r="I1599" s="39" t="s">
        <v>7613</v>
      </c>
      <c r="J1599" s="39" t="s">
        <v>7614</v>
      </c>
      <c r="K1599" s="13"/>
      <c r="L1599" s="13"/>
    </row>
    <row r="1600" spans="1:12">
      <c r="A1600" s="39" t="s">
        <v>7615</v>
      </c>
      <c r="B1600" s="13"/>
      <c r="C1600" s="13"/>
      <c r="D1600" s="13"/>
      <c r="E1600" s="13"/>
      <c r="F1600" s="13"/>
      <c r="G1600" s="13"/>
      <c r="H1600" s="13"/>
      <c r="I1600" s="39" t="s">
        <v>7616</v>
      </c>
      <c r="J1600" s="39" t="s">
        <v>4080</v>
      </c>
      <c r="K1600" s="13"/>
      <c r="L1600" s="13"/>
    </row>
    <row r="1601" spans="1:12">
      <c r="A1601" s="13"/>
      <c r="B1601" s="13"/>
      <c r="C1601" s="13"/>
      <c r="D1601" s="13"/>
      <c r="E1601" s="13"/>
      <c r="F1601" s="13"/>
      <c r="G1601" s="13"/>
      <c r="H1601" s="13"/>
      <c r="I1601" s="39" t="s">
        <v>7617</v>
      </c>
      <c r="J1601" s="39" t="s">
        <v>3371</v>
      </c>
      <c r="K1601" s="13"/>
      <c r="L1601" s="13"/>
    </row>
    <row r="1602" spans="1:12">
      <c r="A1602" s="13"/>
      <c r="B1602" s="13"/>
      <c r="C1602" s="13"/>
      <c r="D1602" s="13"/>
      <c r="E1602" s="13"/>
      <c r="F1602" s="13"/>
      <c r="G1602" s="13"/>
      <c r="H1602" s="13"/>
      <c r="I1602" s="39" t="s">
        <v>7528</v>
      </c>
      <c r="J1602" s="39" t="s">
        <v>7618</v>
      </c>
      <c r="K1602" s="13"/>
      <c r="L1602" s="13"/>
    </row>
    <row r="1603" spans="1:12">
      <c r="A1603" s="13"/>
      <c r="B1603" s="13"/>
      <c r="C1603" s="13"/>
      <c r="D1603" s="13"/>
      <c r="E1603" s="13"/>
      <c r="F1603" s="13"/>
      <c r="G1603" s="13"/>
      <c r="H1603" s="13"/>
      <c r="I1603" s="39" t="s">
        <v>7619</v>
      </c>
      <c r="J1603" s="39" t="s">
        <v>7397</v>
      </c>
      <c r="K1603" s="13"/>
      <c r="L1603" s="13"/>
    </row>
    <row r="1604" spans="1:12">
      <c r="A1604" s="13"/>
      <c r="B1604" s="13"/>
      <c r="C1604" s="13"/>
      <c r="D1604" s="13"/>
      <c r="E1604" s="13"/>
      <c r="F1604" s="13"/>
      <c r="G1604" s="13"/>
      <c r="H1604" s="13"/>
      <c r="I1604" s="39" t="s">
        <v>7616</v>
      </c>
      <c r="J1604" s="39" t="s">
        <v>7398</v>
      </c>
      <c r="K1604" s="13"/>
      <c r="L1604" s="13"/>
    </row>
    <row r="1605" spans="1:12">
      <c r="A1605" s="13"/>
      <c r="B1605" s="13"/>
      <c r="C1605" s="13"/>
      <c r="D1605" s="13"/>
      <c r="E1605" s="13"/>
      <c r="F1605" s="13"/>
      <c r="G1605" s="13"/>
      <c r="H1605" s="13"/>
      <c r="I1605" s="39" t="s">
        <v>7617</v>
      </c>
      <c r="J1605" s="39" t="s">
        <v>3371</v>
      </c>
      <c r="K1605" s="13"/>
      <c r="L1605" s="13"/>
    </row>
    <row r="1606" spans="1:12">
      <c r="A1606" s="13"/>
      <c r="B1606" s="13"/>
      <c r="C1606" s="13"/>
      <c r="D1606" s="13"/>
      <c r="E1606" s="13"/>
      <c r="F1606" s="13"/>
      <c r="G1606" s="13"/>
      <c r="H1606" s="13"/>
      <c r="I1606" s="39" t="s">
        <v>7570</v>
      </c>
      <c r="J1606" s="39"/>
      <c r="K1606" s="13"/>
      <c r="L1606" s="13"/>
    </row>
    <row r="1607" spans="1:12">
      <c r="A1607" s="13"/>
      <c r="B1607" s="13"/>
      <c r="C1607" s="13"/>
      <c r="D1607" s="13"/>
      <c r="E1607" s="13"/>
      <c r="F1607" s="13"/>
      <c r="G1607" s="13"/>
      <c r="H1607" s="13"/>
      <c r="I1607" s="39" t="s">
        <v>7573</v>
      </c>
      <c r="J1607" s="39" t="s">
        <v>7402</v>
      </c>
      <c r="K1607" s="13"/>
      <c r="L1607" s="13"/>
    </row>
    <row r="1608" spans="1:12">
      <c r="A1608" s="13"/>
      <c r="B1608" s="13"/>
      <c r="C1608" s="13"/>
      <c r="D1608" s="13"/>
      <c r="E1608" s="13"/>
      <c r="F1608" s="13"/>
      <c r="G1608" s="13"/>
      <c r="H1608" s="13"/>
      <c r="I1608" s="39" t="s">
        <v>7575</v>
      </c>
      <c r="J1608" s="39" t="s">
        <v>7403</v>
      </c>
      <c r="K1608" s="13"/>
      <c r="L1608" s="13"/>
    </row>
    <row r="1609" spans="1:12">
      <c r="A1609" s="13"/>
      <c r="B1609" s="13"/>
      <c r="C1609" s="13"/>
      <c r="D1609" s="13"/>
      <c r="E1609" s="13"/>
      <c r="F1609" s="13"/>
      <c r="G1609" s="13"/>
      <c r="H1609" s="13"/>
      <c r="I1609" s="39" t="s">
        <v>7577</v>
      </c>
      <c r="J1609" s="39" t="s">
        <v>7404</v>
      </c>
      <c r="K1609" s="13"/>
      <c r="L1609" s="13"/>
    </row>
    <row r="1610" spans="1:12">
      <c r="A1610" s="13"/>
      <c r="B1610" s="13"/>
      <c r="C1610" s="13"/>
      <c r="D1610" s="13"/>
      <c r="E1610" s="13"/>
      <c r="F1610" s="13"/>
      <c r="G1610" s="13"/>
      <c r="H1610" s="13"/>
      <c r="I1610" s="39" t="s">
        <v>7580</v>
      </c>
      <c r="J1610" s="39" t="s">
        <v>7405</v>
      </c>
      <c r="K1610" s="13"/>
      <c r="L1610" s="13"/>
    </row>
    <row r="1611" spans="1:12">
      <c r="A1611" s="13"/>
      <c r="B1611" s="13"/>
      <c r="C1611" s="13"/>
      <c r="D1611" s="13"/>
      <c r="E1611" s="13"/>
      <c r="F1611" s="13"/>
      <c r="G1611" s="13"/>
      <c r="H1611" s="13"/>
      <c r="I1611" s="39" t="s">
        <v>7582</v>
      </c>
      <c r="J1611" s="39" t="s">
        <v>7407</v>
      </c>
      <c r="K1611" s="13"/>
      <c r="L1611" s="13"/>
    </row>
    <row r="1612" spans="1:12">
      <c r="A1612" s="13"/>
      <c r="B1612" s="13"/>
      <c r="C1612" s="13"/>
      <c r="D1612" s="13"/>
      <c r="E1612" s="13"/>
      <c r="F1612" s="13"/>
      <c r="G1612" s="13"/>
      <c r="H1612" s="13"/>
      <c r="I1612" s="39" t="s">
        <v>7584</v>
      </c>
      <c r="J1612" s="39" t="s">
        <v>2357</v>
      </c>
      <c r="K1612" s="13"/>
      <c r="L1612" s="13"/>
    </row>
    <row r="1613" spans="1:12">
      <c r="A1613" s="13"/>
      <c r="B1613" s="13"/>
      <c r="C1613" s="13"/>
      <c r="D1613" s="13"/>
      <c r="E1613" s="13"/>
      <c r="F1613" s="13"/>
      <c r="G1613" s="13"/>
      <c r="H1613" s="13"/>
      <c r="I1613" s="39" t="s">
        <v>7528</v>
      </c>
      <c r="J1613" s="39"/>
      <c r="K1613" s="13"/>
      <c r="L1613" s="13"/>
    </row>
    <row r="1614" spans="1:12">
      <c r="A1614" s="13"/>
      <c r="B1614" s="13"/>
      <c r="C1614" s="13"/>
      <c r="D1614" s="13"/>
      <c r="E1614" s="13"/>
      <c r="F1614" s="13"/>
      <c r="G1614" s="13"/>
      <c r="H1614" s="13"/>
      <c r="I1614" s="39" t="s">
        <v>7620</v>
      </c>
      <c r="J1614" s="39" t="s">
        <v>7621</v>
      </c>
      <c r="K1614" s="13"/>
      <c r="L1614" s="13"/>
    </row>
    <row r="1615" spans="1:12">
      <c r="A1615" s="13"/>
      <c r="B1615" s="13"/>
      <c r="C1615" s="13"/>
      <c r="D1615" s="13"/>
      <c r="E1615" s="13"/>
      <c r="F1615" s="13"/>
      <c r="G1615" s="13"/>
      <c r="H1615" s="13"/>
      <c r="I1615" s="39" t="s">
        <v>7622</v>
      </c>
      <c r="J1615" s="39" t="s">
        <v>7536</v>
      </c>
      <c r="K1615" s="13"/>
      <c r="L1615" s="13"/>
    </row>
    <row r="1616" spans="1:12">
      <c r="A1616" s="13"/>
      <c r="B1616" s="13"/>
      <c r="C1616" s="13"/>
      <c r="D1616" s="13"/>
      <c r="E1616" s="13"/>
      <c r="F1616" s="13"/>
      <c r="G1616" s="13"/>
      <c r="H1616" s="13"/>
      <c r="I1616" s="39" t="s">
        <v>7623</v>
      </c>
      <c r="J1616" s="39" t="s">
        <v>7624</v>
      </c>
      <c r="K1616" s="13"/>
      <c r="L1616" s="13"/>
    </row>
    <row r="1617" spans="1:12">
      <c r="A1617" s="13"/>
      <c r="B1617" s="13"/>
      <c r="C1617" s="13"/>
      <c r="D1617" s="13"/>
      <c r="E1617" s="13"/>
      <c r="F1617" s="13"/>
      <c r="G1617" s="13"/>
      <c r="H1617" s="13"/>
      <c r="I1617" s="39" t="s">
        <v>7616</v>
      </c>
      <c r="J1617" s="39" t="s">
        <v>7625</v>
      </c>
      <c r="K1617" s="13"/>
      <c r="L1617" s="13"/>
    </row>
    <row r="1618" spans="1:12">
      <c r="A1618" s="13"/>
      <c r="B1618" s="13"/>
      <c r="C1618" s="13"/>
      <c r="D1618" s="13"/>
      <c r="E1618" s="13"/>
      <c r="F1618" s="13"/>
      <c r="G1618" s="13"/>
      <c r="H1618" s="13"/>
      <c r="I1618" s="39" t="s">
        <v>7617</v>
      </c>
      <c r="J1618" s="39" t="s">
        <v>7626</v>
      </c>
      <c r="K1618" s="13"/>
      <c r="L1618" s="13"/>
    </row>
    <row r="1619" spans="1:12">
      <c r="A1619" s="13"/>
      <c r="B1619" s="13"/>
      <c r="C1619" s="13"/>
      <c r="D1619" s="13"/>
      <c r="E1619" s="13"/>
      <c r="F1619" s="13"/>
      <c r="G1619" s="13"/>
      <c r="H1619" s="13"/>
      <c r="I1619" s="39" t="s">
        <v>7570</v>
      </c>
      <c r="J1619" s="39" t="s">
        <v>7627</v>
      </c>
      <c r="K1619" s="13"/>
      <c r="L1619" s="13"/>
    </row>
    <row r="1620" spans="1:12">
      <c r="A1620" s="13"/>
      <c r="B1620" s="13"/>
      <c r="C1620" s="13"/>
      <c r="D1620" s="13"/>
      <c r="E1620" s="13"/>
      <c r="F1620" s="13"/>
      <c r="G1620" s="13"/>
      <c r="H1620" s="13"/>
      <c r="I1620" s="39" t="s">
        <v>7573</v>
      </c>
      <c r="J1620" s="39" t="s">
        <v>7628</v>
      </c>
      <c r="K1620" s="13"/>
      <c r="L1620" s="13"/>
    </row>
    <row r="1621" spans="1:12">
      <c r="A1621" s="13"/>
      <c r="B1621" s="13"/>
      <c r="C1621" s="13"/>
      <c r="D1621" s="13"/>
      <c r="E1621" s="13"/>
      <c r="F1621" s="13"/>
      <c r="G1621" s="13"/>
      <c r="H1621" s="13"/>
      <c r="I1621" s="39" t="s">
        <v>7575</v>
      </c>
      <c r="J1621" s="39" t="s">
        <v>7629</v>
      </c>
      <c r="K1621" s="13"/>
      <c r="L1621" s="13"/>
    </row>
    <row r="1622" spans="1:12">
      <c r="A1622" s="13"/>
      <c r="B1622" s="13"/>
      <c r="C1622" s="13"/>
      <c r="D1622" s="13"/>
      <c r="E1622" s="13"/>
      <c r="F1622" s="13"/>
      <c r="G1622" s="13"/>
      <c r="H1622" s="13"/>
      <c r="I1622" s="39" t="s">
        <v>7577</v>
      </c>
      <c r="J1622" s="39" t="s">
        <v>7630</v>
      </c>
      <c r="K1622" s="13"/>
      <c r="L1622" s="13"/>
    </row>
    <row r="1623" spans="1:12">
      <c r="A1623" s="13"/>
      <c r="B1623" s="13"/>
      <c r="C1623" s="13"/>
      <c r="D1623" s="13"/>
      <c r="E1623" s="13"/>
      <c r="F1623" s="13"/>
      <c r="G1623" s="13"/>
      <c r="H1623" s="13"/>
      <c r="I1623" s="39" t="s">
        <v>7580</v>
      </c>
      <c r="J1623" s="39" t="s">
        <v>7631</v>
      </c>
      <c r="K1623" s="13"/>
      <c r="L1623" s="13"/>
    </row>
    <row r="1624" spans="1:12">
      <c r="A1624" s="13"/>
      <c r="B1624" s="13"/>
      <c r="C1624" s="13"/>
      <c r="D1624" s="13"/>
      <c r="E1624" s="13"/>
      <c r="F1624" s="13"/>
      <c r="G1624" s="13"/>
      <c r="H1624" s="13"/>
      <c r="I1624" s="39" t="s">
        <v>7582</v>
      </c>
      <c r="J1624" s="39" t="s">
        <v>7632</v>
      </c>
      <c r="K1624" s="13"/>
      <c r="L1624" s="13"/>
    </row>
    <row r="1625" spans="1:12">
      <c r="A1625" s="13"/>
      <c r="B1625" s="13"/>
      <c r="C1625" s="13"/>
      <c r="D1625" s="13"/>
      <c r="E1625" s="13"/>
      <c r="F1625" s="13"/>
      <c r="G1625" s="13"/>
      <c r="H1625" s="13"/>
      <c r="I1625" s="39" t="s">
        <v>7584</v>
      </c>
      <c r="J1625" s="39" t="s">
        <v>7633</v>
      </c>
      <c r="K1625" s="13"/>
      <c r="L1625" s="13"/>
    </row>
    <row r="1626" spans="1:12">
      <c r="A1626" s="13"/>
      <c r="B1626" s="13"/>
      <c r="C1626" s="13"/>
      <c r="D1626" s="13"/>
      <c r="E1626" s="13"/>
      <c r="F1626" s="13"/>
      <c r="G1626" s="13"/>
      <c r="H1626" s="13"/>
      <c r="I1626" s="39" t="s">
        <v>7528</v>
      </c>
      <c r="J1626" s="39" t="s">
        <v>6982</v>
      </c>
      <c r="K1626" s="13"/>
      <c r="L1626" s="13"/>
    </row>
    <row r="1627" spans="1:12">
      <c r="A1627" s="13"/>
      <c r="B1627" s="13"/>
      <c r="C1627" s="13"/>
      <c r="D1627" s="13"/>
      <c r="E1627" s="13"/>
      <c r="F1627" s="13"/>
      <c r="G1627" s="13"/>
      <c r="H1627" s="13"/>
      <c r="I1627" s="39" t="s">
        <v>7634</v>
      </c>
      <c r="J1627" s="39" t="s">
        <v>2357</v>
      </c>
      <c r="K1627" s="13"/>
      <c r="L1627" s="13"/>
    </row>
    <row r="1628" spans="1:12">
      <c r="A1628" s="13"/>
      <c r="B1628" s="13"/>
      <c r="C1628" s="13"/>
      <c r="D1628" s="13"/>
      <c r="E1628" s="13"/>
      <c r="F1628" s="13"/>
      <c r="G1628" s="13"/>
      <c r="H1628" s="13"/>
      <c r="I1628" s="39" t="s">
        <v>7616</v>
      </c>
      <c r="J1628" s="39"/>
      <c r="K1628" s="13"/>
      <c r="L1628" s="13"/>
    </row>
    <row r="1629" spans="1:12">
      <c r="A1629" s="13"/>
      <c r="B1629" s="13"/>
      <c r="C1629" s="13"/>
      <c r="D1629" s="13"/>
      <c r="E1629" s="13"/>
      <c r="F1629" s="13"/>
      <c r="G1629" s="13"/>
      <c r="H1629" s="13"/>
      <c r="I1629" s="39" t="s">
        <v>7617</v>
      </c>
      <c r="J1629" s="39" t="s">
        <v>7635</v>
      </c>
      <c r="K1629" s="13"/>
      <c r="L1629" s="13"/>
    </row>
    <row r="1630" spans="1:12">
      <c r="A1630" s="13"/>
      <c r="B1630" s="13"/>
      <c r="C1630" s="13"/>
      <c r="D1630" s="13"/>
      <c r="E1630" s="13"/>
      <c r="F1630" s="13"/>
      <c r="G1630" s="13"/>
      <c r="H1630" s="13"/>
      <c r="I1630" s="39" t="s">
        <v>7570</v>
      </c>
      <c r="J1630" s="39" t="s">
        <v>7536</v>
      </c>
      <c r="K1630" s="13"/>
      <c r="L1630" s="13"/>
    </row>
    <row r="1631" spans="1:12">
      <c r="A1631" s="13"/>
      <c r="B1631" s="13"/>
      <c r="C1631" s="13"/>
      <c r="D1631" s="13"/>
      <c r="E1631" s="13"/>
      <c r="F1631" s="13"/>
      <c r="G1631" s="13"/>
      <c r="H1631" s="13"/>
      <c r="I1631" s="39" t="s">
        <v>7573</v>
      </c>
      <c r="J1631" s="39" t="s">
        <v>7636</v>
      </c>
      <c r="K1631" s="13"/>
      <c r="L1631" s="13"/>
    </row>
    <row r="1632" spans="1:12">
      <c r="A1632" s="13"/>
      <c r="B1632" s="13"/>
      <c r="C1632" s="13"/>
      <c r="D1632" s="13"/>
      <c r="E1632" s="13"/>
      <c r="F1632" s="13"/>
      <c r="G1632" s="13"/>
      <c r="H1632" s="13"/>
      <c r="I1632" s="39" t="s">
        <v>7575</v>
      </c>
      <c r="J1632" s="39" t="s">
        <v>7637</v>
      </c>
      <c r="K1632" s="13"/>
      <c r="L1632" s="13"/>
    </row>
    <row r="1633" spans="1:12">
      <c r="A1633" s="13"/>
      <c r="B1633" s="13"/>
      <c r="C1633" s="13"/>
      <c r="D1633" s="13"/>
      <c r="E1633" s="13"/>
      <c r="F1633" s="13"/>
      <c r="G1633" s="13"/>
      <c r="H1633" s="13"/>
      <c r="I1633" s="39" t="s">
        <v>7577</v>
      </c>
      <c r="J1633" s="39" t="s">
        <v>6982</v>
      </c>
      <c r="K1633" s="13"/>
      <c r="L1633" s="13"/>
    </row>
    <row r="1634" spans="1:12">
      <c r="A1634" s="13"/>
      <c r="B1634" s="13"/>
      <c r="C1634" s="13"/>
      <c r="D1634" s="13"/>
      <c r="E1634" s="13"/>
      <c r="F1634" s="13"/>
      <c r="G1634" s="13"/>
      <c r="H1634" s="13"/>
      <c r="I1634" s="39" t="s">
        <v>7580</v>
      </c>
      <c r="J1634" s="39" t="s">
        <v>7638</v>
      </c>
      <c r="K1634" s="13"/>
      <c r="L1634" s="13"/>
    </row>
    <row r="1635" spans="1:12">
      <c r="A1635" s="13"/>
      <c r="B1635" s="13"/>
      <c r="C1635" s="13"/>
      <c r="D1635" s="13"/>
      <c r="E1635" s="13"/>
      <c r="F1635" s="13"/>
      <c r="G1635" s="13"/>
      <c r="H1635" s="13"/>
      <c r="I1635" s="39" t="s">
        <v>7582</v>
      </c>
      <c r="J1635" s="39" t="s">
        <v>7639</v>
      </c>
      <c r="K1635" s="13"/>
      <c r="L1635" s="13"/>
    </row>
    <row r="1636" spans="1:12">
      <c r="A1636" s="13"/>
      <c r="B1636" s="13"/>
      <c r="C1636" s="13"/>
      <c r="D1636" s="13"/>
      <c r="E1636" s="13"/>
      <c r="F1636" s="13"/>
      <c r="G1636" s="13"/>
      <c r="H1636" s="13"/>
      <c r="I1636" s="39" t="s">
        <v>7584</v>
      </c>
      <c r="J1636" s="39" t="s">
        <v>7640</v>
      </c>
      <c r="K1636" s="13"/>
      <c r="L1636" s="13"/>
    </row>
    <row r="1637" spans="1:12">
      <c r="A1637" s="13"/>
      <c r="B1637" s="13"/>
      <c r="C1637" s="13"/>
      <c r="D1637" s="13"/>
      <c r="E1637" s="13"/>
      <c r="F1637" s="13"/>
      <c r="G1637" s="13"/>
      <c r="H1637" s="13"/>
      <c r="I1637" s="39" t="s">
        <v>7528</v>
      </c>
      <c r="J1637" s="39" t="s">
        <v>7641</v>
      </c>
      <c r="K1637" s="13"/>
      <c r="L1637" s="13"/>
    </row>
    <row r="1638" spans="1:12">
      <c r="A1638" s="13"/>
      <c r="B1638" s="13"/>
      <c r="C1638" s="13"/>
      <c r="D1638" s="13"/>
      <c r="E1638" s="13"/>
      <c r="F1638" s="13"/>
      <c r="G1638" s="13"/>
      <c r="H1638" s="13"/>
      <c r="I1638" s="39" t="s">
        <v>7642</v>
      </c>
      <c r="J1638" s="39" t="s">
        <v>7643</v>
      </c>
      <c r="K1638" s="13"/>
      <c r="L1638" s="13"/>
    </row>
    <row r="1639" spans="1:12">
      <c r="A1639" s="13"/>
      <c r="B1639" s="13"/>
      <c r="C1639" s="13"/>
      <c r="D1639" s="13"/>
      <c r="E1639" s="13"/>
      <c r="F1639" s="13"/>
      <c r="G1639" s="13"/>
      <c r="H1639" s="13"/>
      <c r="I1639" s="39" t="s">
        <v>7616</v>
      </c>
      <c r="J1639" s="39" t="s">
        <v>7644</v>
      </c>
      <c r="K1639" s="13"/>
      <c r="L1639" s="13"/>
    </row>
    <row r="1640" spans="1:12">
      <c r="A1640" s="13"/>
      <c r="B1640" s="13"/>
      <c r="C1640" s="13"/>
      <c r="D1640" s="13"/>
      <c r="E1640" s="13"/>
      <c r="F1640" s="13"/>
      <c r="G1640" s="13"/>
      <c r="H1640" s="13"/>
      <c r="I1640" s="39" t="s">
        <v>7617</v>
      </c>
      <c r="J1640" s="39" t="s">
        <v>7645</v>
      </c>
      <c r="K1640" s="13"/>
      <c r="L1640" s="13"/>
    </row>
    <row r="1641" spans="1:12">
      <c r="A1641" s="13"/>
      <c r="B1641" s="13"/>
      <c r="C1641" s="13"/>
      <c r="D1641" s="13"/>
      <c r="E1641" s="13"/>
      <c r="F1641" s="13"/>
      <c r="G1641" s="13"/>
      <c r="H1641" s="13"/>
      <c r="I1641" s="39" t="s">
        <v>7570</v>
      </c>
      <c r="J1641" s="39" t="s">
        <v>7646</v>
      </c>
      <c r="K1641" s="13"/>
      <c r="L1641" s="13"/>
    </row>
    <row r="1642" spans="1:12">
      <c r="A1642" s="13"/>
      <c r="B1642" s="13"/>
      <c r="C1642" s="13"/>
      <c r="D1642" s="13"/>
      <c r="E1642" s="13"/>
      <c r="F1642" s="13"/>
      <c r="G1642" s="13"/>
      <c r="H1642" s="13"/>
      <c r="I1642" s="39" t="s">
        <v>7573</v>
      </c>
      <c r="J1642" s="39" t="s">
        <v>7647</v>
      </c>
      <c r="K1642" s="13"/>
      <c r="L1642" s="13"/>
    </row>
    <row r="1643" spans="1:12">
      <c r="A1643" s="13"/>
      <c r="B1643" s="13"/>
      <c r="C1643" s="13"/>
      <c r="D1643" s="13"/>
      <c r="E1643" s="13"/>
      <c r="F1643" s="13"/>
      <c r="G1643" s="13"/>
      <c r="H1643" s="13"/>
      <c r="I1643" s="39" t="s">
        <v>7575</v>
      </c>
      <c r="J1643" s="39" t="s">
        <v>7648</v>
      </c>
      <c r="K1643" s="13"/>
      <c r="L1643" s="13"/>
    </row>
    <row r="1644" spans="1:12">
      <c r="A1644" s="13"/>
      <c r="B1644" s="13"/>
      <c r="C1644" s="13"/>
      <c r="D1644" s="13"/>
      <c r="E1644" s="13"/>
      <c r="F1644" s="13"/>
      <c r="G1644" s="13"/>
      <c r="H1644" s="13"/>
      <c r="I1644" s="39" t="s">
        <v>7577</v>
      </c>
      <c r="J1644" s="39" t="s">
        <v>7649</v>
      </c>
      <c r="K1644" s="13"/>
      <c r="L1644" s="13"/>
    </row>
    <row r="1645" spans="1:12">
      <c r="A1645" s="13"/>
      <c r="B1645" s="13"/>
      <c r="C1645" s="13"/>
      <c r="D1645" s="13"/>
      <c r="E1645" s="13"/>
      <c r="F1645" s="13"/>
      <c r="G1645" s="13"/>
      <c r="H1645" s="13"/>
      <c r="I1645" s="39" t="s">
        <v>7580</v>
      </c>
      <c r="J1645" s="39" t="s">
        <v>7650</v>
      </c>
      <c r="K1645" s="13"/>
      <c r="L1645" s="13"/>
    </row>
    <row r="1646" spans="1:12">
      <c r="A1646" s="13"/>
      <c r="B1646" s="13"/>
      <c r="C1646" s="13"/>
      <c r="D1646" s="13"/>
      <c r="E1646" s="13"/>
      <c r="F1646" s="13"/>
      <c r="G1646" s="13"/>
      <c r="H1646" s="13"/>
      <c r="I1646" s="39" t="s">
        <v>7582</v>
      </c>
      <c r="J1646" s="39" t="s">
        <v>7651</v>
      </c>
      <c r="K1646" s="13"/>
      <c r="L1646" s="13"/>
    </row>
    <row r="1647" spans="1:12">
      <c r="A1647" s="13"/>
      <c r="B1647" s="13"/>
      <c r="C1647" s="13"/>
      <c r="D1647" s="13"/>
      <c r="E1647" s="13"/>
      <c r="F1647" s="13"/>
      <c r="G1647" s="13"/>
      <c r="H1647" s="13"/>
      <c r="I1647" s="39" t="s">
        <v>7584</v>
      </c>
      <c r="J1647" s="39" t="s">
        <v>3270</v>
      </c>
      <c r="K1647" s="13"/>
      <c r="L1647" s="13"/>
    </row>
    <row r="1648" spans="1:12">
      <c r="A1648" s="13"/>
      <c r="B1648" s="13"/>
      <c r="C1648" s="13"/>
      <c r="D1648" s="13"/>
      <c r="E1648" s="13"/>
      <c r="F1648" s="13"/>
      <c r="G1648" s="13"/>
      <c r="H1648" s="13"/>
      <c r="I1648" s="39" t="s">
        <v>7528</v>
      </c>
      <c r="J1648" s="39" t="s">
        <v>7652</v>
      </c>
      <c r="K1648" s="13"/>
      <c r="L1648" s="13"/>
    </row>
    <row r="1649" spans="1:12">
      <c r="A1649" s="13"/>
      <c r="B1649" s="13"/>
      <c r="C1649" s="13"/>
      <c r="D1649" s="13"/>
      <c r="E1649" s="13"/>
      <c r="F1649" s="13"/>
      <c r="G1649" s="13"/>
      <c r="H1649" s="13"/>
      <c r="I1649" s="39" t="s">
        <v>7653</v>
      </c>
      <c r="J1649" s="39" t="s">
        <v>7654</v>
      </c>
      <c r="K1649" s="13"/>
      <c r="L1649" s="13"/>
    </row>
    <row r="1650" spans="1:12">
      <c r="A1650" s="13"/>
      <c r="B1650" s="13"/>
      <c r="C1650" s="13"/>
      <c r="D1650" s="13"/>
      <c r="E1650" s="13"/>
      <c r="F1650" s="13"/>
      <c r="G1650" s="13"/>
      <c r="H1650" s="13"/>
      <c r="I1650" s="39" t="s">
        <v>7616</v>
      </c>
      <c r="J1650" s="39" t="s">
        <v>7655</v>
      </c>
      <c r="K1650" s="13"/>
      <c r="L1650" s="13"/>
    </row>
    <row r="1651" spans="1:12">
      <c r="A1651" s="13"/>
      <c r="B1651" s="13"/>
      <c r="C1651" s="13"/>
      <c r="D1651" s="13"/>
      <c r="E1651" s="13"/>
      <c r="F1651" s="13"/>
      <c r="G1651" s="13"/>
      <c r="H1651" s="13"/>
      <c r="I1651" s="39" t="s">
        <v>7617</v>
      </c>
      <c r="J1651" s="39" t="s">
        <v>7656</v>
      </c>
      <c r="K1651" s="13"/>
      <c r="L1651" s="13"/>
    </row>
    <row r="1652" spans="1:12">
      <c r="A1652" s="13"/>
      <c r="B1652" s="13"/>
      <c r="C1652" s="13"/>
      <c r="D1652" s="13"/>
      <c r="E1652" s="13"/>
      <c r="F1652" s="13"/>
      <c r="G1652" s="13"/>
      <c r="H1652" s="13"/>
      <c r="I1652" s="39" t="s">
        <v>7570</v>
      </c>
      <c r="J1652" s="39" t="s">
        <v>7657</v>
      </c>
      <c r="K1652" s="13"/>
      <c r="L1652" s="13"/>
    </row>
    <row r="1653" spans="1:12">
      <c r="A1653" s="13"/>
      <c r="B1653" s="13"/>
      <c r="C1653" s="13"/>
      <c r="D1653" s="13"/>
      <c r="E1653" s="13"/>
      <c r="F1653" s="13"/>
      <c r="G1653" s="13"/>
      <c r="H1653" s="13"/>
      <c r="I1653" s="39" t="s">
        <v>7573</v>
      </c>
      <c r="J1653" s="39" t="s">
        <v>7658</v>
      </c>
      <c r="K1653" s="13"/>
      <c r="L1653" s="13"/>
    </row>
    <row r="1654" spans="1:12">
      <c r="A1654" s="13"/>
      <c r="B1654" s="13"/>
      <c r="C1654" s="13"/>
      <c r="D1654" s="13"/>
      <c r="E1654" s="13"/>
      <c r="F1654" s="13"/>
      <c r="G1654" s="13"/>
      <c r="H1654" s="13"/>
      <c r="I1654" s="39" t="s">
        <v>7575</v>
      </c>
      <c r="J1654" s="39" t="s">
        <v>7659</v>
      </c>
      <c r="K1654" s="13"/>
      <c r="L1654" s="13"/>
    </row>
    <row r="1655" spans="1:12">
      <c r="A1655" s="13"/>
      <c r="B1655" s="13"/>
      <c r="C1655" s="13"/>
      <c r="D1655" s="13"/>
      <c r="E1655" s="13"/>
      <c r="F1655" s="13"/>
      <c r="G1655" s="13"/>
      <c r="H1655" s="13"/>
      <c r="I1655" s="39" t="s">
        <v>7577</v>
      </c>
      <c r="J1655" s="39" t="s">
        <v>7660</v>
      </c>
      <c r="K1655" s="13"/>
      <c r="L1655" s="13"/>
    </row>
    <row r="1656" spans="1:12">
      <c r="A1656" s="13"/>
      <c r="B1656" s="13"/>
      <c r="C1656" s="13"/>
      <c r="D1656" s="13"/>
      <c r="E1656" s="13"/>
      <c r="F1656" s="13"/>
      <c r="G1656" s="13"/>
      <c r="H1656" s="13"/>
      <c r="I1656" s="39" t="s">
        <v>7580</v>
      </c>
      <c r="J1656" s="39" t="s">
        <v>7661</v>
      </c>
      <c r="K1656" s="13"/>
      <c r="L1656" s="13"/>
    </row>
    <row r="1657" spans="1:12">
      <c r="A1657" s="13"/>
      <c r="B1657" s="13"/>
      <c r="C1657" s="13"/>
      <c r="D1657" s="13"/>
      <c r="E1657" s="13"/>
      <c r="F1657" s="13"/>
      <c r="G1657" s="13"/>
      <c r="H1657" s="13"/>
      <c r="I1657" s="39" t="s">
        <v>7582</v>
      </c>
      <c r="J1657" s="39" t="s">
        <v>7662</v>
      </c>
      <c r="K1657" s="13"/>
      <c r="L1657" s="13"/>
    </row>
    <row r="1658" spans="1:12">
      <c r="A1658" s="13"/>
      <c r="B1658" s="13"/>
      <c r="C1658" s="13"/>
      <c r="D1658" s="13"/>
      <c r="E1658" s="13"/>
      <c r="F1658" s="13"/>
      <c r="G1658" s="13"/>
      <c r="H1658" s="13"/>
      <c r="I1658" s="39" t="s">
        <v>7584</v>
      </c>
      <c r="J1658" s="39" t="s">
        <v>2836</v>
      </c>
      <c r="K1658" s="13"/>
      <c r="L1658" s="13"/>
    </row>
    <row r="1659" spans="1:12">
      <c r="A1659" s="13"/>
      <c r="B1659" s="13"/>
      <c r="C1659" s="13"/>
      <c r="D1659" s="13"/>
      <c r="E1659" s="13"/>
      <c r="F1659" s="13"/>
      <c r="G1659" s="13"/>
      <c r="H1659" s="13"/>
      <c r="I1659" s="39" t="s">
        <v>7528</v>
      </c>
      <c r="J1659" s="39" t="s">
        <v>7663</v>
      </c>
      <c r="K1659" s="13"/>
      <c r="L1659" s="13"/>
    </row>
    <row r="1660" spans="1:12">
      <c r="A1660" s="13"/>
      <c r="B1660" s="13"/>
      <c r="C1660" s="13"/>
      <c r="D1660" s="13"/>
      <c r="E1660" s="13"/>
      <c r="F1660" s="13"/>
      <c r="G1660" s="13"/>
      <c r="H1660" s="13"/>
      <c r="I1660" s="39" t="s">
        <v>7664</v>
      </c>
      <c r="J1660" s="39" t="s">
        <v>7665</v>
      </c>
      <c r="K1660" s="13"/>
      <c r="L1660" s="13"/>
    </row>
    <row r="1661" spans="1:12">
      <c r="A1661" s="13"/>
      <c r="B1661" s="13"/>
      <c r="C1661" s="13"/>
      <c r="D1661" s="13"/>
      <c r="E1661" s="13"/>
      <c r="F1661" s="13"/>
      <c r="G1661" s="13"/>
      <c r="H1661" s="13"/>
      <c r="I1661" s="39" t="s">
        <v>7616</v>
      </c>
      <c r="J1661" s="39" t="s">
        <v>7662</v>
      </c>
      <c r="K1661" s="13"/>
      <c r="L1661" s="13"/>
    </row>
    <row r="1662" spans="1:12">
      <c r="A1662" s="13"/>
      <c r="B1662" s="13"/>
      <c r="C1662" s="13"/>
      <c r="D1662" s="13"/>
      <c r="E1662" s="13"/>
      <c r="F1662" s="13"/>
      <c r="G1662" s="13"/>
      <c r="H1662" s="13"/>
      <c r="I1662" s="39" t="s">
        <v>7617</v>
      </c>
      <c r="J1662" s="39" t="s">
        <v>2836</v>
      </c>
      <c r="K1662" s="13"/>
      <c r="L1662" s="13"/>
    </row>
    <row r="1663" spans="1:12">
      <c r="A1663" s="13"/>
      <c r="B1663" s="13"/>
      <c r="C1663" s="13"/>
      <c r="D1663" s="13"/>
      <c r="E1663" s="13"/>
      <c r="F1663" s="13"/>
      <c r="G1663" s="13"/>
      <c r="H1663" s="13"/>
      <c r="I1663" s="39" t="s">
        <v>7570</v>
      </c>
      <c r="J1663" s="39" t="s">
        <v>7666</v>
      </c>
      <c r="K1663" s="13"/>
      <c r="L1663" s="13"/>
    </row>
    <row r="1664" spans="1:12">
      <c r="A1664" s="13"/>
      <c r="B1664" s="13"/>
      <c r="C1664" s="13"/>
      <c r="D1664" s="13"/>
      <c r="E1664" s="13"/>
      <c r="F1664" s="13"/>
      <c r="G1664" s="13"/>
      <c r="H1664" s="13"/>
      <c r="I1664" s="39" t="s">
        <v>7573</v>
      </c>
      <c r="J1664" s="39" t="s">
        <v>3371</v>
      </c>
      <c r="K1664" s="13"/>
      <c r="L1664" s="13"/>
    </row>
    <row r="1665" spans="1:12">
      <c r="A1665" s="13"/>
      <c r="B1665" s="13"/>
      <c r="C1665" s="13"/>
      <c r="D1665" s="13"/>
      <c r="E1665" s="13"/>
      <c r="F1665" s="13"/>
      <c r="G1665" s="13"/>
      <c r="H1665" s="13"/>
      <c r="I1665" s="39" t="s">
        <v>7575</v>
      </c>
      <c r="J1665" s="39"/>
      <c r="K1665" s="13"/>
      <c r="L1665" s="13"/>
    </row>
    <row r="1666" spans="1:12">
      <c r="A1666" s="13"/>
      <c r="B1666" s="13"/>
      <c r="C1666" s="13"/>
      <c r="D1666" s="13"/>
      <c r="E1666" s="13"/>
      <c r="F1666" s="13"/>
      <c r="G1666" s="13"/>
      <c r="H1666" s="13"/>
      <c r="I1666" s="39" t="s">
        <v>7577</v>
      </c>
      <c r="J1666" s="39" t="s">
        <v>5345</v>
      </c>
      <c r="K1666" s="13"/>
      <c r="L1666" s="13"/>
    </row>
    <row r="1667" spans="1:12">
      <c r="A1667" s="13"/>
      <c r="B1667" s="13"/>
      <c r="C1667" s="13"/>
      <c r="D1667" s="13"/>
      <c r="E1667" s="13"/>
      <c r="F1667" s="13"/>
      <c r="G1667" s="13"/>
      <c r="H1667" s="13"/>
      <c r="I1667" s="39" t="s">
        <v>7580</v>
      </c>
      <c r="J1667" s="39" t="s">
        <v>7667</v>
      </c>
      <c r="K1667" s="13"/>
      <c r="L1667" s="13"/>
    </row>
    <row r="1668" spans="1:12">
      <c r="A1668" s="13"/>
      <c r="B1668" s="13"/>
      <c r="C1668" s="13"/>
      <c r="D1668" s="13"/>
      <c r="E1668" s="13"/>
      <c r="F1668" s="13"/>
      <c r="G1668" s="13"/>
      <c r="H1668" s="13"/>
      <c r="I1668" s="39" t="s">
        <v>7582</v>
      </c>
      <c r="J1668" s="39" t="s">
        <v>7668</v>
      </c>
      <c r="K1668" s="13"/>
      <c r="L1668" s="13"/>
    </row>
    <row r="1669" spans="1:12">
      <c r="A1669" s="13"/>
      <c r="B1669" s="13"/>
      <c r="C1669" s="13"/>
      <c r="D1669" s="13"/>
      <c r="E1669" s="13"/>
      <c r="F1669" s="13"/>
      <c r="G1669" s="13"/>
      <c r="H1669" s="13"/>
      <c r="I1669" s="39" t="s">
        <v>7584</v>
      </c>
      <c r="J1669" s="39" t="s">
        <v>4859</v>
      </c>
      <c r="K1669" s="13"/>
      <c r="L1669" s="13"/>
    </row>
    <row r="1670" spans="1:12">
      <c r="A1670" s="13"/>
      <c r="B1670" s="13"/>
      <c r="C1670" s="13"/>
      <c r="D1670" s="13"/>
      <c r="E1670" s="13"/>
      <c r="F1670" s="13"/>
      <c r="G1670" s="13"/>
      <c r="H1670" s="13"/>
      <c r="I1670" s="39" t="s">
        <v>7528</v>
      </c>
      <c r="J1670" s="39" t="s">
        <v>7669</v>
      </c>
      <c r="K1670" s="13"/>
      <c r="L1670" s="13"/>
    </row>
    <row r="1671" spans="1:12">
      <c r="A1671" s="13"/>
      <c r="B1671" s="13"/>
      <c r="C1671" s="13"/>
      <c r="D1671" s="13"/>
      <c r="E1671" s="13"/>
      <c r="F1671" s="13"/>
      <c r="G1671" s="13"/>
      <c r="H1671" s="13"/>
      <c r="I1671" s="39" t="s">
        <v>7670</v>
      </c>
      <c r="J1671" s="39" t="s">
        <v>7671</v>
      </c>
      <c r="K1671" s="13"/>
      <c r="L1671" s="13"/>
    </row>
    <row r="1672" spans="1:12">
      <c r="A1672" s="13"/>
      <c r="B1672" s="13"/>
      <c r="C1672" s="13"/>
      <c r="D1672" s="13"/>
      <c r="E1672" s="13"/>
      <c r="F1672" s="13"/>
      <c r="G1672" s="13"/>
      <c r="H1672" s="13"/>
      <c r="I1672" s="39"/>
      <c r="J1672" s="39" t="s">
        <v>7672</v>
      </c>
      <c r="K1672" s="13"/>
      <c r="L1672" s="13"/>
    </row>
    <row r="1673" spans="1:12">
      <c r="A1673" s="13"/>
      <c r="B1673" s="13"/>
      <c r="C1673" s="13"/>
      <c r="D1673" s="13"/>
      <c r="E1673" s="13"/>
      <c r="F1673" s="13"/>
      <c r="G1673" s="13"/>
      <c r="H1673" s="13"/>
      <c r="I1673" s="39" t="s">
        <v>7673</v>
      </c>
      <c r="J1673" s="39" t="s">
        <v>4198</v>
      </c>
      <c r="K1673" s="13"/>
      <c r="L1673" s="13"/>
    </row>
    <row r="1674" spans="1:12">
      <c r="A1674" s="13"/>
      <c r="B1674" s="13"/>
      <c r="C1674" s="13"/>
      <c r="D1674" s="13"/>
      <c r="E1674" s="13"/>
      <c r="F1674" s="13"/>
      <c r="G1674" s="13"/>
      <c r="H1674" s="13"/>
      <c r="I1674" s="39" t="s">
        <v>7674</v>
      </c>
      <c r="J1674" s="39" t="s">
        <v>7675</v>
      </c>
      <c r="K1674" s="13"/>
      <c r="L1674" s="13"/>
    </row>
    <row r="1675" spans="1:12">
      <c r="A1675" s="13"/>
      <c r="B1675" s="13"/>
      <c r="C1675" s="13"/>
      <c r="D1675" s="13"/>
      <c r="E1675" s="13"/>
      <c r="F1675" s="13"/>
      <c r="G1675" s="13"/>
      <c r="H1675" s="13"/>
      <c r="I1675" s="39" t="s">
        <v>7676</v>
      </c>
      <c r="J1675" s="39" t="s">
        <v>7677</v>
      </c>
      <c r="K1675" s="13"/>
      <c r="L1675" s="13"/>
    </row>
    <row r="1676" spans="1:12">
      <c r="A1676" s="13"/>
      <c r="B1676" s="13"/>
      <c r="C1676" s="13"/>
      <c r="D1676" s="13"/>
      <c r="E1676" s="13"/>
      <c r="F1676" s="13"/>
      <c r="G1676" s="13"/>
      <c r="H1676" s="13"/>
      <c r="I1676" s="39" t="s">
        <v>7678</v>
      </c>
      <c r="J1676" s="39" t="s">
        <v>7679</v>
      </c>
      <c r="K1676" s="13"/>
      <c r="L1676" s="13"/>
    </row>
    <row r="1677" spans="1:12">
      <c r="A1677" s="13"/>
      <c r="B1677" s="13"/>
      <c r="C1677" s="13"/>
      <c r="D1677" s="13"/>
      <c r="E1677" s="13"/>
      <c r="F1677" s="13"/>
      <c r="G1677" s="13"/>
      <c r="H1677" s="13"/>
      <c r="I1677" s="39" t="s">
        <v>7680</v>
      </c>
      <c r="J1677" s="39" t="s">
        <v>7681</v>
      </c>
      <c r="K1677" s="13"/>
      <c r="L1677" s="13"/>
    </row>
    <row r="1678" spans="1:12">
      <c r="A1678" s="13"/>
      <c r="B1678" s="13"/>
      <c r="C1678" s="13"/>
      <c r="D1678" s="13"/>
      <c r="E1678" s="13"/>
      <c r="F1678" s="13"/>
      <c r="G1678" s="13"/>
      <c r="H1678" s="13"/>
      <c r="I1678" s="39" t="s">
        <v>7682</v>
      </c>
      <c r="J1678" s="39" t="s">
        <v>4232</v>
      </c>
      <c r="K1678" s="13"/>
      <c r="L1678" s="13"/>
    </row>
    <row r="1679" spans="1:12">
      <c r="A1679" s="13"/>
      <c r="B1679" s="13"/>
      <c r="C1679" s="13"/>
      <c r="D1679" s="13"/>
      <c r="E1679" s="13"/>
      <c r="F1679" s="13"/>
      <c r="G1679" s="13"/>
      <c r="H1679" s="13"/>
      <c r="I1679" s="39" t="s">
        <v>7683</v>
      </c>
      <c r="J1679" s="39" t="s">
        <v>4080</v>
      </c>
      <c r="K1679" s="13"/>
      <c r="L1679" s="13"/>
    </row>
    <row r="1680" spans="1:12">
      <c r="A1680" s="13"/>
      <c r="B1680" s="13"/>
      <c r="C1680" s="13"/>
      <c r="D1680" s="13"/>
      <c r="E1680" s="13"/>
      <c r="F1680" s="13"/>
      <c r="G1680" s="13"/>
      <c r="H1680" s="13"/>
      <c r="I1680" s="39" t="s">
        <v>7684</v>
      </c>
      <c r="J1680" s="39" t="s">
        <v>7685</v>
      </c>
      <c r="K1680" s="13"/>
      <c r="L1680" s="13"/>
    </row>
    <row r="1681" spans="1:12">
      <c r="A1681" s="13"/>
      <c r="B1681" s="13"/>
      <c r="C1681" s="13"/>
      <c r="D1681" s="13"/>
      <c r="E1681" s="13"/>
      <c r="F1681" s="13"/>
      <c r="G1681" s="13"/>
      <c r="H1681" s="13"/>
      <c r="I1681" s="39" t="s">
        <v>7686</v>
      </c>
      <c r="J1681" s="39" t="s">
        <v>7687</v>
      </c>
      <c r="K1681" s="13"/>
      <c r="L1681" s="13"/>
    </row>
    <row r="1682" spans="1:12">
      <c r="A1682" s="13"/>
      <c r="B1682" s="13"/>
      <c r="C1682" s="13"/>
      <c r="D1682" s="13"/>
      <c r="E1682" s="13"/>
      <c r="F1682" s="13"/>
      <c r="G1682" s="13"/>
      <c r="H1682" s="13"/>
      <c r="I1682" s="39" t="s">
        <v>7688</v>
      </c>
      <c r="J1682" s="39" t="s">
        <v>7689</v>
      </c>
      <c r="K1682" s="13"/>
      <c r="L1682" s="13"/>
    </row>
    <row r="1683" spans="1:12">
      <c r="A1683" s="13"/>
      <c r="B1683" s="13"/>
      <c r="C1683" s="13"/>
      <c r="D1683" s="13"/>
      <c r="E1683" s="13"/>
      <c r="F1683" s="13"/>
      <c r="G1683" s="13"/>
      <c r="H1683" s="13"/>
      <c r="I1683" s="39" t="s">
        <v>7690</v>
      </c>
      <c r="J1683" s="39" t="s">
        <v>7691</v>
      </c>
      <c r="K1683" s="13"/>
      <c r="L1683" s="13"/>
    </row>
    <row r="1684" spans="1:12">
      <c r="A1684" s="13"/>
      <c r="B1684" s="13"/>
      <c r="C1684" s="13"/>
      <c r="D1684" s="13"/>
      <c r="E1684" s="13"/>
      <c r="F1684" s="13"/>
      <c r="G1684" s="13"/>
      <c r="H1684" s="13"/>
      <c r="I1684" s="39" t="s">
        <v>3747</v>
      </c>
      <c r="J1684" s="39" t="s">
        <v>7692</v>
      </c>
      <c r="K1684" s="13"/>
      <c r="L1684" s="13"/>
    </row>
    <row r="1685" spans="1:12">
      <c r="A1685" s="13"/>
      <c r="B1685" s="13"/>
      <c r="C1685" s="13"/>
      <c r="D1685" s="13"/>
      <c r="E1685" s="13"/>
      <c r="F1685" s="13"/>
      <c r="G1685" s="13"/>
      <c r="H1685" s="13"/>
      <c r="I1685" s="39" t="s">
        <v>7693</v>
      </c>
      <c r="J1685" s="39" t="s">
        <v>7694</v>
      </c>
      <c r="K1685" s="13"/>
      <c r="L1685" s="13"/>
    </row>
    <row r="1686" spans="1:12">
      <c r="A1686" s="13"/>
      <c r="B1686" s="13"/>
      <c r="C1686" s="13"/>
      <c r="D1686" s="13"/>
      <c r="E1686" s="13"/>
      <c r="F1686" s="13"/>
      <c r="G1686" s="13"/>
      <c r="H1686" s="13"/>
      <c r="I1686" s="39" t="s">
        <v>7695</v>
      </c>
      <c r="J1686" s="39" t="s">
        <v>7696</v>
      </c>
      <c r="K1686" s="13"/>
      <c r="L1686" s="13"/>
    </row>
    <row r="1687" spans="1:12">
      <c r="A1687" s="13"/>
      <c r="B1687" s="13"/>
      <c r="C1687" s="13"/>
      <c r="D1687" s="13"/>
      <c r="E1687" s="13"/>
      <c r="F1687" s="13"/>
      <c r="G1687" s="13"/>
      <c r="H1687" s="13"/>
      <c r="I1687" s="39" t="s">
        <v>7697</v>
      </c>
      <c r="J1687" s="39" t="s">
        <v>7698</v>
      </c>
      <c r="K1687" s="13"/>
      <c r="L1687" s="13"/>
    </row>
    <row r="1688" spans="1:12">
      <c r="A1688" s="13"/>
      <c r="B1688" s="13"/>
      <c r="C1688" s="13"/>
      <c r="D1688" s="13"/>
      <c r="E1688" s="13"/>
      <c r="F1688" s="13"/>
      <c r="G1688" s="13"/>
      <c r="H1688" s="13"/>
      <c r="I1688" s="39" t="s">
        <v>7699</v>
      </c>
      <c r="J1688" s="39" t="s">
        <v>7700</v>
      </c>
      <c r="K1688" s="13"/>
      <c r="L1688" s="13"/>
    </row>
    <row r="1689" spans="1:12">
      <c r="A1689" s="13"/>
      <c r="B1689" s="13"/>
      <c r="C1689" s="13"/>
      <c r="D1689" s="13"/>
      <c r="E1689" s="13"/>
      <c r="F1689" s="13"/>
      <c r="G1689" s="13"/>
      <c r="H1689" s="13"/>
      <c r="I1689" s="39" t="s">
        <v>7701</v>
      </c>
      <c r="J1689" s="39" t="s">
        <v>7702</v>
      </c>
      <c r="K1689" s="13"/>
      <c r="L1689" s="13"/>
    </row>
    <row r="1690" spans="1:12">
      <c r="A1690" s="13"/>
      <c r="B1690" s="13"/>
      <c r="C1690" s="13"/>
      <c r="D1690" s="13"/>
      <c r="E1690" s="13"/>
      <c r="F1690" s="13"/>
      <c r="G1690" s="13"/>
      <c r="H1690" s="13"/>
      <c r="I1690" s="39" t="s">
        <v>7703</v>
      </c>
      <c r="J1690" s="39" t="s">
        <v>7704</v>
      </c>
      <c r="K1690" s="13"/>
      <c r="L1690" s="13"/>
    </row>
    <row r="1691" spans="1:12">
      <c r="A1691" s="13"/>
      <c r="B1691" s="13"/>
      <c r="C1691" s="13"/>
      <c r="D1691" s="13"/>
      <c r="E1691" s="13"/>
      <c r="F1691" s="13"/>
      <c r="G1691" s="13"/>
      <c r="H1691" s="13"/>
      <c r="I1691" s="39" t="s">
        <v>7705</v>
      </c>
      <c r="J1691" s="39" t="s">
        <v>7706</v>
      </c>
      <c r="K1691" s="13"/>
      <c r="L1691" s="13"/>
    </row>
    <row r="1692" spans="1:12">
      <c r="A1692" s="13"/>
      <c r="B1692" s="13"/>
      <c r="C1692" s="13"/>
      <c r="D1692" s="13"/>
      <c r="E1692" s="13"/>
      <c r="F1692" s="13"/>
      <c r="G1692" s="13"/>
      <c r="H1692" s="13"/>
      <c r="I1692" s="39" t="s">
        <v>7707</v>
      </c>
      <c r="J1692" s="39" t="s">
        <v>7708</v>
      </c>
      <c r="K1692" s="13"/>
      <c r="L1692" s="13"/>
    </row>
    <row r="1693" spans="1:12">
      <c r="A1693" s="13"/>
      <c r="B1693" s="13"/>
      <c r="C1693" s="13"/>
      <c r="D1693" s="13"/>
      <c r="E1693" s="13"/>
      <c r="F1693" s="13"/>
      <c r="G1693" s="13"/>
      <c r="H1693" s="13"/>
      <c r="I1693" s="39" t="s">
        <v>7709</v>
      </c>
      <c r="J1693" s="39" t="s">
        <v>7710</v>
      </c>
      <c r="K1693" s="13"/>
      <c r="L1693" s="13"/>
    </row>
    <row r="1694" spans="1:12">
      <c r="A1694" s="13"/>
      <c r="B1694" s="13"/>
      <c r="C1694" s="13"/>
      <c r="D1694" s="13"/>
      <c r="E1694" s="13"/>
      <c r="F1694" s="13"/>
      <c r="G1694" s="13"/>
      <c r="H1694" s="13"/>
      <c r="I1694" s="39" t="s">
        <v>5964</v>
      </c>
      <c r="J1694" s="39" t="s">
        <v>7711</v>
      </c>
      <c r="K1694" s="13"/>
      <c r="L1694" s="13"/>
    </row>
    <row r="1695" spans="1:12">
      <c r="A1695" s="13"/>
      <c r="B1695" s="13"/>
      <c r="C1695" s="13"/>
      <c r="D1695" s="13"/>
      <c r="E1695" s="13"/>
      <c r="F1695" s="13"/>
      <c r="G1695" s="13"/>
      <c r="H1695" s="13"/>
      <c r="I1695" s="39" t="s">
        <v>7712</v>
      </c>
      <c r="J1695" s="39" t="s">
        <v>7713</v>
      </c>
      <c r="K1695" s="13"/>
      <c r="L1695" s="13"/>
    </row>
    <row r="1696" spans="1:12">
      <c r="A1696" s="13"/>
      <c r="B1696" s="13"/>
      <c r="C1696" s="13"/>
      <c r="D1696" s="13"/>
      <c r="E1696" s="13"/>
      <c r="F1696" s="13"/>
      <c r="G1696" s="13"/>
      <c r="H1696" s="13"/>
      <c r="I1696" s="39" t="s">
        <v>7714</v>
      </c>
      <c r="J1696" s="39" t="s">
        <v>7715</v>
      </c>
      <c r="K1696" s="13"/>
      <c r="L1696" s="13"/>
    </row>
    <row r="1697" spans="1:12">
      <c r="A1697" s="13"/>
      <c r="B1697" s="13"/>
      <c r="C1697" s="13"/>
      <c r="D1697" s="13"/>
      <c r="E1697" s="13"/>
      <c r="F1697" s="13"/>
      <c r="G1697" s="13"/>
      <c r="H1697" s="13"/>
      <c r="I1697" s="39" t="s">
        <v>5964</v>
      </c>
      <c r="J1697" s="39" t="s">
        <v>7716</v>
      </c>
      <c r="K1697" s="13"/>
      <c r="L1697" s="13"/>
    </row>
    <row r="1698" spans="1:12">
      <c r="A1698" s="13"/>
      <c r="B1698" s="13"/>
      <c r="C1698" s="13"/>
      <c r="D1698" s="13"/>
      <c r="E1698" s="13"/>
      <c r="F1698" s="13"/>
      <c r="G1698" s="13"/>
      <c r="H1698" s="13"/>
      <c r="I1698" s="39" t="s">
        <v>7717</v>
      </c>
      <c r="J1698" s="39" t="s">
        <v>7718</v>
      </c>
      <c r="K1698" s="13"/>
      <c r="L1698" s="13"/>
    </row>
    <row r="1699" spans="1:12">
      <c r="A1699" s="13"/>
      <c r="B1699" s="13"/>
      <c r="C1699" s="13"/>
      <c r="D1699" s="13"/>
      <c r="E1699" s="13"/>
      <c r="F1699" s="13"/>
      <c r="G1699" s="13"/>
      <c r="H1699" s="13"/>
      <c r="I1699" s="39" t="s">
        <v>7719</v>
      </c>
      <c r="J1699" s="39" t="s">
        <v>5232</v>
      </c>
      <c r="K1699" s="13"/>
      <c r="L1699" s="13"/>
    </row>
    <row r="1700" spans="1:12">
      <c r="A1700" s="13"/>
      <c r="B1700" s="13"/>
      <c r="C1700" s="13"/>
      <c r="D1700" s="13"/>
      <c r="E1700" s="13"/>
      <c r="F1700" s="13"/>
      <c r="G1700" s="13"/>
      <c r="H1700" s="13"/>
      <c r="I1700" s="39" t="s">
        <v>5964</v>
      </c>
      <c r="J1700" s="39" t="s">
        <v>7720</v>
      </c>
      <c r="K1700" s="13"/>
      <c r="L1700" s="13"/>
    </row>
    <row r="1701" spans="1:12">
      <c r="A1701" s="13"/>
      <c r="B1701" s="13"/>
      <c r="C1701" s="13"/>
      <c r="D1701" s="13"/>
      <c r="E1701" s="13"/>
      <c r="F1701" s="13"/>
      <c r="G1701" s="13"/>
      <c r="H1701" s="13"/>
      <c r="I1701" s="39" t="s">
        <v>7528</v>
      </c>
      <c r="J1701" s="39" t="s">
        <v>7721</v>
      </c>
      <c r="K1701" s="13"/>
      <c r="L1701" s="13"/>
    </row>
    <row r="1702" spans="1:12">
      <c r="A1702" s="13"/>
      <c r="B1702" s="13"/>
      <c r="C1702" s="13"/>
      <c r="D1702" s="13"/>
      <c r="E1702" s="13"/>
      <c r="F1702" s="13"/>
      <c r="G1702" s="13"/>
      <c r="H1702" s="13"/>
      <c r="I1702" s="39" t="s">
        <v>7722</v>
      </c>
      <c r="J1702" s="39" t="s">
        <v>7723</v>
      </c>
      <c r="K1702" s="13"/>
      <c r="L1702" s="13"/>
    </row>
    <row r="1703" spans="1:12">
      <c r="A1703" s="13"/>
      <c r="B1703" s="13"/>
      <c r="C1703" s="13"/>
      <c r="D1703" s="13"/>
      <c r="E1703" s="13"/>
      <c r="F1703" s="13"/>
      <c r="G1703" s="13"/>
      <c r="H1703" s="13"/>
      <c r="I1703" s="39" t="s">
        <v>7724</v>
      </c>
      <c r="J1703" s="39" t="s">
        <v>7725</v>
      </c>
      <c r="K1703" s="13"/>
      <c r="L1703" s="13"/>
    </row>
    <row r="1704" spans="1:12">
      <c r="A1704" s="13"/>
      <c r="B1704" s="13"/>
      <c r="C1704" s="13"/>
      <c r="D1704" s="13"/>
      <c r="E1704" s="13"/>
      <c r="F1704" s="13"/>
      <c r="G1704" s="13"/>
      <c r="H1704" s="13"/>
      <c r="I1704" s="39" t="s">
        <v>7705</v>
      </c>
      <c r="J1704" s="39" t="s">
        <v>7726</v>
      </c>
      <c r="K1704" s="13"/>
      <c r="L1704" s="13"/>
    </row>
    <row r="1705" spans="1:12">
      <c r="A1705" s="13"/>
      <c r="B1705" s="13"/>
      <c r="C1705" s="13"/>
      <c r="D1705" s="13"/>
      <c r="E1705" s="13"/>
      <c r="F1705" s="13"/>
      <c r="G1705" s="13"/>
      <c r="H1705" s="13"/>
      <c r="I1705" s="39" t="s">
        <v>7707</v>
      </c>
      <c r="J1705" s="39" t="s">
        <v>7727</v>
      </c>
      <c r="K1705" s="13"/>
      <c r="L1705" s="13"/>
    </row>
    <row r="1706" spans="1:12">
      <c r="A1706" s="13"/>
      <c r="B1706" s="13"/>
      <c r="C1706" s="13"/>
      <c r="D1706" s="13"/>
      <c r="E1706" s="13"/>
      <c r="F1706" s="13"/>
      <c r="G1706" s="13"/>
      <c r="H1706" s="13"/>
      <c r="I1706" s="39" t="s">
        <v>7709</v>
      </c>
      <c r="J1706" s="39" t="s">
        <v>7728</v>
      </c>
      <c r="K1706" s="13"/>
      <c r="L1706" s="13"/>
    </row>
    <row r="1707" spans="1:12">
      <c r="A1707" s="13"/>
      <c r="B1707" s="13"/>
      <c r="C1707" s="13"/>
      <c r="D1707" s="13"/>
      <c r="E1707" s="13"/>
      <c r="F1707" s="13"/>
      <c r="G1707" s="13"/>
      <c r="H1707" s="13"/>
      <c r="I1707" s="39" t="s">
        <v>5964</v>
      </c>
      <c r="J1707" s="39" t="s">
        <v>7729</v>
      </c>
      <c r="K1707" s="13"/>
      <c r="L1707" s="13"/>
    </row>
    <row r="1708" spans="1:12">
      <c r="A1708" s="13"/>
      <c r="B1708" s="13"/>
      <c r="C1708" s="13"/>
      <c r="D1708" s="13"/>
      <c r="E1708" s="13"/>
      <c r="F1708" s="13"/>
      <c r="G1708" s="13"/>
      <c r="H1708" s="13"/>
      <c r="I1708" s="39" t="s">
        <v>7712</v>
      </c>
      <c r="J1708" s="39" t="s">
        <v>7730</v>
      </c>
      <c r="K1708" s="13"/>
      <c r="L1708" s="13"/>
    </row>
    <row r="1709" spans="1:12">
      <c r="A1709" s="13"/>
      <c r="B1709" s="13"/>
      <c r="C1709" s="13"/>
      <c r="D1709" s="13"/>
      <c r="E1709" s="13"/>
      <c r="F1709" s="13"/>
      <c r="G1709" s="13"/>
      <c r="H1709" s="13"/>
      <c r="I1709" s="39" t="s">
        <v>7714</v>
      </c>
      <c r="J1709" s="39" t="s">
        <v>2723</v>
      </c>
      <c r="K1709" s="13"/>
      <c r="L1709" s="13"/>
    </row>
    <row r="1710" spans="1:12">
      <c r="A1710" s="13"/>
      <c r="B1710" s="13"/>
      <c r="C1710" s="13"/>
      <c r="D1710" s="13"/>
      <c r="E1710" s="13"/>
      <c r="F1710" s="13"/>
      <c r="G1710" s="13"/>
      <c r="H1710" s="13"/>
      <c r="I1710" s="39" t="s">
        <v>5964</v>
      </c>
      <c r="J1710" s="39"/>
      <c r="K1710" s="13"/>
      <c r="L1710" s="13"/>
    </row>
    <row r="1711" spans="1:12">
      <c r="A1711" s="13"/>
      <c r="B1711" s="13"/>
      <c r="C1711" s="13"/>
      <c r="D1711" s="13"/>
      <c r="E1711" s="13"/>
      <c r="F1711" s="13"/>
      <c r="G1711" s="13"/>
      <c r="H1711" s="13"/>
      <c r="I1711" s="39" t="s">
        <v>7717</v>
      </c>
      <c r="J1711" s="39" t="s">
        <v>2357</v>
      </c>
      <c r="K1711" s="13"/>
      <c r="L1711" s="13"/>
    </row>
    <row r="1712" spans="1:12">
      <c r="A1712" s="13"/>
      <c r="B1712" s="13"/>
      <c r="C1712" s="13"/>
      <c r="D1712" s="13"/>
      <c r="E1712" s="13"/>
      <c r="F1712" s="13"/>
      <c r="G1712" s="13"/>
      <c r="H1712" s="13"/>
      <c r="I1712" s="39" t="s">
        <v>7719</v>
      </c>
      <c r="J1712" s="39" t="s">
        <v>7731</v>
      </c>
      <c r="K1712" s="13"/>
      <c r="L1712" s="13"/>
    </row>
    <row r="1713" spans="1:12">
      <c r="A1713" s="13"/>
      <c r="B1713" s="13"/>
      <c r="C1713" s="13"/>
      <c r="D1713" s="13"/>
      <c r="E1713" s="13"/>
      <c r="F1713" s="13"/>
      <c r="G1713" s="13"/>
      <c r="H1713" s="13"/>
      <c r="I1713" s="39" t="s">
        <v>5964</v>
      </c>
      <c r="J1713" s="39" t="s">
        <v>7732</v>
      </c>
      <c r="K1713" s="13"/>
      <c r="L1713" s="13"/>
    </row>
    <row r="1714" spans="1:12">
      <c r="A1714" s="13"/>
      <c r="B1714" s="13"/>
      <c r="C1714" s="13"/>
      <c r="D1714" s="13"/>
      <c r="E1714" s="13"/>
      <c r="F1714" s="13"/>
      <c r="G1714" s="13"/>
      <c r="H1714" s="13"/>
      <c r="I1714" s="39" t="s">
        <v>7733</v>
      </c>
      <c r="J1714" s="39" t="s">
        <v>7734</v>
      </c>
      <c r="K1714" s="13"/>
      <c r="L1714" s="13"/>
    </row>
    <row r="1715" spans="1:12">
      <c r="A1715" s="13"/>
      <c r="B1715" s="13"/>
      <c r="C1715" s="13"/>
      <c r="D1715" s="13"/>
      <c r="E1715" s="13"/>
      <c r="F1715" s="13"/>
      <c r="G1715" s="13"/>
      <c r="H1715" s="13"/>
      <c r="I1715" s="39" t="s">
        <v>7735</v>
      </c>
      <c r="J1715" s="39" t="s">
        <v>7736</v>
      </c>
      <c r="K1715" s="13"/>
      <c r="L1715" s="13"/>
    </row>
    <row r="1716" spans="1:12">
      <c r="A1716" s="13"/>
      <c r="B1716" s="13"/>
      <c r="C1716" s="13"/>
      <c r="D1716" s="13"/>
      <c r="E1716" s="13"/>
      <c r="F1716" s="13"/>
      <c r="G1716" s="13"/>
      <c r="H1716" s="13"/>
      <c r="I1716" s="39" t="s">
        <v>5964</v>
      </c>
      <c r="J1716" s="39" t="s">
        <v>7737</v>
      </c>
      <c r="K1716" s="13"/>
      <c r="L1716" s="13"/>
    </row>
    <row r="1717" spans="1:12">
      <c r="A1717" s="13"/>
      <c r="B1717" s="13"/>
      <c r="C1717" s="13"/>
      <c r="D1717" s="13"/>
      <c r="E1717" s="13"/>
      <c r="F1717" s="13"/>
      <c r="G1717" s="13"/>
      <c r="H1717" s="13"/>
      <c r="I1717" s="39" t="s">
        <v>7528</v>
      </c>
      <c r="J1717" s="39" t="s">
        <v>7738</v>
      </c>
      <c r="K1717" s="13"/>
      <c r="L1717" s="13"/>
    </row>
    <row r="1718" spans="1:12">
      <c r="A1718" s="13"/>
      <c r="B1718" s="13"/>
      <c r="C1718" s="13"/>
      <c r="D1718" s="13"/>
      <c r="E1718" s="13"/>
      <c r="F1718" s="13"/>
      <c r="G1718" s="13"/>
      <c r="H1718" s="13"/>
      <c r="I1718" s="39" t="s">
        <v>7739</v>
      </c>
      <c r="J1718" s="39" t="s">
        <v>7740</v>
      </c>
      <c r="K1718" s="13"/>
      <c r="L1718" s="13"/>
    </row>
    <row r="1719" spans="1:12">
      <c r="A1719" s="13"/>
      <c r="B1719" s="13"/>
      <c r="C1719" s="13"/>
      <c r="D1719" s="13"/>
      <c r="E1719" s="13"/>
      <c r="F1719" s="13"/>
      <c r="G1719" s="13"/>
      <c r="H1719" s="13"/>
      <c r="I1719" s="39" t="s">
        <v>7741</v>
      </c>
      <c r="J1719" s="39" t="s">
        <v>7742</v>
      </c>
      <c r="K1719" s="13"/>
      <c r="L1719" s="13"/>
    </row>
    <row r="1720" spans="1:12">
      <c r="A1720" s="13"/>
      <c r="B1720" s="13"/>
      <c r="C1720" s="13"/>
      <c r="D1720" s="13"/>
      <c r="E1720" s="13"/>
      <c r="F1720" s="13"/>
      <c r="G1720" s="13"/>
      <c r="H1720" s="13"/>
      <c r="I1720" s="39" t="s">
        <v>7743</v>
      </c>
      <c r="J1720" s="39" t="s">
        <v>7744</v>
      </c>
      <c r="K1720" s="13"/>
      <c r="L1720" s="13"/>
    </row>
    <row r="1721" spans="1:12">
      <c r="A1721" s="13"/>
      <c r="B1721" s="13"/>
      <c r="C1721" s="13"/>
      <c r="D1721" s="13"/>
      <c r="E1721" s="13"/>
      <c r="F1721" s="13"/>
      <c r="G1721" s="13"/>
      <c r="H1721" s="13"/>
      <c r="I1721" s="39" t="s">
        <v>7745</v>
      </c>
      <c r="J1721" s="39" t="s">
        <v>7746</v>
      </c>
      <c r="K1721" s="13"/>
      <c r="L1721" s="13"/>
    </row>
    <row r="1722" spans="1:12">
      <c r="A1722" s="13"/>
      <c r="B1722" s="13"/>
      <c r="C1722" s="13"/>
      <c r="D1722" s="13"/>
      <c r="E1722" s="13"/>
      <c r="F1722" s="13"/>
      <c r="G1722" s="13"/>
      <c r="H1722" s="13"/>
      <c r="I1722" s="39" t="s">
        <v>7528</v>
      </c>
      <c r="J1722" s="39" t="s">
        <v>7747</v>
      </c>
      <c r="K1722" s="13"/>
      <c r="L1722" s="13"/>
    </row>
    <row r="1723" spans="1:12">
      <c r="A1723" s="13"/>
      <c r="B1723" s="13"/>
      <c r="C1723" s="13"/>
      <c r="D1723" s="13"/>
      <c r="E1723" s="13"/>
      <c r="F1723" s="13"/>
      <c r="G1723" s="13"/>
      <c r="H1723" s="13"/>
      <c r="I1723" s="39" t="s">
        <v>7748</v>
      </c>
      <c r="J1723" s="39" t="s">
        <v>7749</v>
      </c>
      <c r="K1723" s="13"/>
      <c r="L1723" s="13"/>
    </row>
    <row r="1724" spans="1:12">
      <c r="A1724" s="13"/>
      <c r="B1724" s="13"/>
      <c r="C1724" s="13"/>
      <c r="D1724" s="13"/>
      <c r="E1724" s="13"/>
      <c r="F1724" s="13"/>
      <c r="G1724" s="13"/>
      <c r="H1724" s="13"/>
      <c r="I1724" s="39" t="s">
        <v>7750</v>
      </c>
      <c r="J1724" s="39" t="s">
        <v>7751</v>
      </c>
      <c r="K1724" s="13"/>
      <c r="L1724" s="13"/>
    </row>
    <row r="1725" spans="1:12">
      <c r="A1725" s="13"/>
      <c r="B1725" s="13"/>
      <c r="C1725" s="13"/>
      <c r="D1725" s="13"/>
      <c r="E1725" s="13"/>
      <c r="F1725" s="13"/>
      <c r="G1725" s="13"/>
      <c r="H1725" s="13"/>
      <c r="I1725" s="39" t="s">
        <v>7752</v>
      </c>
      <c r="J1725" s="39" t="s">
        <v>7753</v>
      </c>
      <c r="K1725" s="13"/>
      <c r="L1725" s="13"/>
    </row>
    <row r="1726" spans="1:12">
      <c r="A1726" s="13"/>
      <c r="B1726" s="13"/>
      <c r="C1726" s="13"/>
      <c r="D1726" s="13"/>
      <c r="E1726" s="13"/>
      <c r="F1726" s="13"/>
      <c r="G1726" s="13"/>
      <c r="H1726" s="13"/>
      <c r="I1726" s="39" t="s">
        <v>2799</v>
      </c>
      <c r="J1726" s="39" t="s">
        <v>7749</v>
      </c>
      <c r="K1726" s="13"/>
      <c r="L1726" s="13"/>
    </row>
    <row r="1727" spans="1:12">
      <c r="A1727" s="13"/>
      <c r="B1727" s="13"/>
      <c r="C1727" s="13"/>
      <c r="D1727" s="13"/>
      <c r="E1727" s="13"/>
      <c r="F1727" s="13"/>
      <c r="G1727" s="13"/>
      <c r="H1727" s="13"/>
      <c r="I1727" s="39" t="s">
        <v>7754</v>
      </c>
      <c r="J1727" s="39" t="s">
        <v>7755</v>
      </c>
      <c r="K1727" s="13"/>
      <c r="L1727" s="13"/>
    </row>
    <row r="1728" spans="1:12">
      <c r="A1728" s="13"/>
      <c r="B1728" s="13"/>
      <c r="C1728" s="13"/>
      <c r="D1728" s="13"/>
      <c r="E1728" s="13"/>
      <c r="F1728" s="13"/>
      <c r="G1728" s="13"/>
      <c r="H1728" s="13"/>
      <c r="I1728" s="39" t="s">
        <v>7756</v>
      </c>
      <c r="J1728" s="39"/>
      <c r="K1728" s="13"/>
      <c r="L1728" s="13"/>
    </row>
    <row r="1729" spans="1:12">
      <c r="A1729" s="13"/>
      <c r="B1729" s="13"/>
      <c r="C1729" s="13"/>
      <c r="D1729" s="13"/>
      <c r="E1729" s="13"/>
      <c r="F1729" s="13"/>
      <c r="G1729" s="13"/>
      <c r="H1729" s="13"/>
      <c r="I1729" s="39" t="s">
        <v>7757</v>
      </c>
      <c r="J1729" s="39" t="s">
        <v>7425</v>
      </c>
      <c r="K1729" s="13"/>
      <c r="L1729" s="13"/>
    </row>
    <row r="1730" spans="1:12">
      <c r="A1730" s="13"/>
      <c r="B1730" s="13"/>
      <c r="C1730" s="13"/>
      <c r="D1730" s="13"/>
      <c r="E1730" s="13"/>
      <c r="F1730" s="13"/>
      <c r="G1730" s="13"/>
      <c r="H1730" s="13"/>
      <c r="I1730" s="39"/>
      <c r="J1730" s="39" t="s">
        <v>7427</v>
      </c>
      <c r="K1730" s="13"/>
      <c r="L1730" s="13"/>
    </row>
    <row r="1731" spans="1:12">
      <c r="A1731" s="13"/>
      <c r="B1731" s="13"/>
      <c r="C1731" s="13"/>
      <c r="D1731" s="13"/>
      <c r="E1731" s="13"/>
      <c r="F1731" s="13"/>
      <c r="G1731" s="13"/>
      <c r="H1731" s="13"/>
      <c r="I1731" s="39" t="s">
        <v>7758</v>
      </c>
      <c r="J1731" s="39" t="s">
        <v>2357</v>
      </c>
      <c r="K1731" s="13"/>
      <c r="L1731" s="13"/>
    </row>
    <row r="1732" spans="1:12">
      <c r="A1732" s="13"/>
      <c r="B1732" s="13"/>
      <c r="C1732" s="13"/>
      <c r="D1732" s="13"/>
      <c r="E1732" s="13"/>
      <c r="F1732" s="13"/>
      <c r="G1732" s="13"/>
      <c r="H1732" s="13"/>
      <c r="I1732" s="39"/>
      <c r="J1732" s="39" t="s">
        <v>7759</v>
      </c>
      <c r="K1732" s="13"/>
      <c r="L1732" s="13"/>
    </row>
    <row r="1733" spans="1:12">
      <c r="A1733" s="13"/>
      <c r="B1733" s="13"/>
      <c r="C1733" s="13"/>
      <c r="D1733" s="13"/>
      <c r="E1733" s="13"/>
      <c r="F1733" s="13"/>
      <c r="G1733" s="13"/>
      <c r="H1733" s="13"/>
      <c r="I1733" s="39" t="s">
        <v>7760</v>
      </c>
      <c r="J1733" s="39" t="s">
        <v>7761</v>
      </c>
      <c r="K1733" s="13"/>
      <c r="L1733" s="13"/>
    </row>
    <row r="1734" spans="1:12">
      <c r="A1734" s="13"/>
      <c r="B1734" s="13"/>
      <c r="C1734" s="13"/>
      <c r="D1734" s="13"/>
      <c r="E1734" s="13"/>
      <c r="F1734" s="13"/>
      <c r="G1734" s="13"/>
      <c r="H1734" s="13"/>
      <c r="I1734" s="39" t="s">
        <v>7762</v>
      </c>
      <c r="J1734" s="39" t="s">
        <v>7763</v>
      </c>
      <c r="K1734" s="13"/>
      <c r="L1734" s="13"/>
    </row>
    <row r="1735" spans="1:12">
      <c r="A1735" s="13"/>
      <c r="B1735" s="13"/>
      <c r="C1735" s="13"/>
      <c r="D1735" s="13"/>
      <c r="E1735" s="13"/>
      <c r="F1735" s="13"/>
      <c r="G1735" s="13"/>
      <c r="H1735" s="13"/>
      <c r="I1735" s="39" t="s">
        <v>7764</v>
      </c>
      <c r="J1735" s="39" t="s">
        <v>7765</v>
      </c>
      <c r="K1735" s="13"/>
      <c r="L1735" s="13"/>
    </row>
    <row r="1736" spans="1:12">
      <c r="A1736" s="13"/>
      <c r="B1736" s="13"/>
      <c r="C1736" s="13"/>
      <c r="D1736" s="13"/>
      <c r="E1736" s="13"/>
      <c r="F1736" s="13"/>
      <c r="G1736" s="13"/>
      <c r="H1736" s="13"/>
      <c r="I1736" s="39" t="s">
        <v>7766</v>
      </c>
      <c r="J1736" s="39" t="s">
        <v>7767</v>
      </c>
      <c r="K1736" s="13"/>
      <c r="L1736" s="13"/>
    </row>
    <row r="1737" spans="1:12">
      <c r="A1737" s="13"/>
      <c r="B1737" s="13"/>
      <c r="C1737" s="13"/>
      <c r="D1737" s="13"/>
      <c r="E1737" s="13"/>
      <c r="F1737" s="13"/>
      <c r="G1737" s="13"/>
      <c r="H1737" s="13"/>
      <c r="I1737" s="39" t="s">
        <v>7768</v>
      </c>
      <c r="J1737" s="39" t="s">
        <v>7446</v>
      </c>
      <c r="K1737" s="13"/>
      <c r="L1737" s="13"/>
    </row>
    <row r="1738" spans="1:12">
      <c r="A1738" s="13"/>
      <c r="B1738" s="13"/>
      <c r="C1738" s="13"/>
      <c r="D1738" s="13"/>
      <c r="E1738" s="13"/>
      <c r="F1738" s="13"/>
      <c r="G1738" s="13"/>
      <c r="H1738" s="13"/>
      <c r="I1738" s="39" t="s">
        <v>7769</v>
      </c>
      <c r="J1738" s="39" t="s">
        <v>7770</v>
      </c>
      <c r="K1738" s="13"/>
      <c r="L1738" s="13"/>
    </row>
    <row r="1739" spans="1:12">
      <c r="A1739" s="13"/>
      <c r="B1739" s="13"/>
      <c r="C1739" s="13"/>
      <c r="D1739" s="13"/>
      <c r="E1739" s="13"/>
      <c r="F1739" s="13"/>
      <c r="G1739" s="13"/>
      <c r="H1739" s="13"/>
      <c r="I1739" s="39" t="s">
        <v>7771</v>
      </c>
      <c r="J1739" s="39" t="s">
        <v>7772</v>
      </c>
      <c r="K1739" s="13"/>
      <c r="L1739" s="13"/>
    </row>
    <row r="1740" spans="1:12">
      <c r="A1740" s="13"/>
      <c r="B1740" s="13"/>
      <c r="C1740" s="13"/>
      <c r="D1740" s="13"/>
      <c r="E1740" s="13"/>
      <c r="F1740" s="13"/>
      <c r="G1740" s="13"/>
      <c r="H1740" s="13"/>
      <c r="I1740" s="39" t="s">
        <v>7773</v>
      </c>
      <c r="J1740" s="39" t="s">
        <v>7774</v>
      </c>
      <c r="K1740" s="13"/>
      <c r="L1740" s="13"/>
    </row>
    <row r="1741" spans="1:12">
      <c r="A1741" s="13"/>
      <c r="B1741" s="13"/>
      <c r="C1741" s="13"/>
      <c r="D1741" s="13"/>
      <c r="E1741" s="13"/>
      <c r="F1741" s="13"/>
      <c r="G1741" s="13"/>
      <c r="H1741" s="13"/>
      <c r="I1741" s="39" t="s">
        <v>7458</v>
      </c>
      <c r="J1741" s="39" t="s">
        <v>7451</v>
      </c>
      <c r="K1741" s="13"/>
      <c r="L1741" s="13"/>
    </row>
    <row r="1742" spans="1:12">
      <c r="A1742" s="13"/>
      <c r="B1742" s="13"/>
      <c r="C1742" s="13"/>
      <c r="D1742" s="13"/>
      <c r="E1742" s="13"/>
      <c r="F1742" s="13"/>
      <c r="G1742" s="13"/>
      <c r="H1742" s="13"/>
      <c r="I1742" s="39" t="s">
        <v>7561</v>
      </c>
      <c r="J1742" s="39" t="s">
        <v>7452</v>
      </c>
      <c r="K1742" s="13"/>
      <c r="L1742" s="13"/>
    </row>
    <row r="1743" spans="1:12">
      <c r="A1743" s="13"/>
      <c r="B1743" s="13"/>
      <c r="C1743" s="13"/>
      <c r="D1743" s="13"/>
      <c r="E1743" s="13"/>
      <c r="F1743" s="13"/>
      <c r="G1743" s="13"/>
      <c r="H1743" s="13"/>
      <c r="I1743" s="39" t="s">
        <v>7775</v>
      </c>
      <c r="J1743" s="39" t="s">
        <v>7776</v>
      </c>
      <c r="K1743" s="13"/>
      <c r="L1743" s="13"/>
    </row>
    <row r="1744" spans="1:12">
      <c r="A1744" s="13"/>
      <c r="B1744" s="13"/>
      <c r="C1744" s="13"/>
      <c r="D1744" s="13"/>
      <c r="E1744" s="13"/>
      <c r="F1744" s="13"/>
      <c r="G1744" s="13"/>
      <c r="H1744" s="13"/>
      <c r="I1744" s="39" t="s">
        <v>3828</v>
      </c>
      <c r="J1744" s="39" t="s">
        <v>2357</v>
      </c>
      <c r="K1744" s="13"/>
      <c r="L1744" s="13"/>
    </row>
    <row r="1745" spans="1:12">
      <c r="A1745" s="13"/>
      <c r="B1745" s="13"/>
      <c r="C1745" s="13"/>
      <c r="D1745" s="13"/>
      <c r="E1745" s="13"/>
      <c r="F1745" s="13"/>
      <c r="G1745" s="13"/>
      <c r="H1745" s="13"/>
      <c r="I1745" s="39" t="s">
        <v>7777</v>
      </c>
      <c r="J1745" s="39" t="s">
        <v>7453</v>
      </c>
      <c r="K1745" s="13"/>
      <c r="L1745" s="13"/>
    </row>
    <row r="1746" spans="1:12">
      <c r="A1746" s="13"/>
      <c r="B1746" s="13"/>
      <c r="C1746" s="13"/>
      <c r="D1746" s="13"/>
      <c r="E1746" s="13"/>
      <c r="F1746" s="13"/>
      <c r="G1746" s="13"/>
      <c r="H1746" s="13"/>
      <c r="I1746" s="39" t="s">
        <v>7778</v>
      </c>
      <c r="J1746" s="39"/>
      <c r="K1746" s="13"/>
      <c r="L1746" s="13"/>
    </row>
    <row r="1747" spans="1:12">
      <c r="A1747" s="13"/>
      <c r="B1747" s="13"/>
      <c r="C1747" s="13"/>
      <c r="D1747" s="13"/>
      <c r="E1747" s="13"/>
      <c r="F1747" s="13"/>
      <c r="G1747" s="13"/>
      <c r="H1747" s="13"/>
      <c r="I1747" s="39" t="s">
        <v>7779</v>
      </c>
      <c r="J1747" s="39" t="s">
        <v>7780</v>
      </c>
      <c r="K1747" s="13"/>
      <c r="L1747" s="13"/>
    </row>
    <row r="1748" spans="1:12">
      <c r="A1748" s="13"/>
      <c r="B1748" s="13"/>
      <c r="C1748" s="13"/>
      <c r="D1748" s="13"/>
      <c r="E1748" s="13"/>
      <c r="F1748" s="13"/>
      <c r="G1748" s="13"/>
      <c r="H1748" s="13"/>
      <c r="I1748" s="39" t="s">
        <v>7582</v>
      </c>
      <c r="J1748" s="39" t="s">
        <v>7446</v>
      </c>
      <c r="K1748" s="13"/>
      <c r="L1748" s="13"/>
    </row>
    <row r="1749" spans="1:12">
      <c r="A1749" s="13"/>
      <c r="B1749" s="13"/>
      <c r="C1749" s="13"/>
      <c r="D1749" s="13"/>
      <c r="E1749" s="13"/>
      <c r="F1749" s="13"/>
      <c r="G1749" s="13"/>
      <c r="H1749" s="13"/>
      <c r="I1749" s="39" t="s">
        <v>7781</v>
      </c>
      <c r="J1749" s="39" t="s">
        <v>7782</v>
      </c>
      <c r="K1749" s="13"/>
      <c r="L1749" s="13"/>
    </row>
    <row r="1750" spans="1:12">
      <c r="A1750" s="13"/>
      <c r="B1750" s="13"/>
      <c r="C1750" s="13"/>
      <c r="D1750" s="13"/>
      <c r="E1750" s="13"/>
      <c r="F1750" s="13"/>
      <c r="G1750" s="13"/>
      <c r="H1750" s="13"/>
      <c r="I1750" s="39" t="s">
        <v>7528</v>
      </c>
      <c r="J1750" s="39" t="s">
        <v>7783</v>
      </c>
      <c r="K1750" s="13"/>
      <c r="L1750" s="13"/>
    </row>
    <row r="1751" spans="1:12">
      <c r="A1751" s="13"/>
      <c r="B1751" s="13"/>
      <c r="C1751" s="13"/>
      <c r="D1751" s="13"/>
      <c r="E1751" s="13"/>
      <c r="F1751" s="13"/>
      <c r="G1751" s="13"/>
      <c r="H1751" s="13"/>
      <c r="I1751" s="39"/>
      <c r="J1751" s="39" t="s">
        <v>7784</v>
      </c>
      <c r="K1751" s="13"/>
      <c r="L1751" s="13"/>
    </row>
    <row r="1752" spans="1:12">
      <c r="A1752" s="13"/>
      <c r="B1752" s="13"/>
      <c r="C1752" s="13"/>
      <c r="D1752" s="13"/>
      <c r="E1752" s="13"/>
      <c r="F1752" s="13"/>
      <c r="G1752" s="13"/>
      <c r="H1752" s="13"/>
      <c r="I1752" s="39" t="s">
        <v>7785</v>
      </c>
      <c r="J1752" s="39" t="s">
        <v>7786</v>
      </c>
      <c r="K1752" s="13"/>
      <c r="L1752" s="13"/>
    </row>
    <row r="1753" spans="1:12">
      <c r="A1753" s="13"/>
      <c r="B1753" s="13"/>
      <c r="C1753" s="13"/>
      <c r="D1753" s="13"/>
      <c r="E1753" s="13"/>
      <c r="F1753" s="13"/>
      <c r="G1753" s="13"/>
      <c r="H1753" s="13"/>
      <c r="I1753" s="39" t="s">
        <v>7787</v>
      </c>
      <c r="J1753" s="39" t="s">
        <v>7754</v>
      </c>
      <c r="K1753" s="13"/>
      <c r="L1753" s="13"/>
    </row>
    <row r="1754" spans="1:12">
      <c r="A1754" s="13"/>
      <c r="B1754" s="13"/>
      <c r="C1754" s="13"/>
      <c r="D1754" s="13"/>
      <c r="E1754" s="13"/>
      <c r="F1754" s="13"/>
      <c r="G1754" s="13"/>
      <c r="H1754" s="13"/>
      <c r="I1754" s="39" t="s">
        <v>7788</v>
      </c>
      <c r="J1754" s="39" t="s">
        <v>7756</v>
      </c>
      <c r="K1754" s="13"/>
      <c r="L1754" s="13"/>
    </row>
    <row r="1755" spans="1:12">
      <c r="A1755" s="13"/>
      <c r="B1755" s="13"/>
      <c r="C1755" s="13"/>
      <c r="D1755" s="13"/>
      <c r="E1755" s="13"/>
      <c r="F1755" s="13"/>
      <c r="G1755" s="13"/>
      <c r="H1755" s="13"/>
      <c r="I1755" s="39" t="s">
        <v>7582</v>
      </c>
      <c r="J1755" s="39"/>
      <c r="K1755" s="13"/>
      <c r="L1755" s="13"/>
    </row>
    <row r="1756" spans="1:12">
      <c r="A1756" s="13"/>
      <c r="B1756" s="13"/>
      <c r="C1756" s="13"/>
      <c r="D1756" s="13"/>
      <c r="E1756" s="13"/>
      <c r="F1756" s="13"/>
      <c r="G1756" s="13"/>
      <c r="H1756" s="13"/>
      <c r="I1756" s="39" t="s">
        <v>7584</v>
      </c>
      <c r="J1756" s="39" t="s">
        <v>7789</v>
      </c>
      <c r="K1756" s="13"/>
      <c r="L1756" s="13"/>
    </row>
    <row r="1757" spans="1:12">
      <c r="A1757" s="13"/>
      <c r="B1757" s="13"/>
      <c r="C1757" s="13"/>
      <c r="D1757" s="13"/>
      <c r="E1757" s="13"/>
      <c r="F1757" s="13"/>
      <c r="G1757" s="13"/>
      <c r="H1757" s="13"/>
      <c r="I1757" s="39" t="s">
        <v>7528</v>
      </c>
      <c r="J1757" s="39" t="s">
        <v>7790</v>
      </c>
      <c r="K1757" s="13"/>
      <c r="L1757" s="13"/>
    </row>
    <row r="1758" spans="1:12">
      <c r="A1758" s="13"/>
      <c r="B1758" s="13"/>
      <c r="C1758" s="13"/>
      <c r="D1758" s="13"/>
      <c r="E1758" s="13"/>
      <c r="F1758" s="13"/>
      <c r="G1758" s="13"/>
      <c r="H1758" s="13"/>
      <c r="I1758" s="39"/>
      <c r="J1758" s="39" t="s">
        <v>7754</v>
      </c>
      <c r="K1758" s="13"/>
      <c r="L1758" s="13"/>
    </row>
    <row r="1759" spans="1:12">
      <c r="A1759" s="13"/>
      <c r="B1759" s="13"/>
      <c r="C1759" s="13"/>
      <c r="D1759" s="13"/>
      <c r="E1759" s="13"/>
      <c r="F1759" s="13"/>
      <c r="G1759" s="13"/>
      <c r="H1759" s="13"/>
      <c r="I1759" s="39" t="s">
        <v>7791</v>
      </c>
      <c r="J1759" s="39" t="s">
        <v>7756</v>
      </c>
      <c r="K1759" s="13"/>
      <c r="L1759" s="13"/>
    </row>
    <row r="1760" spans="1:12">
      <c r="A1760" s="13"/>
      <c r="B1760" s="13"/>
      <c r="C1760" s="13"/>
      <c r="D1760" s="13"/>
      <c r="E1760" s="13"/>
      <c r="F1760" s="13"/>
      <c r="G1760" s="13"/>
      <c r="H1760" s="13"/>
      <c r="I1760" s="39" t="s">
        <v>7792</v>
      </c>
      <c r="J1760" s="39"/>
      <c r="K1760" s="13"/>
      <c r="L1760" s="13"/>
    </row>
    <row r="1761" spans="1:12">
      <c r="A1761" s="13"/>
      <c r="B1761" s="13"/>
      <c r="C1761" s="13"/>
      <c r="D1761" s="13"/>
      <c r="E1761" s="13"/>
      <c r="F1761" s="13"/>
      <c r="G1761" s="13"/>
      <c r="H1761" s="13"/>
      <c r="I1761" s="39" t="s">
        <v>7793</v>
      </c>
      <c r="J1761" s="39" t="s">
        <v>7794</v>
      </c>
      <c r="K1761" s="13"/>
      <c r="L1761" s="13"/>
    </row>
    <row r="1762" spans="1:12">
      <c r="A1762" s="13"/>
      <c r="B1762" s="13"/>
      <c r="C1762" s="13"/>
      <c r="D1762" s="13"/>
      <c r="E1762" s="13"/>
      <c r="F1762" s="13"/>
      <c r="G1762" s="13"/>
      <c r="H1762" s="13"/>
      <c r="I1762" s="39" t="s">
        <v>7582</v>
      </c>
      <c r="J1762" s="39" t="s">
        <v>7795</v>
      </c>
      <c r="K1762" s="13"/>
      <c r="L1762" s="13"/>
    </row>
    <row r="1763" spans="1:12">
      <c r="A1763" s="13"/>
      <c r="B1763" s="13"/>
      <c r="C1763" s="13"/>
      <c r="D1763" s="13"/>
      <c r="E1763" s="13"/>
      <c r="F1763" s="13"/>
      <c r="G1763" s="13"/>
      <c r="H1763" s="13"/>
      <c r="I1763" s="39" t="s">
        <v>7584</v>
      </c>
      <c r="J1763" s="39"/>
      <c r="K1763" s="13"/>
      <c r="L1763" s="13"/>
    </row>
    <row r="1764" spans="1:12">
      <c r="A1764" s="13"/>
      <c r="B1764" s="13"/>
      <c r="C1764" s="13"/>
      <c r="D1764" s="13"/>
      <c r="E1764" s="13"/>
      <c r="F1764" s="13"/>
      <c r="G1764" s="13"/>
      <c r="H1764" s="13"/>
      <c r="I1764" s="39" t="s">
        <v>7528</v>
      </c>
      <c r="J1764" s="39" t="s">
        <v>7796</v>
      </c>
      <c r="K1764" s="13"/>
      <c r="L1764" s="13"/>
    </row>
    <row r="1765" spans="1:12">
      <c r="A1765" s="13"/>
      <c r="B1765" s="13"/>
      <c r="C1765" s="13"/>
      <c r="D1765" s="13"/>
      <c r="E1765" s="13"/>
      <c r="F1765" s="13"/>
      <c r="G1765" s="13"/>
      <c r="H1765" s="13"/>
      <c r="I1765" s="39"/>
      <c r="J1765" s="39" t="s">
        <v>7797</v>
      </c>
      <c r="K1765" s="13"/>
      <c r="L1765" s="13"/>
    </row>
    <row r="1766" spans="1:12">
      <c r="A1766" s="13"/>
      <c r="B1766" s="13"/>
      <c r="C1766" s="13"/>
      <c r="D1766" s="13"/>
      <c r="E1766" s="13"/>
      <c r="F1766" s="13"/>
      <c r="G1766" s="13"/>
      <c r="H1766" s="13"/>
      <c r="I1766" s="39" t="s">
        <v>7798</v>
      </c>
      <c r="J1766" s="39" t="s">
        <v>2836</v>
      </c>
      <c r="K1766" s="13"/>
      <c r="L1766" s="13"/>
    </row>
    <row r="1767" spans="1:12">
      <c r="A1767" s="13"/>
      <c r="B1767" s="13"/>
      <c r="C1767" s="13"/>
      <c r="D1767" s="13"/>
      <c r="E1767" s="13"/>
      <c r="F1767" s="13"/>
      <c r="G1767" s="13"/>
      <c r="H1767" s="13"/>
      <c r="I1767" s="39" t="s">
        <v>7799</v>
      </c>
      <c r="J1767" s="39" t="s">
        <v>3273</v>
      </c>
      <c r="K1767" s="13"/>
      <c r="L1767" s="13"/>
    </row>
    <row r="1768" spans="1:12">
      <c r="A1768" s="13"/>
      <c r="B1768" s="13"/>
      <c r="C1768" s="13"/>
      <c r="D1768" s="13"/>
      <c r="E1768" s="13"/>
      <c r="F1768" s="13"/>
      <c r="G1768" s="13"/>
      <c r="H1768" s="13"/>
      <c r="I1768" s="39" t="s">
        <v>7800</v>
      </c>
      <c r="J1768" s="39" t="s">
        <v>7801</v>
      </c>
      <c r="K1768" s="13"/>
      <c r="L1768" s="13"/>
    </row>
    <row r="1769" spans="1:12">
      <c r="A1769" s="13"/>
      <c r="B1769" s="13"/>
      <c r="C1769" s="13"/>
      <c r="D1769" s="13"/>
      <c r="E1769" s="13"/>
      <c r="F1769" s="13"/>
      <c r="G1769" s="13"/>
      <c r="H1769" s="13"/>
      <c r="I1769" s="39" t="s">
        <v>7582</v>
      </c>
      <c r="J1769" s="39" t="s">
        <v>7784</v>
      </c>
      <c r="K1769" s="13"/>
      <c r="L1769" s="13"/>
    </row>
    <row r="1770" spans="1:12">
      <c r="A1770" s="13"/>
      <c r="B1770" s="13"/>
      <c r="C1770" s="13"/>
      <c r="D1770" s="13"/>
      <c r="E1770" s="13"/>
      <c r="F1770" s="13"/>
      <c r="G1770" s="13"/>
      <c r="H1770" s="13"/>
      <c r="I1770" s="39" t="s">
        <v>7584</v>
      </c>
      <c r="J1770" s="39" t="s">
        <v>7786</v>
      </c>
      <c r="K1770" s="13"/>
      <c r="L1770" s="13"/>
    </row>
    <row r="1771" spans="1:12">
      <c r="A1771" s="13"/>
      <c r="B1771" s="13"/>
      <c r="C1771" s="13"/>
      <c r="D1771" s="13"/>
      <c r="E1771" s="13"/>
      <c r="F1771" s="13"/>
      <c r="G1771" s="13"/>
      <c r="H1771" s="13"/>
      <c r="I1771" s="39" t="s">
        <v>7528</v>
      </c>
      <c r="J1771" s="39" t="s">
        <v>7754</v>
      </c>
      <c r="K1771" s="13"/>
      <c r="L1771" s="13"/>
    </row>
    <row r="1772" spans="1:12">
      <c r="A1772" s="13"/>
      <c r="B1772" s="13"/>
      <c r="C1772" s="13"/>
      <c r="D1772" s="13"/>
      <c r="E1772" s="13"/>
      <c r="F1772" s="13"/>
      <c r="G1772" s="13"/>
      <c r="H1772" s="13"/>
      <c r="I1772" s="39" t="s">
        <v>7802</v>
      </c>
      <c r="J1772" s="39" t="s">
        <v>7756</v>
      </c>
      <c r="K1772" s="13"/>
      <c r="L1772" s="13"/>
    </row>
    <row r="1773" spans="1:12">
      <c r="A1773" s="13"/>
      <c r="B1773" s="13"/>
      <c r="C1773" s="13"/>
      <c r="D1773" s="13"/>
      <c r="E1773" s="13"/>
      <c r="F1773" s="13"/>
      <c r="G1773" s="13"/>
      <c r="H1773" s="13"/>
      <c r="I1773" s="39" t="s">
        <v>7803</v>
      </c>
      <c r="J1773" s="39"/>
      <c r="K1773" s="13"/>
      <c r="L1773" s="13"/>
    </row>
    <row r="1774" spans="1:12">
      <c r="A1774" s="13"/>
      <c r="B1774" s="13"/>
      <c r="C1774" s="13"/>
      <c r="D1774" s="13"/>
      <c r="E1774" s="13"/>
      <c r="F1774" s="13"/>
      <c r="G1774" s="13"/>
      <c r="H1774" s="13"/>
      <c r="I1774" s="39" t="s">
        <v>7458</v>
      </c>
      <c r="J1774" s="39" t="s">
        <v>7789</v>
      </c>
      <c r="K1774" s="13"/>
      <c r="L1774" s="13"/>
    </row>
    <row r="1775" spans="1:12">
      <c r="A1775" s="13"/>
      <c r="B1775" s="13"/>
      <c r="C1775" s="13"/>
      <c r="D1775" s="13"/>
      <c r="E1775" s="13"/>
      <c r="F1775" s="13"/>
      <c r="G1775" s="13"/>
      <c r="H1775" s="13"/>
      <c r="I1775" s="39" t="s">
        <v>7561</v>
      </c>
      <c r="J1775" s="39" t="s">
        <v>7790</v>
      </c>
      <c r="K1775" s="13"/>
      <c r="L1775" s="13"/>
    </row>
    <row r="1776" spans="1:12">
      <c r="A1776" s="13"/>
      <c r="B1776" s="13"/>
      <c r="C1776" s="13"/>
      <c r="D1776" s="13"/>
      <c r="E1776" s="13"/>
      <c r="F1776" s="13"/>
      <c r="G1776" s="13"/>
      <c r="H1776" s="13"/>
      <c r="I1776" s="39" t="s">
        <v>7804</v>
      </c>
      <c r="J1776" s="39" t="s">
        <v>7754</v>
      </c>
      <c r="K1776" s="13"/>
      <c r="L1776" s="13"/>
    </row>
    <row r="1777" spans="1:12">
      <c r="A1777" s="13"/>
      <c r="B1777" s="13"/>
      <c r="C1777" s="13"/>
      <c r="D1777" s="13"/>
      <c r="E1777" s="13"/>
      <c r="F1777" s="13"/>
      <c r="G1777" s="13"/>
      <c r="H1777" s="13"/>
      <c r="I1777" s="39" t="s">
        <v>2579</v>
      </c>
      <c r="J1777" s="39" t="s">
        <v>7756</v>
      </c>
      <c r="K1777" s="13"/>
      <c r="L1777" s="13"/>
    </row>
    <row r="1778" spans="1:12">
      <c r="A1778" s="13"/>
      <c r="B1778" s="13"/>
      <c r="C1778" s="13"/>
      <c r="D1778" s="13"/>
      <c r="E1778" s="13"/>
      <c r="F1778" s="13"/>
      <c r="G1778" s="13"/>
      <c r="H1778" s="13"/>
      <c r="I1778" s="39" t="s">
        <v>2237</v>
      </c>
      <c r="J1778" s="39"/>
      <c r="K1778" s="13"/>
      <c r="L1778" s="13"/>
    </row>
    <row r="1779" spans="1:12">
      <c r="A1779" s="13"/>
      <c r="B1779" s="13"/>
      <c r="C1779" s="13"/>
      <c r="D1779" s="13"/>
      <c r="E1779" s="13"/>
      <c r="F1779" s="13"/>
      <c r="G1779" s="13"/>
      <c r="H1779" s="13"/>
      <c r="I1779" s="39" t="s">
        <v>7805</v>
      </c>
      <c r="J1779" s="39" t="s">
        <v>7794</v>
      </c>
      <c r="K1779" s="13"/>
      <c r="L1779" s="13"/>
    </row>
    <row r="1780" spans="1:12">
      <c r="A1780" s="13"/>
      <c r="B1780" s="13"/>
      <c r="C1780" s="13"/>
      <c r="D1780" s="13"/>
      <c r="E1780" s="13"/>
      <c r="F1780" s="13"/>
      <c r="G1780" s="13"/>
      <c r="H1780" s="13"/>
      <c r="I1780" s="39" t="s">
        <v>2265</v>
      </c>
      <c r="J1780" s="39" t="s">
        <v>7795</v>
      </c>
      <c r="K1780" s="13"/>
      <c r="L1780" s="13"/>
    </row>
    <row r="1781" spans="1:12">
      <c r="A1781" s="13"/>
      <c r="B1781" s="13"/>
      <c r="C1781" s="13"/>
      <c r="D1781" s="13"/>
      <c r="E1781" s="13"/>
      <c r="F1781" s="13"/>
      <c r="G1781" s="13"/>
      <c r="H1781" s="13"/>
      <c r="I1781" s="39" t="s">
        <v>1259</v>
      </c>
      <c r="J1781" s="39"/>
      <c r="K1781" s="13"/>
      <c r="L1781" s="13"/>
    </row>
    <row r="1782" spans="1:12">
      <c r="A1782" s="13"/>
      <c r="B1782" s="13"/>
      <c r="C1782" s="13"/>
      <c r="D1782" s="13"/>
      <c r="E1782" s="13"/>
      <c r="F1782" s="13"/>
      <c r="G1782" s="13"/>
      <c r="H1782" s="13"/>
      <c r="I1782" s="39" t="s">
        <v>7806</v>
      </c>
      <c r="J1782" s="39" t="s">
        <v>7796</v>
      </c>
      <c r="K1782" s="13"/>
      <c r="L1782" s="13"/>
    </row>
    <row r="1783" spans="1:12">
      <c r="A1783" s="13"/>
      <c r="B1783" s="13"/>
      <c r="C1783" s="13"/>
      <c r="D1783" s="13"/>
      <c r="E1783" s="13"/>
      <c r="F1783" s="13"/>
      <c r="G1783" s="13"/>
      <c r="H1783" s="13"/>
      <c r="I1783" s="39"/>
      <c r="J1783" s="39" t="s">
        <v>7797</v>
      </c>
      <c r="K1783" s="13"/>
      <c r="L1783" s="13"/>
    </row>
    <row r="1784" spans="1:12">
      <c r="A1784" s="13"/>
      <c r="B1784" s="13"/>
      <c r="C1784" s="13"/>
      <c r="D1784" s="13"/>
      <c r="E1784" s="13"/>
      <c r="F1784" s="13"/>
      <c r="G1784" s="13"/>
      <c r="H1784" s="13"/>
      <c r="I1784" s="39" t="s">
        <v>7807</v>
      </c>
      <c r="J1784" s="39" t="s">
        <v>2836</v>
      </c>
      <c r="K1784" s="13"/>
      <c r="L1784" s="13"/>
    </row>
    <row r="1785" spans="1:12">
      <c r="A1785" s="13"/>
      <c r="B1785" s="13"/>
      <c r="C1785" s="13"/>
      <c r="D1785" s="13"/>
      <c r="E1785" s="13"/>
      <c r="F1785" s="13"/>
      <c r="G1785" s="13"/>
      <c r="H1785" s="13"/>
      <c r="I1785" s="39" t="s">
        <v>7808</v>
      </c>
      <c r="J1785" s="39" t="s">
        <v>2626</v>
      </c>
      <c r="K1785" s="13"/>
      <c r="L1785" s="13"/>
    </row>
    <row r="1786" spans="1:12">
      <c r="A1786" s="13"/>
      <c r="B1786" s="13"/>
      <c r="C1786" s="13"/>
      <c r="D1786" s="13"/>
      <c r="E1786" s="13"/>
      <c r="F1786" s="13"/>
      <c r="G1786" s="13"/>
      <c r="H1786" s="13"/>
      <c r="I1786" s="39" t="s">
        <v>7809</v>
      </c>
      <c r="J1786" s="39"/>
      <c r="K1786" s="13"/>
      <c r="L1786" s="13"/>
    </row>
    <row r="1787" spans="1:12">
      <c r="A1787" s="13"/>
      <c r="B1787" s="13"/>
      <c r="C1787" s="13"/>
      <c r="D1787" s="13"/>
      <c r="E1787" s="13"/>
      <c r="F1787" s="13"/>
      <c r="G1787" s="13"/>
      <c r="H1787" s="13"/>
      <c r="I1787" s="39"/>
      <c r="J1787" s="39" t="s">
        <v>2501</v>
      </c>
      <c r="K1787" s="13"/>
      <c r="L1787" s="13"/>
    </row>
    <row r="1788" spans="1:12">
      <c r="A1788" s="13"/>
      <c r="B1788" s="13"/>
      <c r="C1788" s="13"/>
      <c r="D1788" s="13"/>
      <c r="E1788" s="13"/>
      <c r="F1788" s="13"/>
      <c r="G1788" s="13"/>
      <c r="H1788" s="13"/>
      <c r="I1788" s="39" t="s">
        <v>7810</v>
      </c>
      <c r="J1788" s="39" t="s">
        <v>7455</v>
      </c>
      <c r="K1788" s="13"/>
      <c r="L1788" s="13"/>
    </row>
    <row r="1789" spans="1:12">
      <c r="A1789" s="13"/>
      <c r="B1789" s="13"/>
      <c r="C1789" s="13"/>
      <c r="D1789" s="13"/>
      <c r="E1789" s="13"/>
      <c r="F1789" s="13"/>
      <c r="G1789" s="13"/>
      <c r="H1789" s="13"/>
      <c r="I1789" s="39" t="s">
        <v>7811</v>
      </c>
      <c r="J1789" s="39" t="s">
        <v>7812</v>
      </c>
      <c r="K1789" s="13"/>
      <c r="L1789" s="13"/>
    </row>
    <row r="1790" spans="1:12">
      <c r="A1790" s="13"/>
      <c r="B1790" s="13"/>
      <c r="C1790" s="13"/>
      <c r="D1790" s="13"/>
      <c r="E1790" s="13"/>
      <c r="F1790" s="13"/>
      <c r="G1790" s="13"/>
      <c r="H1790" s="13"/>
      <c r="I1790" s="39"/>
      <c r="J1790" s="39" t="s">
        <v>7813</v>
      </c>
      <c r="K1790" s="13"/>
      <c r="L1790" s="13"/>
    </row>
    <row r="1791" spans="1:12">
      <c r="A1791" s="13"/>
      <c r="B1791" s="13"/>
      <c r="C1791" s="13"/>
      <c r="D1791" s="13"/>
      <c r="E1791" s="13"/>
      <c r="F1791" s="13"/>
      <c r="G1791" s="13"/>
      <c r="H1791" s="13"/>
      <c r="I1791" s="39" t="s">
        <v>6757</v>
      </c>
      <c r="J1791" s="39" t="s">
        <v>7458</v>
      </c>
      <c r="K1791" s="13"/>
      <c r="L1791" s="13"/>
    </row>
    <row r="1792" spans="1:12">
      <c r="A1792" s="13"/>
      <c r="B1792" s="13"/>
      <c r="C1792" s="13"/>
      <c r="D1792" s="13"/>
      <c r="E1792" s="13"/>
      <c r="F1792" s="13"/>
      <c r="G1792" s="13"/>
      <c r="H1792" s="13"/>
      <c r="I1792" s="39" t="s">
        <v>7814</v>
      </c>
      <c r="J1792" s="39" t="s">
        <v>7452</v>
      </c>
      <c r="K1792" s="13"/>
      <c r="L1792" s="13"/>
    </row>
    <row r="1793" spans="1:12">
      <c r="A1793" s="13"/>
      <c r="B1793" s="13"/>
      <c r="C1793" s="13"/>
      <c r="D1793" s="13"/>
      <c r="E1793" s="13"/>
      <c r="F1793" s="13"/>
      <c r="G1793" s="13"/>
      <c r="H1793" s="13"/>
      <c r="I1793" s="39" t="s">
        <v>7815</v>
      </c>
      <c r="J1793" s="39"/>
      <c r="K1793" s="13"/>
      <c r="L1793" s="13"/>
    </row>
    <row r="1794" spans="1:12">
      <c r="A1794" s="13"/>
      <c r="B1794" s="13"/>
      <c r="C1794" s="13"/>
      <c r="D1794" s="13"/>
      <c r="E1794" s="13"/>
      <c r="F1794" s="13"/>
      <c r="G1794" s="13"/>
      <c r="H1794" s="13"/>
      <c r="I1794" s="39" t="s">
        <v>7816</v>
      </c>
      <c r="J1794" s="39" t="s">
        <v>7461</v>
      </c>
      <c r="K1794" s="13"/>
      <c r="L1794" s="13"/>
    </row>
    <row r="1795" spans="1:12">
      <c r="A1795" s="13"/>
      <c r="B1795" s="13"/>
      <c r="C1795" s="13"/>
      <c r="D1795" s="13"/>
      <c r="E1795" s="13"/>
      <c r="F1795" s="13"/>
      <c r="G1795" s="13"/>
      <c r="H1795" s="13"/>
      <c r="I1795" s="39" t="s">
        <v>2357</v>
      </c>
      <c r="J1795" s="39" t="s">
        <v>7817</v>
      </c>
      <c r="K1795" s="13"/>
      <c r="L1795" s="13"/>
    </row>
    <row r="1796" spans="1:12">
      <c r="A1796" s="13"/>
      <c r="B1796" s="13"/>
      <c r="C1796" s="13"/>
      <c r="D1796" s="13"/>
      <c r="E1796" s="13"/>
      <c r="F1796" s="13"/>
      <c r="G1796" s="13"/>
      <c r="H1796" s="13"/>
      <c r="I1796" s="39" t="s">
        <v>6782</v>
      </c>
      <c r="J1796" s="39" t="s">
        <v>7818</v>
      </c>
      <c r="K1796" s="13"/>
      <c r="L1796" s="13"/>
    </row>
    <row r="1797" spans="1:12">
      <c r="A1797" s="13"/>
      <c r="B1797" s="13"/>
      <c r="C1797" s="13"/>
      <c r="D1797" s="13"/>
      <c r="E1797" s="13"/>
      <c r="F1797" s="13"/>
      <c r="G1797" s="13"/>
      <c r="H1797" s="13"/>
      <c r="I1797" s="39" t="s">
        <v>7819</v>
      </c>
      <c r="J1797" s="39" t="s">
        <v>7820</v>
      </c>
      <c r="K1797" s="13"/>
      <c r="L1797" s="13"/>
    </row>
    <row r="1798" spans="1:12">
      <c r="A1798" s="13"/>
      <c r="B1798" s="13"/>
      <c r="C1798" s="13"/>
      <c r="D1798" s="13"/>
      <c r="E1798" s="13"/>
      <c r="F1798" s="13"/>
      <c r="G1798" s="13"/>
      <c r="H1798" s="13"/>
      <c r="I1798" s="39" t="s">
        <v>7821</v>
      </c>
      <c r="J1798" s="39" t="s">
        <v>7822</v>
      </c>
      <c r="K1798" s="13"/>
      <c r="L1798" s="13"/>
    </row>
    <row r="1799" spans="1:12">
      <c r="A1799" s="13"/>
      <c r="B1799" s="13"/>
      <c r="C1799" s="13"/>
      <c r="D1799" s="13"/>
      <c r="E1799" s="13"/>
      <c r="F1799" s="13"/>
      <c r="G1799" s="13"/>
      <c r="H1799" s="13"/>
      <c r="I1799" s="39" t="s">
        <v>7823</v>
      </c>
      <c r="J1799" s="39" t="s">
        <v>7824</v>
      </c>
      <c r="K1799" s="13"/>
      <c r="L1799" s="13"/>
    </row>
    <row r="1800" spans="1:12">
      <c r="A1800" s="13"/>
      <c r="B1800" s="13"/>
      <c r="C1800" s="13"/>
      <c r="D1800" s="13"/>
      <c r="E1800" s="13"/>
      <c r="F1800" s="13"/>
      <c r="G1800" s="13"/>
      <c r="H1800" s="13"/>
      <c r="I1800" s="39" t="s">
        <v>7825</v>
      </c>
      <c r="J1800" s="39" t="s">
        <v>7826</v>
      </c>
      <c r="K1800" s="13"/>
      <c r="L1800" s="13"/>
    </row>
    <row r="1801" spans="1:12">
      <c r="A1801" s="13"/>
      <c r="B1801" s="13"/>
      <c r="C1801" s="13"/>
      <c r="D1801" s="13"/>
      <c r="E1801" s="13"/>
      <c r="F1801" s="13"/>
      <c r="G1801" s="13"/>
      <c r="H1801" s="13"/>
      <c r="I1801" s="39" t="s">
        <v>2357</v>
      </c>
      <c r="J1801" s="39" t="s">
        <v>7827</v>
      </c>
      <c r="K1801" s="13"/>
      <c r="L1801" s="13"/>
    </row>
    <row r="1802" spans="1:12">
      <c r="A1802" s="13"/>
      <c r="B1802" s="13"/>
      <c r="C1802" s="13"/>
      <c r="D1802" s="13"/>
      <c r="E1802" s="13"/>
      <c r="F1802" s="13"/>
      <c r="G1802" s="13"/>
      <c r="H1802" s="13"/>
      <c r="I1802" s="39"/>
      <c r="J1802" s="39" t="s">
        <v>7828</v>
      </c>
      <c r="K1802" s="13"/>
      <c r="L1802" s="13"/>
    </row>
    <row r="1803" spans="1:12">
      <c r="A1803" s="13"/>
      <c r="B1803" s="13"/>
      <c r="C1803" s="13"/>
      <c r="D1803" s="13"/>
      <c r="E1803" s="13"/>
      <c r="F1803" s="13"/>
      <c r="G1803" s="13"/>
      <c r="H1803" s="13"/>
      <c r="I1803" s="39" t="s">
        <v>7829</v>
      </c>
      <c r="J1803" s="39" t="s">
        <v>7830</v>
      </c>
      <c r="K1803" s="13"/>
      <c r="L1803" s="13"/>
    </row>
    <row r="1804" spans="1:12">
      <c r="A1804" s="13"/>
      <c r="B1804" s="13"/>
      <c r="C1804" s="13"/>
      <c r="D1804" s="13"/>
      <c r="E1804" s="13"/>
      <c r="F1804" s="13"/>
      <c r="G1804" s="13"/>
      <c r="H1804" s="13"/>
      <c r="I1804" s="39"/>
      <c r="J1804" s="39" t="s">
        <v>7831</v>
      </c>
      <c r="K1804" s="13"/>
      <c r="L1804" s="13"/>
    </row>
    <row r="1805" spans="1:12">
      <c r="A1805" s="13"/>
      <c r="B1805" s="13"/>
      <c r="C1805" s="13"/>
      <c r="D1805" s="13"/>
      <c r="E1805" s="13"/>
      <c r="F1805" s="13"/>
      <c r="G1805" s="13"/>
      <c r="H1805" s="13"/>
      <c r="I1805" s="39" t="s">
        <v>7832</v>
      </c>
      <c r="J1805" s="39" t="s">
        <v>7833</v>
      </c>
      <c r="K1805" s="13"/>
      <c r="L1805" s="13"/>
    </row>
    <row r="1806" spans="1:12">
      <c r="A1806" s="13"/>
      <c r="B1806" s="13"/>
      <c r="C1806" s="13"/>
      <c r="D1806" s="13"/>
      <c r="E1806" s="13"/>
      <c r="F1806" s="13"/>
      <c r="G1806" s="13"/>
      <c r="H1806" s="13"/>
      <c r="I1806" s="39" t="s">
        <v>2265</v>
      </c>
      <c r="J1806" s="39" t="s">
        <v>7834</v>
      </c>
      <c r="K1806" s="13"/>
      <c r="L1806" s="13"/>
    </row>
    <row r="1807" spans="1:12">
      <c r="A1807" s="13"/>
      <c r="B1807" s="13"/>
      <c r="C1807" s="13"/>
      <c r="D1807" s="13"/>
      <c r="E1807" s="13"/>
      <c r="F1807" s="13"/>
      <c r="G1807" s="13"/>
      <c r="H1807" s="13"/>
      <c r="I1807" s="39" t="s">
        <v>1259</v>
      </c>
      <c r="J1807" s="39" t="s">
        <v>7835</v>
      </c>
      <c r="K1807" s="13"/>
      <c r="L1807" s="13"/>
    </row>
    <row r="1808" spans="1:12">
      <c r="A1808" s="13"/>
      <c r="B1808" s="13"/>
      <c r="C1808" s="13"/>
      <c r="D1808" s="13"/>
      <c r="E1808" s="13"/>
      <c r="F1808" s="13"/>
      <c r="G1808" s="13"/>
      <c r="H1808" s="13"/>
      <c r="I1808" s="39" t="s">
        <v>7836</v>
      </c>
      <c r="J1808" s="39" t="s">
        <v>7837</v>
      </c>
      <c r="K1808" s="13"/>
      <c r="L1808" s="13"/>
    </row>
    <row r="1809" spans="1:12">
      <c r="A1809" s="13"/>
      <c r="B1809" s="13"/>
      <c r="C1809" s="13"/>
      <c r="D1809" s="13"/>
      <c r="E1809" s="13"/>
      <c r="F1809" s="13"/>
      <c r="G1809" s="13"/>
      <c r="H1809" s="13"/>
      <c r="I1809" s="39"/>
      <c r="J1809" s="39" t="s">
        <v>7838</v>
      </c>
      <c r="K1809" s="13"/>
      <c r="L1809" s="13"/>
    </row>
    <row r="1810" spans="1:12">
      <c r="A1810" s="13"/>
      <c r="B1810" s="13"/>
      <c r="C1810" s="13"/>
      <c r="D1810" s="13"/>
      <c r="E1810" s="13"/>
      <c r="F1810" s="13"/>
      <c r="G1810" s="13"/>
      <c r="H1810" s="13"/>
      <c r="I1810" s="39" t="s">
        <v>7839</v>
      </c>
      <c r="J1810" s="39" t="s">
        <v>7840</v>
      </c>
      <c r="K1810" s="13"/>
      <c r="L1810" s="13"/>
    </row>
    <row r="1811" spans="1:12">
      <c r="A1811" s="13"/>
      <c r="B1811" s="13"/>
      <c r="C1811" s="13"/>
      <c r="D1811" s="13"/>
      <c r="E1811" s="13"/>
      <c r="F1811" s="13"/>
      <c r="G1811" s="13"/>
      <c r="H1811" s="13"/>
      <c r="I1811" s="39" t="s">
        <v>7841</v>
      </c>
      <c r="J1811" s="39" t="s">
        <v>7842</v>
      </c>
      <c r="K1811" s="13"/>
      <c r="L1811" s="13"/>
    </row>
    <row r="1812" spans="1:12">
      <c r="A1812" s="13"/>
      <c r="B1812" s="13"/>
      <c r="C1812" s="13"/>
      <c r="D1812" s="13"/>
      <c r="E1812" s="13"/>
      <c r="F1812" s="13"/>
      <c r="G1812" s="13"/>
      <c r="H1812" s="13"/>
      <c r="I1812" s="39" t="s">
        <v>7843</v>
      </c>
      <c r="J1812" s="39" t="s">
        <v>7844</v>
      </c>
      <c r="K1812" s="13"/>
      <c r="L1812" s="13"/>
    </row>
    <row r="1813" spans="1:12">
      <c r="A1813" s="13"/>
      <c r="B1813" s="13"/>
      <c r="C1813" s="13"/>
      <c r="D1813" s="13"/>
      <c r="E1813" s="13"/>
      <c r="F1813" s="13"/>
      <c r="G1813" s="13"/>
      <c r="H1813" s="13"/>
      <c r="I1813" s="39" t="s">
        <v>7845</v>
      </c>
      <c r="J1813" s="39" t="s">
        <v>7846</v>
      </c>
      <c r="K1813" s="13"/>
      <c r="L1813" s="13"/>
    </row>
    <row r="1814" spans="1:12">
      <c r="A1814" s="13"/>
      <c r="B1814" s="13"/>
      <c r="C1814" s="13"/>
      <c r="D1814" s="13"/>
      <c r="E1814" s="13"/>
      <c r="F1814" s="13"/>
      <c r="G1814" s="13"/>
      <c r="H1814" s="13"/>
      <c r="I1814" s="39" t="s">
        <v>7847</v>
      </c>
      <c r="J1814" s="39" t="s">
        <v>7848</v>
      </c>
      <c r="K1814" s="13"/>
      <c r="L1814" s="13"/>
    </row>
    <row r="1815" spans="1:12">
      <c r="A1815" s="13"/>
      <c r="B1815" s="13"/>
      <c r="C1815" s="13"/>
      <c r="D1815" s="13"/>
      <c r="E1815" s="13"/>
      <c r="F1815" s="13"/>
      <c r="G1815" s="13"/>
      <c r="H1815" s="13"/>
      <c r="I1815" s="39" t="s">
        <v>7849</v>
      </c>
      <c r="J1815" s="39" t="s">
        <v>7850</v>
      </c>
      <c r="K1815" s="13"/>
      <c r="L1815" s="13"/>
    </row>
    <row r="1816" spans="1:12">
      <c r="A1816" s="13"/>
      <c r="B1816" s="13"/>
      <c r="C1816" s="13"/>
      <c r="D1816" s="13"/>
      <c r="E1816" s="13"/>
      <c r="F1816" s="13"/>
      <c r="G1816" s="13"/>
      <c r="H1816" s="13"/>
      <c r="I1816" s="39" t="s">
        <v>7851</v>
      </c>
      <c r="J1816" s="39" t="s">
        <v>7852</v>
      </c>
      <c r="K1816" s="13"/>
      <c r="L1816" s="13"/>
    </row>
    <row r="1817" spans="1:12">
      <c r="A1817" s="13"/>
      <c r="B1817" s="13"/>
      <c r="C1817" s="13"/>
      <c r="D1817" s="13"/>
      <c r="E1817" s="13"/>
      <c r="F1817" s="13"/>
      <c r="G1817" s="13"/>
      <c r="H1817" s="13"/>
      <c r="I1817" s="39" t="s">
        <v>7853</v>
      </c>
      <c r="J1817" s="39" t="s">
        <v>7528</v>
      </c>
      <c r="K1817" s="13"/>
      <c r="L1817" s="13"/>
    </row>
    <row r="1818" spans="1:12">
      <c r="A1818" s="13"/>
      <c r="B1818" s="13"/>
      <c r="C1818" s="13"/>
      <c r="D1818" s="13"/>
      <c r="E1818" s="13"/>
      <c r="F1818" s="13"/>
      <c r="G1818" s="13"/>
      <c r="H1818" s="13"/>
      <c r="I1818" s="39" t="s">
        <v>2836</v>
      </c>
      <c r="J1818" s="39" t="s">
        <v>7854</v>
      </c>
      <c r="K1818" s="13"/>
      <c r="L1818" s="13"/>
    </row>
    <row r="1819" spans="1:12">
      <c r="A1819" s="13"/>
      <c r="B1819" s="13"/>
      <c r="C1819" s="13"/>
      <c r="D1819" s="13"/>
      <c r="E1819" s="13"/>
      <c r="F1819" s="13"/>
      <c r="G1819" s="13"/>
      <c r="H1819" s="13"/>
      <c r="I1819" s="39" t="s">
        <v>7855</v>
      </c>
      <c r="J1819" s="39" t="s">
        <v>7835</v>
      </c>
      <c r="K1819" s="13"/>
      <c r="L1819" s="13"/>
    </row>
    <row r="1820" spans="1:12">
      <c r="A1820" s="13"/>
      <c r="B1820" s="13"/>
      <c r="C1820" s="13"/>
      <c r="D1820" s="13"/>
      <c r="E1820" s="13"/>
      <c r="F1820" s="13"/>
      <c r="G1820" s="13"/>
      <c r="H1820" s="13"/>
      <c r="I1820" s="39"/>
      <c r="J1820" s="39" t="s">
        <v>7837</v>
      </c>
      <c r="K1820" s="13"/>
      <c r="L1820" s="13"/>
    </row>
    <row r="1821" spans="1:12">
      <c r="A1821" s="13"/>
      <c r="B1821" s="13"/>
      <c r="C1821" s="13"/>
      <c r="D1821" s="13"/>
      <c r="E1821" s="13"/>
      <c r="F1821" s="13"/>
      <c r="G1821" s="13"/>
      <c r="H1821" s="13"/>
      <c r="I1821" s="39" t="s">
        <v>7843</v>
      </c>
      <c r="J1821" s="39" t="s">
        <v>7856</v>
      </c>
      <c r="K1821" s="13"/>
      <c r="L1821" s="13"/>
    </row>
    <row r="1822" spans="1:12">
      <c r="A1822" s="13"/>
      <c r="B1822" s="13"/>
      <c r="C1822" s="13"/>
      <c r="D1822" s="13"/>
      <c r="E1822" s="13"/>
      <c r="F1822" s="13"/>
      <c r="G1822" s="13"/>
      <c r="H1822" s="13"/>
      <c r="I1822" s="39" t="s">
        <v>7845</v>
      </c>
      <c r="J1822" s="39" t="s">
        <v>7840</v>
      </c>
      <c r="K1822" s="13"/>
      <c r="L1822" s="13"/>
    </row>
    <row r="1823" spans="1:12">
      <c r="A1823" s="13"/>
      <c r="B1823" s="13"/>
      <c r="C1823" s="13"/>
      <c r="D1823" s="13"/>
      <c r="E1823" s="13"/>
      <c r="F1823" s="13"/>
      <c r="G1823" s="13"/>
      <c r="H1823" s="13"/>
      <c r="I1823" s="39" t="s">
        <v>7857</v>
      </c>
      <c r="J1823" s="39" t="s">
        <v>7842</v>
      </c>
      <c r="K1823" s="13"/>
      <c r="L1823" s="13"/>
    </row>
    <row r="1824" spans="1:12">
      <c r="A1824" s="13"/>
      <c r="B1824" s="13"/>
      <c r="C1824" s="13"/>
      <c r="D1824" s="13"/>
      <c r="E1824" s="13"/>
      <c r="F1824" s="13"/>
      <c r="G1824" s="13"/>
      <c r="H1824" s="13"/>
      <c r="I1824" s="39" t="s">
        <v>7858</v>
      </c>
      <c r="J1824" s="39" t="s">
        <v>7844</v>
      </c>
      <c r="K1824" s="13"/>
      <c r="L1824" s="13"/>
    </row>
    <row r="1825" spans="1:12">
      <c r="A1825" s="13"/>
      <c r="B1825" s="13"/>
      <c r="C1825" s="13"/>
      <c r="D1825" s="13"/>
      <c r="E1825" s="13"/>
      <c r="F1825" s="13"/>
      <c r="G1825" s="13"/>
      <c r="H1825" s="13"/>
      <c r="I1825" s="39" t="s">
        <v>7859</v>
      </c>
      <c r="J1825" s="39" t="s">
        <v>7846</v>
      </c>
      <c r="K1825" s="13"/>
      <c r="L1825" s="13"/>
    </row>
    <row r="1826" spans="1:12">
      <c r="A1826" s="13"/>
      <c r="B1826" s="13"/>
      <c r="C1826" s="13"/>
      <c r="D1826" s="13"/>
      <c r="E1826" s="13"/>
      <c r="F1826" s="13"/>
      <c r="G1826" s="13"/>
      <c r="H1826" s="13"/>
      <c r="I1826" s="39" t="s">
        <v>7853</v>
      </c>
      <c r="J1826" s="39" t="s">
        <v>7848</v>
      </c>
      <c r="K1826" s="13"/>
      <c r="L1826" s="13"/>
    </row>
    <row r="1827" spans="1:12">
      <c r="A1827" s="13"/>
      <c r="B1827" s="13"/>
      <c r="C1827" s="13"/>
      <c r="D1827" s="13"/>
      <c r="E1827" s="13"/>
      <c r="F1827" s="13"/>
      <c r="G1827" s="13"/>
      <c r="H1827" s="13"/>
      <c r="I1827" s="39" t="s">
        <v>2836</v>
      </c>
      <c r="J1827" s="39" t="s">
        <v>7860</v>
      </c>
      <c r="K1827" s="13"/>
      <c r="L1827" s="13"/>
    </row>
    <row r="1828" spans="1:12">
      <c r="A1828" s="13"/>
      <c r="B1828" s="13"/>
      <c r="C1828" s="13"/>
      <c r="D1828" s="13"/>
      <c r="E1828" s="13"/>
      <c r="F1828" s="13"/>
      <c r="G1828" s="13"/>
      <c r="H1828" s="13"/>
      <c r="I1828" s="39" t="s">
        <v>7855</v>
      </c>
      <c r="J1828" s="39" t="s">
        <v>7861</v>
      </c>
      <c r="K1828" s="13"/>
      <c r="L1828" s="13"/>
    </row>
    <row r="1829" spans="1:12">
      <c r="A1829" s="13"/>
      <c r="B1829" s="13"/>
      <c r="C1829" s="13"/>
      <c r="D1829" s="13"/>
      <c r="E1829" s="13"/>
      <c r="F1829" s="13"/>
      <c r="G1829" s="13"/>
      <c r="H1829" s="13"/>
      <c r="I1829" s="39" t="s">
        <v>3756</v>
      </c>
      <c r="J1829" s="39" t="s">
        <v>7528</v>
      </c>
      <c r="K1829" s="13"/>
      <c r="L1829" s="13"/>
    </row>
    <row r="1830" spans="1:12">
      <c r="A1830" s="13"/>
      <c r="B1830" s="13"/>
      <c r="C1830" s="13"/>
      <c r="D1830" s="13"/>
      <c r="E1830" s="13"/>
      <c r="F1830" s="13"/>
      <c r="G1830" s="13"/>
      <c r="H1830" s="13"/>
      <c r="I1830" s="39" t="s">
        <v>7862</v>
      </c>
      <c r="J1830" s="39" t="s">
        <v>7863</v>
      </c>
      <c r="K1830" s="13"/>
      <c r="L1830" s="13"/>
    </row>
    <row r="1831" spans="1:12">
      <c r="A1831" s="13"/>
      <c r="B1831" s="13"/>
      <c r="C1831" s="13"/>
      <c r="D1831" s="13"/>
      <c r="E1831" s="13"/>
      <c r="F1831" s="13"/>
      <c r="G1831" s="13"/>
      <c r="H1831" s="13"/>
      <c r="I1831" s="39" t="s">
        <v>7864</v>
      </c>
      <c r="J1831" s="39" t="s">
        <v>7835</v>
      </c>
      <c r="K1831" s="13"/>
      <c r="L1831" s="13"/>
    </row>
    <row r="1832" spans="1:12">
      <c r="A1832" s="13"/>
      <c r="B1832" s="13"/>
      <c r="C1832" s="13"/>
      <c r="D1832" s="13"/>
      <c r="E1832" s="13"/>
      <c r="F1832" s="13"/>
      <c r="G1832" s="13"/>
      <c r="H1832" s="13"/>
      <c r="I1832" s="39" t="s">
        <v>7865</v>
      </c>
      <c r="J1832" s="39" t="s">
        <v>7837</v>
      </c>
      <c r="K1832" s="13"/>
      <c r="L1832" s="13"/>
    </row>
    <row r="1833" spans="1:12">
      <c r="A1833" s="13"/>
      <c r="B1833" s="13"/>
      <c r="C1833" s="13"/>
      <c r="D1833" s="13"/>
      <c r="E1833" s="13"/>
      <c r="F1833" s="13"/>
      <c r="G1833" s="13"/>
      <c r="H1833" s="13"/>
      <c r="I1833" s="39" t="s">
        <v>7866</v>
      </c>
      <c r="J1833" s="39" t="s">
        <v>7867</v>
      </c>
      <c r="K1833" s="13"/>
      <c r="L1833" s="13"/>
    </row>
    <row r="1834" spans="1:12">
      <c r="A1834" s="13"/>
      <c r="B1834" s="13"/>
      <c r="C1834" s="13"/>
      <c r="D1834" s="13"/>
      <c r="E1834" s="13"/>
      <c r="F1834" s="13"/>
      <c r="G1834" s="13"/>
      <c r="H1834" s="13"/>
      <c r="I1834" s="39" t="s">
        <v>7868</v>
      </c>
      <c r="J1834" s="39" t="s">
        <v>7840</v>
      </c>
      <c r="K1834" s="13"/>
      <c r="L1834" s="13"/>
    </row>
    <row r="1835" spans="1:12">
      <c r="A1835" s="13"/>
      <c r="B1835" s="13"/>
      <c r="C1835" s="13"/>
      <c r="D1835" s="13"/>
      <c r="E1835" s="13"/>
      <c r="F1835" s="13"/>
      <c r="G1835" s="13"/>
      <c r="H1835" s="13"/>
      <c r="I1835" s="39" t="s">
        <v>7869</v>
      </c>
      <c r="J1835" s="39" t="s">
        <v>7842</v>
      </c>
      <c r="K1835" s="13"/>
      <c r="L1835" s="13"/>
    </row>
    <row r="1836" spans="1:12">
      <c r="A1836" s="13"/>
      <c r="B1836" s="13"/>
      <c r="C1836" s="13"/>
      <c r="D1836" s="13"/>
      <c r="E1836" s="13"/>
      <c r="F1836" s="13"/>
      <c r="G1836" s="13"/>
      <c r="H1836" s="13"/>
      <c r="I1836" s="39"/>
      <c r="J1836" s="39" t="s">
        <v>7844</v>
      </c>
      <c r="K1836" s="13"/>
      <c r="L1836" s="13"/>
    </row>
    <row r="1837" spans="1:12">
      <c r="A1837" s="13"/>
      <c r="B1837" s="13"/>
      <c r="C1837" s="13"/>
      <c r="D1837" s="13"/>
      <c r="E1837" s="13"/>
      <c r="F1837" s="13"/>
      <c r="G1837" s="13"/>
      <c r="H1837" s="13"/>
      <c r="I1837" s="39" t="s">
        <v>7870</v>
      </c>
      <c r="J1837" s="39" t="s">
        <v>7846</v>
      </c>
      <c r="K1837" s="13"/>
      <c r="L1837" s="13"/>
    </row>
    <row r="1838" spans="1:12">
      <c r="A1838" s="13"/>
      <c r="B1838" s="13"/>
      <c r="C1838" s="13"/>
      <c r="D1838" s="13"/>
      <c r="E1838" s="13"/>
      <c r="F1838" s="13"/>
      <c r="G1838" s="13"/>
      <c r="H1838" s="13"/>
      <c r="I1838" s="39" t="s">
        <v>2265</v>
      </c>
      <c r="J1838" s="39" t="s">
        <v>7848</v>
      </c>
      <c r="K1838" s="13"/>
      <c r="L1838" s="13"/>
    </row>
    <row r="1839" spans="1:12">
      <c r="A1839" s="13"/>
      <c r="B1839" s="13"/>
      <c r="C1839" s="13"/>
      <c r="D1839" s="13"/>
      <c r="E1839" s="13"/>
      <c r="F1839" s="13"/>
      <c r="G1839" s="13"/>
      <c r="H1839" s="13"/>
      <c r="I1839" s="39" t="s">
        <v>1259</v>
      </c>
      <c r="J1839" s="39" t="s">
        <v>7871</v>
      </c>
      <c r="K1839" s="13"/>
      <c r="L1839" s="13"/>
    </row>
    <row r="1840" spans="1:12">
      <c r="A1840" s="13"/>
      <c r="B1840" s="13"/>
      <c r="C1840" s="13"/>
      <c r="D1840" s="13"/>
      <c r="E1840" s="13"/>
      <c r="F1840" s="13"/>
      <c r="G1840" s="13"/>
      <c r="H1840" s="13"/>
      <c r="I1840" s="39" t="s">
        <v>7872</v>
      </c>
      <c r="J1840" s="39" t="s">
        <v>7873</v>
      </c>
      <c r="K1840" s="13"/>
      <c r="L1840" s="13"/>
    </row>
    <row r="1841" spans="1:12">
      <c r="A1841" s="13"/>
      <c r="B1841" s="13"/>
      <c r="C1841" s="13"/>
      <c r="D1841" s="13"/>
      <c r="E1841" s="13"/>
      <c r="F1841" s="13"/>
      <c r="G1841" s="13"/>
      <c r="H1841" s="13"/>
      <c r="I1841" s="39"/>
      <c r="J1841" s="39" t="s">
        <v>7528</v>
      </c>
      <c r="K1841" s="13"/>
      <c r="L1841" s="13"/>
    </row>
    <row r="1842" spans="1:12">
      <c r="A1842" s="13"/>
      <c r="B1842" s="13"/>
      <c r="C1842" s="13"/>
      <c r="D1842" s="13"/>
      <c r="E1842" s="13"/>
      <c r="F1842" s="13"/>
      <c r="G1842" s="13"/>
      <c r="H1842" s="13"/>
      <c r="I1842" s="39" t="s">
        <v>7453</v>
      </c>
      <c r="J1842" s="39" t="s">
        <v>7874</v>
      </c>
      <c r="K1842" s="13"/>
      <c r="L1842" s="13"/>
    </row>
    <row r="1843" spans="1:12">
      <c r="A1843" s="13"/>
      <c r="B1843" s="13"/>
      <c r="C1843" s="13"/>
      <c r="D1843" s="13"/>
      <c r="E1843" s="13"/>
      <c r="F1843" s="13"/>
      <c r="G1843" s="13"/>
      <c r="H1843" s="13"/>
      <c r="I1843" s="39" t="s">
        <v>7875</v>
      </c>
      <c r="J1843" s="39" t="s">
        <v>7835</v>
      </c>
      <c r="K1843" s="13"/>
      <c r="L1843" s="13"/>
    </row>
    <row r="1844" spans="1:12">
      <c r="A1844" s="13"/>
      <c r="B1844" s="13"/>
      <c r="C1844" s="13"/>
      <c r="D1844" s="13"/>
      <c r="E1844" s="13"/>
      <c r="F1844" s="13"/>
      <c r="G1844" s="13"/>
      <c r="H1844" s="13"/>
      <c r="I1844" s="39" t="s">
        <v>7876</v>
      </c>
      <c r="J1844" s="39" t="s">
        <v>7837</v>
      </c>
      <c r="K1844" s="13"/>
      <c r="L1844" s="13"/>
    </row>
    <row r="1845" spans="1:12">
      <c r="A1845" s="13"/>
      <c r="B1845" s="13"/>
      <c r="C1845" s="13"/>
      <c r="D1845" s="13"/>
      <c r="E1845" s="13"/>
      <c r="F1845" s="13"/>
      <c r="G1845" s="13"/>
      <c r="H1845" s="13"/>
      <c r="I1845" s="39" t="s">
        <v>7877</v>
      </c>
      <c r="J1845" s="39" t="s">
        <v>7878</v>
      </c>
      <c r="K1845" s="13"/>
      <c r="L1845" s="13"/>
    </row>
    <row r="1846" spans="1:12">
      <c r="A1846" s="13"/>
      <c r="B1846" s="13"/>
      <c r="C1846" s="13"/>
      <c r="D1846" s="13"/>
      <c r="E1846" s="13"/>
      <c r="F1846" s="13"/>
      <c r="G1846" s="13"/>
      <c r="H1846" s="13"/>
      <c r="I1846" s="39" t="s">
        <v>7879</v>
      </c>
      <c r="J1846" s="39" t="s">
        <v>7840</v>
      </c>
      <c r="K1846" s="13"/>
      <c r="L1846" s="13"/>
    </row>
    <row r="1847" spans="1:12">
      <c r="A1847" s="13"/>
      <c r="B1847" s="13"/>
      <c r="C1847" s="13"/>
      <c r="D1847" s="13"/>
      <c r="E1847" s="13"/>
      <c r="F1847" s="13"/>
      <c r="G1847" s="13"/>
      <c r="H1847" s="13"/>
      <c r="I1847" s="39"/>
      <c r="J1847" s="39" t="s">
        <v>7842</v>
      </c>
      <c r="K1847" s="13"/>
      <c r="L1847" s="13"/>
    </row>
    <row r="1848" spans="1:12">
      <c r="A1848" s="13"/>
      <c r="B1848" s="13"/>
      <c r="C1848" s="13"/>
      <c r="D1848" s="13"/>
      <c r="E1848" s="13"/>
      <c r="F1848" s="13"/>
      <c r="G1848" s="13"/>
      <c r="H1848" s="13"/>
      <c r="I1848" s="39" t="s">
        <v>7880</v>
      </c>
      <c r="J1848" s="39" t="s">
        <v>7844</v>
      </c>
      <c r="K1848" s="13"/>
      <c r="L1848" s="13"/>
    </row>
    <row r="1849" spans="1:12">
      <c r="A1849" s="13"/>
      <c r="B1849" s="13"/>
      <c r="C1849" s="13"/>
      <c r="D1849" s="13"/>
      <c r="E1849" s="13"/>
      <c r="F1849" s="13"/>
      <c r="G1849" s="13"/>
      <c r="H1849" s="13"/>
      <c r="I1849" s="39"/>
      <c r="J1849" s="39" t="s">
        <v>7846</v>
      </c>
      <c r="K1849" s="13"/>
      <c r="L1849" s="13"/>
    </row>
    <row r="1850" spans="1:12">
      <c r="A1850" s="13"/>
      <c r="B1850" s="13"/>
      <c r="C1850" s="13"/>
      <c r="D1850" s="13"/>
      <c r="E1850" s="13"/>
      <c r="F1850" s="13"/>
      <c r="G1850" s="13"/>
      <c r="H1850" s="13"/>
      <c r="I1850" s="39" t="s">
        <v>7881</v>
      </c>
      <c r="J1850" s="39" t="s">
        <v>7848</v>
      </c>
      <c r="K1850" s="13"/>
      <c r="L1850" s="13"/>
    </row>
    <row r="1851" spans="1:12">
      <c r="A1851" s="13"/>
      <c r="B1851" s="13"/>
      <c r="C1851" s="13"/>
      <c r="D1851" s="13"/>
      <c r="E1851" s="13"/>
      <c r="F1851" s="13"/>
      <c r="G1851" s="13"/>
      <c r="H1851" s="13"/>
      <c r="I1851" s="39" t="s">
        <v>7882</v>
      </c>
      <c r="J1851" s="39" t="s">
        <v>7883</v>
      </c>
      <c r="K1851" s="13"/>
      <c r="L1851" s="13"/>
    </row>
    <row r="1852" spans="1:12">
      <c r="A1852" s="13"/>
      <c r="B1852" s="13"/>
      <c r="C1852" s="13"/>
      <c r="D1852" s="13"/>
      <c r="E1852" s="13"/>
      <c r="F1852" s="13"/>
      <c r="G1852" s="13"/>
      <c r="H1852" s="13"/>
      <c r="I1852" s="39"/>
      <c r="J1852" s="39" t="s">
        <v>7884</v>
      </c>
      <c r="K1852" s="13"/>
      <c r="L1852" s="13"/>
    </row>
    <row r="1853" spans="1:12">
      <c r="A1853" s="13"/>
      <c r="B1853" s="13"/>
      <c r="C1853" s="13"/>
      <c r="D1853" s="13"/>
      <c r="E1853" s="13"/>
      <c r="F1853" s="13"/>
      <c r="G1853" s="13"/>
      <c r="H1853" s="13"/>
      <c r="I1853" s="39" t="s">
        <v>3371</v>
      </c>
      <c r="J1853" s="39" t="s">
        <v>7528</v>
      </c>
      <c r="K1853" s="13"/>
      <c r="L1853" s="13"/>
    </row>
    <row r="1854" spans="1:12">
      <c r="A1854" s="13"/>
      <c r="B1854" s="13"/>
      <c r="C1854" s="13"/>
      <c r="D1854" s="13"/>
      <c r="E1854" s="13"/>
      <c r="F1854" s="13"/>
      <c r="G1854" s="13"/>
      <c r="H1854" s="13"/>
      <c r="I1854" s="39"/>
      <c r="J1854" s="39" t="s">
        <v>7818</v>
      </c>
      <c r="K1854" s="13"/>
      <c r="L1854" s="13"/>
    </row>
    <row r="1855" spans="1:12">
      <c r="A1855" s="13"/>
      <c r="B1855" s="13"/>
      <c r="C1855" s="13"/>
      <c r="D1855" s="13"/>
      <c r="E1855" s="13"/>
      <c r="F1855" s="13"/>
      <c r="G1855" s="13"/>
      <c r="H1855" s="13"/>
      <c r="I1855" s="39" t="s">
        <v>7885</v>
      </c>
      <c r="J1855" s="39" t="s">
        <v>7886</v>
      </c>
      <c r="K1855" s="13"/>
      <c r="L1855" s="13"/>
    </row>
    <row r="1856" spans="1:12">
      <c r="A1856" s="13"/>
      <c r="B1856" s="13"/>
      <c r="C1856" s="13"/>
      <c r="D1856" s="13"/>
      <c r="E1856" s="13"/>
      <c r="F1856" s="13"/>
      <c r="G1856" s="13"/>
      <c r="H1856" s="13"/>
      <c r="I1856" s="39" t="s">
        <v>7887</v>
      </c>
      <c r="J1856" s="39" t="s">
        <v>7888</v>
      </c>
      <c r="K1856" s="13"/>
      <c r="L1856" s="13"/>
    </row>
    <row r="1857" spans="1:12">
      <c r="A1857" s="13"/>
      <c r="B1857" s="13"/>
      <c r="C1857" s="13"/>
      <c r="D1857" s="13"/>
      <c r="E1857" s="13"/>
      <c r="F1857" s="13"/>
      <c r="G1857" s="13"/>
      <c r="H1857" s="13"/>
      <c r="I1857" s="39" t="s">
        <v>7889</v>
      </c>
      <c r="J1857" s="39" t="s">
        <v>7890</v>
      </c>
      <c r="K1857" s="13"/>
      <c r="L1857" s="13"/>
    </row>
    <row r="1858" spans="1:12">
      <c r="A1858" s="13"/>
      <c r="B1858" s="13"/>
      <c r="C1858" s="13"/>
      <c r="D1858" s="13"/>
      <c r="E1858" s="13"/>
      <c r="F1858" s="13"/>
      <c r="G1858" s="13"/>
      <c r="H1858" s="13"/>
      <c r="I1858" s="39"/>
      <c r="J1858" s="39" t="s">
        <v>7458</v>
      </c>
      <c r="K1858" s="13"/>
      <c r="L1858" s="13"/>
    </row>
    <row r="1859" spans="1:12">
      <c r="A1859" s="13"/>
      <c r="B1859" s="13"/>
      <c r="C1859" s="13"/>
      <c r="D1859" s="13"/>
      <c r="E1859" s="13"/>
      <c r="F1859" s="13"/>
      <c r="G1859" s="13"/>
      <c r="H1859" s="13"/>
      <c r="I1859" s="39" t="s">
        <v>7891</v>
      </c>
      <c r="J1859" s="39" t="s">
        <v>7452</v>
      </c>
      <c r="K1859" s="13"/>
      <c r="L1859" s="13"/>
    </row>
    <row r="1860" spans="1:12">
      <c r="A1860" s="13"/>
      <c r="B1860" s="13"/>
      <c r="C1860" s="13"/>
      <c r="D1860" s="13"/>
      <c r="E1860" s="13"/>
      <c r="F1860" s="13"/>
      <c r="G1860" s="13"/>
      <c r="H1860" s="13"/>
      <c r="I1860" s="39" t="s">
        <v>7892</v>
      </c>
      <c r="J1860" s="39" t="s">
        <v>7893</v>
      </c>
      <c r="K1860" s="13"/>
      <c r="L1860" s="13"/>
    </row>
    <row r="1861" spans="1:12">
      <c r="A1861" s="13"/>
      <c r="B1861" s="13"/>
      <c r="C1861" s="13"/>
      <c r="D1861" s="13"/>
      <c r="E1861" s="13"/>
      <c r="F1861" s="13"/>
      <c r="G1861" s="13"/>
      <c r="H1861" s="13"/>
      <c r="I1861" s="39" t="s">
        <v>7894</v>
      </c>
      <c r="J1861" s="39" t="s">
        <v>7895</v>
      </c>
      <c r="K1861" s="13"/>
      <c r="L1861" s="13"/>
    </row>
    <row r="1862" spans="1:12">
      <c r="A1862" s="13"/>
      <c r="B1862" s="13"/>
      <c r="C1862" s="13"/>
      <c r="D1862" s="13"/>
      <c r="E1862" s="13"/>
      <c r="F1862" s="13"/>
      <c r="G1862" s="13"/>
      <c r="H1862" s="13"/>
      <c r="I1862" s="39" t="s">
        <v>7896</v>
      </c>
      <c r="J1862" s="39" t="s">
        <v>7897</v>
      </c>
      <c r="K1862" s="13"/>
      <c r="L1862" s="13"/>
    </row>
    <row r="1863" spans="1:12">
      <c r="A1863" s="13"/>
      <c r="B1863" s="13"/>
      <c r="C1863" s="13"/>
      <c r="D1863" s="13"/>
      <c r="E1863" s="13"/>
      <c r="F1863" s="13"/>
      <c r="G1863" s="13"/>
      <c r="H1863" s="13"/>
      <c r="I1863" s="39" t="s">
        <v>7898</v>
      </c>
      <c r="J1863" s="39" t="s">
        <v>7465</v>
      </c>
      <c r="K1863" s="13"/>
      <c r="L1863" s="13"/>
    </row>
    <row r="1864" spans="1:12">
      <c r="A1864" s="13"/>
      <c r="B1864" s="13"/>
      <c r="C1864" s="13"/>
      <c r="D1864" s="13"/>
      <c r="E1864" s="13"/>
      <c r="F1864" s="13"/>
      <c r="G1864" s="13"/>
      <c r="H1864" s="13"/>
      <c r="I1864" s="39" t="s">
        <v>4080</v>
      </c>
      <c r="J1864" s="39" t="s">
        <v>7899</v>
      </c>
      <c r="K1864" s="13"/>
      <c r="L1864" s="13"/>
    </row>
    <row r="1865" spans="1:12">
      <c r="A1865" s="13"/>
      <c r="B1865" s="13"/>
      <c r="C1865" s="13"/>
      <c r="D1865" s="13"/>
      <c r="E1865" s="13"/>
      <c r="F1865" s="13"/>
      <c r="G1865" s="13"/>
      <c r="H1865" s="13"/>
      <c r="I1865" s="39"/>
      <c r="J1865" s="39" t="s">
        <v>7900</v>
      </c>
      <c r="K1865" s="13"/>
      <c r="L1865" s="13"/>
    </row>
    <row r="1866" spans="1:12">
      <c r="A1866" s="13"/>
      <c r="B1866" s="13"/>
      <c r="C1866" s="13"/>
      <c r="D1866" s="13"/>
      <c r="E1866" s="13"/>
      <c r="F1866" s="13"/>
      <c r="G1866" s="13"/>
      <c r="H1866" s="13"/>
      <c r="I1866" s="39" t="s">
        <v>7901</v>
      </c>
      <c r="J1866" s="39" t="s">
        <v>7902</v>
      </c>
      <c r="K1866" s="13"/>
      <c r="L1866" s="13"/>
    </row>
    <row r="1867" spans="1:12">
      <c r="A1867" s="13"/>
      <c r="B1867" s="13"/>
      <c r="C1867" s="13"/>
      <c r="D1867" s="13"/>
      <c r="E1867" s="13"/>
      <c r="F1867" s="13"/>
      <c r="G1867" s="13"/>
      <c r="H1867" s="13"/>
      <c r="I1867" s="39" t="s">
        <v>7903</v>
      </c>
      <c r="J1867" s="39" t="s">
        <v>7904</v>
      </c>
      <c r="K1867" s="13"/>
      <c r="L1867" s="13"/>
    </row>
    <row r="1868" spans="1:12">
      <c r="A1868" s="13"/>
      <c r="B1868" s="13"/>
      <c r="C1868" s="13"/>
      <c r="D1868" s="13"/>
      <c r="E1868" s="13"/>
      <c r="F1868" s="13"/>
      <c r="G1868" s="13"/>
      <c r="H1868" s="13"/>
      <c r="I1868" s="39" t="s">
        <v>7905</v>
      </c>
      <c r="J1868" s="39" t="s">
        <v>7906</v>
      </c>
      <c r="K1868" s="13"/>
      <c r="L1868" s="13"/>
    </row>
    <row r="1869" spans="1:12">
      <c r="A1869" s="13"/>
      <c r="B1869" s="13"/>
      <c r="C1869" s="13"/>
      <c r="D1869" s="13"/>
      <c r="E1869" s="13"/>
      <c r="F1869" s="13"/>
      <c r="G1869" s="13"/>
      <c r="H1869" s="13"/>
      <c r="I1869" s="39" t="s">
        <v>7896</v>
      </c>
      <c r="J1869" s="39" t="s">
        <v>7907</v>
      </c>
      <c r="K1869" s="13"/>
      <c r="L1869" s="13"/>
    </row>
    <row r="1870" spans="1:12">
      <c r="A1870" s="13"/>
      <c r="B1870" s="13"/>
      <c r="C1870" s="13"/>
      <c r="D1870" s="13"/>
      <c r="E1870" s="13"/>
      <c r="F1870" s="13"/>
      <c r="G1870" s="13"/>
      <c r="H1870" s="13"/>
      <c r="I1870" s="39" t="s">
        <v>7898</v>
      </c>
      <c r="J1870" s="39" t="s">
        <v>7908</v>
      </c>
      <c r="K1870" s="13"/>
      <c r="L1870" s="13"/>
    </row>
    <row r="1871" spans="1:12">
      <c r="A1871" s="13"/>
      <c r="B1871" s="13"/>
      <c r="C1871" s="13"/>
      <c r="D1871" s="13"/>
      <c r="E1871" s="13"/>
      <c r="F1871" s="13"/>
      <c r="G1871" s="13"/>
      <c r="H1871" s="13"/>
      <c r="I1871" s="39" t="s">
        <v>4080</v>
      </c>
      <c r="J1871" s="39" t="s">
        <v>7909</v>
      </c>
      <c r="K1871" s="13"/>
      <c r="L1871" s="13"/>
    </row>
    <row r="1872" spans="1:12">
      <c r="A1872" s="13"/>
      <c r="B1872" s="13"/>
      <c r="C1872" s="13"/>
      <c r="D1872" s="13"/>
      <c r="E1872" s="13"/>
      <c r="F1872" s="13"/>
      <c r="G1872" s="13"/>
      <c r="H1872" s="13"/>
      <c r="I1872" s="39"/>
      <c r="J1872" s="39" t="s">
        <v>7910</v>
      </c>
      <c r="K1872" s="13"/>
      <c r="L1872" s="13"/>
    </row>
    <row r="1873" spans="1:12">
      <c r="A1873" s="13"/>
      <c r="B1873" s="13"/>
      <c r="C1873" s="13"/>
      <c r="D1873" s="13"/>
      <c r="E1873" s="13"/>
      <c r="F1873" s="13"/>
      <c r="G1873" s="13"/>
      <c r="H1873" s="13"/>
      <c r="I1873" s="39" t="s">
        <v>3371</v>
      </c>
      <c r="J1873" s="39" t="s">
        <v>2799</v>
      </c>
      <c r="K1873" s="13"/>
      <c r="L1873" s="13"/>
    </row>
    <row r="1874" spans="1:12">
      <c r="A1874" s="13"/>
      <c r="B1874" s="13"/>
      <c r="C1874" s="13"/>
      <c r="D1874" s="13"/>
      <c r="E1874" s="13"/>
      <c r="F1874" s="13"/>
      <c r="G1874" s="13"/>
      <c r="H1874" s="13"/>
      <c r="I1874" s="39"/>
      <c r="J1874" s="39" t="s">
        <v>7911</v>
      </c>
      <c r="K1874" s="13"/>
      <c r="L1874" s="13"/>
    </row>
    <row r="1875" spans="1:12">
      <c r="A1875" s="13"/>
      <c r="B1875" s="13"/>
      <c r="C1875" s="13"/>
      <c r="D1875" s="13"/>
      <c r="E1875" s="13"/>
      <c r="F1875" s="13"/>
      <c r="G1875" s="13"/>
      <c r="H1875" s="13"/>
      <c r="I1875" s="39" t="s">
        <v>7912</v>
      </c>
      <c r="J1875" s="39" t="s">
        <v>7913</v>
      </c>
      <c r="K1875" s="13"/>
      <c r="L1875" s="13"/>
    </row>
    <row r="1876" spans="1:12">
      <c r="A1876" s="13"/>
      <c r="B1876" s="13"/>
      <c r="C1876" s="13"/>
      <c r="D1876" s="13"/>
      <c r="E1876" s="13"/>
      <c r="F1876" s="13"/>
      <c r="G1876" s="13"/>
      <c r="H1876" s="13"/>
      <c r="I1876" s="39" t="s">
        <v>7914</v>
      </c>
      <c r="J1876" s="39" t="s">
        <v>7902</v>
      </c>
      <c r="K1876" s="13"/>
      <c r="L1876" s="13"/>
    </row>
    <row r="1877" spans="1:12">
      <c r="A1877" s="13"/>
      <c r="B1877" s="13"/>
      <c r="C1877" s="13"/>
      <c r="D1877" s="13"/>
      <c r="E1877" s="13"/>
      <c r="F1877" s="13"/>
      <c r="G1877" s="13"/>
      <c r="H1877" s="13"/>
      <c r="I1877" s="39" t="s">
        <v>7630</v>
      </c>
      <c r="J1877" s="39" t="s">
        <v>7904</v>
      </c>
      <c r="K1877" s="13"/>
      <c r="L1877" s="13"/>
    </row>
    <row r="1878" spans="1:12">
      <c r="A1878" s="13"/>
      <c r="B1878" s="13"/>
      <c r="C1878" s="13"/>
      <c r="D1878" s="13"/>
      <c r="E1878" s="13"/>
      <c r="F1878" s="13"/>
      <c r="G1878" s="13"/>
      <c r="H1878" s="13"/>
      <c r="I1878" s="39" t="s">
        <v>7631</v>
      </c>
      <c r="J1878" s="39" t="s">
        <v>7906</v>
      </c>
      <c r="K1878" s="13"/>
      <c r="L1878" s="13"/>
    </row>
    <row r="1879" spans="1:12">
      <c r="A1879" s="13"/>
      <c r="B1879" s="13"/>
      <c r="C1879" s="13"/>
      <c r="D1879" s="13"/>
      <c r="E1879" s="13"/>
      <c r="F1879" s="13"/>
      <c r="G1879" s="13"/>
      <c r="H1879" s="13"/>
      <c r="I1879" s="39"/>
      <c r="J1879" s="39" t="s">
        <v>7907</v>
      </c>
      <c r="K1879" s="13"/>
      <c r="L1879" s="13"/>
    </row>
    <row r="1880" spans="1:12">
      <c r="A1880" s="13"/>
      <c r="B1880" s="13"/>
      <c r="C1880" s="13"/>
      <c r="D1880" s="13"/>
      <c r="E1880" s="13"/>
      <c r="F1880" s="13"/>
      <c r="G1880" s="13"/>
      <c r="H1880" s="13"/>
      <c r="I1880" s="39" t="s">
        <v>7915</v>
      </c>
      <c r="J1880" s="39" t="s">
        <v>7908</v>
      </c>
      <c r="K1880" s="13"/>
      <c r="L1880" s="13"/>
    </row>
    <row r="1881" spans="1:12">
      <c r="A1881" s="13"/>
      <c r="B1881" s="13"/>
      <c r="C1881" s="13"/>
      <c r="D1881" s="13"/>
      <c r="E1881" s="13"/>
      <c r="F1881" s="13"/>
      <c r="G1881" s="13"/>
      <c r="H1881" s="13"/>
      <c r="I1881" s="39" t="s">
        <v>7916</v>
      </c>
      <c r="J1881" s="39" t="s">
        <v>7909</v>
      </c>
      <c r="K1881" s="13"/>
      <c r="L1881" s="13"/>
    </row>
    <row r="1882" spans="1:12">
      <c r="A1882" s="13"/>
      <c r="B1882" s="13"/>
      <c r="C1882" s="13"/>
      <c r="D1882" s="13"/>
      <c r="E1882" s="13"/>
      <c r="F1882" s="13"/>
      <c r="G1882" s="13"/>
      <c r="H1882" s="13"/>
      <c r="I1882" s="39" t="s">
        <v>7630</v>
      </c>
      <c r="J1882" s="39" t="s">
        <v>7917</v>
      </c>
      <c r="K1882" s="13"/>
      <c r="L1882" s="13"/>
    </row>
    <row r="1883" spans="1:12">
      <c r="A1883" s="13"/>
      <c r="B1883" s="13"/>
      <c r="C1883" s="13"/>
      <c r="D1883" s="13"/>
      <c r="E1883" s="13"/>
      <c r="F1883" s="13"/>
      <c r="G1883" s="13"/>
      <c r="H1883" s="13"/>
      <c r="I1883" s="39" t="s">
        <v>7631</v>
      </c>
      <c r="J1883" s="39" t="s">
        <v>7904</v>
      </c>
      <c r="K1883" s="13"/>
      <c r="L1883" s="13"/>
    </row>
    <row r="1884" spans="1:12">
      <c r="A1884" s="13"/>
      <c r="B1884" s="13"/>
      <c r="C1884" s="13"/>
      <c r="D1884" s="13"/>
      <c r="E1884" s="13"/>
      <c r="F1884" s="13"/>
      <c r="G1884" s="13"/>
      <c r="H1884" s="13"/>
      <c r="I1884" s="39"/>
      <c r="J1884" s="39" t="s">
        <v>7906</v>
      </c>
      <c r="K1884" s="13"/>
      <c r="L1884" s="13"/>
    </row>
    <row r="1885" spans="1:12">
      <c r="A1885" s="13"/>
      <c r="B1885" s="13"/>
      <c r="C1885" s="13"/>
      <c r="D1885" s="13"/>
      <c r="E1885" s="13"/>
      <c r="F1885" s="13"/>
      <c r="G1885" s="13"/>
      <c r="H1885" s="13"/>
      <c r="I1885" s="39" t="s">
        <v>7918</v>
      </c>
      <c r="J1885" s="39" t="s">
        <v>7907</v>
      </c>
      <c r="K1885" s="13"/>
      <c r="L1885" s="13"/>
    </row>
    <row r="1886" spans="1:12">
      <c r="A1886" s="13"/>
      <c r="B1886" s="13"/>
      <c r="C1886" s="13"/>
      <c r="D1886" s="13"/>
      <c r="E1886" s="13"/>
      <c r="F1886" s="13"/>
      <c r="G1886" s="13"/>
      <c r="H1886" s="13"/>
      <c r="I1886" s="39" t="s">
        <v>7919</v>
      </c>
      <c r="J1886" s="39" t="s">
        <v>7908</v>
      </c>
      <c r="K1886" s="13"/>
      <c r="L1886" s="13"/>
    </row>
    <row r="1887" spans="1:12">
      <c r="A1887" s="13"/>
      <c r="B1887" s="13"/>
      <c r="C1887" s="13"/>
      <c r="D1887" s="13"/>
      <c r="E1887" s="13"/>
      <c r="F1887" s="13"/>
      <c r="G1887" s="13"/>
      <c r="H1887" s="13"/>
      <c r="I1887" s="39" t="s">
        <v>7920</v>
      </c>
      <c r="J1887" s="39" t="s">
        <v>7909</v>
      </c>
      <c r="K1887" s="13"/>
      <c r="L1887" s="13"/>
    </row>
    <row r="1888" spans="1:12">
      <c r="A1888" s="13"/>
      <c r="B1888" s="13"/>
      <c r="C1888" s="13"/>
      <c r="D1888" s="13"/>
      <c r="E1888" s="13"/>
      <c r="F1888" s="13"/>
      <c r="G1888" s="13"/>
      <c r="H1888" s="13"/>
      <c r="I1888" s="39" t="s">
        <v>7921</v>
      </c>
      <c r="J1888" s="39" t="s">
        <v>7922</v>
      </c>
      <c r="K1888" s="13"/>
      <c r="L1888" s="13"/>
    </row>
    <row r="1889" spans="1:12">
      <c r="A1889" s="13"/>
      <c r="B1889" s="13"/>
      <c r="C1889" s="13"/>
      <c r="D1889" s="13"/>
      <c r="E1889" s="13"/>
      <c r="F1889" s="13"/>
      <c r="G1889" s="13"/>
      <c r="H1889" s="13"/>
      <c r="I1889" s="39" t="s">
        <v>7630</v>
      </c>
      <c r="J1889" s="39" t="s">
        <v>2799</v>
      </c>
      <c r="K1889" s="13"/>
      <c r="L1889" s="13"/>
    </row>
    <row r="1890" spans="1:12">
      <c r="A1890" s="13"/>
      <c r="B1890" s="13"/>
      <c r="C1890" s="13"/>
      <c r="D1890" s="13"/>
      <c r="E1890" s="13"/>
      <c r="F1890" s="13"/>
      <c r="G1890" s="13"/>
      <c r="H1890" s="13"/>
      <c r="I1890" s="39" t="s">
        <v>7631</v>
      </c>
      <c r="J1890" s="39" t="s">
        <v>7923</v>
      </c>
      <c r="K1890" s="13"/>
      <c r="L1890" s="13"/>
    </row>
    <row r="1891" spans="1:12">
      <c r="A1891" s="13"/>
      <c r="B1891" s="13"/>
      <c r="C1891" s="13"/>
      <c r="D1891" s="13"/>
      <c r="E1891" s="13"/>
      <c r="F1891" s="13"/>
      <c r="G1891" s="13"/>
      <c r="H1891" s="13"/>
      <c r="I1891" s="39"/>
      <c r="J1891" s="39" t="s">
        <v>7917</v>
      </c>
      <c r="K1891" s="13"/>
      <c r="L1891" s="13"/>
    </row>
    <row r="1892" spans="1:12">
      <c r="A1892" s="13"/>
      <c r="B1892" s="13"/>
      <c r="C1892" s="13"/>
      <c r="D1892" s="13"/>
      <c r="E1892" s="13"/>
      <c r="F1892" s="13"/>
      <c r="G1892" s="13"/>
      <c r="H1892" s="13"/>
      <c r="I1892" s="39" t="s">
        <v>7924</v>
      </c>
      <c r="J1892" s="39" t="s">
        <v>7904</v>
      </c>
      <c r="K1892" s="13"/>
      <c r="L1892" s="13"/>
    </row>
    <row r="1893" spans="1:12">
      <c r="A1893" s="13"/>
      <c r="B1893" s="13"/>
      <c r="C1893" s="13"/>
      <c r="D1893" s="13"/>
      <c r="E1893" s="13"/>
      <c r="F1893" s="13"/>
      <c r="G1893" s="13"/>
      <c r="H1893" s="13"/>
      <c r="I1893" s="39" t="s">
        <v>7919</v>
      </c>
      <c r="J1893" s="39" t="s">
        <v>7906</v>
      </c>
      <c r="K1893" s="13"/>
      <c r="L1893" s="13"/>
    </row>
    <row r="1894" spans="1:12">
      <c r="A1894" s="13"/>
      <c r="B1894" s="13"/>
      <c r="C1894" s="13"/>
      <c r="D1894" s="13"/>
      <c r="E1894" s="13"/>
      <c r="F1894" s="13"/>
      <c r="G1894" s="13"/>
      <c r="H1894" s="13"/>
      <c r="I1894" s="39" t="s">
        <v>7920</v>
      </c>
      <c r="J1894" s="39" t="s">
        <v>7907</v>
      </c>
      <c r="K1894" s="13"/>
      <c r="L1894" s="13"/>
    </row>
    <row r="1895" spans="1:12">
      <c r="A1895" s="13"/>
      <c r="B1895" s="13"/>
      <c r="C1895" s="13"/>
      <c r="D1895" s="13"/>
      <c r="E1895" s="13"/>
      <c r="F1895" s="13"/>
      <c r="G1895" s="13"/>
      <c r="H1895" s="13"/>
      <c r="I1895" s="39" t="s">
        <v>7921</v>
      </c>
      <c r="J1895" s="39" t="s">
        <v>7908</v>
      </c>
      <c r="K1895" s="13"/>
      <c r="L1895" s="13"/>
    </row>
    <row r="1896" spans="1:12">
      <c r="A1896" s="13"/>
      <c r="B1896" s="13"/>
      <c r="C1896" s="13"/>
      <c r="D1896" s="13"/>
      <c r="E1896" s="13"/>
      <c r="F1896" s="13"/>
      <c r="G1896" s="13"/>
      <c r="H1896" s="13"/>
      <c r="I1896" s="39" t="s">
        <v>7630</v>
      </c>
      <c r="J1896" s="39" t="s">
        <v>7909</v>
      </c>
      <c r="K1896" s="13"/>
      <c r="L1896" s="13"/>
    </row>
    <row r="1897" spans="1:12">
      <c r="A1897" s="13"/>
      <c r="B1897" s="13"/>
      <c r="C1897" s="13"/>
      <c r="D1897" s="13"/>
      <c r="E1897" s="13"/>
      <c r="F1897" s="13"/>
      <c r="G1897" s="13"/>
      <c r="H1897" s="13"/>
      <c r="I1897" s="39" t="s">
        <v>7631</v>
      </c>
      <c r="J1897" s="39" t="s">
        <v>7925</v>
      </c>
      <c r="K1897" s="13"/>
      <c r="L1897" s="13"/>
    </row>
    <row r="1898" spans="1:12">
      <c r="A1898" s="13"/>
      <c r="B1898" s="13"/>
      <c r="C1898" s="13"/>
      <c r="D1898" s="13"/>
      <c r="E1898" s="13"/>
      <c r="F1898" s="13"/>
      <c r="G1898" s="13"/>
      <c r="H1898" s="13"/>
      <c r="I1898" s="39"/>
      <c r="J1898" s="39" t="s">
        <v>7904</v>
      </c>
      <c r="K1898" s="13"/>
      <c r="L1898" s="13"/>
    </row>
    <row r="1899" spans="1:12">
      <c r="A1899" s="13"/>
      <c r="B1899" s="13"/>
      <c r="C1899" s="13"/>
      <c r="D1899" s="13"/>
      <c r="E1899" s="13"/>
      <c r="F1899" s="13"/>
      <c r="G1899" s="13"/>
      <c r="H1899" s="13"/>
      <c r="I1899" s="39" t="s">
        <v>7926</v>
      </c>
      <c r="J1899" s="39" t="s">
        <v>7906</v>
      </c>
      <c r="K1899" s="13"/>
      <c r="L1899" s="13"/>
    </row>
    <row r="1900" spans="1:12">
      <c r="A1900" s="13"/>
      <c r="B1900" s="13"/>
      <c r="C1900" s="13"/>
      <c r="D1900" s="13"/>
      <c r="E1900" s="13"/>
      <c r="F1900" s="13"/>
      <c r="G1900" s="13"/>
      <c r="H1900" s="13"/>
      <c r="I1900" s="39" t="s">
        <v>7919</v>
      </c>
      <c r="J1900" s="39" t="s">
        <v>7907</v>
      </c>
      <c r="K1900" s="13"/>
      <c r="L1900" s="13"/>
    </row>
    <row r="1901" spans="1:12">
      <c r="A1901" s="13"/>
      <c r="B1901" s="13"/>
      <c r="C1901" s="13"/>
      <c r="D1901" s="13"/>
      <c r="E1901" s="13"/>
      <c r="F1901" s="13"/>
      <c r="G1901" s="13"/>
      <c r="H1901" s="13"/>
      <c r="I1901" s="39" t="s">
        <v>7920</v>
      </c>
      <c r="J1901" s="39" t="s">
        <v>7908</v>
      </c>
      <c r="K1901" s="13"/>
      <c r="L1901" s="13"/>
    </row>
    <row r="1902" spans="1:12">
      <c r="A1902" s="13"/>
      <c r="B1902" s="13"/>
      <c r="C1902" s="13"/>
      <c r="D1902" s="13"/>
      <c r="E1902" s="13"/>
      <c r="F1902" s="13"/>
      <c r="G1902" s="13"/>
      <c r="H1902" s="13"/>
      <c r="I1902" s="39" t="s">
        <v>7921</v>
      </c>
      <c r="J1902" s="39" t="s">
        <v>7909</v>
      </c>
      <c r="K1902" s="13"/>
      <c r="L1902" s="13"/>
    </row>
    <row r="1903" spans="1:12">
      <c r="A1903" s="13"/>
      <c r="B1903" s="13"/>
      <c r="C1903" s="13"/>
      <c r="D1903" s="13"/>
      <c r="E1903" s="13"/>
      <c r="F1903" s="13"/>
      <c r="G1903" s="13"/>
      <c r="H1903" s="13"/>
      <c r="I1903" s="39" t="s">
        <v>7630</v>
      </c>
      <c r="J1903" s="39" t="s">
        <v>7927</v>
      </c>
      <c r="K1903" s="13"/>
      <c r="L1903" s="13"/>
    </row>
    <row r="1904" spans="1:12">
      <c r="A1904" s="13"/>
      <c r="B1904" s="13"/>
      <c r="C1904" s="13"/>
      <c r="D1904" s="13"/>
      <c r="E1904" s="13"/>
      <c r="F1904" s="13"/>
      <c r="G1904" s="13"/>
      <c r="H1904" s="13"/>
      <c r="I1904" s="39" t="s">
        <v>7631</v>
      </c>
      <c r="J1904" s="39" t="s">
        <v>2799</v>
      </c>
      <c r="K1904" s="13"/>
      <c r="L1904" s="13"/>
    </row>
    <row r="1905" spans="1:12">
      <c r="A1905" s="13"/>
      <c r="B1905" s="13"/>
      <c r="C1905" s="13"/>
      <c r="D1905" s="13"/>
      <c r="E1905" s="13"/>
      <c r="F1905" s="13"/>
      <c r="G1905" s="13"/>
      <c r="H1905" s="13"/>
      <c r="I1905" s="39"/>
      <c r="J1905" s="39" t="s">
        <v>7928</v>
      </c>
      <c r="K1905" s="13"/>
      <c r="L1905" s="13"/>
    </row>
    <row r="1906" spans="1:12">
      <c r="A1906" s="13"/>
      <c r="B1906" s="13"/>
      <c r="C1906" s="13"/>
      <c r="D1906" s="13"/>
      <c r="E1906" s="13"/>
      <c r="F1906" s="13"/>
      <c r="G1906" s="13"/>
      <c r="H1906" s="13"/>
      <c r="I1906" s="39" t="s">
        <v>7929</v>
      </c>
      <c r="J1906" s="39" t="s">
        <v>7930</v>
      </c>
      <c r="K1906" s="13"/>
      <c r="L1906" s="13"/>
    </row>
    <row r="1907" spans="1:12">
      <c r="A1907" s="13"/>
      <c r="B1907" s="13"/>
      <c r="C1907" s="13"/>
      <c r="D1907" s="13"/>
      <c r="E1907" s="13"/>
      <c r="F1907" s="13"/>
      <c r="G1907" s="13"/>
      <c r="H1907" s="13"/>
      <c r="I1907" s="39" t="s">
        <v>7931</v>
      </c>
      <c r="J1907" s="39" t="s">
        <v>7932</v>
      </c>
      <c r="K1907" s="13"/>
      <c r="L1907" s="13"/>
    </row>
    <row r="1908" spans="1:12">
      <c r="A1908" s="13"/>
      <c r="B1908" s="13"/>
      <c r="C1908" s="13"/>
      <c r="D1908" s="13"/>
      <c r="E1908" s="13"/>
      <c r="F1908" s="13"/>
      <c r="G1908" s="13"/>
      <c r="H1908" s="13"/>
      <c r="I1908" s="39" t="s">
        <v>7933</v>
      </c>
      <c r="J1908" s="39" t="s">
        <v>7934</v>
      </c>
      <c r="K1908" s="13"/>
      <c r="L1908" s="13"/>
    </row>
    <row r="1909" spans="1:12">
      <c r="A1909" s="13"/>
      <c r="B1909" s="13"/>
      <c r="C1909" s="13"/>
      <c r="D1909" s="13"/>
      <c r="E1909" s="13"/>
      <c r="F1909" s="13"/>
      <c r="G1909" s="13"/>
      <c r="H1909" s="13"/>
      <c r="I1909" s="39" t="s">
        <v>7935</v>
      </c>
      <c r="J1909" s="39" t="s">
        <v>7936</v>
      </c>
      <c r="K1909" s="13"/>
      <c r="L1909" s="13"/>
    </row>
    <row r="1910" spans="1:12">
      <c r="A1910" s="13"/>
      <c r="B1910" s="13"/>
      <c r="C1910" s="13"/>
      <c r="D1910" s="13"/>
      <c r="E1910" s="13"/>
      <c r="F1910" s="13"/>
      <c r="G1910" s="13"/>
      <c r="H1910" s="13"/>
      <c r="I1910" s="39" t="s">
        <v>7937</v>
      </c>
      <c r="J1910" s="39" t="s">
        <v>5553</v>
      </c>
      <c r="K1910" s="13"/>
      <c r="L1910" s="13"/>
    </row>
    <row r="1911" spans="1:12">
      <c r="A1911" s="13"/>
      <c r="B1911" s="13"/>
      <c r="C1911" s="13"/>
      <c r="D1911" s="13"/>
      <c r="E1911" s="13"/>
      <c r="F1911" s="13"/>
      <c r="G1911" s="13"/>
      <c r="H1911" s="13"/>
      <c r="I1911" s="39" t="s">
        <v>7938</v>
      </c>
      <c r="J1911" s="39" t="s">
        <v>2799</v>
      </c>
      <c r="K1911" s="13"/>
      <c r="L1911" s="13"/>
    </row>
    <row r="1912" spans="1:12">
      <c r="A1912" s="13"/>
      <c r="B1912" s="13"/>
      <c r="C1912" s="13"/>
      <c r="D1912" s="13"/>
      <c r="E1912" s="13"/>
      <c r="F1912" s="13"/>
      <c r="G1912" s="13"/>
      <c r="H1912" s="13"/>
      <c r="I1912" s="39" t="s">
        <v>7939</v>
      </c>
      <c r="J1912" s="39" t="s">
        <v>7940</v>
      </c>
      <c r="K1912" s="13"/>
      <c r="L1912" s="13"/>
    </row>
    <row r="1913" spans="1:12">
      <c r="A1913" s="13"/>
      <c r="B1913" s="13"/>
      <c r="C1913" s="13"/>
      <c r="D1913" s="13"/>
      <c r="E1913" s="13"/>
      <c r="F1913" s="13"/>
      <c r="G1913" s="13"/>
      <c r="H1913" s="13"/>
      <c r="I1913" s="39" t="s">
        <v>7941</v>
      </c>
      <c r="J1913" s="39" t="s">
        <v>7942</v>
      </c>
      <c r="K1913" s="13"/>
      <c r="L1913" s="13"/>
    </row>
    <row r="1914" spans="1:12">
      <c r="A1914" s="13"/>
      <c r="B1914" s="13"/>
      <c r="C1914" s="13"/>
      <c r="D1914" s="13"/>
      <c r="E1914" s="13"/>
      <c r="F1914" s="13"/>
      <c r="G1914" s="13"/>
      <c r="H1914" s="13"/>
      <c r="I1914" s="39" t="s">
        <v>3371</v>
      </c>
      <c r="J1914" s="39" t="s">
        <v>7943</v>
      </c>
      <c r="K1914" s="13"/>
      <c r="L1914" s="13"/>
    </row>
    <row r="1915" spans="1:12">
      <c r="A1915" s="13"/>
      <c r="B1915" s="13"/>
      <c r="C1915" s="13"/>
      <c r="D1915" s="13"/>
      <c r="E1915" s="13"/>
      <c r="F1915" s="13"/>
      <c r="G1915" s="13"/>
      <c r="H1915" s="13"/>
      <c r="I1915" s="39"/>
      <c r="J1915" s="39" t="s">
        <v>7928</v>
      </c>
      <c r="K1915" s="13"/>
      <c r="L1915" s="13"/>
    </row>
    <row r="1916" spans="1:12">
      <c r="A1916" s="13"/>
      <c r="B1916" s="13"/>
      <c r="C1916" s="13"/>
      <c r="D1916" s="13"/>
      <c r="E1916" s="13"/>
      <c r="F1916" s="13"/>
      <c r="G1916" s="13"/>
      <c r="H1916" s="13"/>
      <c r="I1916" s="39" t="s">
        <v>7915</v>
      </c>
      <c r="J1916" s="39" t="s">
        <v>7944</v>
      </c>
      <c r="K1916" s="13"/>
      <c r="L1916" s="13"/>
    </row>
    <row r="1917" spans="1:12">
      <c r="A1917" s="13"/>
      <c r="B1917" s="13"/>
      <c r="C1917" s="13"/>
      <c r="D1917" s="13"/>
      <c r="E1917" s="13"/>
      <c r="F1917" s="13"/>
      <c r="G1917" s="13"/>
      <c r="H1917" s="13"/>
      <c r="I1917" s="39" t="s">
        <v>7916</v>
      </c>
      <c r="J1917" s="39" t="s">
        <v>7932</v>
      </c>
      <c r="K1917" s="13"/>
      <c r="L1917" s="13"/>
    </row>
    <row r="1918" spans="1:12">
      <c r="A1918" s="13"/>
      <c r="B1918" s="13"/>
      <c r="C1918" s="13"/>
      <c r="D1918" s="13"/>
      <c r="E1918" s="13"/>
      <c r="F1918" s="13"/>
      <c r="G1918" s="13"/>
      <c r="H1918" s="13"/>
      <c r="I1918" s="39" t="s">
        <v>7630</v>
      </c>
      <c r="J1918" s="39" t="s">
        <v>7945</v>
      </c>
      <c r="K1918" s="13"/>
      <c r="L1918" s="13"/>
    </row>
    <row r="1919" spans="1:12">
      <c r="A1919" s="13"/>
      <c r="B1919" s="13"/>
      <c r="C1919" s="13"/>
      <c r="D1919" s="13"/>
      <c r="E1919" s="13"/>
      <c r="F1919" s="13"/>
      <c r="G1919" s="13"/>
      <c r="H1919" s="13"/>
      <c r="I1919" s="39" t="s">
        <v>7631</v>
      </c>
      <c r="J1919" s="39" t="s">
        <v>7899</v>
      </c>
      <c r="K1919" s="13"/>
      <c r="L1919" s="13"/>
    </row>
    <row r="1920" spans="1:12">
      <c r="A1920" s="13"/>
      <c r="B1920" s="13"/>
      <c r="C1920" s="13"/>
      <c r="D1920" s="13"/>
      <c r="E1920" s="13"/>
      <c r="F1920" s="13"/>
      <c r="G1920" s="13"/>
      <c r="H1920" s="13"/>
      <c r="I1920" s="39"/>
      <c r="J1920" s="39" t="s">
        <v>7900</v>
      </c>
      <c r="K1920" s="13"/>
      <c r="L1920" s="13"/>
    </row>
    <row r="1921" spans="1:12">
      <c r="A1921" s="13"/>
      <c r="B1921" s="13"/>
      <c r="C1921" s="13"/>
      <c r="D1921" s="13"/>
      <c r="E1921" s="13"/>
      <c r="F1921" s="13"/>
      <c r="G1921" s="13"/>
      <c r="H1921" s="13"/>
      <c r="I1921" s="39" t="s">
        <v>2596</v>
      </c>
      <c r="J1921" s="39" t="s">
        <v>7902</v>
      </c>
      <c r="K1921" s="13"/>
      <c r="L1921" s="13"/>
    </row>
    <row r="1922" spans="1:12">
      <c r="A1922" s="13"/>
      <c r="B1922" s="13"/>
      <c r="C1922" s="13"/>
      <c r="D1922" s="13"/>
      <c r="E1922" s="13"/>
      <c r="F1922" s="13"/>
      <c r="G1922" s="13"/>
      <c r="H1922" s="13"/>
      <c r="I1922" s="39"/>
      <c r="J1922" s="39" t="s">
        <v>7904</v>
      </c>
      <c r="K1922" s="13"/>
      <c r="L1922" s="13"/>
    </row>
    <row r="1923" spans="1:12">
      <c r="A1923" s="13"/>
      <c r="B1923" s="13"/>
      <c r="C1923" s="13"/>
      <c r="D1923" s="13"/>
      <c r="E1923" s="13"/>
      <c r="F1923" s="13"/>
      <c r="G1923" s="13"/>
      <c r="H1923" s="13"/>
      <c r="I1923" s="39" t="s">
        <v>7946</v>
      </c>
      <c r="J1923" s="39" t="s">
        <v>7906</v>
      </c>
      <c r="K1923" s="13"/>
      <c r="L1923" s="13"/>
    </row>
    <row r="1924" spans="1:12">
      <c r="A1924" s="13"/>
      <c r="B1924" s="13"/>
      <c r="C1924" s="13"/>
      <c r="D1924" s="13"/>
      <c r="E1924" s="13"/>
      <c r="F1924" s="13"/>
      <c r="G1924" s="13"/>
      <c r="H1924" s="13"/>
      <c r="I1924" s="39" t="s">
        <v>2265</v>
      </c>
      <c r="J1924" s="39" t="s">
        <v>7907</v>
      </c>
      <c r="K1924" s="13"/>
      <c r="L1924" s="13"/>
    </row>
    <row r="1925" spans="1:12">
      <c r="A1925" s="13"/>
      <c r="B1925" s="13"/>
      <c r="C1925" s="13"/>
      <c r="D1925" s="13"/>
      <c r="E1925" s="13"/>
      <c r="F1925" s="13"/>
      <c r="G1925" s="13"/>
      <c r="H1925" s="13"/>
      <c r="I1925" s="39" t="s">
        <v>1278</v>
      </c>
      <c r="J1925" s="39" t="s">
        <v>7908</v>
      </c>
      <c r="K1925" s="13"/>
      <c r="L1925" s="13"/>
    </row>
    <row r="1926" spans="1:12">
      <c r="A1926" s="13"/>
      <c r="B1926" s="13"/>
      <c r="C1926" s="13"/>
      <c r="D1926" s="13"/>
      <c r="E1926" s="13"/>
      <c r="F1926" s="13"/>
      <c r="G1926" s="13"/>
      <c r="H1926" s="13"/>
      <c r="I1926" s="39" t="s">
        <v>5617</v>
      </c>
      <c r="J1926" s="39" t="s">
        <v>7909</v>
      </c>
      <c r="K1926" s="13"/>
      <c r="L1926" s="13"/>
    </row>
    <row r="1927" spans="1:12">
      <c r="A1927" s="13"/>
      <c r="B1927" s="13"/>
      <c r="C1927" s="13"/>
      <c r="D1927" s="13"/>
      <c r="E1927" s="13"/>
      <c r="F1927" s="13"/>
      <c r="G1927" s="13"/>
      <c r="H1927" s="13"/>
      <c r="I1927" s="39" t="s">
        <v>5624</v>
      </c>
      <c r="J1927" s="39" t="s">
        <v>7910</v>
      </c>
      <c r="K1927" s="13"/>
      <c r="L1927" s="13"/>
    </row>
    <row r="1928" spans="1:12">
      <c r="A1928" s="13"/>
      <c r="B1928" s="13"/>
      <c r="C1928" s="13"/>
      <c r="D1928" s="13"/>
      <c r="E1928" s="13"/>
      <c r="F1928" s="13"/>
      <c r="G1928" s="13"/>
      <c r="H1928" s="13"/>
      <c r="I1928" s="39" t="s">
        <v>7947</v>
      </c>
      <c r="J1928" s="39" t="s">
        <v>2799</v>
      </c>
      <c r="K1928" s="13"/>
      <c r="L1928" s="13"/>
    </row>
    <row r="1929" spans="1:12">
      <c r="A1929" s="13"/>
      <c r="B1929" s="13"/>
      <c r="C1929" s="13"/>
      <c r="D1929" s="13"/>
      <c r="E1929" s="13"/>
      <c r="F1929" s="13"/>
      <c r="G1929" s="13"/>
      <c r="H1929" s="13"/>
      <c r="I1929" s="39" t="s">
        <v>7948</v>
      </c>
      <c r="J1929" s="39" t="s">
        <v>7911</v>
      </c>
      <c r="K1929" s="13"/>
      <c r="L1929" s="13"/>
    </row>
    <row r="1930" spans="1:12">
      <c r="A1930" s="13"/>
      <c r="B1930" s="13"/>
      <c r="C1930" s="13"/>
      <c r="D1930" s="13"/>
      <c r="E1930" s="13"/>
      <c r="F1930" s="13"/>
      <c r="G1930" s="13"/>
      <c r="H1930" s="13"/>
      <c r="I1930" s="39" t="s">
        <v>2424</v>
      </c>
      <c r="J1930" s="39" t="s">
        <v>7913</v>
      </c>
      <c r="K1930" s="13"/>
      <c r="L1930" s="13"/>
    </row>
    <row r="1931" spans="1:12">
      <c r="A1931" s="13"/>
      <c r="B1931" s="13"/>
      <c r="C1931" s="13"/>
      <c r="D1931" s="13"/>
      <c r="E1931" s="13"/>
      <c r="F1931" s="13"/>
      <c r="G1931" s="13"/>
      <c r="H1931" s="13"/>
      <c r="I1931" s="39" t="s">
        <v>7949</v>
      </c>
      <c r="J1931" s="39" t="s">
        <v>7902</v>
      </c>
      <c r="K1931" s="13"/>
      <c r="L1931" s="13"/>
    </row>
    <row r="1932" spans="1:12">
      <c r="A1932" s="13"/>
      <c r="B1932" s="13"/>
      <c r="C1932" s="13"/>
      <c r="D1932" s="13"/>
      <c r="E1932" s="13"/>
      <c r="F1932" s="13"/>
      <c r="G1932" s="13"/>
      <c r="H1932" s="13"/>
      <c r="I1932" s="39" t="s">
        <v>2357</v>
      </c>
      <c r="J1932" s="39" t="s">
        <v>7904</v>
      </c>
      <c r="K1932" s="13"/>
      <c r="L1932" s="13"/>
    </row>
    <row r="1933" spans="1:12">
      <c r="A1933" s="13"/>
      <c r="B1933" s="13"/>
      <c r="C1933" s="13"/>
      <c r="D1933" s="13"/>
      <c r="E1933" s="13"/>
      <c r="F1933" s="13"/>
      <c r="G1933" s="13"/>
      <c r="H1933" s="13"/>
      <c r="I1933" s="39" t="s">
        <v>5634</v>
      </c>
      <c r="J1933" s="39" t="s">
        <v>7906</v>
      </c>
      <c r="K1933" s="13"/>
      <c r="L1933" s="13"/>
    </row>
    <row r="1934" spans="1:12">
      <c r="A1934" s="13"/>
      <c r="B1934" s="13"/>
      <c r="C1934" s="13"/>
      <c r="D1934" s="13"/>
      <c r="E1934" s="13"/>
      <c r="F1934" s="13"/>
      <c r="G1934" s="13"/>
      <c r="H1934" s="13"/>
      <c r="I1934" s="39" t="s">
        <v>4078</v>
      </c>
      <c r="J1934" s="39" t="s">
        <v>7907</v>
      </c>
      <c r="K1934" s="13"/>
      <c r="L1934" s="13"/>
    </row>
    <row r="1935" spans="1:12">
      <c r="A1935" s="13"/>
      <c r="B1935" s="13"/>
      <c r="C1935" s="13"/>
      <c r="D1935" s="13"/>
      <c r="E1935" s="13"/>
      <c r="F1935" s="13"/>
      <c r="G1935" s="13"/>
      <c r="H1935" s="13"/>
      <c r="I1935" s="39" t="s">
        <v>5640</v>
      </c>
      <c r="J1935" s="39" t="s">
        <v>7908</v>
      </c>
      <c r="K1935" s="13"/>
      <c r="L1935" s="13"/>
    </row>
    <row r="1936" spans="1:12">
      <c r="A1936" s="13"/>
      <c r="B1936" s="13"/>
      <c r="C1936" s="13"/>
      <c r="D1936" s="13"/>
      <c r="E1936" s="13"/>
      <c r="F1936" s="13"/>
      <c r="G1936" s="13"/>
      <c r="H1936" s="13"/>
      <c r="I1936" s="39" t="s">
        <v>5645</v>
      </c>
      <c r="J1936" s="39" t="s">
        <v>7909</v>
      </c>
      <c r="K1936" s="13"/>
      <c r="L1936" s="13"/>
    </row>
    <row r="1937" spans="1:12">
      <c r="A1937" s="13"/>
      <c r="B1937" s="13"/>
      <c r="C1937" s="13"/>
      <c r="D1937" s="13"/>
      <c r="E1937" s="13"/>
      <c r="F1937" s="13"/>
      <c r="G1937" s="13"/>
      <c r="H1937" s="13"/>
      <c r="I1937" s="39" t="s">
        <v>2424</v>
      </c>
      <c r="J1937" s="39" t="s">
        <v>7917</v>
      </c>
      <c r="K1937" s="13"/>
      <c r="L1937" s="13"/>
    </row>
    <row r="1938" spans="1:12">
      <c r="A1938" s="13"/>
      <c r="B1938" s="13"/>
      <c r="C1938" s="13"/>
      <c r="D1938" s="13"/>
      <c r="E1938" s="13"/>
      <c r="F1938" s="13"/>
      <c r="G1938" s="13"/>
      <c r="H1938" s="13"/>
      <c r="I1938" s="39" t="s">
        <v>7950</v>
      </c>
      <c r="J1938" s="39" t="s">
        <v>7904</v>
      </c>
      <c r="K1938" s="13"/>
      <c r="L1938" s="13"/>
    </row>
    <row r="1939" spans="1:12">
      <c r="A1939" s="13"/>
      <c r="B1939" s="13"/>
      <c r="C1939" s="13"/>
      <c r="D1939" s="13"/>
      <c r="E1939" s="13"/>
      <c r="F1939" s="13"/>
      <c r="G1939" s="13"/>
      <c r="H1939" s="13"/>
      <c r="I1939" s="39" t="s">
        <v>7951</v>
      </c>
      <c r="J1939" s="39" t="s">
        <v>7906</v>
      </c>
      <c r="K1939" s="13"/>
      <c r="L1939" s="13"/>
    </row>
    <row r="1940" spans="1:12">
      <c r="A1940" s="13"/>
      <c r="B1940" s="13"/>
      <c r="C1940" s="13"/>
      <c r="D1940" s="13"/>
      <c r="E1940" s="13"/>
      <c r="F1940" s="13"/>
      <c r="G1940" s="13"/>
      <c r="H1940" s="13"/>
      <c r="I1940" s="39" t="s">
        <v>6748</v>
      </c>
      <c r="J1940" s="39" t="s">
        <v>7907</v>
      </c>
      <c r="K1940" s="13"/>
      <c r="L1940" s="13"/>
    </row>
    <row r="1941" spans="1:12">
      <c r="A1941" s="13"/>
      <c r="B1941" s="13"/>
      <c r="C1941" s="13"/>
      <c r="D1941" s="13"/>
      <c r="E1941" s="13"/>
      <c r="F1941" s="13"/>
      <c r="G1941" s="13"/>
      <c r="H1941" s="13"/>
      <c r="I1941" s="39" t="s">
        <v>2357</v>
      </c>
      <c r="J1941" s="39" t="s">
        <v>7908</v>
      </c>
      <c r="K1941" s="13"/>
      <c r="L1941" s="13"/>
    </row>
    <row r="1942" spans="1:12">
      <c r="A1942" s="13"/>
      <c r="B1942" s="13"/>
      <c r="C1942" s="13"/>
      <c r="D1942" s="13"/>
      <c r="E1942" s="13"/>
      <c r="F1942" s="13"/>
      <c r="G1942" s="13"/>
      <c r="H1942" s="13"/>
      <c r="I1942" s="39" t="s">
        <v>2237</v>
      </c>
      <c r="J1942" s="39" t="s">
        <v>7909</v>
      </c>
      <c r="K1942" s="13"/>
      <c r="L1942" s="13"/>
    </row>
    <row r="1943" spans="1:12">
      <c r="A1943" s="13"/>
      <c r="B1943" s="13"/>
      <c r="C1943" s="13"/>
      <c r="D1943" s="13"/>
      <c r="E1943" s="13"/>
      <c r="F1943" s="13"/>
      <c r="G1943" s="13"/>
      <c r="H1943" s="13"/>
      <c r="I1943" s="39" t="s">
        <v>5659</v>
      </c>
      <c r="J1943" s="39" t="s">
        <v>7922</v>
      </c>
      <c r="K1943" s="13"/>
      <c r="L1943" s="13"/>
    </row>
    <row r="1944" spans="1:12">
      <c r="A1944" s="13"/>
      <c r="B1944" s="13"/>
      <c r="C1944" s="13"/>
      <c r="D1944" s="13"/>
      <c r="E1944" s="13"/>
      <c r="F1944" s="13"/>
      <c r="G1944" s="13"/>
      <c r="H1944" s="13"/>
      <c r="I1944" s="39" t="s">
        <v>2265</v>
      </c>
      <c r="J1944" s="39" t="s">
        <v>2799</v>
      </c>
      <c r="K1944" s="13"/>
      <c r="L1944" s="13"/>
    </row>
    <row r="1945" spans="1:12">
      <c r="A1945" s="13"/>
      <c r="B1945" s="13"/>
      <c r="C1945" s="13"/>
      <c r="D1945" s="13"/>
      <c r="E1945" s="13"/>
      <c r="F1945" s="13"/>
      <c r="G1945" s="13"/>
      <c r="H1945" s="13"/>
      <c r="I1945" s="39" t="s">
        <v>1273</v>
      </c>
      <c r="J1945" s="39" t="s">
        <v>7923</v>
      </c>
      <c r="K1945" s="13"/>
      <c r="L1945" s="13"/>
    </row>
    <row r="1946" spans="1:12">
      <c r="A1946" s="13"/>
      <c r="B1946" s="13"/>
      <c r="C1946" s="13"/>
      <c r="D1946" s="13"/>
      <c r="E1946" s="13"/>
      <c r="F1946" s="13"/>
      <c r="G1946" s="13"/>
      <c r="H1946" s="13"/>
      <c r="I1946" s="39" t="s">
        <v>1259</v>
      </c>
      <c r="J1946" s="39" t="s">
        <v>7917</v>
      </c>
      <c r="K1946" s="13"/>
      <c r="L1946" s="13"/>
    </row>
    <row r="1947" spans="1:12">
      <c r="A1947" s="13"/>
      <c r="B1947" s="13"/>
      <c r="C1947" s="13"/>
      <c r="D1947" s="13"/>
      <c r="E1947" s="13"/>
      <c r="F1947" s="13"/>
      <c r="G1947" s="13"/>
      <c r="H1947" s="13"/>
      <c r="I1947" s="39" t="s">
        <v>1259</v>
      </c>
      <c r="J1947" s="39" t="s">
        <v>7904</v>
      </c>
      <c r="K1947" s="13"/>
      <c r="L1947" s="13"/>
    </row>
    <row r="1948" spans="1:12">
      <c r="A1948" s="13"/>
      <c r="B1948" s="13"/>
      <c r="C1948" s="13"/>
      <c r="D1948" s="13"/>
      <c r="E1948" s="13"/>
      <c r="F1948" s="13"/>
      <c r="G1948" s="13"/>
      <c r="H1948" s="13"/>
      <c r="I1948" s="39" t="s">
        <v>1259</v>
      </c>
      <c r="J1948" s="39" t="s">
        <v>7906</v>
      </c>
      <c r="K1948" s="13"/>
      <c r="L1948" s="13"/>
    </row>
    <row r="1949" spans="1:12">
      <c r="A1949" s="13"/>
      <c r="B1949" s="13"/>
      <c r="C1949" s="13"/>
      <c r="D1949" s="13"/>
      <c r="E1949" s="13"/>
      <c r="F1949" s="13"/>
      <c r="G1949" s="13"/>
      <c r="H1949" s="13"/>
      <c r="I1949" s="39" t="s">
        <v>4697</v>
      </c>
      <c r="J1949" s="39" t="s">
        <v>7907</v>
      </c>
      <c r="K1949" s="13"/>
      <c r="L1949" s="13"/>
    </row>
    <row r="1950" spans="1:12">
      <c r="A1950" s="13"/>
      <c r="B1950" s="13"/>
      <c r="C1950" s="13"/>
      <c r="D1950" s="13"/>
      <c r="E1950" s="13"/>
      <c r="F1950" s="13"/>
      <c r="G1950" s="13"/>
      <c r="H1950" s="13"/>
      <c r="I1950" s="39" t="s">
        <v>7952</v>
      </c>
      <c r="J1950" s="39" t="s">
        <v>7908</v>
      </c>
      <c r="K1950" s="13"/>
      <c r="L1950" s="13"/>
    </row>
    <row r="1951" spans="1:12">
      <c r="A1951" s="13"/>
      <c r="B1951" s="13"/>
      <c r="C1951" s="13"/>
      <c r="D1951" s="13"/>
      <c r="E1951" s="13"/>
      <c r="F1951" s="13"/>
      <c r="G1951" s="13"/>
      <c r="H1951" s="13"/>
      <c r="I1951" s="39" t="s">
        <v>4710</v>
      </c>
      <c r="J1951" s="39" t="s">
        <v>7909</v>
      </c>
      <c r="K1951" s="13"/>
      <c r="L1951" s="13"/>
    </row>
    <row r="1952" spans="1:12">
      <c r="A1952" s="13"/>
      <c r="B1952" s="13"/>
      <c r="C1952" s="13"/>
      <c r="D1952" s="13"/>
      <c r="E1952" s="13"/>
      <c r="F1952" s="13"/>
      <c r="G1952" s="13"/>
      <c r="H1952" s="13"/>
      <c r="I1952" s="39" t="s">
        <v>2237</v>
      </c>
      <c r="J1952" s="39" t="s">
        <v>7925</v>
      </c>
      <c r="K1952" s="13"/>
      <c r="L1952" s="13"/>
    </row>
    <row r="1953" spans="1:12">
      <c r="A1953" s="13"/>
      <c r="B1953" s="13"/>
      <c r="C1953" s="13"/>
      <c r="D1953" s="13"/>
      <c r="E1953" s="13"/>
      <c r="F1953" s="13"/>
      <c r="G1953" s="13"/>
      <c r="H1953" s="13"/>
      <c r="I1953" s="39" t="s">
        <v>1576</v>
      </c>
      <c r="J1953" s="39" t="s">
        <v>7904</v>
      </c>
      <c r="K1953" s="13"/>
      <c r="L1953" s="13"/>
    </row>
    <row r="1954" spans="1:12">
      <c r="A1954" s="13"/>
      <c r="B1954" s="13"/>
      <c r="C1954" s="13"/>
      <c r="D1954" s="13"/>
      <c r="E1954" s="13"/>
      <c r="F1954" s="13"/>
      <c r="G1954" s="13"/>
      <c r="H1954" s="13"/>
      <c r="I1954" s="13"/>
      <c r="J1954" s="39" t="s">
        <v>7906</v>
      </c>
      <c r="K1954" s="13"/>
      <c r="L1954" s="13"/>
    </row>
    <row r="1955" spans="1:12">
      <c r="A1955" s="13"/>
      <c r="B1955" s="13"/>
      <c r="C1955" s="13"/>
      <c r="D1955" s="13"/>
      <c r="E1955" s="13"/>
      <c r="F1955" s="13"/>
      <c r="G1955" s="13"/>
      <c r="H1955" s="13"/>
      <c r="I1955" s="13"/>
      <c r="J1955" s="39" t="s">
        <v>7907</v>
      </c>
      <c r="K1955" s="13"/>
      <c r="L1955" s="13"/>
    </row>
    <row r="1956" spans="1:12">
      <c r="A1956" s="13"/>
      <c r="B1956" s="13"/>
      <c r="C1956" s="13"/>
      <c r="D1956" s="13"/>
      <c r="E1956" s="13"/>
      <c r="F1956" s="13"/>
      <c r="G1956" s="13"/>
      <c r="H1956" s="13"/>
      <c r="I1956" s="13"/>
      <c r="J1956" s="39" t="s">
        <v>7908</v>
      </c>
      <c r="K1956" s="13"/>
      <c r="L1956" s="13"/>
    </row>
    <row r="1957" spans="1:12">
      <c r="A1957" s="13"/>
      <c r="B1957" s="13"/>
      <c r="C1957" s="13"/>
      <c r="D1957" s="13"/>
      <c r="E1957" s="13"/>
      <c r="F1957" s="13"/>
      <c r="G1957" s="13"/>
      <c r="H1957" s="13"/>
      <c r="I1957" s="13"/>
      <c r="J1957" s="39" t="s">
        <v>7909</v>
      </c>
      <c r="K1957" s="13"/>
      <c r="L1957" s="13"/>
    </row>
    <row r="1958" spans="1:12">
      <c r="A1958" s="13"/>
      <c r="B1958" s="13"/>
      <c r="C1958" s="13"/>
      <c r="D1958" s="13"/>
      <c r="E1958" s="13"/>
      <c r="F1958" s="13"/>
      <c r="G1958" s="13"/>
      <c r="H1958" s="13"/>
      <c r="I1958" s="13"/>
      <c r="J1958" s="39" t="s">
        <v>7927</v>
      </c>
      <c r="K1958" s="13"/>
      <c r="L1958" s="13"/>
    </row>
    <row r="1959" spans="1:12">
      <c r="A1959" s="13"/>
      <c r="B1959" s="13"/>
      <c r="C1959" s="13"/>
      <c r="D1959" s="13"/>
      <c r="E1959" s="13"/>
      <c r="F1959" s="13"/>
      <c r="G1959" s="13"/>
      <c r="H1959" s="13"/>
      <c r="I1959" s="13"/>
      <c r="J1959" s="39" t="s">
        <v>2799</v>
      </c>
      <c r="K1959" s="13"/>
      <c r="L1959" s="13"/>
    </row>
    <row r="1960" spans="1:12">
      <c r="A1960" s="13"/>
      <c r="B1960" s="13"/>
      <c r="C1960" s="13"/>
      <c r="D1960" s="13"/>
      <c r="E1960" s="13"/>
      <c r="F1960" s="13"/>
      <c r="G1960" s="13"/>
      <c r="H1960" s="13"/>
      <c r="I1960" s="13"/>
      <c r="J1960" s="39" t="s">
        <v>7953</v>
      </c>
      <c r="K1960" s="13"/>
      <c r="L1960" s="13"/>
    </row>
    <row r="1961" spans="1:12">
      <c r="A1961" s="13"/>
      <c r="B1961" s="13"/>
      <c r="C1961" s="13"/>
      <c r="D1961" s="13"/>
      <c r="E1961" s="13"/>
      <c r="F1961" s="13"/>
      <c r="G1961" s="13"/>
      <c r="H1961" s="13"/>
      <c r="I1961" s="13"/>
      <c r="J1961" s="39" t="s">
        <v>7954</v>
      </c>
      <c r="K1961" s="13"/>
      <c r="L1961" s="13"/>
    </row>
    <row r="1962" spans="1:12">
      <c r="A1962" s="13"/>
      <c r="B1962" s="13"/>
      <c r="C1962" s="13"/>
      <c r="D1962" s="13"/>
      <c r="E1962" s="13"/>
      <c r="F1962" s="13"/>
      <c r="G1962" s="13"/>
      <c r="H1962" s="13"/>
      <c r="I1962" s="13"/>
      <c r="J1962" s="39" t="s">
        <v>7925</v>
      </c>
      <c r="K1962" s="13"/>
      <c r="L1962" s="13"/>
    </row>
    <row r="1963" spans="1:12">
      <c r="A1963" s="13"/>
      <c r="B1963" s="13"/>
      <c r="C1963" s="13"/>
      <c r="D1963" s="13"/>
      <c r="E1963" s="13"/>
      <c r="F1963" s="13"/>
      <c r="G1963" s="13"/>
      <c r="H1963" s="13"/>
      <c r="I1963" s="13"/>
      <c r="J1963" s="39" t="s">
        <v>7904</v>
      </c>
      <c r="K1963" s="13"/>
      <c r="L1963" s="13"/>
    </row>
    <row r="1964" spans="1:12">
      <c r="A1964" s="13"/>
      <c r="B1964" s="13"/>
      <c r="C1964" s="13"/>
      <c r="D1964" s="13"/>
      <c r="E1964" s="13"/>
      <c r="F1964" s="13"/>
      <c r="G1964" s="13"/>
      <c r="H1964" s="13"/>
      <c r="I1964" s="13"/>
      <c r="J1964" s="39" t="s">
        <v>7906</v>
      </c>
      <c r="K1964" s="13"/>
      <c r="L1964" s="13"/>
    </row>
    <row r="1965" spans="1:12">
      <c r="A1965" s="13"/>
      <c r="B1965" s="13"/>
      <c r="C1965" s="13"/>
      <c r="D1965" s="13"/>
      <c r="E1965" s="13"/>
      <c r="F1965" s="13"/>
      <c r="G1965" s="13"/>
      <c r="H1965" s="13"/>
      <c r="I1965" s="13"/>
      <c r="J1965" s="39" t="s">
        <v>7907</v>
      </c>
      <c r="K1965" s="13"/>
      <c r="L1965" s="13"/>
    </row>
    <row r="1966" spans="1:12">
      <c r="A1966" s="13"/>
      <c r="B1966" s="13"/>
      <c r="C1966" s="13"/>
      <c r="D1966" s="13"/>
      <c r="E1966" s="13"/>
      <c r="F1966" s="13"/>
      <c r="G1966" s="13"/>
      <c r="H1966" s="13"/>
      <c r="I1966" s="13"/>
      <c r="J1966" s="39" t="s">
        <v>7908</v>
      </c>
      <c r="K1966" s="13"/>
      <c r="L1966" s="13"/>
    </row>
    <row r="1967" spans="1:12">
      <c r="A1967" s="13"/>
      <c r="B1967" s="13"/>
      <c r="C1967" s="13"/>
      <c r="D1967" s="13"/>
      <c r="E1967" s="13"/>
      <c r="F1967" s="13"/>
      <c r="G1967" s="13"/>
      <c r="H1967" s="13"/>
      <c r="I1967" s="13"/>
      <c r="J1967" s="39" t="s">
        <v>7909</v>
      </c>
      <c r="K1967" s="13"/>
      <c r="L1967" s="13"/>
    </row>
    <row r="1968" spans="1:12">
      <c r="A1968" s="13"/>
      <c r="B1968" s="13"/>
      <c r="C1968" s="13"/>
      <c r="D1968" s="13"/>
      <c r="E1968" s="13"/>
      <c r="F1968" s="13"/>
      <c r="G1968" s="13"/>
      <c r="H1968" s="13"/>
      <c r="I1968" s="13"/>
      <c r="J1968" s="39" t="s">
        <v>7955</v>
      </c>
      <c r="K1968" s="13"/>
      <c r="L1968" s="13"/>
    </row>
    <row r="1969" spans="1:12">
      <c r="A1969" s="13"/>
      <c r="B1969" s="13"/>
      <c r="C1969" s="13"/>
      <c r="D1969" s="13"/>
      <c r="E1969" s="13"/>
      <c r="F1969" s="13"/>
      <c r="G1969" s="13"/>
      <c r="H1969" s="13"/>
      <c r="I1969" s="13"/>
      <c r="J1969" s="39" t="s">
        <v>2799</v>
      </c>
      <c r="K1969" s="13"/>
      <c r="L1969" s="13"/>
    </row>
    <row r="1970" spans="1:12">
      <c r="A1970" s="13"/>
      <c r="B1970" s="13"/>
      <c r="C1970" s="13"/>
      <c r="D1970" s="13"/>
      <c r="E1970" s="13"/>
      <c r="F1970" s="13"/>
      <c r="G1970" s="13"/>
      <c r="H1970" s="13"/>
      <c r="I1970" s="13"/>
      <c r="J1970" s="39" t="s">
        <v>7956</v>
      </c>
      <c r="K1970" s="13"/>
      <c r="L1970" s="13"/>
    </row>
    <row r="1971" spans="1:12">
      <c r="A1971" s="13"/>
      <c r="B1971" s="13"/>
      <c r="C1971" s="13"/>
      <c r="D1971" s="13"/>
      <c r="E1971" s="13"/>
      <c r="F1971" s="13"/>
      <c r="G1971" s="13"/>
      <c r="H1971" s="13"/>
      <c r="I1971" s="13"/>
      <c r="J1971" s="39" t="s">
        <v>7957</v>
      </c>
      <c r="K1971" s="13"/>
      <c r="L1971" s="13"/>
    </row>
    <row r="1972" spans="1:12">
      <c r="A1972" s="13"/>
      <c r="B1972" s="13"/>
      <c r="C1972" s="13"/>
      <c r="D1972" s="13"/>
      <c r="E1972" s="13"/>
      <c r="F1972" s="13"/>
      <c r="G1972" s="13"/>
      <c r="H1972" s="13"/>
      <c r="I1972" s="13"/>
      <c r="J1972" s="39" t="s">
        <v>7917</v>
      </c>
      <c r="K1972" s="13"/>
      <c r="L1972" s="13"/>
    </row>
    <row r="1973" spans="1:12">
      <c r="A1973" s="13"/>
      <c r="B1973" s="13"/>
      <c r="C1973" s="13"/>
      <c r="D1973" s="13"/>
      <c r="E1973" s="13"/>
      <c r="F1973" s="13"/>
      <c r="G1973" s="13"/>
      <c r="H1973" s="13"/>
      <c r="I1973" s="13"/>
      <c r="J1973" s="39" t="s">
        <v>7904</v>
      </c>
      <c r="K1973" s="13"/>
      <c r="L1973" s="13"/>
    </row>
    <row r="1974" spans="1:12">
      <c r="A1974" s="13"/>
      <c r="B1974" s="13"/>
      <c r="C1974" s="13"/>
      <c r="D1974" s="13"/>
      <c r="E1974" s="13"/>
      <c r="F1974" s="13"/>
      <c r="G1974" s="13"/>
      <c r="H1974" s="13"/>
      <c r="I1974" s="13"/>
      <c r="J1974" s="39" t="s">
        <v>7906</v>
      </c>
      <c r="K1974" s="13"/>
      <c r="L1974" s="13"/>
    </row>
    <row r="1975" spans="1:12">
      <c r="A1975" s="13"/>
      <c r="B1975" s="13"/>
      <c r="C1975" s="13"/>
      <c r="D1975" s="13"/>
      <c r="E1975" s="13"/>
      <c r="F1975" s="13"/>
      <c r="G1975" s="13"/>
      <c r="H1975" s="13"/>
      <c r="I1975" s="13"/>
      <c r="J1975" s="39" t="s">
        <v>7907</v>
      </c>
      <c r="K1975" s="13"/>
      <c r="L1975" s="13"/>
    </row>
    <row r="1976" spans="1:12">
      <c r="A1976" s="13"/>
      <c r="B1976" s="13"/>
      <c r="C1976" s="13"/>
      <c r="D1976" s="13"/>
      <c r="E1976" s="13"/>
      <c r="F1976" s="13"/>
      <c r="G1976" s="13"/>
      <c r="H1976" s="13"/>
      <c r="I1976" s="13"/>
      <c r="J1976" s="39" t="s">
        <v>7908</v>
      </c>
      <c r="K1976" s="13"/>
      <c r="L1976" s="13"/>
    </row>
    <row r="1977" spans="1:12">
      <c r="A1977" s="13"/>
      <c r="B1977" s="13"/>
      <c r="C1977" s="13"/>
      <c r="D1977" s="13"/>
      <c r="E1977" s="13"/>
      <c r="F1977" s="13"/>
      <c r="G1977" s="13"/>
      <c r="H1977" s="13"/>
      <c r="I1977" s="13"/>
      <c r="J1977" s="39" t="s">
        <v>7909</v>
      </c>
      <c r="K1977" s="13"/>
      <c r="L1977" s="13"/>
    </row>
    <row r="1978" spans="1:12">
      <c r="A1978" s="13"/>
      <c r="B1978" s="13"/>
      <c r="C1978" s="13"/>
      <c r="D1978" s="13"/>
      <c r="E1978" s="13"/>
      <c r="F1978" s="13"/>
      <c r="G1978" s="13"/>
      <c r="H1978" s="13"/>
      <c r="I1978" s="13"/>
      <c r="J1978" s="39" t="s">
        <v>7958</v>
      </c>
      <c r="K1978" s="13"/>
      <c r="L1978" s="13"/>
    </row>
    <row r="1979" spans="1:12">
      <c r="A1979" s="13"/>
      <c r="B1979" s="13"/>
      <c r="C1979" s="13"/>
      <c r="D1979" s="13"/>
      <c r="E1979" s="13"/>
      <c r="F1979" s="13"/>
      <c r="G1979" s="13"/>
      <c r="H1979" s="13"/>
      <c r="I1979" s="13"/>
      <c r="J1979" s="39" t="s">
        <v>2799</v>
      </c>
      <c r="K1979" s="13"/>
      <c r="L1979" s="13"/>
    </row>
    <row r="1980" spans="1:12">
      <c r="A1980" s="13"/>
      <c r="B1980" s="13"/>
      <c r="C1980" s="13"/>
      <c r="D1980" s="13"/>
      <c r="E1980" s="13"/>
      <c r="F1980" s="13"/>
      <c r="G1980" s="13"/>
      <c r="H1980" s="13"/>
      <c r="I1980" s="13"/>
      <c r="J1980" s="39" t="s">
        <v>7928</v>
      </c>
      <c r="K1980" s="13"/>
      <c r="L1980" s="13"/>
    </row>
    <row r="1981" spans="1:12">
      <c r="A1981" s="13"/>
      <c r="B1981" s="13"/>
      <c r="C1981" s="13"/>
      <c r="D1981" s="13"/>
      <c r="E1981" s="13"/>
      <c r="F1981" s="13"/>
      <c r="G1981" s="13"/>
      <c r="H1981" s="13"/>
      <c r="I1981" s="13"/>
      <c r="J1981" s="39" t="s">
        <v>7930</v>
      </c>
      <c r="K1981" s="13"/>
      <c r="L1981" s="13"/>
    </row>
    <row r="1982" spans="1:12">
      <c r="A1982" s="13"/>
      <c r="B1982" s="13"/>
      <c r="C1982" s="13"/>
      <c r="D1982" s="13"/>
      <c r="E1982" s="13"/>
      <c r="F1982" s="13"/>
      <c r="G1982" s="13"/>
      <c r="H1982" s="13"/>
      <c r="I1982" s="13"/>
      <c r="J1982" s="39" t="s">
        <v>7932</v>
      </c>
      <c r="K1982" s="13"/>
      <c r="L1982" s="13"/>
    </row>
    <row r="1983" spans="1:12">
      <c r="A1983" s="13"/>
      <c r="B1983" s="13"/>
      <c r="C1983" s="13"/>
      <c r="D1983" s="13"/>
      <c r="E1983" s="13"/>
      <c r="F1983" s="13"/>
      <c r="G1983" s="13"/>
      <c r="H1983" s="13"/>
      <c r="I1983" s="13"/>
      <c r="J1983" s="39" t="s">
        <v>7934</v>
      </c>
      <c r="K1983" s="13"/>
      <c r="L1983" s="13"/>
    </row>
    <row r="1984" spans="1:12">
      <c r="A1984" s="13"/>
      <c r="B1984" s="13"/>
      <c r="C1984" s="13"/>
      <c r="D1984" s="13"/>
      <c r="E1984" s="13"/>
      <c r="F1984" s="13"/>
      <c r="G1984" s="13"/>
      <c r="H1984" s="13"/>
      <c r="I1984" s="13"/>
      <c r="J1984" s="39" t="s">
        <v>7936</v>
      </c>
      <c r="K1984" s="13"/>
      <c r="L1984" s="13"/>
    </row>
    <row r="1985" spans="1:12">
      <c r="A1985" s="13"/>
      <c r="B1985" s="13"/>
      <c r="C1985" s="13"/>
      <c r="D1985" s="13"/>
      <c r="E1985" s="13"/>
      <c r="F1985" s="13"/>
      <c r="G1985" s="13"/>
      <c r="H1985" s="13"/>
      <c r="I1985" s="13"/>
      <c r="J1985" s="39" t="s">
        <v>5553</v>
      </c>
      <c r="K1985" s="13"/>
      <c r="L1985" s="13"/>
    </row>
    <row r="1986" spans="1:12">
      <c r="A1986" s="13"/>
      <c r="B1986" s="13"/>
      <c r="C1986" s="13"/>
      <c r="D1986" s="13"/>
      <c r="E1986" s="13"/>
      <c r="F1986" s="13"/>
      <c r="G1986" s="13"/>
      <c r="H1986" s="13"/>
      <c r="I1986" s="13"/>
      <c r="J1986" s="39" t="s">
        <v>2799</v>
      </c>
      <c r="K1986" s="13"/>
      <c r="L1986" s="13"/>
    </row>
    <row r="1987" spans="1:12">
      <c r="A1987" s="13"/>
      <c r="B1987" s="13"/>
      <c r="C1987" s="13"/>
      <c r="D1987" s="13"/>
      <c r="E1987" s="13"/>
      <c r="F1987" s="13"/>
      <c r="G1987" s="13"/>
      <c r="H1987" s="13"/>
      <c r="I1987" s="13"/>
      <c r="J1987" s="39" t="s">
        <v>7940</v>
      </c>
      <c r="K1987" s="13"/>
      <c r="L1987" s="13"/>
    </row>
    <row r="1988" spans="1:12">
      <c r="A1988" s="13"/>
      <c r="B1988" s="13"/>
      <c r="C1988" s="13"/>
      <c r="D1988" s="13"/>
      <c r="E1988" s="13"/>
      <c r="F1988" s="13"/>
      <c r="G1988" s="13"/>
      <c r="H1988" s="13"/>
      <c r="I1988" s="13"/>
      <c r="J1988" s="39" t="s">
        <v>7942</v>
      </c>
      <c r="K1988" s="13"/>
      <c r="L1988" s="13"/>
    </row>
    <row r="1989" spans="1:12">
      <c r="A1989" s="13"/>
      <c r="B1989" s="13"/>
      <c r="C1989" s="13"/>
      <c r="D1989" s="13"/>
      <c r="E1989" s="13"/>
      <c r="F1989" s="13"/>
      <c r="G1989" s="13"/>
      <c r="H1989" s="13"/>
      <c r="I1989" s="13"/>
      <c r="J1989" s="39" t="s">
        <v>7928</v>
      </c>
      <c r="K1989" s="13"/>
      <c r="L1989" s="13"/>
    </row>
    <row r="1990" spans="1:12">
      <c r="A1990" s="13"/>
      <c r="B1990" s="13"/>
      <c r="C1990" s="13"/>
      <c r="D1990" s="13"/>
      <c r="E1990" s="13"/>
      <c r="F1990" s="13"/>
      <c r="G1990" s="13"/>
      <c r="H1990" s="13"/>
      <c r="I1990" s="13"/>
      <c r="J1990" s="39" t="s">
        <v>7944</v>
      </c>
      <c r="K1990" s="13"/>
      <c r="L1990" s="13"/>
    </row>
    <row r="1991" spans="1:12">
      <c r="A1991" s="13"/>
      <c r="B1991" s="13"/>
      <c r="C1991" s="13"/>
      <c r="D1991" s="13"/>
      <c r="E1991" s="13"/>
      <c r="F1991" s="13"/>
      <c r="G1991" s="13"/>
      <c r="H1991" s="13"/>
      <c r="I1991" s="13"/>
      <c r="J1991" s="39" t="s">
        <v>7932</v>
      </c>
      <c r="K1991" s="13"/>
      <c r="L1991" s="13"/>
    </row>
    <row r="1992" spans="1:12">
      <c r="A1992" s="13"/>
      <c r="B1992" s="13"/>
      <c r="C1992" s="13"/>
      <c r="D1992" s="13"/>
      <c r="E1992" s="13"/>
      <c r="F1992" s="13"/>
      <c r="G1992" s="13"/>
      <c r="H1992" s="13"/>
      <c r="I1992" s="13"/>
      <c r="J1992" s="39" t="s">
        <v>7467</v>
      </c>
      <c r="K1992" s="13"/>
      <c r="L1992" s="13"/>
    </row>
    <row r="1993" spans="1:12">
      <c r="A1993" s="13"/>
      <c r="B1993" s="13"/>
      <c r="C1993" s="13"/>
      <c r="D1993" s="13"/>
      <c r="E1993" s="13"/>
      <c r="F1993" s="13"/>
      <c r="G1993" s="13"/>
      <c r="H1993" s="13"/>
      <c r="I1993" s="13"/>
      <c r="J1993" s="39" t="s">
        <v>7959</v>
      </c>
      <c r="K1993" s="13"/>
      <c r="L1993" s="13"/>
    </row>
    <row r="1994" spans="1:12">
      <c r="A1994" s="13"/>
      <c r="B1994" s="13"/>
      <c r="C1994" s="13"/>
      <c r="D1994" s="13"/>
      <c r="E1994" s="13"/>
      <c r="F1994" s="13"/>
      <c r="G1994" s="13"/>
      <c r="H1994" s="13"/>
      <c r="I1994" s="13"/>
      <c r="J1994" s="39" t="s">
        <v>7960</v>
      </c>
      <c r="K1994" s="13"/>
      <c r="L1994" s="13"/>
    </row>
    <row r="1995" spans="1:12">
      <c r="A1995" s="13"/>
      <c r="B1995" s="13"/>
      <c r="C1995" s="13"/>
      <c r="D1995" s="13"/>
      <c r="E1995" s="13"/>
      <c r="F1995" s="13"/>
      <c r="G1995" s="13"/>
      <c r="H1995" s="13"/>
      <c r="I1995" s="13"/>
      <c r="J1995" s="39" t="s">
        <v>2799</v>
      </c>
      <c r="K1995" s="13"/>
      <c r="L1995" s="13"/>
    </row>
    <row r="1996" spans="1:12">
      <c r="A1996" s="13"/>
      <c r="B1996" s="13"/>
      <c r="C1996" s="13"/>
      <c r="D1996" s="13"/>
      <c r="E1996" s="13"/>
      <c r="F1996" s="13"/>
      <c r="G1996" s="13"/>
      <c r="H1996" s="13"/>
      <c r="I1996" s="13"/>
      <c r="J1996" s="39" t="s">
        <v>7473</v>
      </c>
      <c r="K1996" s="13"/>
      <c r="L1996" s="13"/>
    </row>
    <row r="1997" spans="1:12">
      <c r="A1997" s="13"/>
      <c r="B1997" s="13"/>
      <c r="C1997" s="13"/>
      <c r="D1997" s="13"/>
      <c r="E1997" s="13"/>
      <c r="F1997" s="13"/>
      <c r="G1997" s="13"/>
      <c r="H1997" s="13"/>
      <c r="I1997" s="13"/>
      <c r="J1997" s="39" t="s">
        <v>7961</v>
      </c>
      <c r="K1997" s="13"/>
      <c r="L1997" s="13"/>
    </row>
    <row r="1998" spans="1:12">
      <c r="A1998" s="13"/>
      <c r="B1998" s="13"/>
      <c r="C1998" s="13"/>
      <c r="D1998" s="13"/>
      <c r="E1998" s="13"/>
      <c r="F1998" s="13"/>
      <c r="G1998" s="13"/>
      <c r="H1998" s="13"/>
      <c r="I1998" s="13"/>
      <c r="J1998" s="39" t="s">
        <v>7962</v>
      </c>
      <c r="K1998" s="13"/>
      <c r="L1998" s="13"/>
    </row>
    <row r="1999" spans="1:12">
      <c r="A1999" s="13"/>
      <c r="B1999" s="13"/>
      <c r="C1999" s="13"/>
      <c r="D1999" s="13"/>
      <c r="E1999" s="13"/>
      <c r="F1999" s="13"/>
      <c r="G1999" s="13"/>
      <c r="H1999" s="13"/>
      <c r="I1999" s="13"/>
      <c r="J1999" s="39" t="s">
        <v>2799</v>
      </c>
      <c r="K1999" s="13"/>
      <c r="L1999" s="13"/>
    </row>
    <row r="2000" spans="1:12">
      <c r="A2000" s="13"/>
      <c r="B2000" s="13"/>
      <c r="C2000" s="13"/>
      <c r="D2000" s="13"/>
      <c r="E2000" s="13"/>
      <c r="F2000" s="13"/>
      <c r="G2000" s="13"/>
      <c r="H2000" s="13"/>
      <c r="I2000" s="13"/>
      <c r="J2000" s="39" t="s">
        <v>7481</v>
      </c>
      <c r="K2000" s="13"/>
      <c r="L2000" s="13"/>
    </row>
    <row r="2001" spans="1:12">
      <c r="A2001" s="13"/>
      <c r="B2001" s="13"/>
      <c r="C2001" s="13"/>
      <c r="D2001" s="13"/>
      <c r="E2001" s="13"/>
      <c r="F2001" s="13"/>
      <c r="G2001" s="13"/>
      <c r="H2001" s="13"/>
      <c r="I2001" s="13"/>
      <c r="J2001" s="39" t="s">
        <v>7963</v>
      </c>
      <c r="K2001" s="13"/>
      <c r="L2001" s="13"/>
    </row>
    <row r="2002" spans="1:12">
      <c r="A2002" s="13"/>
      <c r="B2002" s="13"/>
      <c r="C2002" s="13"/>
      <c r="D2002" s="13"/>
      <c r="E2002" s="13"/>
      <c r="F2002" s="13"/>
      <c r="G2002" s="13"/>
      <c r="H2002" s="13"/>
      <c r="I2002" s="13"/>
      <c r="J2002" s="39" t="s">
        <v>7964</v>
      </c>
      <c r="K2002" s="13"/>
      <c r="L2002" s="13"/>
    </row>
    <row r="2003" spans="1:12">
      <c r="A2003" s="13"/>
      <c r="B2003" s="13"/>
      <c r="C2003" s="13"/>
      <c r="D2003" s="13"/>
      <c r="E2003" s="13"/>
      <c r="F2003" s="13"/>
      <c r="G2003" s="13"/>
      <c r="H2003" s="13"/>
      <c r="I2003" s="13"/>
      <c r="J2003" s="39" t="s">
        <v>2799</v>
      </c>
      <c r="K2003" s="13"/>
      <c r="L2003" s="13"/>
    </row>
    <row r="2004" spans="1:12">
      <c r="A2004" s="13"/>
      <c r="B2004" s="13"/>
      <c r="C2004" s="13"/>
      <c r="D2004" s="13"/>
      <c r="E2004" s="13"/>
      <c r="F2004" s="13"/>
      <c r="G2004" s="13"/>
      <c r="H2004" s="13"/>
      <c r="I2004" s="13"/>
      <c r="J2004" s="39" t="s">
        <v>7488</v>
      </c>
      <c r="K2004" s="13"/>
      <c r="L2004" s="13"/>
    </row>
    <row r="2005" spans="1:12">
      <c r="A2005" s="13"/>
      <c r="B2005" s="13"/>
      <c r="C2005" s="13"/>
      <c r="D2005" s="13"/>
      <c r="E2005" s="13"/>
      <c r="F2005" s="13"/>
      <c r="G2005" s="13"/>
      <c r="H2005" s="13"/>
      <c r="I2005" s="13"/>
      <c r="J2005" s="39" t="s">
        <v>7965</v>
      </c>
      <c r="K2005" s="13"/>
      <c r="L2005" s="13"/>
    </row>
    <row r="2006" spans="1:12">
      <c r="A2006" s="13"/>
      <c r="B2006" s="13"/>
      <c r="C2006" s="13"/>
      <c r="D2006" s="13"/>
      <c r="E2006" s="13"/>
      <c r="F2006" s="13"/>
      <c r="G2006" s="13"/>
      <c r="H2006" s="13"/>
      <c r="I2006" s="13"/>
      <c r="J2006" s="39" t="s">
        <v>7966</v>
      </c>
      <c r="K2006" s="13"/>
      <c r="L2006" s="13"/>
    </row>
    <row r="2007" spans="1:12">
      <c r="A2007" s="13"/>
      <c r="B2007" s="13"/>
      <c r="C2007" s="13"/>
      <c r="D2007" s="13"/>
      <c r="E2007" s="13"/>
      <c r="F2007" s="13"/>
      <c r="G2007" s="13"/>
      <c r="H2007" s="13"/>
      <c r="I2007" s="13"/>
      <c r="J2007" s="39" t="s">
        <v>2799</v>
      </c>
      <c r="K2007" s="13"/>
      <c r="L2007" s="13"/>
    </row>
    <row r="2008" spans="1:12">
      <c r="A2008" s="13"/>
      <c r="B2008" s="13"/>
      <c r="C2008" s="13"/>
      <c r="D2008" s="13"/>
      <c r="E2008" s="13"/>
      <c r="F2008" s="13"/>
      <c r="G2008" s="13"/>
      <c r="H2008" s="13"/>
      <c r="I2008" s="13"/>
      <c r="J2008" s="39" t="s">
        <v>7967</v>
      </c>
      <c r="K2008" s="13"/>
      <c r="L2008" s="13"/>
    </row>
    <row r="2009" spans="1:12">
      <c r="A2009" s="13"/>
      <c r="B2009" s="13"/>
      <c r="C2009" s="13"/>
      <c r="D2009" s="13"/>
      <c r="E2009" s="13"/>
      <c r="F2009" s="13"/>
      <c r="G2009" s="13"/>
      <c r="H2009" s="13"/>
      <c r="I2009" s="13"/>
      <c r="J2009" s="39" t="s">
        <v>7968</v>
      </c>
      <c r="K2009" s="13"/>
      <c r="L2009" s="13"/>
    </row>
    <row r="2010" spans="1:12">
      <c r="A2010" s="13"/>
      <c r="B2010" s="13"/>
      <c r="C2010" s="13"/>
      <c r="D2010" s="13"/>
      <c r="E2010" s="13"/>
      <c r="F2010" s="13"/>
      <c r="G2010" s="13"/>
      <c r="H2010" s="13"/>
      <c r="I2010" s="13"/>
      <c r="J2010" s="39" t="s">
        <v>7966</v>
      </c>
      <c r="K2010" s="13"/>
      <c r="L2010" s="13"/>
    </row>
    <row r="2011" spans="1:12">
      <c r="A2011" s="13"/>
      <c r="B2011" s="13"/>
      <c r="C2011" s="13"/>
      <c r="D2011" s="13"/>
      <c r="E2011" s="13"/>
      <c r="F2011" s="13"/>
      <c r="G2011" s="13"/>
      <c r="H2011" s="13"/>
      <c r="I2011" s="13"/>
      <c r="J2011" s="39" t="s">
        <v>2799</v>
      </c>
      <c r="K2011" s="13"/>
      <c r="L2011" s="13"/>
    </row>
    <row r="2012" spans="1:12">
      <c r="A2012" s="13"/>
      <c r="B2012" s="13"/>
      <c r="C2012" s="13"/>
      <c r="D2012" s="13"/>
      <c r="E2012" s="13"/>
      <c r="F2012" s="13"/>
      <c r="G2012" s="13"/>
      <c r="H2012" s="13"/>
      <c r="I2012" s="13"/>
      <c r="J2012" s="39" t="s">
        <v>7969</v>
      </c>
      <c r="K2012" s="13"/>
      <c r="L2012" s="13"/>
    </row>
    <row r="2013" spans="1:12">
      <c r="A2013" s="13"/>
      <c r="B2013" s="13"/>
      <c r="C2013" s="13"/>
      <c r="D2013" s="13"/>
      <c r="E2013" s="13"/>
      <c r="F2013" s="13"/>
      <c r="G2013" s="13"/>
      <c r="H2013" s="13"/>
      <c r="I2013" s="13"/>
      <c r="J2013" s="39" t="s">
        <v>7970</v>
      </c>
      <c r="K2013" s="13"/>
      <c r="L2013" s="13"/>
    </row>
    <row r="2014" spans="1:12">
      <c r="A2014" s="13"/>
      <c r="B2014" s="13"/>
      <c r="C2014" s="13"/>
      <c r="D2014" s="13"/>
      <c r="E2014" s="13"/>
      <c r="F2014" s="13"/>
      <c r="G2014" s="13"/>
      <c r="H2014" s="13"/>
      <c r="I2014" s="13"/>
      <c r="J2014" s="39" t="s">
        <v>7966</v>
      </c>
      <c r="K2014" s="13"/>
      <c r="L2014" s="13"/>
    </row>
    <row r="2015" spans="1:12">
      <c r="A2015" s="13"/>
      <c r="B2015" s="13"/>
      <c r="C2015" s="13"/>
      <c r="D2015" s="13"/>
      <c r="E2015" s="13"/>
      <c r="F2015" s="13"/>
      <c r="G2015" s="13"/>
      <c r="H2015" s="13"/>
      <c r="I2015" s="13"/>
      <c r="J2015" s="39" t="s">
        <v>2799</v>
      </c>
      <c r="K2015" s="13"/>
      <c r="L2015" s="13"/>
    </row>
    <row r="2016" spans="1:12">
      <c r="A2016" s="13"/>
      <c r="B2016" s="13"/>
      <c r="C2016" s="13"/>
      <c r="D2016" s="13"/>
      <c r="E2016" s="13"/>
      <c r="F2016" s="13"/>
      <c r="G2016" s="13"/>
      <c r="H2016" s="13"/>
      <c r="I2016" s="13"/>
      <c r="J2016" s="39" t="s">
        <v>7495</v>
      </c>
      <c r="K2016" s="13"/>
      <c r="L2016" s="13"/>
    </row>
    <row r="2017" spans="1:12">
      <c r="A2017" s="13"/>
      <c r="B2017" s="13"/>
      <c r="C2017" s="13"/>
      <c r="D2017" s="13"/>
      <c r="E2017" s="13"/>
      <c r="F2017" s="13"/>
      <c r="G2017" s="13"/>
      <c r="H2017" s="13"/>
      <c r="I2017" s="13"/>
      <c r="J2017" s="39" t="s">
        <v>7497</v>
      </c>
      <c r="K2017" s="13"/>
      <c r="L2017" s="13"/>
    </row>
    <row r="2018" spans="1:12">
      <c r="A2018" s="13"/>
      <c r="B2018" s="13"/>
      <c r="C2018" s="13"/>
      <c r="D2018" s="13"/>
      <c r="E2018" s="13"/>
      <c r="F2018" s="13"/>
      <c r="G2018" s="13"/>
      <c r="H2018" s="13"/>
      <c r="I2018" s="13"/>
      <c r="J2018" s="39" t="s">
        <v>7498</v>
      </c>
      <c r="K2018" s="13"/>
      <c r="L2018" s="13"/>
    </row>
    <row r="2019" spans="1:12">
      <c r="A2019" s="13"/>
      <c r="B2019" s="13"/>
      <c r="C2019" s="13"/>
      <c r="D2019" s="13"/>
      <c r="E2019" s="13"/>
      <c r="F2019" s="13"/>
      <c r="G2019" s="13"/>
      <c r="H2019" s="13"/>
      <c r="I2019" s="13"/>
      <c r="J2019" s="39" t="s">
        <v>7971</v>
      </c>
      <c r="K2019" s="13"/>
      <c r="L2019" s="13"/>
    </row>
    <row r="2020" spans="1:12">
      <c r="A2020" s="13"/>
      <c r="B2020" s="13"/>
      <c r="C2020" s="13"/>
      <c r="D2020" s="13"/>
      <c r="E2020" s="13"/>
      <c r="F2020" s="13"/>
      <c r="G2020" s="13"/>
      <c r="H2020" s="13"/>
      <c r="I2020" s="13"/>
      <c r="J2020" s="39" t="s">
        <v>7972</v>
      </c>
      <c r="K2020" s="13"/>
      <c r="L2020" s="13"/>
    </row>
    <row r="2021" spans="1:12">
      <c r="A2021" s="13"/>
      <c r="B2021" s="13"/>
      <c r="C2021" s="13"/>
      <c r="D2021" s="13"/>
      <c r="E2021" s="13"/>
      <c r="F2021" s="13"/>
      <c r="G2021" s="13"/>
      <c r="H2021" s="13"/>
      <c r="I2021" s="13"/>
      <c r="J2021" s="39" t="s">
        <v>7973</v>
      </c>
      <c r="K2021" s="13"/>
      <c r="L2021" s="13"/>
    </row>
    <row r="2022" spans="1:12">
      <c r="A2022" s="13"/>
      <c r="B2022" s="13"/>
      <c r="C2022" s="13"/>
      <c r="D2022" s="13"/>
      <c r="E2022" s="13"/>
      <c r="F2022" s="13"/>
      <c r="G2022" s="13"/>
      <c r="H2022" s="13"/>
      <c r="I2022" s="13"/>
      <c r="J2022" s="39" t="s">
        <v>7507</v>
      </c>
      <c r="K2022" s="13"/>
      <c r="L2022" s="13"/>
    </row>
    <row r="2023" spans="1:12">
      <c r="A2023" s="13"/>
      <c r="B2023" s="13"/>
      <c r="C2023" s="13"/>
      <c r="D2023" s="13"/>
      <c r="E2023" s="13"/>
      <c r="F2023" s="13"/>
      <c r="G2023" s="13"/>
      <c r="H2023" s="13"/>
      <c r="I2023" s="13"/>
      <c r="J2023" s="39" t="s">
        <v>7974</v>
      </c>
      <c r="K2023" s="13"/>
      <c r="L2023" s="13"/>
    </row>
    <row r="2024" spans="1:12">
      <c r="A2024" s="13"/>
      <c r="B2024" s="13"/>
      <c r="C2024" s="13"/>
      <c r="D2024" s="13"/>
      <c r="E2024" s="13"/>
      <c r="F2024" s="13"/>
      <c r="G2024" s="13"/>
      <c r="H2024" s="13"/>
      <c r="I2024" s="13"/>
      <c r="J2024" s="39" t="s">
        <v>7975</v>
      </c>
      <c r="K2024" s="13"/>
      <c r="L2024" s="13"/>
    </row>
    <row r="2025" spans="1:12">
      <c r="A2025" s="13"/>
      <c r="B2025" s="13"/>
      <c r="C2025" s="13"/>
      <c r="D2025" s="13"/>
      <c r="E2025" s="13"/>
      <c r="F2025" s="13"/>
      <c r="G2025" s="13"/>
      <c r="H2025" s="13"/>
      <c r="I2025" s="13"/>
      <c r="J2025" s="39" t="s">
        <v>7976</v>
      </c>
      <c r="K2025" s="13"/>
      <c r="L2025" s="13"/>
    </row>
    <row r="2026" spans="1:12">
      <c r="A2026" s="13"/>
      <c r="B2026" s="13"/>
      <c r="C2026" s="13"/>
      <c r="D2026" s="13"/>
      <c r="E2026" s="13"/>
      <c r="F2026" s="13"/>
      <c r="G2026" s="13"/>
      <c r="H2026" s="13"/>
      <c r="I2026" s="13"/>
      <c r="J2026" s="39" t="s">
        <v>7458</v>
      </c>
      <c r="K2026" s="13"/>
      <c r="L2026" s="13"/>
    </row>
    <row r="2027" spans="1:12">
      <c r="A2027" s="13"/>
      <c r="B2027" s="13"/>
      <c r="C2027" s="13"/>
      <c r="D2027" s="13"/>
      <c r="E2027" s="13"/>
      <c r="F2027" s="13"/>
      <c r="G2027" s="13"/>
      <c r="H2027" s="13"/>
      <c r="I2027" s="13"/>
      <c r="J2027" s="39" t="s">
        <v>7452</v>
      </c>
      <c r="K2027" s="13"/>
      <c r="L2027" s="13"/>
    </row>
    <row r="2028" spans="1:12">
      <c r="A2028" s="13"/>
      <c r="B2028" s="13"/>
      <c r="C2028" s="13"/>
      <c r="D2028" s="13"/>
      <c r="E2028" s="13"/>
      <c r="F2028" s="13"/>
      <c r="G2028" s="13"/>
      <c r="H2028" s="13"/>
      <c r="I2028" s="13"/>
      <c r="J2028" s="39"/>
      <c r="K2028" s="13"/>
      <c r="L2028" s="13"/>
    </row>
    <row r="2029" spans="1:12">
      <c r="A2029" s="13"/>
      <c r="B2029" s="13"/>
      <c r="C2029" s="13"/>
      <c r="D2029" s="13"/>
      <c r="E2029" s="13"/>
      <c r="F2029" s="13"/>
      <c r="G2029" s="13"/>
      <c r="H2029" s="13"/>
      <c r="I2029" s="13"/>
      <c r="J2029" s="39" t="s">
        <v>7514</v>
      </c>
      <c r="K2029" s="13"/>
      <c r="L2029" s="13"/>
    </row>
    <row r="2030" spans="1:12">
      <c r="A2030" s="13"/>
      <c r="B2030" s="13"/>
      <c r="C2030" s="13"/>
      <c r="D2030" s="13"/>
      <c r="E2030" s="13"/>
      <c r="F2030" s="13"/>
      <c r="G2030" s="13"/>
      <c r="H2030" s="13"/>
      <c r="I2030" s="13"/>
      <c r="J2030" s="39" t="s">
        <v>7977</v>
      </c>
      <c r="K2030" s="13"/>
      <c r="L2030" s="13"/>
    </row>
    <row r="2031" spans="1:12">
      <c r="A2031" s="13"/>
      <c r="B2031" s="13"/>
      <c r="C2031" s="13"/>
      <c r="D2031" s="13"/>
      <c r="E2031" s="13"/>
      <c r="F2031" s="13"/>
      <c r="G2031" s="13"/>
      <c r="H2031" s="13"/>
      <c r="I2031" s="13"/>
      <c r="J2031" s="39" t="s">
        <v>7978</v>
      </c>
      <c r="K2031" s="13"/>
      <c r="L2031" s="13"/>
    </row>
    <row r="2032" spans="1:12">
      <c r="A2032" s="13"/>
      <c r="B2032" s="13"/>
      <c r="C2032" s="13"/>
      <c r="D2032" s="13"/>
      <c r="E2032" s="13"/>
      <c r="F2032" s="13"/>
      <c r="G2032" s="13"/>
      <c r="H2032" s="13"/>
      <c r="I2032" s="13"/>
      <c r="J2032" s="39" t="s">
        <v>7458</v>
      </c>
      <c r="K2032" s="13"/>
      <c r="L2032" s="13"/>
    </row>
    <row r="2033" spans="1:12">
      <c r="A2033" s="13"/>
      <c r="B2033" s="13"/>
      <c r="C2033" s="13"/>
      <c r="D2033" s="13"/>
      <c r="E2033" s="13"/>
      <c r="F2033" s="13"/>
      <c r="G2033" s="13"/>
      <c r="H2033" s="13"/>
      <c r="I2033" s="13"/>
      <c r="J2033" s="39" t="s">
        <v>7452</v>
      </c>
      <c r="K2033" s="13"/>
      <c r="L2033" s="13"/>
    </row>
    <row r="2034" spans="1:12">
      <c r="A2034" s="13"/>
      <c r="B2034" s="13"/>
      <c r="C2034" s="13"/>
      <c r="D2034" s="13"/>
      <c r="E2034" s="13"/>
      <c r="F2034" s="13"/>
      <c r="G2034" s="13"/>
      <c r="H2034" s="13"/>
      <c r="I2034" s="13"/>
      <c r="J2034" s="39"/>
      <c r="K2034" s="13"/>
      <c r="L2034" s="13"/>
    </row>
    <row r="2035" spans="1:12">
      <c r="A2035" s="13"/>
      <c r="B2035" s="13"/>
      <c r="C2035" s="13"/>
      <c r="D2035" s="13"/>
      <c r="E2035" s="13"/>
      <c r="F2035" s="13"/>
      <c r="G2035" s="13"/>
      <c r="H2035" s="13"/>
      <c r="I2035" s="13"/>
      <c r="J2035" s="39" t="s">
        <v>7519</v>
      </c>
      <c r="K2035" s="13"/>
      <c r="L2035" s="13"/>
    </row>
    <row r="2036" spans="1:12">
      <c r="A2036" s="13"/>
      <c r="B2036" s="13"/>
      <c r="C2036" s="13"/>
      <c r="D2036" s="13"/>
      <c r="E2036" s="13"/>
      <c r="F2036" s="13"/>
      <c r="G2036" s="13"/>
      <c r="H2036" s="13"/>
      <c r="I2036" s="13"/>
      <c r="J2036" s="39" t="s">
        <v>7979</v>
      </c>
      <c r="K2036" s="13"/>
      <c r="L2036" s="13"/>
    </row>
    <row r="2037" spans="1:12">
      <c r="A2037" s="13"/>
      <c r="B2037" s="13"/>
      <c r="C2037" s="13"/>
      <c r="D2037" s="13"/>
      <c r="E2037" s="13"/>
      <c r="F2037" s="13"/>
      <c r="G2037" s="13"/>
      <c r="H2037" s="13"/>
      <c r="I2037" s="13"/>
      <c r="J2037" s="39" t="s">
        <v>7980</v>
      </c>
      <c r="K2037" s="13"/>
      <c r="L2037" s="13"/>
    </row>
    <row r="2038" spans="1:12">
      <c r="A2038" s="13"/>
      <c r="B2038" s="13"/>
      <c r="C2038" s="13"/>
      <c r="D2038" s="13"/>
      <c r="E2038" s="13"/>
      <c r="F2038" s="13"/>
      <c r="G2038" s="13"/>
      <c r="H2038" s="13"/>
      <c r="I2038" s="13"/>
      <c r="J2038" s="39" t="s">
        <v>7458</v>
      </c>
      <c r="K2038" s="13"/>
      <c r="L2038" s="13"/>
    </row>
    <row r="2039" spans="1:12">
      <c r="A2039" s="13"/>
      <c r="B2039" s="13"/>
      <c r="C2039" s="13"/>
      <c r="D2039" s="13"/>
      <c r="E2039" s="13"/>
      <c r="F2039" s="13"/>
      <c r="G2039" s="13"/>
      <c r="H2039" s="13"/>
      <c r="I2039" s="13"/>
      <c r="J2039" s="39" t="s">
        <v>7452</v>
      </c>
      <c r="K2039" s="13"/>
      <c r="L2039" s="13"/>
    </row>
    <row r="2040" spans="1:12">
      <c r="A2040" s="13"/>
      <c r="B2040" s="13"/>
      <c r="C2040" s="13"/>
      <c r="D2040" s="13"/>
      <c r="E2040" s="13"/>
      <c r="F2040" s="13"/>
      <c r="G2040" s="13"/>
      <c r="H2040" s="13"/>
      <c r="I2040" s="13"/>
      <c r="J2040" s="39"/>
      <c r="K2040" s="13"/>
      <c r="L2040" s="13"/>
    </row>
    <row r="2041" spans="1:12">
      <c r="A2041" s="13"/>
      <c r="B2041" s="13"/>
      <c r="C2041" s="13"/>
      <c r="D2041" s="13"/>
      <c r="E2041" s="13"/>
      <c r="F2041" s="13"/>
      <c r="G2041" s="13"/>
      <c r="H2041" s="13"/>
      <c r="I2041" s="13"/>
      <c r="J2041" s="39" t="s">
        <v>7535</v>
      </c>
      <c r="K2041" s="13"/>
      <c r="L2041" s="13"/>
    </row>
    <row r="2042" spans="1:12">
      <c r="A2042" s="13"/>
      <c r="B2042" s="13"/>
      <c r="C2042" s="13"/>
      <c r="D2042" s="13"/>
      <c r="E2042" s="13"/>
      <c r="F2042" s="13"/>
      <c r="G2042" s="13"/>
      <c r="H2042" s="13"/>
      <c r="I2042" s="13"/>
      <c r="J2042" s="39" t="s">
        <v>7981</v>
      </c>
      <c r="K2042" s="13"/>
      <c r="L2042" s="13"/>
    </row>
    <row r="2043" spans="1:12">
      <c r="A2043" s="13"/>
      <c r="B2043" s="13"/>
      <c r="C2043" s="13"/>
      <c r="D2043" s="13"/>
      <c r="E2043" s="13"/>
      <c r="F2043" s="13"/>
      <c r="G2043" s="13"/>
      <c r="H2043" s="13"/>
      <c r="I2043" s="13"/>
      <c r="J2043" s="39" t="s">
        <v>7982</v>
      </c>
      <c r="K2043" s="13"/>
      <c r="L2043" s="13"/>
    </row>
    <row r="2044" spans="1:12">
      <c r="A2044" s="13"/>
      <c r="B2044" s="13"/>
      <c r="C2044" s="13"/>
      <c r="D2044" s="13"/>
      <c r="E2044" s="13"/>
      <c r="F2044" s="13"/>
      <c r="G2044" s="13"/>
      <c r="H2044" s="13"/>
      <c r="I2044" s="13"/>
      <c r="J2044" s="39" t="s">
        <v>7458</v>
      </c>
      <c r="K2044" s="13"/>
      <c r="L2044" s="13"/>
    </row>
    <row r="2045" spans="1:12">
      <c r="A2045" s="13"/>
      <c r="B2045" s="13"/>
      <c r="C2045" s="13"/>
      <c r="D2045" s="13"/>
      <c r="E2045" s="13"/>
      <c r="F2045" s="13"/>
      <c r="G2045" s="13"/>
      <c r="H2045" s="13"/>
      <c r="I2045" s="13"/>
      <c r="J2045" s="39" t="s">
        <v>7452</v>
      </c>
      <c r="K2045" s="13"/>
      <c r="L2045" s="13"/>
    </row>
    <row r="2046" spans="1:12">
      <c r="A2046" s="13"/>
      <c r="B2046" s="13"/>
      <c r="C2046" s="13"/>
      <c r="D2046" s="13"/>
      <c r="E2046" s="13"/>
      <c r="F2046" s="13"/>
      <c r="G2046" s="13"/>
      <c r="H2046" s="13"/>
      <c r="I2046" s="13"/>
      <c r="J2046" s="39"/>
      <c r="K2046" s="13"/>
      <c r="L2046" s="13"/>
    </row>
    <row r="2047" spans="1:12">
      <c r="A2047" s="13"/>
      <c r="B2047" s="13"/>
      <c r="C2047" s="13"/>
      <c r="D2047" s="13"/>
      <c r="E2047" s="13"/>
      <c r="F2047" s="13"/>
      <c r="G2047" s="13"/>
      <c r="H2047" s="13"/>
      <c r="I2047" s="13"/>
      <c r="J2047" s="39" t="s">
        <v>7548</v>
      </c>
      <c r="K2047" s="13"/>
      <c r="L2047" s="13"/>
    </row>
    <row r="2048" spans="1:12">
      <c r="A2048" s="13"/>
      <c r="B2048" s="13"/>
      <c r="C2048" s="13"/>
      <c r="D2048" s="13"/>
      <c r="E2048" s="13"/>
      <c r="F2048" s="13"/>
      <c r="G2048" s="13"/>
      <c r="H2048" s="13"/>
      <c r="I2048" s="13"/>
      <c r="J2048" s="39" t="s">
        <v>7508</v>
      </c>
      <c r="K2048" s="13"/>
      <c r="L2048" s="13"/>
    </row>
    <row r="2049" spans="1:12">
      <c r="A2049" s="13"/>
      <c r="B2049" s="13"/>
      <c r="C2049" s="13"/>
      <c r="D2049" s="13"/>
      <c r="E2049" s="13"/>
      <c r="F2049" s="13"/>
      <c r="G2049" s="13"/>
      <c r="H2049" s="13"/>
      <c r="I2049" s="13"/>
      <c r="J2049" s="39" t="s">
        <v>7983</v>
      </c>
      <c r="K2049" s="13"/>
      <c r="L2049" s="13"/>
    </row>
    <row r="2050" spans="1:12">
      <c r="A2050" s="13"/>
      <c r="B2050" s="13"/>
      <c r="C2050" s="13"/>
      <c r="D2050" s="13"/>
      <c r="E2050" s="13"/>
      <c r="F2050" s="13"/>
      <c r="G2050" s="13"/>
      <c r="H2050" s="13"/>
      <c r="I2050" s="13"/>
      <c r="J2050" s="39" t="s">
        <v>7984</v>
      </c>
      <c r="K2050" s="13"/>
      <c r="L2050" s="13"/>
    </row>
    <row r="2051" spans="1:12">
      <c r="A2051" s="13"/>
      <c r="B2051" s="13"/>
      <c r="C2051" s="13"/>
      <c r="D2051" s="13"/>
      <c r="E2051" s="13"/>
      <c r="F2051" s="13"/>
      <c r="G2051" s="13"/>
      <c r="H2051" s="13"/>
      <c r="I2051" s="13"/>
      <c r="J2051" s="39" t="s">
        <v>7458</v>
      </c>
      <c r="K2051" s="13"/>
      <c r="L2051" s="13"/>
    </row>
    <row r="2052" spans="1:12">
      <c r="A2052" s="13"/>
      <c r="B2052" s="13"/>
      <c r="C2052" s="13"/>
      <c r="D2052" s="13"/>
      <c r="E2052" s="13"/>
      <c r="F2052" s="13"/>
      <c r="G2052" s="13"/>
      <c r="H2052" s="13"/>
      <c r="I2052" s="13"/>
      <c r="J2052" s="39" t="s">
        <v>7561</v>
      </c>
      <c r="K2052" s="13"/>
      <c r="L2052" s="13"/>
    </row>
    <row r="2053" spans="1:12">
      <c r="A2053" s="13"/>
      <c r="B2053" s="13"/>
      <c r="C2053" s="13"/>
      <c r="D2053" s="13"/>
      <c r="E2053" s="13"/>
      <c r="F2053" s="13"/>
      <c r="G2053" s="13"/>
      <c r="H2053" s="13"/>
      <c r="I2053" s="13"/>
      <c r="J2053" s="39"/>
      <c r="K2053" s="13"/>
      <c r="L2053" s="13"/>
    </row>
    <row r="2054" spans="1:12">
      <c r="A2054" s="13"/>
      <c r="B2054" s="13"/>
      <c r="C2054" s="13"/>
      <c r="D2054" s="13"/>
      <c r="E2054" s="13"/>
      <c r="F2054" s="13"/>
      <c r="G2054" s="13"/>
      <c r="H2054" s="13"/>
      <c r="I2054" s="13"/>
      <c r="J2054" s="39" t="s">
        <v>7594</v>
      </c>
      <c r="K2054" s="13"/>
      <c r="L2054" s="13"/>
    </row>
    <row r="2055" spans="1:12">
      <c r="A2055" s="13"/>
      <c r="B2055" s="13"/>
      <c r="C2055" s="13"/>
      <c r="D2055" s="13"/>
      <c r="E2055" s="13"/>
      <c r="F2055" s="13"/>
      <c r="G2055" s="13"/>
      <c r="H2055" s="13"/>
      <c r="I2055" s="13"/>
      <c r="J2055" s="39" t="s">
        <v>7970</v>
      </c>
      <c r="K2055" s="13"/>
      <c r="L2055" s="13"/>
    </row>
    <row r="2056" spans="1:12">
      <c r="A2056" s="13"/>
      <c r="B2056" s="13"/>
      <c r="C2056" s="13"/>
      <c r="D2056" s="13"/>
      <c r="E2056" s="13"/>
      <c r="F2056" s="13"/>
      <c r="G2056" s="13"/>
      <c r="H2056" s="13"/>
      <c r="I2056" s="13"/>
      <c r="J2056" s="39" t="s">
        <v>7985</v>
      </c>
      <c r="K2056" s="13"/>
      <c r="L2056" s="13"/>
    </row>
    <row r="2057" spans="1:12">
      <c r="A2057" s="13"/>
      <c r="B2057" s="13"/>
      <c r="C2057" s="13"/>
      <c r="D2057" s="13"/>
      <c r="E2057" s="13"/>
      <c r="F2057" s="13"/>
      <c r="G2057" s="13"/>
      <c r="H2057" s="13"/>
      <c r="I2057" s="13"/>
      <c r="J2057" s="39" t="s">
        <v>7458</v>
      </c>
      <c r="K2057" s="13"/>
      <c r="L2057" s="13"/>
    </row>
    <row r="2058" spans="1:12">
      <c r="A2058" s="13"/>
      <c r="B2058" s="13"/>
      <c r="C2058" s="13"/>
      <c r="D2058" s="13"/>
      <c r="E2058" s="13"/>
      <c r="F2058" s="13"/>
      <c r="G2058" s="13"/>
      <c r="H2058" s="13"/>
      <c r="I2058" s="13"/>
      <c r="J2058" s="39" t="s">
        <v>7452</v>
      </c>
      <c r="K2058" s="13"/>
      <c r="L2058" s="13"/>
    </row>
    <row r="2059" spans="1:12">
      <c r="A2059" s="13"/>
      <c r="B2059" s="13"/>
      <c r="C2059" s="13"/>
      <c r="D2059" s="13"/>
      <c r="E2059" s="13"/>
      <c r="F2059" s="13"/>
      <c r="G2059" s="13"/>
      <c r="H2059" s="13"/>
      <c r="I2059" s="13"/>
      <c r="J2059" s="39"/>
      <c r="K2059" s="13"/>
      <c r="L2059" s="13"/>
    </row>
    <row r="2060" spans="1:12">
      <c r="A2060" s="13"/>
      <c r="B2060" s="13"/>
      <c r="C2060" s="13"/>
      <c r="D2060" s="13"/>
      <c r="E2060" s="13"/>
      <c r="F2060" s="13"/>
      <c r="G2060" s="13"/>
      <c r="H2060" s="13"/>
      <c r="I2060" s="13"/>
      <c r="J2060" s="39" t="s">
        <v>7605</v>
      </c>
      <c r="K2060" s="13"/>
      <c r="L2060" s="13"/>
    </row>
    <row r="2061" spans="1:12">
      <c r="A2061" s="13"/>
      <c r="B2061" s="13"/>
      <c r="C2061" s="13"/>
      <c r="D2061" s="13"/>
      <c r="E2061" s="13"/>
      <c r="F2061" s="13"/>
      <c r="G2061" s="13"/>
      <c r="H2061" s="13"/>
      <c r="I2061" s="13"/>
      <c r="J2061" s="39" t="s">
        <v>7986</v>
      </c>
      <c r="K2061" s="13"/>
      <c r="L2061" s="13"/>
    </row>
    <row r="2062" spans="1:12">
      <c r="A2062" s="13"/>
      <c r="B2062" s="13"/>
      <c r="C2062" s="13"/>
      <c r="D2062" s="13"/>
      <c r="E2062" s="13"/>
      <c r="F2062" s="13"/>
      <c r="G2062" s="13"/>
      <c r="H2062" s="13"/>
      <c r="I2062" s="13"/>
      <c r="J2062" s="39" t="s">
        <v>7987</v>
      </c>
      <c r="K2062" s="13"/>
      <c r="L2062" s="13"/>
    </row>
    <row r="2063" spans="1:12">
      <c r="A2063" s="13"/>
      <c r="B2063" s="13"/>
      <c r="C2063" s="13"/>
      <c r="D2063" s="13"/>
      <c r="E2063" s="13"/>
      <c r="F2063" s="13"/>
      <c r="G2063" s="13"/>
      <c r="H2063" s="13"/>
      <c r="I2063" s="13"/>
      <c r="J2063" s="39" t="s">
        <v>7458</v>
      </c>
      <c r="K2063" s="13"/>
      <c r="L2063" s="13"/>
    </row>
    <row r="2064" spans="1:12">
      <c r="A2064" s="13"/>
      <c r="B2064" s="13"/>
      <c r="C2064" s="13"/>
      <c r="D2064" s="13"/>
      <c r="E2064" s="13"/>
      <c r="F2064" s="13"/>
      <c r="G2064" s="13"/>
      <c r="H2064" s="13"/>
      <c r="I2064" s="13"/>
      <c r="J2064" s="39" t="s">
        <v>7452</v>
      </c>
      <c r="K2064" s="13"/>
      <c r="L2064" s="13"/>
    </row>
    <row r="2065" spans="1:12">
      <c r="A2065" s="13"/>
      <c r="B2065" s="13"/>
      <c r="C2065" s="13"/>
      <c r="D2065" s="13"/>
      <c r="E2065" s="13"/>
      <c r="F2065" s="13"/>
      <c r="G2065" s="13"/>
      <c r="H2065" s="13"/>
      <c r="I2065" s="13"/>
      <c r="J2065" s="39" t="s">
        <v>7988</v>
      </c>
      <c r="K2065" s="13"/>
      <c r="L2065" s="13"/>
    </row>
    <row r="2066" spans="1:12">
      <c r="A2066" s="13"/>
      <c r="B2066" s="13"/>
      <c r="C2066" s="13"/>
      <c r="D2066" s="13"/>
      <c r="E2066" s="13"/>
      <c r="F2066" s="13"/>
      <c r="G2066" s="13"/>
      <c r="H2066" s="13"/>
      <c r="I2066" s="13"/>
      <c r="J2066" s="39" t="s">
        <v>7989</v>
      </c>
      <c r="K2066" s="13"/>
      <c r="L2066" s="13"/>
    </row>
    <row r="2067" spans="1:12">
      <c r="A2067" s="13"/>
      <c r="B2067" s="13"/>
      <c r="C2067" s="13"/>
      <c r="D2067" s="13"/>
      <c r="E2067" s="13"/>
      <c r="F2067" s="13"/>
      <c r="G2067" s="13"/>
      <c r="H2067" s="13"/>
      <c r="I2067" s="13"/>
      <c r="J2067" s="39" t="s">
        <v>7990</v>
      </c>
      <c r="K2067" s="13"/>
      <c r="L2067" s="13"/>
    </row>
    <row r="2068" spans="1:12">
      <c r="A2068" s="13"/>
      <c r="B2068" s="13"/>
      <c r="C2068" s="13"/>
      <c r="D2068" s="13"/>
      <c r="E2068" s="13"/>
      <c r="F2068" s="13"/>
      <c r="G2068" s="13"/>
      <c r="H2068" s="13"/>
      <c r="I2068" s="13"/>
      <c r="J2068" s="39" t="s">
        <v>7991</v>
      </c>
      <c r="K2068" s="13"/>
      <c r="L2068" s="13"/>
    </row>
    <row r="2069" spans="1:12">
      <c r="A2069" s="13"/>
      <c r="B2069" s="13"/>
      <c r="C2069" s="13"/>
      <c r="D2069" s="13"/>
      <c r="E2069" s="13"/>
      <c r="F2069" s="13"/>
      <c r="G2069" s="13"/>
      <c r="H2069" s="13"/>
      <c r="I2069" s="13"/>
      <c r="J2069" s="39" t="s">
        <v>7992</v>
      </c>
      <c r="K2069" s="13"/>
      <c r="L2069" s="13"/>
    </row>
    <row r="2070" spans="1:12">
      <c r="A2070" s="13"/>
      <c r="B2070" s="13"/>
      <c r="C2070" s="13"/>
      <c r="D2070" s="13"/>
      <c r="E2070" s="13"/>
      <c r="F2070" s="13"/>
      <c r="G2070" s="13"/>
      <c r="H2070" s="13"/>
      <c r="I2070" s="13"/>
      <c r="J2070" s="39" t="s">
        <v>7993</v>
      </c>
      <c r="K2070" s="13"/>
      <c r="L2070" s="13"/>
    </row>
    <row r="2071" spans="1:12">
      <c r="A2071" s="13"/>
      <c r="B2071" s="13"/>
      <c r="C2071" s="13"/>
      <c r="D2071" s="13"/>
      <c r="E2071" s="13"/>
      <c r="F2071" s="13"/>
      <c r="G2071" s="13"/>
      <c r="H2071" s="13"/>
      <c r="I2071" s="13"/>
      <c r="J2071" s="39" t="s">
        <v>7994</v>
      </c>
      <c r="K2071" s="13"/>
      <c r="L2071" s="13"/>
    </row>
    <row r="2072" spans="1:12">
      <c r="A2072" s="13"/>
      <c r="B2072" s="13"/>
      <c r="C2072" s="13"/>
      <c r="D2072" s="13"/>
      <c r="E2072" s="13"/>
      <c r="F2072" s="13"/>
      <c r="G2072" s="13"/>
      <c r="H2072" s="13"/>
      <c r="I2072" s="13"/>
      <c r="J2072" s="39" t="s">
        <v>7995</v>
      </c>
      <c r="K2072" s="13"/>
      <c r="L2072" s="13"/>
    </row>
    <row r="2073" spans="1:12">
      <c r="A2073" s="13"/>
      <c r="B2073" s="13"/>
      <c r="C2073" s="13"/>
      <c r="D2073" s="13"/>
      <c r="E2073" s="13"/>
      <c r="F2073" s="13"/>
      <c r="G2073" s="13"/>
      <c r="H2073" s="13"/>
      <c r="I2073" s="13"/>
      <c r="J2073" s="39" t="s">
        <v>7996</v>
      </c>
      <c r="K2073" s="13"/>
      <c r="L2073" s="13"/>
    </row>
    <row r="2074" spans="1:12">
      <c r="A2074" s="13"/>
      <c r="B2074" s="13"/>
      <c r="C2074" s="13"/>
      <c r="D2074" s="13"/>
      <c r="E2074" s="13"/>
      <c r="F2074" s="13"/>
      <c r="G2074" s="13"/>
      <c r="H2074" s="13"/>
      <c r="I2074" s="13"/>
      <c r="J2074" s="39" t="s">
        <v>7997</v>
      </c>
      <c r="K2074" s="13"/>
      <c r="L2074" s="13"/>
    </row>
    <row r="2075" spans="1:12">
      <c r="A2075" s="13"/>
      <c r="B2075" s="13"/>
      <c r="C2075" s="13"/>
      <c r="D2075" s="13"/>
      <c r="E2075" s="13"/>
      <c r="F2075" s="13"/>
      <c r="G2075" s="13"/>
      <c r="H2075" s="13"/>
      <c r="I2075" s="13"/>
      <c r="J2075" s="39" t="s">
        <v>7998</v>
      </c>
      <c r="K2075" s="13"/>
      <c r="L2075" s="13"/>
    </row>
    <row r="2076" spans="1:12">
      <c r="A2076" s="13"/>
      <c r="B2076" s="13"/>
      <c r="C2076" s="13"/>
      <c r="D2076" s="13"/>
      <c r="E2076" s="13"/>
      <c r="F2076" s="13"/>
      <c r="G2076" s="13"/>
      <c r="H2076" s="13"/>
      <c r="I2076" s="13"/>
      <c r="J2076" s="39" t="s">
        <v>7999</v>
      </c>
      <c r="K2076" s="13"/>
      <c r="L2076" s="13"/>
    </row>
    <row r="2077" spans="1:12">
      <c r="A2077" s="13"/>
      <c r="B2077" s="13"/>
      <c r="C2077" s="13"/>
      <c r="D2077" s="13"/>
      <c r="E2077" s="13"/>
      <c r="F2077" s="13"/>
      <c r="G2077" s="13"/>
      <c r="H2077" s="13"/>
      <c r="I2077" s="13"/>
      <c r="J2077" s="39" t="s">
        <v>8000</v>
      </c>
      <c r="K2077" s="13"/>
      <c r="L2077" s="13"/>
    </row>
    <row r="2078" spans="1:12">
      <c r="A2078" s="13"/>
      <c r="B2078" s="13"/>
      <c r="C2078" s="13"/>
      <c r="D2078" s="13"/>
      <c r="E2078" s="13"/>
      <c r="F2078" s="13"/>
      <c r="G2078" s="13"/>
      <c r="H2078" s="13"/>
      <c r="I2078" s="13"/>
      <c r="J2078" s="39" t="s">
        <v>8001</v>
      </c>
      <c r="K2078" s="13"/>
      <c r="L2078" s="13"/>
    </row>
    <row r="2079" spans="1:12">
      <c r="A2079" s="13"/>
      <c r="B2079" s="13"/>
      <c r="C2079" s="13"/>
      <c r="D2079" s="13"/>
      <c r="E2079" s="13"/>
      <c r="F2079" s="13"/>
      <c r="G2079" s="13"/>
      <c r="H2079" s="13"/>
      <c r="I2079" s="13"/>
      <c r="J2079" s="39" t="s">
        <v>8002</v>
      </c>
      <c r="K2079" s="13"/>
      <c r="L2079" s="13"/>
    </row>
    <row r="2080" spans="1:12">
      <c r="A2080" s="13"/>
      <c r="B2080" s="13"/>
      <c r="C2080" s="13"/>
      <c r="D2080" s="13"/>
      <c r="E2080" s="13"/>
      <c r="F2080" s="13"/>
      <c r="G2080" s="13"/>
      <c r="H2080" s="13"/>
      <c r="I2080" s="13"/>
      <c r="J2080" s="39" t="s">
        <v>7528</v>
      </c>
      <c r="K2080" s="13"/>
      <c r="L2080" s="13"/>
    </row>
    <row r="2081" spans="1:12">
      <c r="A2081" s="13"/>
      <c r="B2081" s="13"/>
      <c r="C2081" s="13"/>
      <c r="D2081" s="13"/>
      <c r="E2081" s="13"/>
      <c r="F2081" s="13"/>
      <c r="G2081" s="13"/>
      <c r="H2081" s="13"/>
      <c r="I2081" s="13"/>
      <c r="J2081" s="39" t="s">
        <v>7670</v>
      </c>
      <c r="K2081" s="13"/>
      <c r="L2081" s="13"/>
    </row>
    <row r="2082" spans="1:12">
      <c r="A2082" s="13"/>
      <c r="B2082" s="13"/>
      <c r="C2082" s="13"/>
      <c r="D2082" s="13"/>
      <c r="E2082" s="13"/>
      <c r="F2082" s="13"/>
      <c r="G2082" s="13"/>
      <c r="H2082" s="13"/>
      <c r="I2082" s="13"/>
      <c r="J2082" s="39" t="s">
        <v>8003</v>
      </c>
      <c r="K2082" s="13"/>
      <c r="L2082" s="13"/>
    </row>
    <row r="2083" spans="1:12">
      <c r="A2083" s="13"/>
      <c r="B2083" s="13"/>
      <c r="C2083" s="13"/>
      <c r="D2083" s="13"/>
      <c r="E2083" s="13"/>
      <c r="F2083" s="13"/>
      <c r="G2083" s="13"/>
      <c r="H2083" s="13"/>
      <c r="I2083" s="13"/>
      <c r="J2083" s="39" t="s">
        <v>8004</v>
      </c>
      <c r="K2083" s="13"/>
      <c r="L2083" s="13"/>
    </row>
    <row r="2084" spans="1:12">
      <c r="A2084" s="13"/>
      <c r="B2084" s="13"/>
      <c r="C2084" s="13"/>
      <c r="D2084" s="13"/>
      <c r="E2084" s="13"/>
      <c r="F2084" s="13"/>
      <c r="G2084" s="13"/>
      <c r="H2084" s="13"/>
      <c r="I2084" s="13"/>
      <c r="J2084" s="39" t="s">
        <v>7902</v>
      </c>
      <c r="K2084" s="13"/>
      <c r="L2084" s="13"/>
    </row>
    <row r="2085" spans="1:12">
      <c r="A2085" s="13"/>
      <c r="B2085" s="13"/>
      <c r="C2085" s="13"/>
      <c r="D2085" s="13"/>
      <c r="E2085" s="13"/>
      <c r="F2085" s="13"/>
      <c r="G2085" s="13"/>
      <c r="H2085" s="13"/>
      <c r="I2085" s="13"/>
      <c r="J2085" s="39" t="s">
        <v>7904</v>
      </c>
      <c r="K2085" s="13"/>
      <c r="L2085" s="13"/>
    </row>
    <row r="2086" spans="1:12">
      <c r="A2086" s="13"/>
      <c r="B2086" s="13"/>
      <c r="C2086" s="13"/>
      <c r="D2086" s="13"/>
      <c r="E2086" s="13"/>
      <c r="F2086" s="13"/>
      <c r="G2086" s="13"/>
      <c r="H2086" s="13"/>
      <c r="I2086" s="13"/>
      <c r="J2086" s="39" t="s">
        <v>7906</v>
      </c>
      <c r="K2086" s="13"/>
      <c r="L2086" s="13"/>
    </row>
    <row r="2087" spans="1:12">
      <c r="A2087" s="13"/>
      <c r="B2087" s="13"/>
      <c r="C2087" s="13"/>
      <c r="D2087" s="13"/>
      <c r="E2087" s="13"/>
      <c r="F2087" s="13"/>
      <c r="G2087" s="13"/>
      <c r="H2087" s="13"/>
      <c r="I2087" s="13"/>
      <c r="J2087" s="39" t="s">
        <v>7907</v>
      </c>
      <c r="K2087" s="13"/>
      <c r="L2087" s="13"/>
    </row>
    <row r="2088" spans="1:12">
      <c r="A2088" s="13"/>
      <c r="B2088" s="13"/>
      <c r="C2088" s="13"/>
      <c r="D2088" s="13"/>
      <c r="E2088" s="13"/>
      <c r="F2088" s="13"/>
      <c r="G2088" s="13"/>
      <c r="H2088" s="13"/>
      <c r="I2088" s="13"/>
      <c r="J2088" s="39" t="s">
        <v>7908</v>
      </c>
      <c r="K2088" s="13"/>
      <c r="L2088" s="13"/>
    </row>
    <row r="2089" spans="1:12">
      <c r="A2089" s="13"/>
      <c r="B2089" s="13"/>
      <c r="C2089" s="13"/>
      <c r="D2089" s="13"/>
      <c r="E2089" s="13"/>
      <c r="F2089" s="13"/>
      <c r="G2089" s="13"/>
      <c r="H2089" s="13"/>
      <c r="I2089" s="13"/>
      <c r="J2089" s="39" t="s">
        <v>7909</v>
      </c>
      <c r="K2089" s="13"/>
      <c r="L2089" s="13"/>
    </row>
    <row r="2090" spans="1:12">
      <c r="A2090" s="13"/>
      <c r="B2090" s="13"/>
      <c r="C2090" s="13"/>
      <c r="D2090" s="13"/>
      <c r="E2090" s="13"/>
      <c r="F2090" s="13"/>
      <c r="G2090" s="13"/>
      <c r="H2090" s="13"/>
      <c r="I2090" s="13"/>
      <c r="J2090" s="39" t="s">
        <v>8005</v>
      </c>
      <c r="K2090" s="13"/>
      <c r="L2090" s="13"/>
    </row>
    <row r="2091" spans="1:12">
      <c r="A2091" s="13"/>
      <c r="B2091" s="13"/>
      <c r="C2091" s="13"/>
      <c r="D2091" s="13"/>
      <c r="E2091" s="13"/>
      <c r="F2091" s="13"/>
      <c r="G2091" s="13"/>
      <c r="H2091" s="13"/>
      <c r="I2091" s="13"/>
      <c r="J2091" s="39" t="s">
        <v>2799</v>
      </c>
      <c r="K2091" s="13"/>
      <c r="L2091" s="13"/>
    </row>
    <row r="2092" spans="1:12">
      <c r="A2092" s="13"/>
      <c r="B2092" s="13"/>
      <c r="C2092" s="13"/>
      <c r="D2092" s="13"/>
      <c r="E2092" s="13"/>
      <c r="F2092" s="13"/>
      <c r="G2092" s="13"/>
      <c r="H2092" s="13"/>
      <c r="I2092" s="13"/>
      <c r="J2092" s="39" t="s">
        <v>8006</v>
      </c>
      <c r="K2092" s="13"/>
      <c r="L2092" s="13"/>
    </row>
    <row r="2093" spans="1:12">
      <c r="A2093" s="13"/>
      <c r="B2093" s="13"/>
      <c r="C2093" s="13"/>
      <c r="D2093" s="13"/>
      <c r="E2093" s="13"/>
      <c r="F2093" s="13"/>
      <c r="G2093" s="13"/>
      <c r="H2093" s="13"/>
      <c r="I2093" s="13"/>
      <c r="J2093" s="39" t="s">
        <v>8007</v>
      </c>
      <c r="K2093" s="13"/>
      <c r="L2093" s="13"/>
    </row>
    <row r="2094" spans="1:12">
      <c r="A2094" s="13"/>
      <c r="B2094" s="13"/>
      <c r="C2094" s="13"/>
      <c r="D2094" s="13"/>
      <c r="E2094" s="13"/>
      <c r="F2094" s="13"/>
      <c r="G2094" s="13"/>
      <c r="H2094" s="13"/>
      <c r="I2094" s="13"/>
      <c r="J2094" s="39" t="s">
        <v>8008</v>
      </c>
      <c r="K2094" s="13"/>
      <c r="L2094" s="13"/>
    </row>
    <row r="2095" spans="1:12">
      <c r="A2095" s="13"/>
      <c r="B2095" s="13"/>
      <c r="C2095" s="13"/>
      <c r="D2095" s="13"/>
      <c r="E2095" s="13"/>
      <c r="F2095" s="13"/>
      <c r="G2095" s="13"/>
      <c r="H2095" s="13"/>
      <c r="I2095" s="13"/>
      <c r="J2095" s="39" t="s">
        <v>7917</v>
      </c>
      <c r="K2095" s="13"/>
      <c r="L2095" s="13"/>
    </row>
    <row r="2096" spans="1:12">
      <c r="A2096" s="13"/>
      <c r="B2096" s="13"/>
      <c r="C2096" s="13"/>
      <c r="D2096" s="13"/>
      <c r="E2096" s="13"/>
      <c r="F2096" s="13"/>
      <c r="G2096" s="13"/>
      <c r="H2096" s="13"/>
      <c r="I2096" s="13"/>
      <c r="J2096" s="39" t="s">
        <v>7904</v>
      </c>
      <c r="K2096" s="13"/>
      <c r="L2096" s="13"/>
    </row>
    <row r="2097" spans="1:12">
      <c r="A2097" s="13"/>
      <c r="B2097" s="13"/>
      <c r="C2097" s="13"/>
      <c r="D2097" s="13"/>
      <c r="E2097" s="13"/>
      <c r="F2097" s="13"/>
      <c r="G2097" s="13"/>
      <c r="H2097" s="13"/>
      <c r="I2097" s="13"/>
      <c r="J2097" s="39" t="s">
        <v>7906</v>
      </c>
      <c r="K2097" s="13"/>
      <c r="L2097" s="13"/>
    </row>
    <row r="2098" spans="1:12">
      <c r="A2098" s="13"/>
      <c r="B2098" s="13"/>
      <c r="C2098" s="13"/>
      <c r="D2098" s="13"/>
      <c r="E2098" s="13"/>
      <c r="F2098" s="13"/>
      <c r="G2098" s="13"/>
      <c r="H2098" s="13"/>
      <c r="I2098" s="13"/>
      <c r="J2098" s="39" t="s">
        <v>7907</v>
      </c>
      <c r="K2098" s="13"/>
      <c r="L2098" s="13"/>
    </row>
    <row r="2099" spans="1:12">
      <c r="A2099" s="13"/>
      <c r="B2099" s="13"/>
      <c r="C2099" s="13"/>
      <c r="D2099" s="13"/>
      <c r="E2099" s="13"/>
      <c r="F2099" s="13"/>
      <c r="G2099" s="13"/>
      <c r="H2099" s="13"/>
      <c r="I2099" s="13"/>
      <c r="J2099" s="39" t="s">
        <v>7908</v>
      </c>
      <c r="K2099" s="13"/>
      <c r="L2099" s="13"/>
    </row>
    <row r="2100" spans="1:12">
      <c r="A2100" s="13"/>
      <c r="B2100" s="13"/>
      <c r="C2100" s="13"/>
      <c r="D2100" s="13"/>
      <c r="E2100" s="13"/>
      <c r="F2100" s="13"/>
      <c r="G2100" s="13"/>
      <c r="H2100" s="13"/>
      <c r="I2100" s="13"/>
      <c r="J2100" s="39" t="s">
        <v>7909</v>
      </c>
      <c r="K2100" s="13"/>
      <c r="L2100" s="13"/>
    </row>
    <row r="2101" spans="1:12">
      <c r="A2101" s="13"/>
      <c r="B2101" s="13"/>
      <c r="C2101" s="13"/>
      <c r="D2101" s="13"/>
      <c r="E2101" s="13"/>
      <c r="F2101" s="13"/>
      <c r="G2101" s="13"/>
      <c r="H2101" s="13"/>
      <c r="I2101" s="13"/>
      <c r="J2101" s="39" t="s">
        <v>8009</v>
      </c>
      <c r="K2101" s="13"/>
      <c r="L2101" s="13"/>
    </row>
    <row r="2102" spans="1:12">
      <c r="A2102" s="13"/>
      <c r="B2102" s="13"/>
      <c r="C2102" s="13"/>
      <c r="D2102" s="13"/>
      <c r="E2102" s="13"/>
      <c r="F2102" s="13"/>
      <c r="G2102" s="13"/>
      <c r="H2102" s="13"/>
      <c r="I2102" s="13"/>
      <c r="J2102" s="39" t="s">
        <v>2799</v>
      </c>
      <c r="K2102" s="13"/>
      <c r="L2102" s="13"/>
    </row>
    <row r="2103" spans="1:12">
      <c r="A2103" s="13"/>
      <c r="B2103" s="13"/>
      <c r="C2103" s="13"/>
      <c r="D2103" s="13"/>
      <c r="E2103" s="13"/>
      <c r="F2103" s="13"/>
      <c r="G2103" s="13"/>
      <c r="H2103" s="13"/>
      <c r="I2103" s="13"/>
      <c r="J2103" s="39" t="s">
        <v>8010</v>
      </c>
      <c r="K2103" s="13"/>
      <c r="L2103" s="13"/>
    </row>
    <row r="2104" spans="1:12">
      <c r="A2104" s="13"/>
      <c r="B2104" s="13"/>
      <c r="C2104" s="13"/>
      <c r="D2104" s="13"/>
      <c r="E2104" s="13"/>
      <c r="F2104" s="13"/>
      <c r="G2104" s="13"/>
      <c r="H2104" s="13"/>
      <c r="I2104" s="13"/>
      <c r="J2104" s="39" t="s">
        <v>8011</v>
      </c>
      <c r="K2104" s="13"/>
      <c r="L2104" s="13"/>
    </row>
    <row r="2105" spans="1:12">
      <c r="A2105" s="13"/>
      <c r="B2105" s="13"/>
      <c r="C2105" s="13"/>
      <c r="D2105" s="13"/>
      <c r="E2105" s="13"/>
      <c r="F2105" s="13"/>
      <c r="G2105" s="13"/>
      <c r="H2105" s="13"/>
      <c r="I2105" s="13"/>
      <c r="J2105" s="39" t="s">
        <v>8012</v>
      </c>
      <c r="K2105" s="13"/>
      <c r="L2105" s="13"/>
    </row>
    <row r="2106" spans="1:12">
      <c r="A2106" s="13"/>
      <c r="B2106" s="13"/>
      <c r="C2106" s="13"/>
      <c r="D2106" s="13"/>
      <c r="E2106" s="13"/>
      <c r="F2106" s="13"/>
      <c r="G2106" s="13"/>
      <c r="H2106" s="13"/>
      <c r="I2106" s="13"/>
      <c r="J2106" s="39" t="s">
        <v>7925</v>
      </c>
      <c r="K2106" s="13"/>
      <c r="L2106" s="13"/>
    </row>
    <row r="2107" spans="1:12">
      <c r="A2107" s="13"/>
      <c r="B2107" s="13"/>
      <c r="C2107" s="13"/>
      <c r="D2107" s="13"/>
      <c r="E2107" s="13"/>
      <c r="F2107" s="13"/>
      <c r="G2107" s="13"/>
      <c r="H2107" s="13"/>
      <c r="I2107" s="13"/>
      <c r="J2107" s="39" t="s">
        <v>7904</v>
      </c>
      <c r="K2107" s="13"/>
      <c r="L2107" s="13"/>
    </row>
    <row r="2108" spans="1:12">
      <c r="A2108" s="13"/>
      <c r="B2108" s="13"/>
      <c r="C2108" s="13"/>
      <c r="D2108" s="13"/>
      <c r="E2108" s="13"/>
      <c r="F2108" s="13"/>
      <c r="G2108" s="13"/>
      <c r="H2108" s="13"/>
      <c r="I2108" s="13"/>
      <c r="J2108" s="39" t="s">
        <v>7906</v>
      </c>
      <c r="K2108" s="13"/>
      <c r="L2108" s="13"/>
    </row>
    <row r="2109" spans="1:12">
      <c r="A2109" s="13"/>
      <c r="B2109" s="13"/>
      <c r="C2109" s="13"/>
      <c r="D2109" s="13"/>
      <c r="E2109" s="13"/>
      <c r="F2109" s="13"/>
      <c r="G2109" s="13"/>
      <c r="H2109" s="13"/>
      <c r="I2109" s="13"/>
      <c r="J2109" s="39" t="s">
        <v>7907</v>
      </c>
      <c r="K2109" s="13"/>
      <c r="L2109" s="13"/>
    </row>
    <row r="2110" spans="1:12">
      <c r="A2110" s="13"/>
      <c r="B2110" s="13"/>
      <c r="C2110" s="13"/>
      <c r="D2110" s="13"/>
      <c r="E2110" s="13"/>
      <c r="F2110" s="13"/>
      <c r="G2110" s="13"/>
      <c r="H2110" s="13"/>
      <c r="I2110" s="13"/>
      <c r="J2110" s="39" t="s">
        <v>7908</v>
      </c>
      <c r="K2110" s="13"/>
      <c r="L2110" s="13"/>
    </row>
    <row r="2111" spans="1:12">
      <c r="A2111" s="13"/>
      <c r="B2111" s="13"/>
      <c r="C2111" s="13"/>
      <c r="D2111" s="13"/>
      <c r="E2111" s="13"/>
      <c r="F2111" s="13"/>
      <c r="G2111" s="13"/>
      <c r="H2111" s="13"/>
      <c r="I2111" s="13"/>
      <c r="J2111" s="39" t="s">
        <v>7909</v>
      </c>
      <c r="K2111" s="13"/>
      <c r="L2111" s="13"/>
    </row>
    <row r="2112" spans="1:12">
      <c r="A2112" s="13"/>
      <c r="B2112" s="13"/>
      <c r="C2112" s="13"/>
      <c r="D2112" s="13"/>
      <c r="E2112" s="13"/>
      <c r="F2112" s="13"/>
      <c r="G2112" s="13"/>
      <c r="H2112" s="13"/>
      <c r="I2112" s="13"/>
      <c r="J2112" s="39" t="s">
        <v>8013</v>
      </c>
      <c r="K2112" s="13"/>
      <c r="L2112" s="13"/>
    </row>
    <row r="2113" spans="1:12">
      <c r="A2113" s="13"/>
      <c r="B2113" s="13"/>
      <c r="C2113" s="13"/>
      <c r="D2113" s="13"/>
      <c r="E2113" s="13"/>
      <c r="F2113" s="13"/>
      <c r="G2113" s="13"/>
      <c r="H2113" s="13"/>
      <c r="I2113" s="13"/>
      <c r="J2113" s="39" t="s">
        <v>2799</v>
      </c>
      <c r="K2113" s="13"/>
      <c r="L2113" s="13"/>
    </row>
    <row r="2114" spans="1:12">
      <c r="A2114" s="13"/>
      <c r="B2114" s="13"/>
      <c r="C2114" s="13"/>
      <c r="D2114" s="13"/>
      <c r="E2114" s="13"/>
      <c r="F2114" s="13"/>
      <c r="G2114" s="13"/>
      <c r="H2114" s="13"/>
      <c r="I2114" s="13"/>
      <c r="J2114" s="39" t="s">
        <v>8014</v>
      </c>
      <c r="K2114" s="13"/>
      <c r="L2114" s="13"/>
    </row>
    <row r="2115" spans="1:12">
      <c r="A2115" s="13"/>
      <c r="B2115" s="13"/>
      <c r="C2115" s="13"/>
      <c r="D2115" s="13"/>
      <c r="E2115" s="13"/>
      <c r="F2115" s="13"/>
      <c r="G2115" s="13"/>
      <c r="H2115" s="13"/>
      <c r="I2115" s="13"/>
      <c r="J2115" s="39" t="s">
        <v>8015</v>
      </c>
      <c r="K2115" s="13"/>
      <c r="L2115" s="13"/>
    </row>
    <row r="2116" spans="1:12">
      <c r="A2116" s="13"/>
      <c r="B2116" s="13"/>
      <c r="C2116" s="13"/>
      <c r="D2116" s="13"/>
      <c r="E2116" s="13"/>
      <c r="F2116" s="13"/>
      <c r="G2116" s="13"/>
      <c r="H2116" s="13"/>
      <c r="I2116" s="13"/>
      <c r="J2116" s="39" t="s">
        <v>7902</v>
      </c>
      <c r="K2116" s="13"/>
      <c r="L2116" s="13"/>
    </row>
    <row r="2117" spans="1:12">
      <c r="A2117" s="13"/>
      <c r="B2117" s="13"/>
      <c r="C2117" s="13"/>
      <c r="D2117" s="13"/>
      <c r="E2117" s="13"/>
      <c r="F2117" s="13"/>
      <c r="G2117" s="13"/>
      <c r="H2117" s="13"/>
      <c r="I2117" s="13"/>
      <c r="J2117" s="39" t="s">
        <v>7904</v>
      </c>
      <c r="K2117" s="13"/>
      <c r="L2117" s="13"/>
    </row>
    <row r="2118" spans="1:12">
      <c r="A2118" s="13"/>
      <c r="B2118" s="13"/>
      <c r="C2118" s="13"/>
      <c r="D2118" s="13"/>
      <c r="E2118" s="13"/>
      <c r="F2118" s="13"/>
      <c r="G2118" s="13"/>
      <c r="H2118" s="13"/>
      <c r="I2118" s="13"/>
      <c r="J2118" s="39" t="s">
        <v>7906</v>
      </c>
      <c r="K2118" s="13"/>
      <c r="L2118" s="13"/>
    </row>
    <row r="2119" spans="1:12">
      <c r="A2119" s="13"/>
      <c r="B2119" s="13"/>
      <c r="C2119" s="13"/>
      <c r="D2119" s="13"/>
      <c r="E2119" s="13"/>
      <c r="F2119" s="13"/>
      <c r="G2119" s="13"/>
      <c r="H2119" s="13"/>
      <c r="I2119" s="13"/>
      <c r="J2119" s="39" t="s">
        <v>7907</v>
      </c>
      <c r="K2119" s="13"/>
      <c r="L2119" s="13"/>
    </row>
    <row r="2120" spans="1:12">
      <c r="A2120" s="13"/>
      <c r="B2120" s="13"/>
      <c r="C2120" s="13"/>
      <c r="D2120" s="13"/>
      <c r="E2120" s="13"/>
      <c r="F2120" s="13"/>
      <c r="G2120" s="13"/>
      <c r="H2120" s="13"/>
      <c r="I2120" s="13"/>
      <c r="J2120" s="39" t="s">
        <v>7908</v>
      </c>
      <c r="K2120" s="13"/>
      <c r="L2120" s="13"/>
    </row>
    <row r="2121" spans="1:12">
      <c r="A2121" s="13"/>
      <c r="B2121" s="13"/>
      <c r="C2121" s="13"/>
      <c r="D2121" s="13"/>
      <c r="E2121" s="13"/>
      <c r="F2121" s="13"/>
      <c r="G2121" s="13"/>
      <c r="H2121" s="13"/>
      <c r="I2121" s="13"/>
      <c r="J2121" s="39" t="s">
        <v>7909</v>
      </c>
      <c r="K2121" s="13"/>
      <c r="L2121" s="13"/>
    </row>
    <row r="2122" spans="1:12">
      <c r="A2122" s="13"/>
      <c r="B2122" s="13"/>
      <c r="C2122" s="13"/>
      <c r="D2122" s="13"/>
      <c r="E2122" s="13"/>
      <c r="F2122" s="13"/>
      <c r="G2122" s="13"/>
      <c r="H2122" s="13"/>
      <c r="I2122" s="13"/>
      <c r="J2122" s="39" t="s">
        <v>7917</v>
      </c>
      <c r="K2122" s="13"/>
      <c r="L2122" s="13"/>
    </row>
    <row r="2123" spans="1:12">
      <c r="A2123" s="13"/>
      <c r="B2123" s="13"/>
      <c r="C2123" s="13"/>
      <c r="D2123" s="13"/>
      <c r="E2123" s="13"/>
      <c r="F2123" s="13"/>
      <c r="G2123" s="13"/>
      <c r="H2123" s="13"/>
      <c r="I2123" s="13"/>
      <c r="J2123" s="39" t="s">
        <v>7904</v>
      </c>
      <c r="K2123" s="13"/>
      <c r="L2123" s="13"/>
    </row>
    <row r="2124" spans="1:12">
      <c r="A2124" s="13"/>
      <c r="B2124" s="13"/>
      <c r="C2124" s="13"/>
      <c r="D2124" s="13"/>
      <c r="E2124" s="13"/>
      <c r="F2124" s="13"/>
      <c r="G2124" s="13"/>
      <c r="H2124" s="13"/>
      <c r="I2124" s="13"/>
      <c r="J2124" s="39" t="s">
        <v>7906</v>
      </c>
      <c r="K2124" s="13"/>
      <c r="L2124" s="13"/>
    </row>
    <row r="2125" spans="1:12">
      <c r="A2125" s="13"/>
      <c r="B2125" s="13"/>
      <c r="C2125" s="13"/>
      <c r="D2125" s="13"/>
      <c r="E2125" s="13"/>
      <c r="F2125" s="13"/>
      <c r="G2125" s="13"/>
      <c r="H2125" s="13"/>
      <c r="I2125" s="13"/>
      <c r="J2125" s="39" t="s">
        <v>7907</v>
      </c>
      <c r="K2125" s="13"/>
      <c r="L2125" s="13"/>
    </row>
    <row r="2126" spans="1:12">
      <c r="A2126" s="13"/>
      <c r="B2126" s="13"/>
      <c r="C2126" s="13"/>
      <c r="D2126" s="13"/>
      <c r="E2126" s="13"/>
      <c r="F2126" s="13"/>
      <c r="G2126" s="13"/>
      <c r="H2126" s="13"/>
      <c r="I2126" s="13"/>
      <c r="J2126" s="39" t="s">
        <v>7908</v>
      </c>
      <c r="K2126" s="13"/>
      <c r="L2126" s="13"/>
    </row>
    <row r="2127" spans="1:12">
      <c r="A2127" s="13"/>
      <c r="B2127" s="13"/>
      <c r="C2127" s="13"/>
      <c r="D2127" s="13"/>
      <c r="E2127" s="13"/>
      <c r="F2127" s="13"/>
      <c r="G2127" s="13"/>
      <c r="H2127" s="13"/>
      <c r="I2127" s="13"/>
      <c r="J2127" s="39" t="s">
        <v>7909</v>
      </c>
      <c r="K2127" s="13"/>
      <c r="L2127" s="13"/>
    </row>
    <row r="2128" spans="1:12">
      <c r="A2128" s="13"/>
      <c r="B2128" s="13"/>
      <c r="C2128" s="13"/>
      <c r="D2128" s="13"/>
      <c r="E2128" s="13"/>
      <c r="F2128" s="13"/>
      <c r="G2128" s="13"/>
      <c r="H2128" s="13"/>
      <c r="I2128" s="13"/>
      <c r="J2128" s="39" t="s">
        <v>8016</v>
      </c>
      <c r="K2128" s="13"/>
      <c r="L2128" s="13"/>
    </row>
    <row r="2129" spans="1:12">
      <c r="A2129" s="13"/>
      <c r="B2129" s="13"/>
      <c r="C2129" s="13"/>
      <c r="D2129" s="13"/>
      <c r="E2129" s="13"/>
      <c r="F2129" s="13"/>
      <c r="G2129" s="13"/>
      <c r="H2129" s="13"/>
      <c r="I2129" s="13"/>
      <c r="J2129" s="39" t="s">
        <v>2799</v>
      </c>
      <c r="K2129" s="13"/>
      <c r="L2129" s="13"/>
    </row>
    <row r="2130" spans="1:12">
      <c r="A2130" s="13"/>
      <c r="B2130" s="13"/>
      <c r="C2130" s="13"/>
      <c r="D2130" s="13"/>
      <c r="E2130" s="13"/>
      <c r="F2130" s="13"/>
      <c r="G2130" s="13"/>
      <c r="H2130" s="13"/>
      <c r="I2130" s="13"/>
      <c r="J2130" s="39" t="s">
        <v>8006</v>
      </c>
      <c r="K2130" s="13"/>
      <c r="L2130" s="13"/>
    </row>
    <row r="2131" spans="1:12">
      <c r="A2131" s="13"/>
      <c r="B2131" s="13"/>
      <c r="C2131" s="13"/>
      <c r="D2131" s="13"/>
      <c r="E2131" s="13"/>
      <c r="F2131" s="13"/>
      <c r="G2131" s="13"/>
      <c r="H2131" s="13"/>
      <c r="I2131" s="13"/>
      <c r="J2131" s="39" t="s">
        <v>7913</v>
      </c>
      <c r="K2131" s="13"/>
      <c r="L2131" s="13"/>
    </row>
    <row r="2132" spans="1:12">
      <c r="A2132" s="13"/>
      <c r="B2132" s="13"/>
      <c r="C2132" s="13"/>
      <c r="D2132" s="13"/>
      <c r="E2132" s="13"/>
      <c r="F2132" s="13"/>
      <c r="G2132" s="13"/>
      <c r="H2132" s="13"/>
      <c r="I2132" s="13"/>
      <c r="J2132" s="39" t="s">
        <v>7917</v>
      </c>
      <c r="K2132" s="13"/>
      <c r="L2132" s="13"/>
    </row>
    <row r="2133" spans="1:12">
      <c r="A2133" s="13"/>
      <c r="B2133" s="13"/>
      <c r="C2133" s="13"/>
      <c r="D2133" s="13"/>
      <c r="E2133" s="13"/>
      <c r="F2133" s="13"/>
      <c r="G2133" s="13"/>
      <c r="H2133" s="13"/>
      <c r="I2133" s="13"/>
      <c r="J2133" s="39" t="s">
        <v>7904</v>
      </c>
      <c r="K2133" s="13"/>
      <c r="L2133" s="13"/>
    </row>
    <row r="2134" spans="1:12">
      <c r="A2134" s="13"/>
      <c r="B2134" s="13"/>
      <c r="C2134" s="13"/>
      <c r="D2134" s="13"/>
      <c r="E2134" s="13"/>
      <c r="F2134" s="13"/>
      <c r="G2134" s="13"/>
      <c r="H2134" s="13"/>
      <c r="I2134" s="13"/>
      <c r="J2134" s="39" t="s">
        <v>7906</v>
      </c>
      <c r="K2134" s="13"/>
      <c r="L2134" s="13"/>
    </row>
    <row r="2135" spans="1:12">
      <c r="A2135" s="13"/>
      <c r="B2135" s="13"/>
      <c r="C2135" s="13"/>
      <c r="D2135" s="13"/>
      <c r="E2135" s="13"/>
      <c r="F2135" s="13"/>
      <c r="G2135" s="13"/>
      <c r="H2135" s="13"/>
      <c r="I2135" s="13"/>
      <c r="J2135" s="39" t="s">
        <v>7907</v>
      </c>
      <c r="K2135" s="13"/>
      <c r="L2135" s="13"/>
    </row>
    <row r="2136" spans="1:12">
      <c r="A2136" s="13"/>
      <c r="B2136" s="13"/>
      <c r="C2136" s="13"/>
      <c r="D2136" s="13"/>
      <c r="E2136" s="13"/>
      <c r="F2136" s="13"/>
      <c r="G2136" s="13"/>
      <c r="H2136" s="13"/>
      <c r="I2136" s="13"/>
      <c r="J2136" s="39" t="s">
        <v>7908</v>
      </c>
      <c r="K2136" s="13"/>
      <c r="L2136" s="13"/>
    </row>
    <row r="2137" spans="1:12">
      <c r="A2137" s="13"/>
      <c r="B2137" s="13"/>
      <c r="C2137" s="13"/>
      <c r="D2137" s="13"/>
      <c r="E2137" s="13"/>
      <c r="F2137" s="13"/>
      <c r="G2137" s="13"/>
      <c r="H2137" s="13"/>
      <c r="I2137" s="13"/>
      <c r="J2137" s="39" t="s">
        <v>7909</v>
      </c>
      <c r="K2137" s="13"/>
      <c r="L2137" s="13"/>
    </row>
    <row r="2138" spans="1:12">
      <c r="A2138" s="13"/>
      <c r="B2138" s="13"/>
      <c r="C2138" s="13"/>
      <c r="D2138" s="13"/>
      <c r="E2138" s="13"/>
      <c r="F2138" s="13"/>
      <c r="G2138" s="13"/>
      <c r="H2138" s="13"/>
      <c r="I2138" s="13"/>
      <c r="J2138" s="39" t="s">
        <v>7925</v>
      </c>
      <c r="K2138" s="13"/>
      <c r="L2138" s="13"/>
    </row>
    <row r="2139" spans="1:12">
      <c r="A2139" s="13"/>
      <c r="B2139" s="13"/>
      <c r="C2139" s="13"/>
      <c r="D2139" s="13"/>
      <c r="E2139" s="13"/>
      <c r="F2139" s="13"/>
      <c r="G2139" s="13"/>
      <c r="H2139" s="13"/>
      <c r="I2139" s="13"/>
      <c r="J2139" s="39" t="s">
        <v>7904</v>
      </c>
      <c r="K2139" s="13"/>
      <c r="L2139" s="13"/>
    </row>
    <row r="2140" spans="1:12">
      <c r="A2140" s="13"/>
      <c r="B2140" s="13"/>
      <c r="C2140" s="13"/>
      <c r="D2140" s="13"/>
      <c r="E2140" s="13"/>
      <c r="F2140" s="13"/>
      <c r="G2140" s="13"/>
      <c r="H2140" s="13"/>
      <c r="I2140" s="13"/>
      <c r="J2140" s="39" t="s">
        <v>7906</v>
      </c>
      <c r="K2140" s="13"/>
      <c r="L2140" s="13"/>
    </row>
    <row r="2141" spans="1:12">
      <c r="A2141" s="13"/>
      <c r="B2141" s="13"/>
      <c r="C2141" s="13"/>
      <c r="D2141" s="13"/>
      <c r="E2141" s="13"/>
      <c r="F2141" s="13"/>
      <c r="G2141" s="13"/>
      <c r="H2141" s="13"/>
      <c r="I2141" s="13"/>
      <c r="J2141" s="39" t="s">
        <v>7907</v>
      </c>
      <c r="K2141" s="13"/>
      <c r="L2141" s="13"/>
    </row>
    <row r="2142" spans="1:12">
      <c r="A2142" s="13"/>
      <c r="B2142" s="13"/>
      <c r="C2142" s="13"/>
      <c r="D2142" s="13"/>
      <c r="E2142" s="13"/>
      <c r="F2142" s="13"/>
      <c r="G2142" s="13"/>
      <c r="H2142" s="13"/>
      <c r="I2142" s="13"/>
      <c r="J2142" s="39" t="s">
        <v>7908</v>
      </c>
      <c r="K2142" s="13"/>
      <c r="L2142" s="13"/>
    </row>
    <row r="2143" spans="1:12">
      <c r="A2143" s="13"/>
      <c r="B2143" s="13"/>
      <c r="C2143" s="13"/>
      <c r="D2143" s="13"/>
      <c r="E2143" s="13"/>
      <c r="F2143" s="13"/>
      <c r="G2143" s="13"/>
      <c r="H2143" s="13"/>
      <c r="I2143" s="13"/>
      <c r="J2143" s="39" t="s">
        <v>7909</v>
      </c>
      <c r="K2143" s="13"/>
      <c r="L2143" s="13"/>
    </row>
    <row r="2144" spans="1:12">
      <c r="A2144" s="13"/>
      <c r="B2144" s="13"/>
      <c r="C2144" s="13"/>
      <c r="D2144" s="13"/>
      <c r="E2144" s="13"/>
      <c r="F2144" s="13"/>
      <c r="G2144" s="13"/>
      <c r="H2144" s="13"/>
      <c r="I2144" s="13"/>
      <c r="J2144" s="39" t="s">
        <v>8016</v>
      </c>
      <c r="K2144" s="13"/>
      <c r="L2144" s="13"/>
    </row>
    <row r="2145" spans="1:12">
      <c r="A2145" s="13"/>
      <c r="B2145" s="13"/>
      <c r="C2145" s="13"/>
      <c r="D2145" s="13"/>
      <c r="E2145" s="13"/>
      <c r="F2145" s="13"/>
      <c r="G2145" s="13"/>
      <c r="H2145" s="13"/>
      <c r="I2145" s="13"/>
      <c r="J2145" s="39" t="s">
        <v>2799</v>
      </c>
      <c r="K2145" s="13"/>
      <c r="L2145" s="13"/>
    </row>
    <row r="2146" spans="1:12">
      <c r="A2146" s="13"/>
      <c r="B2146" s="13"/>
      <c r="C2146" s="13"/>
      <c r="D2146" s="13"/>
      <c r="E2146" s="13"/>
      <c r="F2146" s="13"/>
      <c r="G2146" s="13"/>
      <c r="H2146" s="13"/>
      <c r="I2146" s="13"/>
      <c r="J2146" s="39" t="s">
        <v>8017</v>
      </c>
      <c r="K2146" s="13"/>
      <c r="L2146" s="13"/>
    </row>
    <row r="2147" spans="1:12">
      <c r="A2147" s="13"/>
      <c r="B2147" s="13"/>
      <c r="C2147" s="13"/>
      <c r="D2147" s="13"/>
      <c r="E2147" s="13"/>
      <c r="F2147" s="13"/>
      <c r="G2147" s="13"/>
      <c r="H2147" s="13"/>
      <c r="I2147" s="13"/>
      <c r="J2147" s="39" t="s">
        <v>7940</v>
      </c>
      <c r="K2147" s="13"/>
      <c r="L2147" s="13"/>
    </row>
    <row r="2148" spans="1:12">
      <c r="A2148" s="13"/>
      <c r="B2148" s="13"/>
      <c r="C2148" s="13"/>
      <c r="D2148" s="13"/>
      <c r="E2148" s="13"/>
      <c r="F2148" s="13"/>
      <c r="G2148" s="13"/>
      <c r="H2148" s="13"/>
      <c r="I2148" s="13"/>
      <c r="J2148" s="39" t="s">
        <v>7467</v>
      </c>
      <c r="K2148" s="13"/>
      <c r="L2148" s="13"/>
    </row>
    <row r="2149" spans="1:12">
      <c r="A2149" s="13"/>
      <c r="B2149" s="13"/>
      <c r="C2149" s="13"/>
      <c r="D2149" s="13"/>
      <c r="E2149" s="13"/>
      <c r="F2149" s="13"/>
      <c r="G2149" s="13"/>
      <c r="H2149" s="13"/>
      <c r="I2149" s="13"/>
      <c r="J2149" s="39" t="s">
        <v>8018</v>
      </c>
      <c r="K2149" s="13"/>
      <c r="L2149" s="13"/>
    </row>
    <row r="2150" spans="1:12">
      <c r="A2150" s="13"/>
      <c r="B2150" s="13"/>
      <c r="C2150" s="13"/>
      <c r="D2150" s="13"/>
      <c r="E2150" s="13"/>
      <c r="F2150" s="13"/>
      <c r="G2150" s="13"/>
      <c r="H2150" s="13"/>
      <c r="I2150" s="13"/>
      <c r="J2150" s="39" t="s">
        <v>8019</v>
      </c>
      <c r="K2150" s="13"/>
      <c r="L2150" s="13"/>
    </row>
    <row r="2151" spans="1:12">
      <c r="A2151" s="13"/>
      <c r="B2151" s="13"/>
      <c r="C2151" s="13"/>
      <c r="D2151" s="13"/>
      <c r="E2151" s="13"/>
      <c r="F2151" s="13"/>
      <c r="G2151" s="13"/>
      <c r="H2151" s="13"/>
      <c r="I2151" s="13"/>
      <c r="J2151" s="39" t="s">
        <v>8020</v>
      </c>
      <c r="K2151" s="13"/>
      <c r="L2151" s="13"/>
    </row>
    <row r="2152" spans="1:12">
      <c r="A2152" s="13"/>
      <c r="B2152" s="13"/>
      <c r="C2152" s="13"/>
      <c r="D2152" s="13"/>
      <c r="E2152" s="13"/>
      <c r="F2152" s="13"/>
      <c r="G2152" s="13"/>
      <c r="H2152" s="13"/>
      <c r="I2152" s="13"/>
      <c r="J2152" s="39" t="s">
        <v>2799</v>
      </c>
      <c r="K2152" s="13"/>
      <c r="L2152" s="13"/>
    </row>
    <row r="2153" spans="1:12">
      <c r="A2153" s="13"/>
      <c r="B2153" s="13"/>
      <c r="C2153" s="13"/>
      <c r="D2153" s="13"/>
      <c r="E2153" s="13"/>
      <c r="F2153" s="13"/>
      <c r="G2153" s="13"/>
      <c r="H2153" s="13"/>
      <c r="I2153" s="13"/>
      <c r="J2153" s="39" t="s">
        <v>7481</v>
      </c>
      <c r="K2153" s="13"/>
      <c r="L2153" s="13"/>
    </row>
    <row r="2154" spans="1:12">
      <c r="A2154" s="13"/>
      <c r="B2154" s="13"/>
      <c r="C2154" s="13"/>
      <c r="D2154" s="13"/>
      <c r="E2154" s="13"/>
      <c r="F2154" s="13"/>
      <c r="G2154" s="13"/>
      <c r="H2154" s="13"/>
      <c r="I2154" s="13"/>
      <c r="J2154" s="39" t="s">
        <v>8021</v>
      </c>
      <c r="K2154" s="13"/>
      <c r="L2154" s="13"/>
    </row>
    <row r="2155" spans="1:12">
      <c r="A2155" s="13"/>
      <c r="B2155" s="13"/>
      <c r="C2155" s="13"/>
      <c r="D2155" s="13"/>
      <c r="E2155" s="13"/>
      <c r="F2155" s="13"/>
      <c r="G2155" s="13"/>
      <c r="H2155" s="13"/>
      <c r="I2155" s="13"/>
      <c r="J2155" s="39" t="s">
        <v>8022</v>
      </c>
      <c r="K2155" s="13"/>
      <c r="L2155" s="13"/>
    </row>
    <row r="2156" spans="1:12">
      <c r="A2156" s="13"/>
      <c r="B2156" s="13"/>
      <c r="C2156" s="13"/>
      <c r="D2156" s="13"/>
      <c r="E2156" s="13"/>
      <c r="F2156" s="13"/>
      <c r="G2156" s="13"/>
      <c r="H2156" s="13"/>
      <c r="I2156" s="13"/>
      <c r="J2156" s="39" t="s">
        <v>8023</v>
      </c>
      <c r="K2156" s="13"/>
      <c r="L2156" s="13"/>
    </row>
    <row r="2157" spans="1:12">
      <c r="A2157" s="13"/>
      <c r="B2157" s="13"/>
      <c r="C2157" s="13"/>
      <c r="D2157" s="13"/>
      <c r="E2157" s="13"/>
      <c r="F2157" s="13"/>
      <c r="G2157" s="13"/>
      <c r="H2157" s="13"/>
      <c r="I2157" s="13"/>
      <c r="J2157" s="39" t="s">
        <v>2799</v>
      </c>
      <c r="K2157" s="13"/>
      <c r="L2157" s="13"/>
    </row>
    <row r="2158" spans="1:12">
      <c r="A2158" s="13"/>
      <c r="B2158" s="13"/>
      <c r="C2158" s="13"/>
      <c r="D2158" s="13"/>
      <c r="E2158" s="13"/>
      <c r="F2158" s="13"/>
      <c r="G2158" s="13"/>
      <c r="H2158" s="13"/>
      <c r="I2158" s="13"/>
      <c r="J2158" s="39" t="s">
        <v>8024</v>
      </c>
      <c r="K2158" s="13"/>
      <c r="L2158" s="13"/>
    </row>
    <row r="2159" spans="1:12">
      <c r="A2159" s="13"/>
      <c r="B2159" s="13"/>
      <c r="C2159" s="13"/>
      <c r="D2159" s="13"/>
      <c r="E2159" s="13"/>
      <c r="F2159" s="13"/>
      <c r="G2159" s="13"/>
      <c r="H2159" s="13"/>
      <c r="I2159" s="13"/>
      <c r="J2159" s="39" t="s">
        <v>8025</v>
      </c>
      <c r="K2159" s="13"/>
      <c r="L2159" s="13"/>
    </row>
    <row r="2160" spans="1:12">
      <c r="A2160" s="13"/>
      <c r="B2160" s="13"/>
      <c r="C2160" s="13"/>
      <c r="D2160" s="13"/>
      <c r="E2160" s="13"/>
      <c r="F2160" s="13"/>
      <c r="G2160" s="13"/>
      <c r="H2160" s="13"/>
      <c r="I2160" s="13"/>
      <c r="J2160" s="39" t="s">
        <v>8026</v>
      </c>
      <c r="K2160" s="13"/>
      <c r="L2160" s="13"/>
    </row>
    <row r="2161" spans="1:12">
      <c r="A2161" s="13"/>
      <c r="B2161" s="13"/>
      <c r="C2161" s="13"/>
      <c r="D2161" s="13"/>
      <c r="E2161" s="13"/>
      <c r="F2161" s="13"/>
      <c r="G2161" s="13"/>
      <c r="H2161" s="13"/>
      <c r="I2161" s="13"/>
      <c r="J2161" s="39" t="s">
        <v>8027</v>
      </c>
      <c r="K2161" s="13"/>
      <c r="L2161" s="13"/>
    </row>
    <row r="2162" spans="1:12">
      <c r="A2162" s="13"/>
      <c r="B2162" s="13"/>
      <c r="C2162" s="13"/>
      <c r="D2162" s="13"/>
      <c r="E2162" s="13"/>
      <c r="F2162" s="13"/>
      <c r="G2162" s="13"/>
      <c r="H2162" s="13"/>
      <c r="I2162" s="13"/>
      <c r="J2162" s="39" t="s">
        <v>8028</v>
      </c>
      <c r="K2162" s="13"/>
      <c r="L2162" s="13"/>
    </row>
    <row r="2163" spans="1:12">
      <c r="A2163" s="13"/>
      <c r="B2163" s="13"/>
      <c r="C2163" s="13"/>
      <c r="D2163" s="13"/>
      <c r="E2163" s="13"/>
      <c r="F2163" s="13"/>
      <c r="G2163" s="13"/>
      <c r="H2163" s="13"/>
      <c r="I2163" s="13"/>
      <c r="J2163" s="39" t="s">
        <v>2799</v>
      </c>
      <c r="K2163" s="13"/>
      <c r="L2163" s="13"/>
    </row>
    <row r="2164" spans="1:12">
      <c r="A2164" s="13"/>
      <c r="B2164" s="13"/>
      <c r="C2164" s="13"/>
      <c r="D2164" s="13"/>
      <c r="E2164" s="13"/>
      <c r="F2164" s="13"/>
      <c r="G2164" s="13"/>
      <c r="H2164" s="13"/>
      <c r="I2164" s="13"/>
      <c r="J2164" s="39" t="s">
        <v>7754</v>
      </c>
      <c r="K2164" s="13"/>
      <c r="L2164" s="13"/>
    </row>
    <row r="2165" spans="1:12">
      <c r="A2165" s="13"/>
      <c r="B2165" s="13"/>
      <c r="C2165" s="13"/>
      <c r="D2165" s="13"/>
      <c r="E2165" s="13"/>
      <c r="F2165" s="13"/>
      <c r="G2165" s="13"/>
      <c r="H2165" s="13"/>
      <c r="I2165" s="13"/>
      <c r="J2165" s="39" t="s">
        <v>7756</v>
      </c>
      <c r="K2165" s="13"/>
      <c r="L2165" s="13"/>
    </row>
    <row r="2166" spans="1:12">
      <c r="A2166" s="13"/>
      <c r="B2166" s="13"/>
      <c r="C2166" s="13"/>
      <c r="D2166" s="13"/>
      <c r="E2166" s="13"/>
      <c r="F2166" s="13"/>
      <c r="G2166" s="13"/>
      <c r="H2166" s="13"/>
      <c r="I2166" s="13"/>
      <c r="J2166" s="39"/>
      <c r="K2166" s="13"/>
      <c r="L2166" s="13"/>
    </row>
    <row r="2167" spans="1:12">
      <c r="A2167" s="13"/>
      <c r="B2167" s="13"/>
      <c r="C2167" s="13"/>
      <c r="D2167" s="13"/>
      <c r="E2167" s="13"/>
      <c r="F2167" s="13"/>
      <c r="G2167" s="13"/>
      <c r="H2167" s="13"/>
      <c r="I2167" s="13"/>
      <c r="J2167" s="39" t="s">
        <v>7501</v>
      </c>
      <c r="K2167" s="13"/>
      <c r="L2167" s="13"/>
    </row>
    <row r="2168" spans="1:12">
      <c r="A2168" s="13"/>
      <c r="B2168" s="13"/>
      <c r="C2168" s="13"/>
      <c r="D2168" s="13"/>
      <c r="E2168" s="13"/>
      <c r="F2168" s="13"/>
      <c r="G2168" s="13"/>
      <c r="H2168" s="13"/>
      <c r="I2168" s="13"/>
      <c r="J2168" s="39" t="s">
        <v>8029</v>
      </c>
      <c r="K2168" s="13"/>
      <c r="L2168" s="13"/>
    </row>
    <row r="2169" spans="1:12">
      <c r="A2169" s="13"/>
      <c r="B2169" s="13"/>
      <c r="C2169" s="13"/>
      <c r="D2169" s="13"/>
      <c r="E2169" s="13"/>
      <c r="F2169" s="13"/>
      <c r="G2169" s="13"/>
      <c r="H2169" s="13"/>
      <c r="I2169" s="13"/>
      <c r="J2169" s="39" t="s">
        <v>8030</v>
      </c>
      <c r="K2169" s="13"/>
      <c r="L2169" s="13"/>
    </row>
    <row r="2170" spans="1:12">
      <c r="A2170" s="13"/>
      <c r="B2170" s="13"/>
      <c r="C2170" s="13"/>
      <c r="D2170" s="13"/>
      <c r="E2170" s="13"/>
      <c r="F2170" s="13"/>
      <c r="G2170" s="13"/>
      <c r="H2170" s="13"/>
      <c r="I2170" s="13"/>
      <c r="J2170" s="39" t="s">
        <v>7940</v>
      </c>
      <c r="K2170" s="13"/>
      <c r="L2170" s="13"/>
    </row>
    <row r="2171" spans="1:12">
      <c r="A2171" s="13"/>
      <c r="B2171" s="13"/>
      <c r="C2171" s="13"/>
      <c r="D2171" s="13"/>
      <c r="E2171" s="13"/>
      <c r="F2171" s="13"/>
      <c r="G2171" s="13"/>
      <c r="H2171" s="13"/>
      <c r="I2171" s="13"/>
      <c r="J2171" s="39" t="s">
        <v>8031</v>
      </c>
      <c r="K2171" s="13"/>
      <c r="L2171" s="13"/>
    </row>
    <row r="2172" spans="1:12">
      <c r="A2172" s="13"/>
      <c r="B2172" s="13"/>
      <c r="C2172" s="13"/>
      <c r="D2172" s="13"/>
      <c r="E2172" s="13"/>
      <c r="F2172" s="13"/>
      <c r="G2172" s="13"/>
      <c r="H2172" s="13"/>
      <c r="I2172" s="13"/>
      <c r="J2172" s="39" t="s">
        <v>8032</v>
      </c>
      <c r="K2172" s="13"/>
      <c r="L2172" s="13"/>
    </row>
    <row r="2173" spans="1:12">
      <c r="A2173" s="13"/>
      <c r="B2173" s="13"/>
      <c r="C2173" s="13"/>
      <c r="D2173" s="13"/>
      <c r="E2173" s="13"/>
      <c r="F2173" s="13"/>
      <c r="G2173" s="13"/>
      <c r="H2173" s="13"/>
      <c r="I2173" s="13"/>
      <c r="J2173" s="39" t="s">
        <v>3747</v>
      </c>
      <c r="K2173" s="13"/>
      <c r="L2173" s="13"/>
    </row>
    <row r="2174" spans="1:12">
      <c r="A2174" s="13"/>
      <c r="B2174" s="13"/>
      <c r="C2174" s="13"/>
      <c r="D2174" s="13"/>
      <c r="E2174" s="13"/>
      <c r="F2174" s="13"/>
      <c r="G2174" s="13"/>
      <c r="H2174" s="13"/>
      <c r="I2174" s="13"/>
      <c r="J2174" s="39" t="s">
        <v>8033</v>
      </c>
      <c r="K2174" s="13"/>
      <c r="L2174" s="13"/>
    </row>
    <row r="2175" spans="1:12">
      <c r="A2175" s="13"/>
      <c r="B2175" s="13"/>
      <c r="C2175" s="13"/>
      <c r="D2175" s="13"/>
      <c r="E2175" s="13"/>
      <c r="F2175" s="13"/>
      <c r="G2175" s="13"/>
      <c r="H2175" s="13"/>
      <c r="I2175" s="13"/>
      <c r="J2175" s="39" t="s">
        <v>8034</v>
      </c>
      <c r="K2175" s="13"/>
      <c r="L2175" s="13"/>
    </row>
    <row r="2176" spans="1:12">
      <c r="A2176" s="13"/>
      <c r="B2176" s="13"/>
      <c r="C2176" s="13"/>
      <c r="D2176" s="13"/>
      <c r="E2176" s="13"/>
      <c r="F2176" s="13"/>
      <c r="G2176" s="13"/>
      <c r="H2176" s="13"/>
      <c r="I2176" s="13"/>
      <c r="J2176" s="39" t="s">
        <v>7940</v>
      </c>
      <c r="K2176" s="13"/>
      <c r="L2176" s="13"/>
    </row>
    <row r="2177" spans="1:12">
      <c r="A2177" s="13"/>
      <c r="B2177" s="13"/>
      <c r="C2177" s="13"/>
      <c r="D2177" s="13"/>
      <c r="E2177" s="13"/>
      <c r="F2177" s="13"/>
      <c r="G2177" s="13"/>
      <c r="H2177" s="13"/>
      <c r="I2177" s="13"/>
      <c r="J2177" s="39" t="s">
        <v>8035</v>
      </c>
      <c r="K2177" s="13"/>
      <c r="L2177" s="13"/>
    </row>
    <row r="2178" spans="1:12">
      <c r="A2178" s="13"/>
      <c r="B2178" s="13"/>
      <c r="C2178" s="13"/>
      <c r="D2178" s="13"/>
      <c r="E2178" s="13"/>
      <c r="F2178" s="13"/>
      <c r="G2178" s="13"/>
      <c r="H2178" s="13"/>
      <c r="I2178" s="13"/>
      <c r="J2178" s="39" t="s">
        <v>8036</v>
      </c>
      <c r="K2178" s="13"/>
      <c r="L2178" s="13"/>
    </row>
    <row r="2179" spans="1:12">
      <c r="A2179" s="13"/>
      <c r="B2179" s="13"/>
      <c r="C2179" s="13"/>
      <c r="D2179" s="13"/>
      <c r="E2179" s="13"/>
      <c r="F2179" s="13"/>
      <c r="G2179" s="13"/>
      <c r="H2179" s="13"/>
      <c r="I2179" s="13"/>
      <c r="J2179" s="39" t="s">
        <v>5279</v>
      </c>
      <c r="K2179" s="13"/>
      <c r="L2179" s="13"/>
    </row>
    <row r="2180" spans="1:12">
      <c r="A2180" s="13"/>
      <c r="B2180" s="13"/>
      <c r="C2180" s="13"/>
      <c r="D2180" s="13"/>
      <c r="E2180" s="13"/>
      <c r="F2180" s="13"/>
      <c r="G2180" s="13"/>
      <c r="H2180" s="13"/>
      <c r="I2180" s="13"/>
      <c r="J2180" s="39" t="s">
        <v>8037</v>
      </c>
      <c r="K2180" s="13"/>
      <c r="L2180" s="13"/>
    </row>
    <row r="2181" spans="1:12">
      <c r="A2181" s="13"/>
      <c r="B2181" s="13"/>
      <c r="C2181" s="13"/>
      <c r="D2181" s="13"/>
      <c r="E2181" s="13"/>
      <c r="F2181" s="13"/>
      <c r="G2181" s="13"/>
      <c r="H2181" s="13"/>
      <c r="I2181" s="13"/>
      <c r="J2181" s="39"/>
      <c r="K2181" s="13"/>
      <c r="L2181" s="13"/>
    </row>
    <row r="2182" spans="1:12">
      <c r="A2182" s="13"/>
      <c r="B2182" s="13"/>
      <c r="C2182" s="13"/>
      <c r="D2182" s="13"/>
      <c r="E2182" s="13"/>
      <c r="F2182" s="13"/>
      <c r="G2182" s="13"/>
      <c r="H2182" s="13"/>
      <c r="I2182" s="13"/>
      <c r="J2182" s="39" t="s">
        <v>8038</v>
      </c>
      <c r="K2182" s="13"/>
      <c r="L2182" s="13"/>
    </row>
    <row r="2183" spans="1:12">
      <c r="A2183" s="13"/>
      <c r="B2183" s="13"/>
      <c r="C2183" s="13"/>
      <c r="D2183" s="13"/>
      <c r="E2183" s="13"/>
      <c r="F2183" s="13"/>
      <c r="G2183" s="13"/>
      <c r="H2183" s="13"/>
      <c r="I2183" s="13"/>
      <c r="J2183" s="39" t="s">
        <v>7940</v>
      </c>
      <c r="K2183" s="13"/>
      <c r="L2183" s="13"/>
    </row>
    <row r="2184" spans="1:12">
      <c r="A2184" s="13"/>
      <c r="B2184" s="13"/>
      <c r="C2184" s="13"/>
      <c r="D2184" s="13"/>
      <c r="E2184" s="13"/>
      <c r="F2184" s="13"/>
      <c r="G2184" s="13"/>
      <c r="H2184" s="13"/>
      <c r="I2184" s="13"/>
      <c r="J2184" s="39" t="s">
        <v>8039</v>
      </c>
      <c r="K2184" s="13"/>
      <c r="L2184" s="13"/>
    </row>
    <row r="2185" spans="1:12">
      <c r="A2185" s="13"/>
      <c r="B2185" s="13"/>
      <c r="C2185" s="13"/>
      <c r="D2185" s="13"/>
      <c r="E2185" s="13"/>
      <c r="F2185" s="13"/>
      <c r="G2185" s="13"/>
      <c r="H2185" s="13"/>
      <c r="I2185" s="13"/>
      <c r="J2185" s="39" t="s">
        <v>8040</v>
      </c>
      <c r="K2185" s="13"/>
      <c r="L2185" s="13"/>
    </row>
    <row r="2186" spans="1:12">
      <c r="A2186" s="13"/>
      <c r="B2186" s="13"/>
      <c r="C2186" s="13"/>
      <c r="D2186" s="13"/>
      <c r="E2186" s="13"/>
      <c r="F2186" s="13"/>
      <c r="G2186" s="13"/>
      <c r="H2186" s="13"/>
      <c r="I2186" s="13"/>
      <c r="J2186" s="39" t="s">
        <v>5298</v>
      </c>
      <c r="K2186" s="13"/>
      <c r="L2186" s="13"/>
    </row>
    <row r="2187" spans="1:12">
      <c r="A2187" s="13"/>
      <c r="B2187" s="13"/>
      <c r="C2187" s="13"/>
      <c r="D2187" s="13"/>
      <c r="E2187" s="13"/>
      <c r="F2187" s="13"/>
      <c r="G2187" s="13"/>
      <c r="H2187" s="13"/>
      <c r="I2187" s="13"/>
      <c r="J2187" s="39" t="s">
        <v>8041</v>
      </c>
      <c r="K2187" s="13"/>
      <c r="L2187" s="13"/>
    </row>
    <row r="2188" spans="1:12">
      <c r="A2188" s="13"/>
      <c r="B2188" s="13"/>
      <c r="C2188" s="13"/>
      <c r="D2188" s="13"/>
      <c r="E2188" s="13"/>
      <c r="F2188" s="13"/>
      <c r="G2188" s="13"/>
      <c r="H2188" s="13"/>
      <c r="I2188" s="13"/>
      <c r="J2188" s="39" t="s">
        <v>8042</v>
      </c>
      <c r="K2188" s="13"/>
      <c r="L2188" s="13"/>
    </row>
    <row r="2189" spans="1:12">
      <c r="A2189" s="13"/>
      <c r="B2189" s="13"/>
      <c r="C2189" s="13"/>
      <c r="D2189" s="13"/>
      <c r="E2189" s="13"/>
      <c r="F2189" s="13"/>
      <c r="G2189" s="13"/>
      <c r="H2189" s="13"/>
      <c r="I2189" s="13"/>
      <c r="J2189" s="39" t="s">
        <v>8043</v>
      </c>
      <c r="K2189" s="13"/>
      <c r="L2189" s="13"/>
    </row>
    <row r="2190" spans="1:12">
      <c r="A2190" s="13"/>
      <c r="B2190" s="13"/>
      <c r="C2190" s="13"/>
      <c r="D2190" s="13"/>
      <c r="E2190" s="13"/>
      <c r="F2190" s="13"/>
      <c r="G2190" s="13"/>
      <c r="H2190" s="13"/>
      <c r="I2190" s="13"/>
      <c r="J2190" s="39" t="s">
        <v>7940</v>
      </c>
      <c r="K2190" s="13"/>
      <c r="L2190" s="13"/>
    </row>
    <row r="2191" spans="1:12">
      <c r="A2191" s="13"/>
      <c r="B2191" s="13"/>
      <c r="C2191" s="13"/>
      <c r="D2191" s="13"/>
      <c r="E2191" s="13"/>
      <c r="F2191" s="13"/>
      <c r="G2191" s="13"/>
      <c r="H2191" s="13"/>
      <c r="I2191" s="13"/>
      <c r="J2191" s="39" t="s">
        <v>8044</v>
      </c>
      <c r="K2191" s="13"/>
      <c r="L2191" s="13"/>
    </row>
    <row r="2192" spans="1:12">
      <c r="A2192" s="13"/>
      <c r="B2192" s="13"/>
      <c r="C2192" s="13"/>
      <c r="D2192" s="13"/>
      <c r="E2192" s="13"/>
      <c r="F2192" s="13"/>
      <c r="G2192" s="13"/>
      <c r="H2192" s="13"/>
      <c r="I2192" s="13"/>
      <c r="J2192" s="39" t="s">
        <v>8045</v>
      </c>
      <c r="K2192" s="13"/>
      <c r="L2192" s="13"/>
    </row>
    <row r="2193" spans="1:12">
      <c r="A2193" s="13"/>
      <c r="B2193" s="13"/>
      <c r="C2193" s="13"/>
      <c r="D2193" s="13"/>
      <c r="E2193" s="13"/>
      <c r="F2193" s="13"/>
      <c r="G2193" s="13"/>
      <c r="H2193" s="13"/>
      <c r="I2193" s="13"/>
      <c r="J2193" s="39" t="s">
        <v>8046</v>
      </c>
      <c r="K2193" s="13"/>
      <c r="L2193" s="13"/>
    </row>
    <row r="2194" spans="1:12">
      <c r="A2194" s="13"/>
      <c r="B2194" s="13"/>
      <c r="C2194" s="13"/>
      <c r="D2194" s="13"/>
      <c r="E2194" s="13"/>
      <c r="F2194" s="13"/>
      <c r="G2194" s="13"/>
      <c r="H2194" s="13"/>
      <c r="I2194" s="13"/>
      <c r="J2194" s="39" t="s">
        <v>7940</v>
      </c>
      <c r="K2194" s="13"/>
      <c r="L2194" s="13"/>
    </row>
    <row r="2195" spans="1:12">
      <c r="A2195" s="13"/>
      <c r="B2195" s="13"/>
      <c r="C2195" s="13"/>
      <c r="D2195" s="13"/>
      <c r="E2195" s="13"/>
      <c r="F2195" s="13"/>
      <c r="G2195" s="13"/>
      <c r="H2195" s="13"/>
      <c r="I2195" s="13"/>
      <c r="J2195" s="39" t="s">
        <v>8047</v>
      </c>
      <c r="K2195" s="13"/>
      <c r="L2195" s="13"/>
    </row>
    <row r="2196" spans="1:12">
      <c r="A2196" s="13"/>
      <c r="B2196" s="13"/>
      <c r="C2196" s="13"/>
      <c r="D2196" s="13"/>
      <c r="E2196" s="13"/>
      <c r="F2196" s="13"/>
      <c r="G2196" s="13"/>
      <c r="H2196" s="13"/>
      <c r="I2196" s="13"/>
      <c r="J2196" s="39" t="s">
        <v>8048</v>
      </c>
      <c r="K2196" s="13"/>
      <c r="L2196" s="13"/>
    </row>
    <row r="2197" spans="1:12">
      <c r="A2197" s="13"/>
      <c r="B2197" s="13"/>
      <c r="C2197" s="13"/>
      <c r="D2197" s="13"/>
      <c r="E2197" s="13"/>
      <c r="F2197" s="13"/>
      <c r="G2197" s="13"/>
      <c r="H2197" s="13"/>
      <c r="I2197" s="13"/>
      <c r="J2197" s="39" t="s">
        <v>8049</v>
      </c>
      <c r="K2197" s="13"/>
      <c r="L2197" s="13"/>
    </row>
    <row r="2198" spans="1:12">
      <c r="A2198" s="13"/>
      <c r="B2198" s="13"/>
      <c r="C2198" s="13"/>
      <c r="D2198" s="13"/>
      <c r="E2198" s="13"/>
      <c r="F2198" s="13"/>
      <c r="G2198" s="13"/>
      <c r="H2198" s="13"/>
      <c r="I2198" s="13"/>
      <c r="J2198" s="39" t="s">
        <v>8050</v>
      </c>
      <c r="K2198" s="13"/>
      <c r="L2198" s="13"/>
    </row>
    <row r="2199" spans="1:12">
      <c r="A2199" s="13"/>
      <c r="B2199" s="13"/>
      <c r="C2199" s="13"/>
      <c r="D2199" s="13"/>
      <c r="E2199" s="13"/>
      <c r="F2199" s="13"/>
      <c r="G2199" s="13"/>
      <c r="H2199" s="13"/>
      <c r="I2199" s="13"/>
      <c r="J2199" s="39" t="s">
        <v>8051</v>
      </c>
      <c r="K2199" s="13"/>
      <c r="L2199" s="13"/>
    </row>
    <row r="2200" spans="1:12">
      <c r="A2200" s="13"/>
      <c r="B2200" s="13"/>
      <c r="C2200" s="13"/>
      <c r="D2200" s="13"/>
      <c r="E2200" s="13"/>
      <c r="F2200" s="13"/>
      <c r="G2200" s="13"/>
      <c r="H2200" s="13"/>
      <c r="I2200" s="13"/>
      <c r="J2200" s="39" t="s">
        <v>8052</v>
      </c>
      <c r="K2200" s="13"/>
      <c r="L2200" s="13"/>
    </row>
    <row r="2201" spans="1:12">
      <c r="A2201" s="13"/>
      <c r="B2201" s="13"/>
      <c r="C2201" s="13"/>
      <c r="D2201" s="13"/>
      <c r="E2201" s="13"/>
      <c r="F2201" s="13"/>
      <c r="G2201" s="13"/>
      <c r="H2201" s="13"/>
      <c r="I2201" s="13"/>
      <c r="J2201" s="39" t="s">
        <v>8053</v>
      </c>
      <c r="K2201" s="13"/>
      <c r="L2201" s="13"/>
    </row>
    <row r="2202" spans="1:12">
      <c r="A2202" s="13"/>
      <c r="B2202" s="13"/>
      <c r="C2202" s="13"/>
      <c r="D2202" s="13"/>
      <c r="E2202" s="13"/>
      <c r="F2202" s="13"/>
      <c r="G2202" s="13"/>
      <c r="H2202" s="13"/>
      <c r="I2202" s="13"/>
      <c r="J2202" s="39" t="s">
        <v>8054</v>
      </c>
      <c r="K2202" s="13"/>
      <c r="L2202" s="13"/>
    </row>
    <row r="2203" spans="1:12">
      <c r="A2203" s="13"/>
      <c r="B2203" s="13"/>
      <c r="C2203" s="13"/>
      <c r="D2203" s="13"/>
      <c r="E2203" s="13"/>
      <c r="F2203" s="13"/>
      <c r="G2203" s="13"/>
      <c r="H2203" s="13"/>
      <c r="I2203" s="13"/>
      <c r="J2203" s="39" t="s">
        <v>8055</v>
      </c>
      <c r="K2203" s="13"/>
      <c r="L2203" s="13"/>
    </row>
    <row r="2204" spans="1:12">
      <c r="A2204" s="13"/>
      <c r="B2204" s="13"/>
      <c r="C2204" s="13"/>
      <c r="D2204" s="13"/>
      <c r="E2204" s="13"/>
      <c r="F2204" s="13"/>
      <c r="G2204" s="13"/>
      <c r="H2204" s="13"/>
      <c r="I2204" s="13"/>
      <c r="J2204" s="39" t="s">
        <v>8056</v>
      </c>
      <c r="K2204" s="13"/>
      <c r="L2204" s="13"/>
    </row>
    <row r="2205" spans="1:12">
      <c r="A2205" s="13"/>
      <c r="B2205" s="13"/>
      <c r="C2205" s="13"/>
      <c r="D2205" s="13"/>
      <c r="E2205" s="13"/>
      <c r="F2205" s="13"/>
      <c r="G2205" s="13"/>
      <c r="H2205" s="13"/>
      <c r="I2205" s="13"/>
      <c r="J2205" s="39" t="s">
        <v>5310</v>
      </c>
      <c r="K2205" s="13"/>
      <c r="L2205" s="13"/>
    </row>
    <row r="2206" spans="1:12">
      <c r="A2206" s="13"/>
      <c r="B2206" s="13"/>
      <c r="C2206" s="13"/>
      <c r="D2206" s="13"/>
      <c r="E2206" s="13"/>
      <c r="F2206" s="13"/>
      <c r="G2206" s="13"/>
      <c r="H2206" s="13"/>
      <c r="I2206" s="13"/>
      <c r="J2206" s="39" t="s">
        <v>5301</v>
      </c>
      <c r="K2206" s="13"/>
      <c r="L2206" s="13"/>
    </row>
    <row r="2207" spans="1:12">
      <c r="A2207" s="13"/>
      <c r="B2207" s="13"/>
      <c r="C2207" s="13"/>
      <c r="D2207" s="13"/>
      <c r="E2207" s="13"/>
      <c r="F2207" s="13"/>
      <c r="G2207" s="13"/>
      <c r="H2207" s="13"/>
      <c r="I2207" s="13"/>
      <c r="J2207" s="39" t="s">
        <v>2799</v>
      </c>
      <c r="K2207" s="13"/>
      <c r="L2207" s="13"/>
    </row>
    <row r="2208" spans="1:12">
      <c r="A2208" s="13"/>
      <c r="B2208" s="13"/>
      <c r="C2208" s="13"/>
      <c r="D2208" s="13"/>
      <c r="E2208" s="13"/>
      <c r="F2208" s="13"/>
      <c r="G2208" s="13"/>
      <c r="H2208" s="13"/>
      <c r="I2208" s="13"/>
      <c r="J2208" s="39" t="s">
        <v>8057</v>
      </c>
      <c r="K2208" s="13"/>
      <c r="L2208" s="13"/>
    </row>
    <row r="2209" spans="1:12">
      <c r="A2209" s="13"/>
      <c r="B2209" s="13"/>
      <c r="C2209" s="13"/>
      <c r="D2209" s="13"/>
      <c r="E2209" s="13"/>
      <c r="F2209" s="13"/>
      <c r="G2209" s="13"/>
      <c r="H2209" s="13"/>
      <c r="I2209" s="13"/>
      <c r="J2209" s="39" t="s">
        <v>8058</v>
      </c>
      <c r="K2209" s="13"/>
      <c r="L2209" s="13"/>
    </row>
    <row r="2210" spans="1:12">
      <c r="A2210" s="13"/>
      <c r="B2210" s="13"/>
      <c r="C2210" s="13"/>
      <c r="D2210" s="13"/>
      <c r="E2210" s="13"/>
      <c r="F2210" s="13"/>
      <c r="G2210" s="13"/>
      <c r="H2210" s="13"/>
      <c r="I2210" s="13"/>
      <c r="J2210" s="39" t="s">
        <v>8059</v>
      </c>
      <c r="K2210" s="13"/>
      <c r="L2210" s="13"/>
    </row>
    <row r="2211" spans="1:12">
      <c r="A2211" s="13"/>
      <c r="B2211" s="13"/>
      <c r="C2211" s="13"/>
      <c r="D2211" s="13"/>
      <c r="E2211" s="13"/>
      <c r="F2211" s="13"/>
      <c r="G2211" s="13"/>
      <c r="H2211" s="13"/>
      <c r="I2211" s="13"/>
      <c r="J2211" s="39"/>
      <c r="K2211" s="13"/>
      <c r="L2211" s="13"/>
    </row>
    <row r="2212" spans="1:12">
      <c r="A2212" s="13"/>
      <c r="B2212" s="13"/>
      <c r="C2212" s="13"/>
      <c r="D2212" s="13"/>
      <c r="E2212" s="13"/>
      <c r="F2212" s="13"/>
      <c r="G2212" s="13"/>
      <c r="H2212" s="13"/>
      <c r="I2212" s="13"/>
      <c r="J2212" s="39" t="s">
        <v>8060</v>
      </c>
      <c r="K2212" s="13"/>
      <c r="L2212" s="13"/>
    </row>
    <row r="2213" spans="1:12">
      <c r="A2213" s="13"/>
      <c r="B2213" s="13"/>
      <c r="C2213" s="13"/>
      <c r="D2213" s="13"/>
      <c r="E2213" s="13"/>
      <c r="F2213" s="13"/>
      <c r="G2213" s="13"/>
      <c r="H2213" s="13"/>
      <c r="I2213" s="13"/>
      <c r="J2213" s="39" t="s">
        <v>8061</v>
      </c>
      <c r="K2213" s="13"/>
      <c r="L2213" s="13"/>
    </row>
    <row r="2214" spans="1:12">
      <c r="A2214" s="13"/>
      <c r="B2214" s="13"/>
      <c r="C2214" s="13"/>
      <c r="D2214" s="13"/>
      <c r="E2214" s="13"/>
      <c r="F2214" s="13"/>
      <c r="G2214" s="13"/>
      <c r="H2214" s="13"/>
      <c r="I2214" s="13"/>
      <c r="J2214" s="39" t="s">
        <v>7564</v>
      </c>
      <c r="K2214" s="13"/>
      <c r="L2214" s="13"/>
    </row>
    <row r="2215" spans="1:12">
      <c r="A2215" s="13"/>
      <c r="B2215" s="13"/>
      <c r="C2215" s="13"/>
      <c r="D2215" s="13"/>
      <c r="E2215" s="13"/>
      <c r="F2215" s="13"/>
      <c r="G2215" s="13"/>
      <c r="H2215" s="13"/>
      <c r="I2215" s="13"/>
      <c r="J2215" s="39" t="s">
        <v>8062</v>
      </c>
      <c r="K2215" s="13"/>
      <c r="L2215" s="13"/>
    </row>
    <row r="2216" spans="1:12">
      <c r="A2216" s="13"/>
      <c r="B2216" s="13"/>
      <c r="C2216" s="13"/>
      <c r="D2216" s="13"/>
      <c r="E2216" s="13"/>
      <c r="F2216" s="13"/>
      <c r="G2216" s="13"/>
      <c r="H2216" s="13"/>
      <c r="I2216" s="13"/>
      <c r="J2216" s="39" t="s">
        <v>8063</v>
      </c>
      <c r="K2216" s="13"/>
      <c r="L2216" s="13"/>
    </row>
    <row r="2217" spans="1:12">
      <c r="A2217" s="13"/>
      <c r="B2217" s="13"/>
      <c r="C2217" s="13"/>
      <c r="D2217" s="13"/>
      <c r="E2217" s="13"/>
      <c r="F2217" s="13"/>
      <c r="G2217" s="13"/>
      <c r="H2217" s="13"/>
      <c r="I2217" s="13"/>
      <c r="J2217" s="39" t="s">
        <v>8064</v>
      </c>
      <c r="K2217" s="13"/>
      <c r="L2217" s="13"/>
    </row>
    <row r="2218" spans="1:12">
      <c r="A2218" s="13"/>
      <c r="B2218" s="13"/>
      <c r="C2218" s="13"/>
      <c r="D2218" s="13"/>
      <c r="E2218" s="13"/>
      <c r="F2218" s="13"/>
      <c r="G2218" s="13"/>
      <c r="H2218" s="13"/>
      <c r="I2218" s="13"/>
      <c r="J2218" s="39" t="s">
        <v>8065</v>
      </c>
      <c r="K2218" s="13"/>
      <c r="L2218" s="13"/>
    </row>
    <row r="2219" spans="1:12">
      <c r="A2219" s="13"/>
      <c r="B2219" s="13"/>
      <c r="C2219" s="13"/>
      <c r="D2219" s="13"/>
      <c r="E2219" s="13"/>
      <c r="F2219" s="13"/>
      <c r="G2219" s="13"/>
      <c r="H2219" s="13"/>
      <c r="I2219" s="13"/>
      <c r="J2219" s="39" t="s">
        <v>7458</v>
      </c>
      <c r="K2219" s="13"/>
      <c r="L2219" s="13"/>
    </row>
    <row r="2220" spans="1:12">
      <c r="A2220" s="13"/>
      <c r="B2220" s="13"/>
      <c r="C2220" s="13"/>
      <c r="D2220" s="13"/>
      <c r="E2220" s="13"/>
      <c r="F2220" s="13"/>
      <c r="G2220" s="13"/>
      <c r="H2220" s="13"/>
      <c r="I2220" s="13"/>
      <c r="J2220" s="39" t="s">
        <v>7561</v>
      </c>
      <c r="K2220" s="13"/>
      <c r="L2220" s="13"/>
    </row>
    <row r="2221" spans="1:12">
      <c r="A2221" s="13"/>
      <c r="B2221" s="13"/>
      <c r="C2221" s="13"/>
      <c r="D2221" s="13"/>
      <c r="E2221" s="13"/>
      <c r="F2221" s="13"/>
      <c r="G2221" s="13"/>
      <c r="H2221" s="13"/>
      <c r="I2221" s="13"/>
      <c r="J2221" s="39" t="s">
        <v>7764</v>
      </c>
      <c r="K2221" s="13"/>
      <c r="L2221" s="13"/>
    </row>
    <row r="2222" spans="1:12">
      <c r="A2222" s="13"/>
      <c r="B2222" s="13"/>
      <c r="C2222" s="13"/>
      <c r="D2222" s="13"/>
      <c r="E2222" s="13"/>
      <c r="F2222" s="13"/>
      <c r="G2222" s="13"/>
      <c r="H2222" s="13"/>
      <c r="I2222" s="13"/>
      <c r="J2222" s="39" t="s">
        <v>7766</v>
      </c>
      <c r="K2222" s="13"/>
      <c r="L2222" s="13"/>
    </row>
    <row r="2223" spans="1:12">
      <c r="A2223" s="13"/>
      <c r="B2223" s="13"/>
      <c r="C2223" s="13"/>
      <c r="D2223" s="13"/>
      <c r="E2223" s="13"/>
      <c r="F2223" s="13"/>
      <c r="G2223" s="13"/>
      <c r="H2223" s="13"/>
      <c r="I2223" s="13"/>
      <c r="J2223" s="39" t="s">
        <v>7769</v>
      </c>
      <c r="K2223" s="13"/>
      <c r="L2223" s="13"/>
    </row>
    <row r="2224" spans="1:12">
      <c r="A2224" s="13"/>
      <c r="B2224" s="13"/>
      <c r="C2224" s="13"/>
      <c r="D2224" s="13"/>
      <c r="E2224" s="13"/>
      <c r="F2224" s="13"/>
      <c r="G2224" s="13"/>
      <c r="H2224" s="13"/>
      <c r="I2224" s="13"/>
      <c r="J2224" s="39" t="s">
        <v>7760</v>
      </c>
      <c r="K2224" s="13"/>
      <c r="L2224" s="13"/>
    </row>
    <row r="2225" spans="1:12">
      <c r="A2225" s="13"/>
      <c r="B2225" s="13"/>
      <c r="C2225" s="13"/>
      <c r="D2225" s="13"/>
      <c r="E2225" s="13"/>
      <c r="F2225" s="13"/>
      <c r="G2225" s="13"/>
      <c r="H2225" s="13"/>
      <c r="I2225" s="13"/>
      <c r="J2225" s="39" t="s">
        <v>7762</v>
      </c>
      <c r="K2225" s="13"/>
      <c r="L2225" s="13"/>
    </row>
    <row r="2226" spans="1:12">
      <c r="A2226" s="13"/>
      <c r="B2226" s="13"/>
      <c r="C2226" s="13"/>
      <c r="D2226" s="13"/>
      <c r="E2226" s="13"/>
      <c r="F2226" s="13"/>
      <c r="G2226" s="13"/>
      <c r="H2226" s="13"/>
      <c r="I2226" s="13"/>
      <c r="J2226" s="39" t="s">
        <v>7768</v>
      </c>
      <c r="K2226" s="13"/>
      <c r="L2226" s="13"/>
    </row>
    <row r="2227" spans="1:12">
      <c r="A2227" s="13"/>
      <c r="B2227" s="13"/>
      <c r="C2227" s="13"/>
      <c r="D2227" s="13"/>
      <c r="E2227" s="13"/>
      <c r="F2227" s="13"/>
      <c r="G2227" s="13"/>
      <c r="H2227" s="13"/>
      <c r="I2227" s="13"/>
      <c r="J2227" s="39" t="s">
        <v>7771</v>
      </c>
      <c r="K2227" s="13"/>
      <c r="L2227" s="13"/>
    </row>
    <row r="2228" spans="1:12">
      <c r="A2228" s="13"/>
      <c r="B2228" s="13"/>
      <c r="C2228" s="13"/>
      <c r="D2228" s="13"/>
      <c r="E2228" s="13"/>
      <c r="F2228" s="13"/>
      <c r="G2228" s="13"/>
      <c r="H2228" s="13"/>
      <c r="I2228" s="13"/>
      <c r="J2228" s="39" t="s">
        <v>7773</v>
      </c>
      <c r="K2228" s="13"/>
      <c r="L2228" s="13"/>
    </row>
    <row r="2229" spans="1:12">
      <c r="A2229" s="13"/>
      <c r="B2229" s="13"/>
      <c r="C2229" s="13"/>
      <c r="D2229" s="13"/>
      <c r="E2229" s="13"/>
      <c r="F2229" s="13"/>
      <c r="G2229" s="13"/>
      <c r="H2229" s="13"/>
      <c r="I2229" s="13"/>
      <c r="J2229" s="39" t="s">
        <v>7458</v>
      </c>
      <c r="K2229" s="13"/>
      <c r="L2229" s="13"/>
    </row>
    <row r="2230" spans="1:12">
      <c r="A2230" s="13"/>
      <c r="B2230" s="13"/>
      <c r="C2230" s="13"/>
      <c r="D2230" s="13"/>
      <c r="E2230" s="13"/>
      <c r="F2230" s="13"/>
      <c r="G2230" s="13"/>
      <c r="H2230" s="13"/>
      <c r="I2230" s="13"/>
      <c r="J2230" s="39" t="s">
        <v>7561</v>
      </c>
      <c r="K2230" s="13"/>
      <c r="L2230" s="13"/>
    </row>
    <row r="2231" spans="1:12">
      <c r="A2231" s="13"/>
      <c r="B2231" s="13"/>
      <c r="C2231" s="13"/>
      <c r="D2231" s="13"/>
      <c r="E2231" s="13"/>
      <c r="F2231" s="13"/>
      <c r="G2231" s="13"/>
      <c r="H2231" s="13"/>
      <c r="I2231" s="13"/>
      <c r="J2231" s="39" t="s">
        <v>7775</v>
      </c>
      <c r="K2231" s="13"/>
      <c r="L2231" s="13"/>
    </row>
    <row r="2232" spans="1:12">
      <c r="A2232" s="13"/>
      <c r="B2232" s="13"/>
      <c r="C2232" s="13"/>
      <c r="D2232" s="13"/>
      <c r="E2232" s="13"/>
      <c r="F2232" s="13"/>
      <c r="G2232" s="13"/>
      <c r="H2232" s="13"/>
      <c r="I2232" s="13"/>
      <c r="J2232" s="39" t="s">
        <v>3828</v>
      </c>
      <c r="K2232" s="13"/>
      <c r="L2232" s="13"/>
    </row>
    <row r="2233" spans="1:12">
      <c r="A2233" s="13"/>
      <c r="B2233" s="13"/>
      <c r="C2233" s="13"/>
      <c r="D2233" s="13"/>
      <c r="E2233" s="13"/>
      <c r="F2233" s="13"/>
      <c r="G2233" s="13"/>
      <c r="H2233" s="13"/>
      <c r="I2233" s="13"/>
      <c r="J2233" s="39" t="s">
        <v>7777</v>
      </c>
      <c r="K2233" s="13"/>
      <c r="L2233" s="13"/>
    </row>
    <row r="2234" spans="1:12">
      <c r="A2234" s="13"/>
      <c r="B2234" s="13"/>
      <c r="C2234" s="13"/>
      <c r="D2234" s="13"/>
      <c r="E2234" s="13"/>
      <c r="F2234" s="13"/>
      <c r="G2234" s="13"/>
      <c r="H2234" s="13"/>
      <c r="I2234" s="13"/>
      <c r="J2234" s="39" t="s">
        <v>8066</v>
      </c>
      <c r="K2234" s="13"/>
      <c r="L2234" s="13"/>
    </row>
    <row r="2235" spans="1:12">
      <c r="A2235" s="13"/>
      <c r="B2235" s="13"/>
      <c r="C2235" s="13"/>
      <c r="D2235" s="13"/>
      <c r="E2235" s="13"/>
      <c r="F2235" s="13"/>
      <c r="G2235" s="13"/>
      <c r="H2235" s="13"/>
      <c r="I2235" s="13"/>
      <c r="J2235" s="39" t="s">
        <v>8067</v>
      </c>
      <c r="K2235" s="13"/>
      <c r="L2235" s="13"/>
    </row>
    <row r="2236" spans="1:12">
      <c r="A2236" s="13"/>
      <c r="B2236" s="13"/>
      <c r="C2236" s="13"/>
      <c r="D2236" s="13"/>
      <c r="E2236" s="13"/>
      <c r="F2236" s="13"/>
      <c r="G2236" s="13"/>
      <c r="H2236" s="13"/>
      <c r="I2236" s="13"/>
      <c r="J2236" s="39" t="s">
        <v>7582</v>
      </c>
      <c r="K2236" s="13"/>
      <c r="L2236" s="13"/>
    </row>
    <row r="2237" spans="1:12">
      <c r="A2237" s="13"/>
      <c r="B2237" s="13"/>
      <c r="C2237" s="13"/>
      <c r="D2237" s="13"/>
      <c r="E2237" s="13"/>
      <c r="F2237" s="13"/>
      <c r="G2237" s="13"/>
      <c r="H2237" s="13"/>
      <c r="I2237" s="13"/>
      <c r="J2237" s="39" t="s">
        <v>7781</v>
      </c>
      <c r="K2237" s="13"/>
      <c r="L2237" s="13"/>
    </row>
    <row r="2238" spans="1:12">
      <c r="A2238" s="13"/>
      <c r="B2238" s="13"/>
      <c r="C2238" s="13"/>
      <c r="D2238" s="13"/>
      <c r="E2238" s="13"/>
      <c r="F2238" s="13"/>
      <c r="G2238" s="13"/>
      <c r="H2238" s="13"/>
      <c r="I2238" s="13"/>
      <c r="J2238" s="39" t="s">
        <v>7528</v>
      </c>
      <c r="K2238" s="13"/>
      <c r="L2238" s="13"/>
    </row>
    <row r="2239" spans="1:12">
      <c r="A2239" s="13"/>
      <c r="B2239" s="13"/>
      <c r="C2239" s="13"/>
      <c r="D2239" s="13"/>
      <c r="E2239" s="13"/>
      <c r="F2239" s="13"/>
      <c r="G2239" s="13"/>
      <c r="H2239" s="13"/>
      <c r="I2239" s="13"/>
      <c r="J2239" s="39"/>
      <c r="K2239" s="13"/>
      <c r="L2239" s="13"/>
    </row>
    <row r="2240" spans="1:12">
      <c r="A2240" s="13"/>
      <c r="B2240" s="13"/>
      <c r="C2240" s="13"/>
      <c r="D2240" s="13"/>
      <c r="E2240" s="13"/>
      <c r="F2240" s="13"/>
      <c r="G2240" s="13"/>
      <c r="H2240" s="13"/>
      <c r="I2240" s="13"/>
      <c r="J2240" s="39" t="s">
        <v>7785</v>
      </c>
      <c r="K2240" s="13"/>
      <c r="L2240" s="13"/>
    </row>
    <row r="2241" spans="1:12">
      <c r="A2241" s="13"/>
      <c r="B2241" s="13"/>
      <c r="C2241" s="13"/>
      <c r="D2241" s="13"/>
      <c r="E2241" s="13"/>
      <c r="F2241" s="13"/>
      <c r="G2241" s="13"/>
      <c r="H2241" s="13"/>
      <c r="I2241" s="13"/>
      <c r="J2241" s="39" t="s">
        <v>8068</v>
      </c>
      <c r="K2241" s="13"/>
      <c r="L2241" s="13"/>
    </row>
    <row r="2242" spans="1:12">
      <c r="A2242" s="13"/>
      <c r="B2242" s="13"/>
      <c r="C2242" s="13"/>
      <c r="D2242" s="13"/>
      <c r="E2242" s="13"/>
      <c r="F2242" s="13"/>
      <c r="G2242" s="13"/>
      <c r="H2242" s="13"/>
      <c r="I2242" s="13"/>
      <c r="J2242" s="39" t="s">
        <v>8069</v>
      </c>
      <c r="K2242" s="13"/>
      <c r="L2242" s="13"/>
    </row>
    <row r="2243" spans="1:12">
      <c r="A2243" s="13"/>
      <c r="B2243" s="13"/>
      <c r="C2243" s="13"/>
      <c r="D2243" s="13"/>
      <c r="E2243" s="13"/>
      <c r="F2243" s="13"/>
      <c r="G2243" s="13"/>
      <c r="H2243" s="13"/>
      <c r="I2243" s="13"/>
      <c r="J2243" s="39" t="s">
        <v>7582</v>
      </c>
      <c r="K2243" s="13"/>
      <c r="L2243" s="13"/>
    </row>
    <row r="2244" spans="1:12">
      <c r="A2244" s="13"/>
      <c r="B2244" s="13"/>
      <c r="C2244" s="13"/>
      <c r="D2244" s="13"/>
      <c r="E2244" s="13"/>
      <c r="F2244" s="13"/>
      <c r="G2244" s="13"/>
      <c r="H2244" s="13"/>
      <c r="I2244" s="13"/>
      <c r="J2244" s="39" t="s">
        <v>7584</v>
      </c>
      <c r="K2244" s="13"/>
      <c r="L2244" s="13"/>
    </row>
    <row r="2245" spans="1:12">
      <c r="A2245" s="13"/>
      <c r="B2245" s="13"/>
      <c r="C2245" s="13"/>
      <c r="D2245" s="13"/>
      <c r="E2245" s="13"/>
      <c r="F2245" s="13"/>
      <c r="G2245" s="13"/>
      <c r="H2245" s="13"/>
      <c r="I2245" s="13"/>
      <c r="J2245" s="39" t="s">
        <v>7528</v>
      </c>
      <c r="K2245" s="13"/>
      <c r="L2245" s="13"/>
    </row>
    <row r="2246" spans="1:12">
      <c r="A2246" s="13"/>
      <c r="B2246" s="13"/>
      <c r="C2246" s="13"/>
      <c r="D2246" s="13"/>
      <c r="E2246" s="13"/>
      <c r="F2246" s="13"/>
      <c r="G2246" s="13"/>
      <c r="H2246" s="13"/>
      <c r="I2246" s="13"/>
      <c r="J2246" s="39"/>
      <c r="K2246" s="13"/>
      <c r="L2246" s="13"/>
    </row>
    <row r="2247" spans="1:12">
      <c r="A2247" s="13"/>
      <c r="B2247" s="13"/>
      <c r="C2247" s="13"/>
      <c r="D2247" s="13"/>
      <c r="E2247" s="13"/>
      <c r="F2247" s="13"/>
      <c r="G2247" s="13"/>
      <c r="H2247" s="13"/>
      <c r="I2247" s="13"/>
      <c r="J2247" s="39" t="s">
        <v>8070</v>
      </c>
      <c r="K2247" s="13"/>
      <c r="L2247" s="13"/>
    </row>
    <row r="2248" spans="1:12">
      <c r="A2248" s="13"/>
      <c r="B2248" s="13"/>
      <c r="C2248" s="13"/>
      <c r="D2248" s="13"/>
      <c r="E2248" s="13"/>
      <c r="F2248" s="13"/>
      <c r="G2248" s="13"/>
      <c r="H2248" s="13"/>
      <c r="I2248" s="13"/>
      <c r="J2248" s="39" t="s">
        <v>8071</v>
      </c>
      <c r="K2248" s="13"/>
      <c r="L2248" s="13"/>
    </row>
    <row r="2249" spans="1:12">
      <c r="A2249" s="13"/>
      <c r="B2249" s="13"/>
      <c r="C2249" s="13"/>
      <c r="D2249" s="13"/>
      <c r="E2249" s="13"/>
      <c r="F2249" s="13"/>
      <c r="G2249" s="13"/>
      <c r="H2249" s="13"/>
      <c r="I2249" s="13"/>
      <c r="J2249" s="39" t="s">
        <v>8072</v>
      </c>
      <c r="K2249" s="13"/>
      <c r="L2249" s="13"/>
    </row>
    <row r="2250" spans="1:12">
      <c r="A2250" s="13"/>
      <c r="B2250" s="13"/>
      <c r="C2250" s="13"/>
      <c r="D2250" s="13"/>
      <c r="E2250" s="13"/>
      <c r="F2250" s="13"/>
      <c r="G2250" s="13"/>
      <c r="H2250" s="13"/>
      <c r="I2250" s="13"/>
      <c r="J2250" s="39" t="s">
        <v>8073</v>
      </c>
      <c r="K2250" s="13"/>
      <c r="L2250" s="13"/>
    </row>
    <row r="2251" spans="1:12">
      <c r="A2251" s="13"/>
      <c r="B2251" s="13"/>
      <c r="C2251" s="13"/>
      <c r="D2251" s="13"/>
      <c r="E2251" s="13"/>
      <c r="F2251" s="13"/>
      <c r="G2251" s="13"/>
      <c r="H2251" s="13"/>
      <c r="I2251" s="13"/>
      <c r="J2251" s="39" t="s">
        <v>8074</v>
      </c>
      <c r="K2251" s="13"/>
      <c r="L2251" s="13"/>
    </row>
    <row r="2252" spans="1:12">
      <c r="A2252" s="13"/>
      <c r="B2252" s="13"/>
      <c r="C2252" s="13"/>
      <c r="D2252" s="13"/>
      <c r="E2252" s="13"/>
      <c r="F2252" s="13"/>
      <c r="G2252" s="13"/>
      <c r="H2252" s="13"/>
      <c r="I2252" s="13"/>
      <c r="J2252" s="39" t="s">
        <v>8075</v>
      </c>
      <c r="K2252" s="13"/>
      <c r="L2252" s="13"/>
    </row>
    <row r="2253" spans="1:12">
      <c r="A2253" s="13"/>
      <c r="B2253" s="13"/>
      <c r="C2253" s="13"/>
      <c r="D2253" s="13"/>
      <c r="E2253" s="13"/>
      <c r="F2253" s="13"/>
      <c r="G2253" s="13"/>
      <c r="H2253" s="13"/>
      <c r="I2253" s="13"/>
      <c r="J2253" s="39"/>
      <c r="K2253" s="13"/>
      <c r="L2253" s="13"/>
    </row>
    <row r="2254" spans="1:12">
      <c r="A2254" s="13"/>
      <c r="B2254" s="13"/>
      <c r="C2254" s="13"/>
      <c r="D2254" s="13"/>
      <c r="E2254" s="13"/>
      <c r="F2254" s="13"/>
      <c r="G2254" s="13"/>
      <c r="H2254" s="13"/>
      <c r="I2254" s="13"/>
      <c r="J2254" s="39" t="s">
        <v>7791</v>
      </c>
      <c r="K2254" s="13"/>
      <c r="L2254" s="13"/>
    </row>
    <row r="2255" spans="1:12">
      <c r="A2255" s="13"/>
      <c r="B2255" s="13"/>
      <c r="C2255" s="13"/>
      <c r="D2255" s="13"/>
      <c r="E2255" s="13"/>
      <c r="F2255" s="13"/>
      <c r="G2255" s="13"/>
      <c r="H2255" s="13"/>
      <c r="I2255" s="13"/>
      <c r="J2255" s="39" t="s">
        <v>8076</v>
      </c>
      <c r="K2255" s="13"/>
      <c r="L2255" s="13"/>
    </row>
    <row r="2256" spans="1:12">
      <c r="A2256" s="13"/>
      <c r="B2256" s="13"/>
      <c r="C2256" s="13"/>
      <c r="D2256" s="13"/>
      <c r="E2256" s="13"/>
      <c r="F2256" s="13"/>
      <c r="G2256" s="13"/>
      <c r="H2256" s="13"/>
      <c r="I2256" s="13"/>
      <c r="J2256" s="39" t="s">
        <v>8077</v>
      </c>
      <c r="K2256" s="13"/>
      <c r="L2256" s="13"/>
    </row>
    <row r="2257" spans="1:12">
      <c r="A2257" s="13"/>
      <c r="B2257" s="13"/>
      <c r="C2257" s="13"/>
      <c r="D2257" s="13"/>
      <c r="E2257" s="13"/>
      <c r="F2257" s="13"/>
      <c r="G2257" s="13"/>
      <c r="H2257" s="13"/>
      <c r="I2257" s="13"/>
      <c r="J2257" s="39" t="s">
        <v>7582</v>
      </c>
      <c r="K2257" s="13"/>
      <c r="L2257" s="13"/>
    </row>
    <row r="2258" spans="1:12">
      <c r="A2258" s="13"/>
      <c r="B2258" s="13"/>
      <c r="C2258" s="13"/>
      <c r="D2258" s="13"/>
      <c r="E2258" s="13"/>
      <c r="F2258" s="13"/>
      <c r="G2258" s="13"/>
      <c r="H2258" s="13"/>
      <c r="I2258" s="13"/>
      <c r="J2258" s="39" t="s">
        <v>7584</v>
      </c>
      <c r="K2258" s="13"/>
      <c r="L2258" s="13"/>
    </row>
    <row r="2259" spans="1:12">
      <c r="A2259" s="13"/>
      <c r="B2259" s="13"/>
      <c r="C2259" s="13"/>
      <c r="D2259" s="13"/>
      <c r="E2259" s="13"/>
      <c r="F2259" s="13"/>
      <c r="G2259" s="13"/>
      <c r="H2259" s="13"/>
      <c r="I2259" s="13"/>
      <c r="J2259" s="39" t="s">
        <v>7528</v>
      </c>
      <c r="K2259" s="13"/>
      <c r="L2259" s="13"/>
    </row>
    <row r="2260" spans="1:12">
      <c r="A2260" s="13"/>
      <c r="B2260" s="13"/>
      <c r="C2260" s="13"/>
      <c r="D2260" s="13"/>
      <c r="E2260" s="13"/>
      <c r="F2260" s="13"/>
      <c r="G2260" s="13"/>
      <c r="H2260" s="13"/>
      <c r="I2260" s="13"/>
      <c r="J2260" s="39"/>
      <c r="K2260" s="13"/>
      <c r="L2260" s="13"/>
    </row>
    <row r="2261" spans="1:12">
      <c r="A2261" s="13"/>
      <c r="B2261" s="13"/>
      <c r="C2261" s="13"/>
      <c r="D2261" s="13"/>
      <c r="E2261" s="13"/>
      <c r="F2261" s="13"/>
      <c r="G2261" s="13"/>
      <c r="H2261" s="13"/>
      <c r="I2261" s="13"/>
      <c r="J2261" s="39" t="s">
        <v>7798</v>
      </c>
      <c r="K2261" s="13"/>
      <c r="L2261" s="13"/>
    </row>
    <row r="2262" spans="1:12">
      <c r="A2262" s="13"/>
      <c r="B2262" s="13"/>
      <c r="C2262" s="13"/>
      <c r="D2262" s="13"/>
      <c r="E2262" s="13"/>
      <c r="F2262" s="13"/>
      <c r="G2262" s="13"/>
      <c r="H2262" s="13"/>
      <c r="I2262" s="13"/>
      <c r="J2262" s="39" t="s">
        <v>8078</v>
      </c>
      <c r="K2262" s="13"/>
      <c r="L2262" s="13"/>
    </row>
    <row r="2263" spans="1:12">
      <c r="A2263" s="13"/>
      <c r="B2263" s="13"/>
      <c r="C2263" s="13"/>
      <c r="D2263" s="13"/>
      <c r="E2263" s="13"/>
      <c r="F2263" s="13"/>
      <c r="G2263" s="13"/>
      <c r="H2263" s="13"/>
      <c r="I2263" s="13"/>
      <c r="J2263" s="39" t="s">
        <v>8079</v>
      </c>
      <c r="K2263" s="13"/>
      <c r="L2263" s="13"/>
    </row>
    <row r="2264" spans="1:12">
      <c r="A2264" s="13"/>
      <c r="B2264" s="13"/>
      <c r="C2264" s="13"/>
      <c r="D2264" s="13"/>
      <c r="E2264" s="13"/>
      <c r="F2264" s="13"/>
      <c r="G2264" s="13"/>
      <c r="H2264" s="13"/>
      <c r="I2264" s="13"/>
      <c r="J2264" s="39" t="s">
        <v>7582</v>
      </c>
      <c r="K2264" s="13"/>
      <c r="L2264" s="13"/>
    </row>
    <row r="2265" spans="1:12">
      <c r="A2265" s="13"/>
      <c r="B2265" s="13"/>
      <c r="C2265" s="13"/>
      <c r="D2265" s="13"/>
      <c r="E2265" s="13"/>
      <c r="F2265" s="13"/>
      <c r="G2265" s="13"/>
      <c r="H2265" s="13"/>
      <c r="I2265" s="13"/>
      <c r="J2265" s="39" t="s">
        <v>7584</v>
      </c>
      <c r="K2265" s="13"/>
      <c r="L2265" s="13"/>
    </row>
    <row r="2266" spans="1:12">
      <c r="A2266" s="13"/>
      <c r="B2266" s="13"/>
      <c r="C2266" s="13"/>
      <c r="D2266" s="13"/>
      <c r="E2266" s="13"/>
      <c r="F2266" s="13"/>
      <c r="G2266" s="13"/>
      <c r="H2266" s="13"/>
      <c r="I2266" s="13"/>
      <c r="J2266" s="39" t="s">
        <v>7528</v>
      </c>
      <c r="K2266" s="13"/>
      <c r="L2266" s="13"/>
    </row>
    <row r="2267" spans="1:12">
      <c r="A2267" s="13"/>
      <c r="B2267" s="13"/>
      <c r="C2267" s="13"/>
      <c r="D2267" s="13"/>
      <c r="E2267" s="13"/>
      <c r="F2267" s="13"/>
      <c r="G2267" s="13"/>
      <c r="H2267" s="13"/>
      <c r="I2267" s="13"/>
      <c r="J2267" s="39" t="s">
        <v>8080</v>
      </c>
      <c r="K2267" s="13"/>
      <c r="L2267" s="13"/>
    </row>
    <row r="2268" spans="1:12">
      <c r="A2268" s="13"/>
      <c r="B2268" s="13"/>
      <c r="C2268" s="13"/>
      <c r="D2268" s="13"/>
      <c r="E2268" s="13"/>
      <c r="F2268" s="13"/>
      <c r="G2268" s="13"/>
      <c r="H2268" s="13"/>
      <c r="I2268" s="13"/>
      <c r="J2268" s="39" t="s">
        <v>8081</v>
      </c>
      <c r="K2268" s="13"/>
      <c r="L2268" s="13"/>
    </row>
    <row r="2269" spans="1:12">
      <c r="A2269" s="13"/>
      <c r="B2269" s="13"/>
      <c r="C2269" s="13"/>
      <c r="D2269" s="13"/>
      <c r="E2269" s="13"/>
      <c r="F2269" s="13"/>
      <c r="G2269" s="13"/>
      <c r="H2269" s="13"/>
      <c r="I2269" s="13"/>
      <c r="J2269" s="39" t="s">
        <v>7458</v>
      </c>
      <c r="K2269" s="13"/>
      <c r="L2269" s="13"/>
    </row>
    <row r="2270" spans="1:12">
      <c r="A2270" s="13"/>
      <c r="B2270" s="13"/>
      <c r="C2270" s="13"/>
      <c r="D2270" s="13"/>
      <c r="E2270" s="13"/>
      <c r="F2270" s="13"/>
      <c r="G2270" s="13"/>
      <c r="H2270" s="13"/>
      <c r="I2270" s="13"/>
      <c r="J2270" s="39" t="s">
        <v>7561</v>
      </c>
      <c r="K2270" s="13"/>
      <c r="L2270" s="13"/>
    </row>
    <row r="2271" spans="1:12">
      <c r="A2271" s="13"/>
      <c r="B2271" s="13"/>
      <c r="C2271" s="13"/>
      <c r="D2271" s="13"/>
      <c r="E2271" s="13"/>
      <c r="F2271" s="13"/>
      <c r="G2271" s="13"/>
      <c r="H2271" s="13"/>
      <c r="I2271" s="13"/>
      <c r="J2271" s="39" t="s">
        <v>8082</v>
      </c>
      <c r="K2271" s="13"/>
      <c r="L2271" s="13"/>
    </row>
    <row r="2272" spans="1:12">
      <c r="A2272" s="13"/>
      <c r="B2272" s="13"/>
      <c r="C2272" s="13"/>
      <c r="D2272" s="13"/>
      <c r="E2272" s="13"/>
      <c r="F2272" s="13"/>
      <c r="G2272" s="13"/>
      <c r="H2272" s="13"/>
      <c r="I2272" s="13"/>
      <c r="J2272" s="39" t="s">
        <v>7804</v>
      </c>
      <c r="K2272" s="13"/>
      <c r="L2272" s="13"/>
    </row>
    <row r="2273" spans="1:12">
      <c r="A2273" s="13"/>
      <c r="B2273" s="13"/>
      <c r="C2273" s="13"/>
      <c r="D2273" s="13"/>
      <c r="E2273" s="13"/>
      <c r="F2273" s="13"/>
      <c r="G2273" s="13"/>
      <c r="H2273" s="13"/>
      <c r="I2273" s="13"/>
      <c r="J2273" s="39" t="s">
        <v>8057</v>
      </c>
      <c r="K2273" s="13"/>
      <c r="L2273" s="13"/>
    </row>
    <row r="2274" spans="1:12">
      <c r="A2274" s="13"/>
      <c r="B2274" s="13"/>
      <c r="C2274" s="13"/>
      <c r="D2274" s="13"/>
      <c r="E2274" s="13"/>
      <c r="F2274" s="13"/>
      <c r="G2274" s="13"/>
      <c r="H2274" s="13"/>
      <c r="I2274" s="13"/>
      <c r="J2274" s="39" t="s">
        <v>8083</v>
      </c>
      <c r="K2274" s="13"/>
      <c r="L2274" s="13"/>
    </row>
    <row r="2275" spans="1:12">
      <c r="A2275" s="13"/>
      <c r="B2275" s="13"/>
      <c r="C2275" s="13"/>
      <c r="D2275" s="13"/>
      <c r="E2275" s="13"/>
      <c r="F2275" s="13"/>
      <c r="G2275" s="13"/>
      <c r="H2275" s="13"/>
      <c r="I2275" s="13"/>
      <c r="J2275" s="39" t="s">
        <v>8084</v>
      </c>
      <c r="K2275" s="13"/>
      <c r="L2275" s="13"/>
    </row>
    <row r="2276" spans="1:12">
      <c r="A2276" s="13"/>
      <c r="B2276" s="13"/>
      <c r="C2276" s="13"/>
      <c r="D2276" s="13"/>
      <c r="E2276" s="13"/>
      <c r="F2276" s="13"/>
      <c r="G2276" s="13"/>
      <c r="H2276" s="13"/>
      <c r="I2276" s="13"/>
      <c r="J2276" s="39"/>
      <c r="K2276" s="13"/>
      <c r="L2276" s="13"/>
    </row>
    <row r="2277" spans="1:12">
      <c r="A2277" s="13"/>
      <c r="B2277" s="13"/>
      <c r="C2277" s="13"/>
      <c r="D2277" s="13"/>
      <c r="E2277" s="13"/>
      <c r="F2277" s="13"/>
      <c r="G2277" s="13"/>
      <c r="H2277" s="13"/>
      <c r="I2277" s="13"/>
      <c r="J2277" s="39" t="s">
        <v>8085</v>
      </c>
      <c r="K2277" s="13"/>
      <c r="L2277" s="13"/>
    </row>
    <row r="2278" spans="1:12">
      <c r="A2278" s="13"/>
      <c r="B2278" s="13"/>
      <c r="C2278" s="13"/>
      <c r="D2278" s="13"/>
      <c r="E2278" s="13"/>
      <c r="F2278" s="13"/>
      <c r="G2278" s="13"/>
      <c r="H2278" s="13"/>
      <c r="I2278" s="13"/>
      <c r="J2278" s="39" t="s">
        <v>8086</v>
      </c>
      <c r="K2278" s="13"/>
      <c r="L2278" s="13"/>
    </row>
    <row r="2279" spans="1:12">
      <c r="A2279" s="13"/>
      <c r="B2279" s="13"/>
      <c r="C2279" s="13"/>
      <c r="D2279" s="13"/>
      <c r="E2279" s="13"/>
      <c r="F2279" s="13"/>
      <c r="G2279" s="13"/>
      <c r="H2279" s="13"/>
      <c r="I2279" s="13"/>
      <c r="J2279" s="39" t="s">
        <v>7458</v>
      </c>
      <c r="K2279" s="13"/>
      <c r="L2279" s="13"/>
    </row>
    <row r="2280" spans="1:12">
      <c r="A2280" s="13"/>
      <c r="B2280" s="13"/>
      <c r="C2280" s="13"/>
      <c r="D2280" s="13"/>
      <c r="E2280" s="13"/>
      <c r="F2280" s="13"/>
      <c r="G2280" s="13"/>
      <c r="H2280" s="13"/>
      <c r="I2280" s="13"/>
      <c r="J2280" s="39" t="s">
        <v>7561</v>
      </c>
      <c r="K2280" s="13"/>
      <c r="L2280" s="13"/>
    </row>
    <row r="2281" spans="1:12">
      <c r="A2281" s="13"/>
      <c r="B2281" s="13"/>
      <c r="C2281" s="13"/>
      <c r="D2281" s="13"/>
      <c r="E2281" s="13"/>
      <c r="F2281" s="13"/>
      <c r="G2281" s="13"/>
      <c r="H2281" s="13"/>
      <c r="I2281" s="13"/>
      <c r="J2281" s="39" t="s">
        <v>7764</v>
      </c>
      <c r="K2281" s="13"/>
      <c r="L2281" s="13"/>
    </row>
    <row r="2282" spans="1:12">
      <c r="A2282" s="13"/>
      <c r="B2282" s="13"/>
      <c r="C2282" s="13"/>
      <c r="D2282" s="13"/>
      <c r="E2282" s="13"/>
      <c r="F2282" s="13"/>
      <c r="G2282" s="13"/>
      <c r="H2282" s="13"/>
      <c r="I2282" s="13"/>
      <c r="J2282" s="39" t="s">
        <v>7766</v>
      </c>
      <c r="K2282" s="13"/>
      <c r="L2282" s="13"/>
    </row>
    <row r="2283" spans="1:12">
      <c r="A2283" s="13"/>
      <c r="B2283" s="13"/>
      <c r="C2283" s="13"/>
      <c r="D2283" s="13"/>
      <c r="E2283" s="13"/>
      <c r="F2283" s="13"/>
      <c r="G2283" s="13"/>
      <c r="H2283" s="13"/>
      <c r="I2283" s="13"/>
      <c r="J2283" s="39" t="s">
        <v>8087</v>
      </c>
      <c r="K2283" s="13"/>
      <c r="L2283" s="13"/>
    </row>
    <row r="2284" spans="1:12">
      <c r="A2284" s="13"/>
      <c r="B2284" s="13"/>
      <c r="C2284" s="13"/>
      <c r="D2284" s="13"/>
      <c r="E2284" s="13"/>
      <c r="F2284" s="13"/>
      <c r="G2284" s="13"/>
      <c r="H2284" s="13"/>
      <c r="I2284" s="13"/>
      <c r="J2284" s="39" t="s">
        <v>8080</v>
      </c>
      <c r="K2284" s="13"/>
      <c r="L2284" s="13"/>
    </row>
    <row r="2285" spans="1:12">
      <c r="A2285" s="13"/>
      <c r="B2285" s="13"/>
      <c r="C2285" s="13"/>
      <c r="D2285" s="13"/>
      <c r="E2285" s="13"/>
      <c r="F2285" s="13"/>
      <c r="G2285" s="13"/>
      <c r="H2285" s="13"/>
      <c r="I2285" s="13"/>
      <c r="J2285" s="39" t="s">
        <v>8081</v>
      </c>
      <c r="K2285" s="13"/>
      <c r="L2285" s="13"/>
    </row>
    <row r="2286" spans="1:12">
      <c r="A2286" s="13"/>
      <c r="B2286" s="13"/>
      <c r="C2286" s="13"/>
      <c r="D2286" s="13"/>
      <c r="E2286" s="13"/>
      <c r="F2286" s="13"/>
      <c r="G2286" s="13"/>
      <c r="H2286" s="13"/>
      <c r="I2286" s="13"/>
      <c r="J2286" s="39" t="s">
        <v>7458</v>
      </c>
      <c r="K2286" s="13"/>
      <c r="L2286" s="13"/>
    </row>
    <row r="2287" spans="1:12">
      <c r="A2287" s="13"/>
      <c r="B2287" s="13"/>
      <c r="C2287" s="13"/>
      <c r="D2287" s="13"/>
      <c r="E2287" s="13"/>
      <c r="F2287" s="13"/>
      <c r="G2287" s="13"/>
      <c r="H2287" s="13"/>
      <c r="I2287" s="13"/>
      <c r="J2287" s="39" t="s">
        <v>7561</v>
      </c>
      <c r="K2287" s="13"/>
      <c r="L2287" s="13"/>
    </row>
    <row r="2288" spans="1:12">
      <c r="A2288" s="13"/>
      <c r="B2288" s="13"/>
      <c r="C2288" s="13"/>
      <c r="D2288" s="13"/>
      <c r="E2288" s="13"/>
      <c r="F2288" s="13"/>
      <c r="G2288" s="13"/>
      <c r="H2288" s="13"/>
      <c r="I2288" s="13"/>
      <c r="J2288" s="39" t="s">
        <v>8088</v>
      </c>
      <c r="K2288" s="13"/>
      <c r="L2288" s="13"/>
    </row>
    <row r="2289" spans="1:12">
      <c r="A2289" s="13"/>
      <c r="B2289" s="13"/>
      <c r="C2289" s="13"/>
      <c r="D2289" s="13"/>
      <c r="E2289" s="13"/>
      <c r="F2289" s="13"/>
      <c r="G2289" s="13"/>
      <c r="H2289" s="13"/>
      <c r="I2289" s="13"/>
      <c r="J2289" s="39" t="s">
        <v>8086</v>
      </c>
      <c r="K2289" s="13"/>
      <c r="L2289" s="13"/>
    </row>
    <row r="2290" spans="1:12">
      <c r="A2290" s="13"/>
      <c r="B2290" s="13"/>
      <c r="C2290" s="13"/>
      <c r="D2290" s="13"/>
      <c r="E2290" s="13"/>
      <c r="F2290" s="13"/>
      <c r="G2290" s="13"/>
      <c r="H2290" s="13"/>
      <c r="I2290" s="13"/>
      <c r="J2290" s="39" t="s">
        <v>7458</v>
      </c>
      <c r="K2290" s="13"/>
      <c r="L2290" s="13"/>
    </row>
    <row r="2291" spans="1:12">
      <c r="A2291" s="13"/>
      <c r="B2291" s="13"/>
      <c r="C2291" s="13"/>
      <c r="D2291" s="13"/>
      <c r="E2291" s="13"/>
      <c r="F2291" s="13"/>
      <c r="G2291" s="13"/>
      <c r="H2291" s="13"/>
      <c r="I2291" s="13"/>
      <c r="J2291" s="39" t="s">
        <v>7561</v>
      </c>
      <c r="K2291" s="13"/>
      <c r="L2291" s="13"/>
    </row>
    <row r="2292" spans="1:12">
      <c r="A2292" s="13"/>
      <c r="B2292" s="13"/>
      <c r="C2292" s="13"/>
      <c r="D2292" s="13"/>
      <c r="E2292" s="13"/>
      <c r="F2292" s="13"/>
      <c r="G2292" s="13"/>
      <c r="H2292" s="13"/>
      <c r="I2292" s="13"/>
      <c r="J2292" s="39" t="s">
        <v>2579</v>
      </c>
      <c r="K2292" s="13"/>
      <c r="L2292" s="13"/>
    </row>
    <row r="2293" spans="1:12">
      <c r="A2293" s="13"/>
      <c r="B2293" s="13"/>
      <c r="C2293" s="13"/>
      <c r="D2293" s="13"/>
      <c r="E2293" s="13"/>
      <c r="F2293" s="13"/>
      <c r="G2293" s="13"/>
      <c r="H2293" s="13"/>
      <c r="I2293" s="13"/>
      <c r="J2293" s="39" t="s">
        <v>2237</v>
      </c>
      <c r="K2293" s="13"/>
      <c r="L2293" s="13"/>
    </row>
    <row r="2294" spans="1:12">
      <c r="A2294" s="13"/>
      <c r="B2294" s="13"/>
      <c r="C2294" s="13"/>
      <c r="D2294" s="13"/>
      <c r="E2294" s="13"/>
      <c r="F2294" s="13"/>
      <c r="G2294" s="13"/>
      <c r="H2294" s="13"/>
      <c r="I2294" s="13"/>
      <c r="J2294" s="39" t="s">
        <v>7805</v>
      </c>
      <c r="K2294" s="13"/>
      <c r="L2294" s="13"/>
    </row>
    <row r="2295" spans="1:12">
      <c r="A2295" s="13"/>
      <c r="B2295" s="13"/>
      <c r="C2295" s="13"/>
      <c r="D2295" s="13"/>
      <c r="E2295" s="13"/>
      <c r="F2295" s="13"/>
      <c r="G2295" s="13"/>
      <c r="H2295" s="13"/>
      <c r="I2295" s="13"/>
      <c r="J2295" s="39" t="s">
        <v>2265</v>
      </c>
      <c r="K2295" s="13"/>
      <c r="L2295" s="13"/>
    </row>
    <row r="2296" spans="1:12">
      <c r="A2296" s="13"/>
      <c r="B2296" s="13"/>
      <c r="C2296" s="13"/>
      <c r="D2296" s="13"/>
      <c r="E2296" s="13"/>
      <c r="F2296" s="13"/>
      <c r="G2296" s="13"/>
      <c r="H2296" s="13"/>
      <c r="I2296" s="13"/>
      <c r="J2296" s="39" t="s">
        <v>1259</v>
      </c>
      <c r="K2296" s="13"/>
      <c r="L2296" s="13"/>
    </row>
    <row r="2297" spans="1:12">
      <c r="A2297" s="13"/>
      <c r="B2297" s="13"/>
      <c r="C2297" s="13"/>
      <c r="D2297" s="13"/>
      <c r="E2297" s="13"/>
      <c r="F2297" s="13"/>
      <c r="G2297" s="13"/>
      <c r="H2297" s="13"/>
      <c r="I2297" s="13"/>
      <c r="J2297" s="39" t="s">
        <v>7806</v>
      </c>
      <c r="K2297" s="13"/>
      <c r="L2297" s="13"/>
    </row>
    <row r="2298" spans="1:12">
      <c r="A2298" s="13"/>
      <c r="B2298" s="13"/>
      <c r="C2298" s="13"/>
      <c r="D2298" s="13"/>
      <c r="E2298" s="13"/>
      <c r="F2298" s="13"/>
      <c r="G2298" s="13"/>
      <c r="H2298" s="13"/>
      <c r="I2298" s="13"/>
      <c r="J2298" s="39"/>
      <c r="K2298" s="13"/>
      <c r="L2298" s="13"/>
    </row>
    <row r="2299" spans="1:12">
      <c r="A2299" s="13"/>
      <c r="B2299" s="13"/>
      <c r="C2299" s="13"/>
      <c r="D2299" s="13"/>
      <c r="E2299" s="13"/>
      <c r="F2299" s="13"/>
      <c r="G2299" s="13"/>
      <c r="H2299" s="13"/>
      <c r="I2299" s="13"/>
      <c r="J2299" s="39" t="s">
        <v>7807</v>
      </c>
      <c r="K2299" s="13"/>
      <c r="L2299" s="13"/>
    </row>
    <row r="2300" spans="1:12">
      <c r="A2300" s="13"/>
      <c r="B2300" s="13"/>
      <c r="C2300" s="13"/>
      <c r="D2300" s="13"/>
      <c r="E2300" s="13"/>
      <c r="F2300" s="13"/>
      <c r="G2300" s="13"/>
      <c r="H2300" s="13"/>
      <c r="I2300" s="13"/>
      <c r="J2300" s="39" t="s">
        <v>7808</v>
      </c>
      <c r="K2300" s="13"/>
      <c r="L2300" s="13"/>
    </row>
    <row r="2301" spans="1:12">
      <c r="A2301" s="13"/>
      <c r="B2301" s="13"/>
      <c r="C2301" s="13"/>
      <c r="D2301" s="13"/>
      <c r="E2301" s="13"/>
      <c r="F2301" s="13"/>
      <c r="G2301" s="13"/>
      <c r="H2301" s="13"/>
      <c r="I2301" s="13"/>
      <c r="J2301" s="39" t="s">
        <v>7809</v>
      </c>
      <c r="K2301" s="13"/>
      <c r="L2301" s="13"/>
    </row>
    <row r="2302" spans="1:12">
      <c r="A2302" s="13"/>
      <c r="B2302" s="13"/>
      <c r="C2302" s="13"/>
      <c r="D2302" s="13"/>
      <c r="E2302" s="13"/>
      <c r="F2302" s="13"/>
      <c r="G2302" s="13"/>
      <c r="H2302" s="13"/>
      <c r="I2302" s="13"/>
      <c r="J2302" s="39"/>
      <c r="K2302" s="13"/>
      <c r="L2302" s="13"/>
    </row>
    <row r="2303" spans="1:12">
      <c r="A2303" s="13"/>
      <c r="B2303" s="13"/>
      <c r="C2303" s="13"/>
      <c r="D2303" s="13"/>
      <c r="E2303" s="13"/>
      <c r="F2303" s="13"/>
      <c r="G2303" s="13"/>
      <c r="H2303" s="13"/>
      <c r="I2303" s="13"/>
      <c r="J2303" s="39" t="s">
        <v>7810</v>
      </c>
      <c r="K2303" s="13"/>
      <c r="L2303" s="13"/>
    </row>
    <row r="2304" spans="1:12">
      <c r="A2304" s="13"/>
      <c r="B2304" s="13"/>
      <c r="C2304" s="13"/>
      <c r="D2304" s="13"/>
      <c r="E2304" s="13"/>
      <c r="F2304" s="13"/>
      <c r="G2304" s="13"/>
      <c r="H2304" s="13"/>
      <c r="I2304" s="13"/>
      <c r="J2304" s="39" t="s">
        <v>7811</v>
      </c>
      <c r="K2304" s="13"/>
      <c r="L2304" s="13"/>
    </row>
    <row r="2305" spans="1:12">
      <c r="A2305" s="13"/>
      <c r="B2305" s="13"/>
      <c r="C2305" s="13"/>
      <c r="D2305" s="13"/>
      <c r="E2305" s="13"/>
      <c r="F2305" s="13"/>
      <c r="G2305" s="13"/>
      <c r="H2305" s="13"/>
      <c r="I2305" s="13"/>
      <c r="J2305" s="39"/>
      <c r="K2305" s="13"/>
      <c r="L2305" s="13"/>
    </row>
    <row r="2306" spans="1:12">
      <c r="A2306" s="13"/>
      <c r="B2306" s="13"/>
      <c r="C2306" s="13"/>
      <c r="D2306" s="13"/>
      <c r="E2306" s="13"/>
      <c r="F2306" s="13"/>
      <c r="G2306" s="13"/>
      <c r="H2306" s="13"/>
      <c r="I2306" s="13"/>
      <c r="J2306" s="39" t="s">
        <v>6757</v>
      </c>
      <c r="K2306" s="13"/>
      <c r="L2306" s="13"/>
    </row>
    <row r="2307" spans="1:12">
      <c r="A2307" s="13"/>
      <c r="B2307" s="13"/>
      <c r="C2307" s="13"/>
      <c r="D2307" s="13"/>
      <c r="E2307" s="13"/>
      <c r="F2307" s="13"/>
      <c r="G2307" s="13"/>
      <c r="H2307" s="13"/>
      <c r="I2307" s="13"/>
      <c r="J2307" s="39" t="s">
        <v>8089</v>
      </c>
      <c r="K2307" s="13"/>
      <c r="L2307" s="13"/>
    </row>
    <row r="2308" spans="1:12">
      <c r="A2308" s="13"/>
      <c r="B2308" s="13"/>
      <c r="C2308" s="13"/>
      <c r="D2308" s="13"/>
      <c r="E2308" s="13"/>
      <c r="F2308" s="13"/>
      <c r="G2308" s="13"/>
      <c r="H2308" s="13"/>
      <c r="I2308" s="13"/>
      <c r="J2308" s="39" t="s">
        <v>7815</v>
      </c>
      <c r="K2308" s="13"/>
      <c r="L2308" s="13"/>
    </row>
    <row r="2309" spans="1:12">
      <c r="A2309" s="13"/>
      <c r="B2309" s="13"/>
      <c r="C2309" s="13"/>
      <c r="D2309" s="13"/>
      <c r="E2309" s="13"/>
      <c r="F2309" s="13"/>
      <c r="G2309" s="13"/>
      <c r="H2309" s="13"/>
      <c r="I2309" s="13"/>
      <c r="J2309" s="39" t="s">
        <v>8090</v>
      </c>
      <c r="K2309" s="13"/>
      <c r="L2309" s="13"/>
    </row>
    <row r="2310" spans="1:12">
      <c r="A2310" s="13"/>
      <c r="B2310" s="13"/>
      <c r="C2310" s="13"/>
      <c r="D2310" s="13"/>
      <c r="E2310" s="13"/>
      <c r="F2310" s="13"/>
      <c r="G2310" s="13"/>
      <c r="H2310" s="13"/>
      <c r="I2310" s="13"/>
      <c r="J2310" s="39" t="s">
        <v>2357</v>
      </c>
      <c r="K2310" s="13"/>
      <c r="L2310" s="13"/>
    </row>
    <row r="2311" spans="1:12">
      <c r="A2311" s="13"/>
      <c r="B2311" s="13"/>
      <c r="C2311" s="13"/>
      <c r="D2311" s="13"/>
      <c r="E2311" s="13"/>
      <c r="F2311" s="13"/>
      <c r="G2311" s="13"/>
      <c r="H2311" s="13"/>
      <c r="I2311" s="13"/>
      <c r="J2311" s="39" t="s">
        <v>6782</v>
      </c>
      <c r="K2311" s="13"/>
      <c r="L2311" s="13"/>
    </row>
    <row r="2312" spans="1:12">
      <c r="A2312" s="13"/>
      <c r="B2312" s="13"/>
      <c r="C2312" s="13"/>
      <c r="D2312" s="13"/>
      <c r="E2312" s="13"/>
      <c r="F2312" s="13"/>
      <c r="G2312" s="13"/>
      <c r="H2312" s="13"/>
      <c r="I2312" s="13"/>
      <c r="J2312" s="39" t="s">
        <v>8091</v>
      </c>
      <c r="K2312" s="13"/>
      <c r="L2312" s="13"/>
    </row>
    <row r="2313" spans="1:12">
      <c r="A2313" s="13"/>
      <c r="B2313" s="13"/>
      <c r="C2313" s="13"/>
      <c r="D2313" s="13"/>
      <c r="E2313" s="13"/>
      <c r="F2313" s="13"/>
      <c r="G2313" s="13"/>
      <c r="H2313" s="13"/>
      <c r="I2313" s="13"/>
      <c r="J2313" s="39" t="s">
        <v>8092</v>
      </c>
      <c r="K2313" s="13"/>
      <c r="L2313" s="13"/>
    </row>
    <row r="2314" spans="1:12">
      <c r="A2314" s="13"/>
      <c r="B2314" s="13"/>
      <c r="C2314" s="13"/>
      <c r="D2314" s="13"/>
      <c r="E2314" s="13"/>
      <c r="F2314" s="13"/>
      <c r="G2314" s="13"/>
      <c r="H2314" s="13"/>
      <c r="I2314" s="13"/>
      <c r="J2314" s="39" t="s">
        <v>8093</v>
      </c>
      <c r="K2314" s="13"/>
      <c r="L2314" s="13"/>
    </row>
    <row r="2315" spans="1:12">
      <c r="A2315" s="13"/>
      <c r="B2315" s="13"/>
      <c r="C2315" s="13"/>
      <c r="D2315" s="13"/>
      <c r="E2315" s="13"/>
      <c r="F2315" s="13"/>
      <c r="G2315" s="13"/>
      <c r="H2315" s="13"/>
      <c r="I2315" s="13"/>
      <c r="J2315" s="39" t="s">
        <v>8094</v>
      </c>
      <c r="K2315" s="13"/>
      <c r="L2315" s="13"/>
    </row>
    <row r="2316" spans="1:12">
      <c r="A2316" s="13"/>
      <c r="B2316" s="13"/>
      <c r="C2316" s="13"/>
      <c r="D2316" s="13"/>
      <c r="E2316" s="13"/>
      <c r="F2316" s="13"/>
      <c r="G2316" s="13"/>
      <c r="H2316" s="13"/>
      <c r="I2316" s="13"/>
      <c r="J2316" s="39" t="s">
        <v>2357</v>
      </c>
      <c r="K2316" s="13"/>
      <c r="L2316" s="13"/>
    </row>
    <row r="2317" spans="1:12">
      <c r="A2317" s="13"/>
      <c r="B2317" s="13"/>
      <c r="C2317" s="13"/>
      <c r="D2317" s="13"/>
      <c r="E2317" s="13"/>
      <c r="F2317" s="13"/>
      <c r="G2317" s="13"/>
      <c r="H2317" s="13"/>
      <c r="I2317" s="13"/>
      <c r="J2317" s="39" t="s">
        <v>8095</v>
      </c>
      <c r="K2317" s="13"/>
      <c r="L2317" s="13"/>
    </row>
    <row r="2318" spans="1:12">
      <c r="A2318" s="13"/>
      <c r="B2318" s="13"/>
      <c r="C2318" s="13"/>
      <c r="D2318" s="13"/>
      <c r="E2318" s="13"/>
      <c r="F2318" s="13"/>
      <c r="G2318" s="13"/>
      <c r="H2318" s="13"/>
      <c r="I2318" s="13"/>
      <c r="J2318" s="39" t="s">
        <v>8096</v>
      </c>
      <c r="K2318" s="13"/>
      <c r="L2318" s="13"/>
    </row>
    <row r="2319" spans="1:12">
      <c r="A2319" s="13"/>
      <c r="B2319" s="13"/>
      <c r="C2319" s="13"/>
      <c r="D2319" s="13"/>
      <c r="E2319" s="13"/>
      <c r="F2319" s="13"/>
      <c r="G2319" s="13"/>
      <c r="H2319" s="13"/>
      <c r="I2319" s="13"/>
      <c r="J2319" s="39" t="s">
        <v>8097</v>
      </c>
      <c r="K2319" s="13"/>
      <c r="L2319" s="13"/>
    </row>
    <row r="2320" spans="1:12">
      <c r="A2320" s="13"/>
      <c r="B2320" s="13"/>
      <c r="C2320" s="13"/>
      <c r="D2320" s="13"/>
      <c r="E2320" s="13"/>
      <c r="F2320" s="13"/>
      <c r="G2320" s="13"/>
      <c r="H2320" s="13"/>
      <c r="I2320" s="13"/>
      <c r="J2320" s="39" t="s">
        <v>8098</v>
      </c>
      <c r="K2320" s="13"/>
      <c r="L2320" s="13"/>
    </row>
    <row r="2321" spans="1:12">
      <c r="A2321" s="13"/>
      <c r="B2321" s="13"/>
      <c r="C2321" s="13"/>
      <c r="D2321" s="13"/>
      <c r="E2321" s="13"/>
      <c r="F2321" s="13"/>
      <c r="G2321" s="13"/>
      <c r="H2321" s="13"/>
      <c r="I2321" s="13"/>
      <c r="J2321" s="39" t="s">
        <v>6840</v>
      </c>
      <c r="K2321" s="13"/>
      <c r="L2321" s="13"/>
    </row>
    <row r="2322" spans="1:12">
      <c r="A2322" s="13"/>
      <c r="B2322" s="13"/>
      <c r="C2322" s="13"/>
      <c r="D2322" s="13"/>
      <c r="E2322" s="13"/>
      <c r="F2322" s="13"/>
      <c r="G2322" s="13"/>
      <c r="H2322" s="13"/>
      <c r="I2322" s="13"/>
      <c r="J2322" s="39"/>
      <c r="K2322" s="13"/>
      <c r="L2322" s="13"/>
    </row>
    <row r="2323" spans="1:12">
      <c r="A2323" s="13"/>
      <c r="B2323" s="13"/>
      <c r="C2323" s="13"/>
      <c r="D2323" s="13"/>
      <c r="E2323" s="13"/>
      <c r="F2323" s="13"/>
      <c r="G2323" s="13"/>
      <c r="H2323" s="13"/>
      <c r="I2323" s="13"/>
      <c r="J2323" s="39" t="s">
        <v>7829</v>
      </c>
      <c r="K2323" s="13"/>
      <c r="L2323" s="13"/>
    </row>
    <row r="2324" spans="1:12">
      <c r="A2324" s="13"/>
      <c r="B2324" s="13"/>
      <c r="C2324" s="13"/>
      <c r="D2324" s="13"/>
      <c r="E2324" s="13"/>
      <c r="F2324" s="13"/>
      <c r="G2324" s="13"/>
      <c r="H2324" s="13"/>
      <c r="I2324" s="13"/>
      <c r="J2324" s="39"/>
      <c r="K2324" s="13"/>
      <c r="L2324" s="13"/>
    </row>
    <row r="2325" spans="1:12">
      <c r="A2325" s="13"/>
      <c r="B2325" s="13"/>
      <c r="C2325" s="13"/>
      <c r="D2325" s="13"/>
      <c r="E2325" s="13"/>
      <c r="F2325" s="13"/>
      <c r="G2325" s="13"/>
      <c r="H2325" s="13"/>
      <c r="I2325" s="13"/>
      <c r="J2325" s="39" t="s">
        <v>7832</v>
      </c>
      <c r="K2325" s="13"/>
      <c r="L2325" s="13"/>
    </row>
    <row r="2326" spans="1:12">
      <c r="A2326" s="13"/>
      <c r="B2326" s="13"/>
      <c r="C2326" s="13"/>
      <c r="D2326" s="13"/>
      <c r="E2326" s="13"/>
      <c r="F2326" s="13"/>
      <c r="G2326" s="13"/>
      <c r="H2326" s="13"/>
      <c r="I2326" s="13"/>
      <c r="J2326" s="39" t="s">
        <v>2265</v>
      </c>
      <c r="K2326" s="13"/>
      <c r="L2326" s="13"/>
    </row>
    <row r="2327" spans="1:12">
      <c r="A2327" s="13"/>
      <c r="B2327" s="13"/>
      <c r="C2327" s="13"/>
      <c r="D2327" s="13"/>
      <c r="E2327" s="13"/>
      <c r="F2327" s="13"/>
      <c r="G2327" s="13"/>
      <c r="H2327" s="13"/>
      <c r="I2327" s="13"/>
      <c r="J2327" s="39" t="s">
        <v>1259</v>
      </c>
      <c r="K2327" s="13"/>
      <c r="L2327" s="13"/>
    </row>
    <row r="2328" spans="1:12">
      <c r="A2328" s="13"/>
      <c r="B2328" s="13"/>
      <c r="C2328" s="13"/>
      <c r="D2328" s="13"/>
      <c r="E2328" s="13"/>
      <c r="F2328" s="13"/>
      <c r="G2328" s="13"/>
      <c r="H2328" s="13"/>
      <c r="I2328" s="13"/>
      <c r="J2328" s="39" t="s">
        <v>7836</v>
      </c>
      <c r="K2328" s="13"/>
      <c r="L2328" s="13"/>
    </row>
    <row r="2329" spans="1:12">
      <c r="A2329" s="13"/>
      <c r="B2329" s="13"/>
      <c r="C2329" s="13"/>
      <c r="D2329" s="13"/>
      <c r="E2329" s="13"/>
      <c r="F2329" s="13"/>
      <c r="G2329" s="13"/>
      <c r="H2329" s="13"/>
      <c r="I2329" s="13"/>
      <c r="J2329" s="39"/>
      <c r="K2329" s="13"/>
      <c r="L2329" s="13"/>
    </row>
    <row r="2330" spans="1:12">
      <c r="A2330" s="13"/>
      <c r="B2330" s="13"/>
      <c r="C2330" s="13"/>
      <c r="D2330" s="13"/>
      <c r="E2330" s="13"/>
      <c r="F2330" s="13"/>
      <c r="G2330" s="13"/>
      <c r="H2330" s="13"/>
      <c r="I2330" s="13"/>
      <c r="J2330" s="39" t="s">
        <v>7839</v>
      </c>
      <c r="K2330" s="13"/>
      <c r="L2330" s="13"/>
    </row>
    <row r="2331" spans="1:12">
      <c r="A2331" s="13"/>
      <c r="B2331" s="13"/>
      <c r="C2331" s="13"/>
      <c r="D2331" s="13"/>
      <c r="E2331" s="13"/>
      <c r="F2331" s="13"/>
      <c r="G2331" s="13"/>
      <c r="H2331" s="13"/>
      <c r="I2331" s="13"/>
      <c r="J2331" s="39" t="s">
        <v>7841</v>
      </c>
      <c r="K2331" s="13"/>
      <c r="L2331" s="13"/>
    </row>
    <row r="2332" spans="1:12">
      <c r="A2332" s="13"/>
      <c r="B2332" s="13"/>
      <c r="C2332" s="13"/>
      <c r="D2332" s="13"/>
      <c r="E2332" s="13"/>
      <c r="F2332" s="13"/>
      <c r="G2332" s="13"/>
      <c r="H2332" s="13"/>
      <c r="I2332" s="13"/>
      <c r="J2332" s="39" t="s">
        <v>7843</v>
      </c>
      <c r="K2332" s="13"/>
      <c r="L2332" s="13"/>
    </row>
    <row r="2333" spans="1:12">
      <c r="A2333" s="13"/>
      <c r="B2333" s="13"/>
      <c r="C2333" s="13"/>
      <c r="D2333" s="13"/>
      <c r="E2333" s="13"/>
      <c r="F2333" s="13"/>
      <c r="G2333" s="13"/>
      <c r="H2333" s="13"/>
      <c r="I2333" s="13"/>
      <c r="J2333" s="39" t="s">
        <v>7845</v>
      </c>
      <c r="K2333" s="13"/>
      <c r="L2333" s="13"/>
    </row>
    <row r="2334" spans="1:12">
      <c r="A2334" s="13"/>
      <c r="B2334" s="13"/>
      <c r="C2334" s="13"/>
      <c r="D2334" s="13"/>
      <c r="E2334" s="13"/>
      <c r="F2334" s="13"/>
      <c r="G2334" s="13"/>
      <c r="H2334" s="13"/>
      <c r="I2334" s="13"/>
      <c r="J2334" s="39" t="s">
        <v>7847</v>
      </c>
      <c r="K2334" s="13"/>
      <c r="L2334" s="13"/>
    </row>
    <row r="2335" spans="1:12">
      <c r="A2335" s="13"/>
      <c r="B2335" s="13"/>
      <c r="C2335" s="13"/>
      <c r="D2335" s="13"/>
      <c r="E2335" s="13"/>
      <c r="F2335" s="13"/>
      <c r="G2335" s="13"/>
      <c r="H2335" s="13"/>
      <c r="I2335" s="13"/>
      <c r="J2335" s="39" t="s">
        <v>7849</v>
      </c>
      <c r="K2335" s="13"/>
      <c r="L2335" s="13"/>
    </row>
    <row r="2336" spans="1:12">
      <c r="A2336" s="13"/>
      <c r="B2336" s="13"/>
      <c r="C2336" s="13"/>
      <c r="D2336" s="13"/>
      <c r="E2336" s="13"/>
      <c r="F2336" s="13"/>
      <c r="G2336" s="13"/>
      <c r="H2336" s="13"/>
      <c r="I2336" s="13"/>
      <c r="J2336" s="39" t="s">
        <v>7851</v>
      </c>
      <c r="K2336" s="13"/>
      <c r="L2336" s="13"/>
    </row>
    <row r="2337" spans="1:12">
      <c r="A2337" s="13"/>
      <c r="B2337" s="13"/>
      <c r="C2337" s="13"/>
      <c r="D2337" s="13"/>
      <c r="E2337" s="13"/>
      <c r="F2337" s="13"/>
      <c r="G2337" s="13"/>
      <c r="H2337" s="13"/>
      <c r="I2337" s="13"/>
      <c r="J2337" s="39" t="s">
        <v>7853</v>
      </c>
      <c r="K2337" s="13"/>
      <c r="L2337" s="13"/>
    </row>
    <row r="2338" spans="1:12">
      <c r="A2338" s="13"/>
      <c r="B2338" s="13"/>
      <c r="C2338" s="13"/>
      <c r="D2338" s="13"/>
      <c r="E2338" s="13"/>
      <c r="F2338" s="13"/>
      <c r="G2338" s="13"/>
      <c r="H2338" s="13"/>
      <c r="I2338" s="13"/>
      <c r="J2338" s="39" t="s">
        <v>2836</v>
      </c>
      <c r="K2338" s="13"/>
      <c r="L2338" s="13"/>
    </row>
    <row r="2339" spans="1:12">
      <c r="A2339" s="13"/>
      <c r="B2339" s="13"/>
      <c r="C2339" s="13"/>
      <c r="D2339" s="13"/>
      <c r="E2339" s="13"/>
      <c r="F2339" s="13"/>
      <c r="G2339" s="13"/>
      <c r="H2339" s="13"/>
      <c r="I2339" s="13"/>
      <c r="J2339" s="39" t="s">
        <v>7855</v>
      </c>
      <c r="K2339" s="13"/>
      <c r="L2339" s="13"/>
    </row>
    <row r="2340" spans="1:12">
      <c r="A2340" s="13"/>
      <c r="B2340" s="13"/>
      <c r="C2340" s="13"/>
      <c r="D2340" s="13"/>
      <c r="E2340" s="13"/>
      <c r="F2340" s="13"/>
      <c r="G2340" s="13"/>
      <c r="H2340" s="13"/>
      <c r="I2340" s="13"/>
      <c r="J2340" s="39"/>
      <c r="K2340" s="13"/>
      <c r="L2340" s="13"/>
    </row>
    <row r="2341" spans="1:12">
      <c r="A2341" s="13"/>
      <c r="B2341" s="13"/>
      <c r="C2341" s="13"/>
      <c r="D2341" s="13"/>
      <c r="E2341" s="13"/>
      <c r="F2341" s="13"/>
      <c r="G2341" s="13"/>
      <c r="H2341" s="13"/>
      <c r="I2341" s="13"/>
      <c r="J2341" s="39" t="s">
        <v>7843</v>
      </c>
      <c r="K2341" s="13"/>
      <c r="L2341" s="13"/>
    </row>
    <row r="2342" spans="1:12">
      <c r="A2342" s="13"/>
      <c r="B2342" s="13"/>
      <c r="C2342" s="13"/>
      <c r="D2342" s="13"/>
      <c r="E2342" s="13"/>
      <c r="F2342" s="13"/>
      <c r="G2342" s="13"/>
      <c r="H2342" s="13"/>
      <c r="I2342" s="13"/>
      <c r="J2342" s="39" t="s">
        <v>7845</v>
      </c>
      <c r="K2342" s="13"/>
      <c r="L2342" s="13"/>
    </row>
    <row r="2343" spans="1:12">
      <c r="A2343" s="13"/>
      <c r="B2343" s="13"/>
      <c r="C2343" s="13"/>
      <c r="D2343" s="13"/>
      <c r="E2343" s="13"/>
      <c r="F2343" s="13"/>
      <c r="G2343" s="13"/>
      <c r="H2343" s="13"/>
      <c r="I2343" s="13"/>
      <c r="J2343" s="39" t="s">
        <v>7857</v>
      </c>
      <c r="K2343" s="13"/>
      <c r="L2343" s="13"/>
    </row>
    <row r="2344" spans="1:12">
      <c r="A2344" s="13"/>
      <c r="B2344" s="13"/>
      <c r="C2344" s="13"/>
      <c r="D2344" s="13"/>
      <c r="E2344" s="13"/>
      <c r="F2344" s="13"/>
      <c r="G2344" s="13"/>
      <c r="H2344" s="13"/>
      <c r="I2344" s="13"/>
      <c r="J2344" s="39" t="s">
        <v>7858</v>
      </c>
      <c r="K2344" s="13"/>
      <c r="L2344" s="13"/>
    </row>
    <row r="2345" spans="1:12">
      <c r="A2345" s="13"/>
      <c r="B2345" s="13"/>
      <c r="C2345" s="13"/>
      <c r="D2345" s="13"/>
      <c r="E2345" s="13"/>
      <c r="F2345" s="13"/>
      <c r="G2345" s="13"/>
      <c r="H2345" s="13"/>
      <c r="I2345" s="13"/>
      <c r="J2345" s="39" t="s">
        <v>7859</v>
      </c>
      <c r="K2345" s="13"/>
      <c r="L2345" s="13"/>
    </row>
    <row r="2346" spans="1:12">
      <c r="A2346" s="13"/>
      <c r="B2346" s="13"/>
      <c r="C2346" s="13"/>
      <c r="D2346" s="13"/>
      <c r="E2346" s="13"/>
      <c r="F2346" s="13"/>
      <c r="G2346" s="13"/>
      <c r="H2346" s="13"/>
      <c r="I2346" s="13"/>
      <c r="J2346" s="39" t="s">
        <v>7853</v>
      </c>
      <c r="K2346" s="13"/>
      <c r="L2346" s="13"/>
    </row>
    <row r="2347" spans="1:12">
      <c r="A2347" s="13"/>
      <c r="B2347" s="13"/>
      <c r="C2347" s="13"/>
      <c r="D2347" s="13"/>
      <c r="E2347" s="13"/>
      <c r="F2347" s="13"/>
      <c r="G2347" s="13"/>
      <c r="H2347" s="13"/>
      <c r="I2347" s="13"/>
      <c r="J2347" s="39" t="s">
        <v>2836</v>
      </c>
      <c r="K2347" s="13"/>
      <c r="L2347" s="13"/>
    </row>
    <row r="2348" spans="1:12">
      <c r="A2348" s="13"/>
      <c r="B2348" s="13"/>
      <c r="C2348" s="13"/>
      <c r="D2348" s="13"/>
      <c r="E2348" s="13"/>
      <c r="F2348" s="13"/>
      <c r="G2348" s="13"/>
      <c r="H2348" s="13"/>
      <c r="I2348" s="13"/>
      <c r="J2348" s="39" t="s">
        <v>7855</v>
      </c>
      <c r="K2348" s="13"/>
      <c r="L2348" s="13"/>
    </row>
    <row r="2349" spans="1:12">
      <c r="A2349" s="13"/>
      <c r="B2349" s="13"/>
      <c r="C2349" s="13"/>
      <c r="D2349" s="13"/>
      <c r="E2349" s="13"/>
      <c r="F2349" s="13"/>
      <c r="G2349" s="13"/>
      <c r="H2349" s="13"/>
      <c r="I2349" s="13"/>
      <c r="J2349" s="39" t="s">
        <v>7638</v>
      </c>
      <c r="K2349" s="13"/>
      <c r="L2349" s="13"/>
    </row>
    <row r="2350" spans="1:12">
      <c r="A2350" s="13"/>
      <c r="B2350" s="13"/>
      <c r="C2350" s="13"/>
      <c r="D2350" s="13"/>
      <c r="E2350" s="13"/>
      <c r="F2350" s="13"/>
      <c r="G2350" s="13"/>
      <c r="H2350" s="13"/>
      <c r="I2350" s="13"/>
      <c r="J2350" s="39" t="s">
        <v>8099</v>
      </c>
      <c r="K2350" s="13"/>
      <c r="L2350" s="13"/>
    </row>
    <row r="2351" spans="1:12">
      <c r="A2351" s="13"/>
      <c r="B2351" s="13"/>
      <c r="C2351" s="13"/>
      <c r="D2351" s="13"/>
      <c r="E2351" s="13"/>
      <c r="F2351" s="13"/>
      <c r="G2351" s="13"/>
      <c r="H2351" s="13"/>
      <c r="I2351" s="13"/>
      <c r="J2351" s="39" t="s">
        <v>4198</v>
      </c>
      <c r="K2351" s="13"/>
      <c r="L2351" s="13"/>
    </row>
    <row r="2352" spans="1:12">
      <c r="A2352" s="13"/>
      <c r="B2352" s="13"/>
      <c r="C2352" s="13"/>
      <c r="D2352" s="13"/>
      <c r="E2352" s="13"/>
      <c r="F2352" s="13"/>
      <c r="G2352" s="13"/>
      <c r="H2352" s="13"/>
      <c r="I2352" s="13"/>
      <c r="J2352" s="39" t="s">
        <v>8100</v>
      </c>
      <c r="K2352" s="13"/>
      <c r="L2352" s="13"/>
    </row>
    <row r="2353" spans="1:12">
      <c r="A2353" s="13"/>
      <c r="B2353" s="13"/>
      <c r="C2353" s="13"/>
      <c r="D2353" s="13"/>
      <c r="E2353" s="13"/>
      <c r="F2353" s="13"/>
      <c r="G2353" s="13"/>
      <c r="H2353" s="13"/>
      <c r="I2353" s="13"/>
      <c r="J2353" s="39" t="s">
        <v>8101</v>
      </c>
      <c r="K2353" s="13"/>
      <c r="L2353" s="13"/>
    </row>
    <row r="2354" spans="1:12">
      <c r="A2354" s="13"/>
      <c r="B2354" s="13"/>
      <c r="C2354" s="13"/>
      <c r="D2354" s="13"/>
      <c r="E2354" s="13"/>
      <c r="F2354" s="13"/>
      <c r="G2354" s="13"/>
      <c r="H2354" s="13"/>
      <c r="I2354" s="13"/>
      <c r="J2354" s="39" t="s">
        <v>8102</v>
      </c>
      <c r="K2354" s="13"/>
      <c r="L2354" s="13"/>
    </row>
    <row r="2355" spans="1:12">
      <c r="A2355" s="13"/>
      <c r="B2355" s="13"/>
      <c r="C2355" s="13"/>
      <c r="D2355" s="13"/>
      <c r="E2355" s="13"/>
      <c r="F2355" s="13"/>
      <c r="G2355" s="13"/>
      <c r="H2355" s="13"/>
      <c r="I2355" s="13"/>
      <c r="J2355" s="39" t="s">
        <v>8103</v>
      </c>
      <c r="K2355" s="13"/>
      <c r="L2355" s="13"/>
    </row>
    <row r="2356" spans="1:12">
      <c r="A2356" s="13"/>
      <c r="B2356" s="13"/>
      <c r="C2356" s="13"/>
      <c r="D2356" s="13"/>
      <c r="E2356" s="13"/>
      <c r="F2356" s="13"/>
      <c r="G2356" s="13"/>
      <c r="H2356" s="13"/>
      <c r="I2356" s="13"/>
      <c r="J2356" s="39" t="s">
        <v>4232</v>
      </c>
      <c r="K2356" s="13"/>
      <c r="L2356" s="13"/>
    </row>
    <row r="2357" spans="1:12">
      <c r="A2357" s="13"/>
      <c r="B2357" s="13"/>
      <c r="C2357" s="13"/>
      <c r="D2357" s="13"/>
      <c r="E2357" s="13"/>
      <c r="F2357" s="13"/>
      <c r="G2357" s="13"/>
      <c r="H2357" s="13"/>
      <c r="I2357" s="13"/>
      <c r="J2357" s="39" t="s">
        <v>4080</v>
      </c>
      <c r="K2357" s="13"/>
      <c r="L2357" s="13"/>
    </row>
    <row r="2358" spans="1:12">
      <c r="A2358" s="13"/>
      <c r="B2358" s="13"/>
      <c r="C2358" s="13"/>
      <c r="D2358" s="13"/>
      <c r="E2358" s="13"/>
      <c r="F2358" s="13"/>
      <c r="G2358" s="13"/>
      <c r="H2358" s="13"/>
      <c r="I2358" s="13"/>
      <c r="J2358" s="39" t="s">
        <v>3371</v>
      </c>
      <c r="K2358" s="13"/>
      <c r="L2358" s="13"/>
    </row>
    <row r="2359" spans="1:12">
      <c r="A2359" s="13"/>
      <c r="B2359" s="13"/>
      <c r="C2359" s="13"/>
      <c r="D2359" s="13"/>
      <c r="E2359" s="13"/>
      <c r="F2359" s="13"/>
      <c r="G2359" s="13"/>
      <c r="H2359" s="13"/>
      <c r="I2359" s="13"/>
      <c r="J2359" s="39" t="s">
        <v>8104</v>
      </c>
      <c r="K2359" s="13"/>
      <c r="L2359" s="13"/>
    </row>
    <row r="2360" spans="1:12">
      <c r="A2360" s="13"/>
      <c r="B2360" s="13"/>
      <c r="C2360" s="13"/>
      <c r="D2360" s="13"/>
      <c r="E2360" s="13"/>
      <c r="F2360" s="13"/>
      <c r="G2360" s="13"/>
      <c r="H2360" s="13"/>
      <c r="I2360" s="13"/>
      <c r="J2360" s="39" t="s">
        <v>8105</v>
      </c>
      <c r="K2360" s="13"/>
      <c r="L2360" s="13"/>
    </row>
    <row r="2361" spans="1:12">
      <c r="A2361" s="13"/>
      <c r="B2361" s="13"/>
      <c r="C2361" s="13"/>
      <c r="D2361" s="13"/>
      <c r="E2361" s="13"/>
      <c r="F2361" s="13"/>
      <c r="G2361" s="13"/>
      <c r="H2361" s="13"/>
      <c r="I2361" s="13"/>
      <c r="J2361" s="39" t="s">
        <v>8106</v>
      </c>
      <c r="K2361" s="13"/>
      <c r="L2361" s="13"/>
    </row>
    <row r="2362" spans="1:12">
      <c r="A2362" s="13"/>
      <c r="B2362" s="13"/>
      <c r="C2362" s="13"/>
      <c r="D2362" s="13"/>
      <c r="E2362" s="13"/>
      <c r="F2362" s="13"/>
      <c r="G2362" s="13"/>
      <c r="H2362" s="13"/>
      <c r="I2362" s="13"/>
      <c r="J2362" s="39" t="s">
        <v>8107</v>
      </c>
      <c r="K2362" s="13"/>
      <c r="L2362" s="13"/>
    </row>
    <row r="2363" spans="1:12">
      <c r="A2363" s="13"/>
      <c r="B2363" s="13"/>
      <c r="C2363" s="13"/>
      <c r="D2363" s="13"/>
      <c r="E2363" s="13"/>
      <c r="F2363" s="13"/>
      <c r="G2363" s="13"/>
      <c r="H2363" s="13"/>
      <c r="I2363" s="13"/>
      <c r="J2363" s="39" t="s">
        <v>8108</v>
      </c>
      <c r="K2363" s="13"/>
      <c r="L2363" s="13"/>
    </row>
    <row r="2364" spans="1:12">
      <c r="A2364" s="13"/>
      <c r="B2364" s="13"/>
      <c r="C2364" s="13"/>
      <c r="D2364" s="13"/>
      <c r="E2364" s="13"/>
      <c r="F2364" s="13"/>
      <c r="G2364" s="13"/>
      <c r="H2364" s="13"/>
      <c r="I2364" s="13"/>
      <c r="J2364" s="39" t="s">
        <v>8109</v>
      </c>
      <c r="K2364" s="13"/>
      <c r="L2364" s="13"/>
    </row>
    <row r="2365" spans="1:12">
      <c r="A2365" s="13"/>
      <c r="B2365" s="13"/>
      <c r="C2365" s="13"/>
      <c r="D2365" s="13"/>
      <c r="E2365" s="13"/>
      <c r="F2365" s="13"/>
      <c r="G2365" s="13"/>
      <c r="H2365" s="13"/>
      <c r="I2365" s="13"/>
      <c r="J2365" s="39" t="s">
        <v>8110</v>
      </c>
      <c r="K2365" s="13"/>
      <c r="L2365" s="13"/>
    </row>
    <row r="2366" spans="1:12">
      <c r="A2366" s="13"/>
      <c r="B2366" s="13"/>
      <c r="C2366" s="13"/>
      <c r="D2366" s="13"/>
      <c r="E2366" s="13"/>
      <c r="F2366" s="13"/>
      <c r="G2366" s="13"/>
      <c r="H2366" s="13"/>
      <c r="I2366" s="13"/>
      <c r="J2366" s="39" t="s">
        <v>3371</v>
      </c>
      <c r="K2366" s="13"/>
      <c r="L2366" s="13"/>
    </row>
    <row r="2367" spans="1:12">
      <c r="A2367" s="13"/>
      <c r="B2367" s="13"/>
      <c r="C2367" s="13"/>
      <c r="D2367" s="13"/>
      <c r="E2367" s="13"/>
      <c r="F2367" s="13"/>
      <c r="G2367" s="13"/>
      <c r="H2367" s="13"/>
      <c r="I2367" s="13"/>
      <c r="J2367" s="39" t="s">
        <v>5345</v>
      </c>
      <c r="K2367" s="13"/>
      <c r="L2367" s="13"/>
    </row>
    <row r="2368" spans="1:12">
      <c r="A2368" s="13"/>
      <c r="B2368" s="13"/>
      <c r="C2368" s="13"/>
      <c r="D2368" s="13"/>
      <c r="E2368" s="13"/>
      <c r="F2368" s="13"/>
      <c r="G2368" s="13"/>
      <c r="H2368" s="13"/>
      <c r="I2368" s="13"/>
      <c r="J2368" s="39" t="s">
        <v>8099</v>
      </c>
      <c r="K2368" s="13"/>
      <c r="L2368" s="13"/>
    </row>
    <row r="2369" spans="1:12">
      <c r="A2369" s="13"/>
      <c r="B2369" s="13"/>
      <c r="C2369" s="13"/>
      <c r="D2369" s="13"/>
      <c r="E2369" s="13"/>
      <c r="F2369" s="13"/>
      <c r="G2369" s="13"/>
      <c r="H2369" s="13"/>
      <c r="I2369" s="13"/>
      <c r="J2369" s="39" t="s">
        <v>4198</v>
      </c>
      <c r="K2369" s="13"/>
      <c r="L2369" s="13"/>
    </row>
    <row r="2370" spans="1:12">
      <c r="A2370" s="13"/>
      <c r="B2370" s="13"/>
      <c r="C2370" s="13"/>
      <c r="D2370" s="13"/>
      <c r="E2370" s="13"/>
      <c r="F2370" s="13"/>
      <c r="G2370" s="13"/>
      <c r="H2370" s="13"/>
      <c r="I2370" s="13"/>
      <c r="J2370" s="39" t="s">
        <v>8100</v>
      </c>
      <c r="K2370" s="13"/>
      <c r="L2370" s="13"/>
    </row>
    <row r="2371" spans="1:12">
      <c r="A2371" s="13"/>
      <c r="B2371" s="13"/>
      <c r="C2371" s="13"/>
      <c r="D2371" s="13"/>
      <c r="E2371" s="13"/>
      <c r="F2371" s="13"/>
      <c r="G2371" s="13"/>
      <c r="H2371" s="13"/>
      <c r="I2371" s="13"/>
      <c r="J2371" s="39" t="s">
        <v>8101</v>
      </c>
      <c r="K2371" s="13"/>
      <c r="L2371" s="13"/>
    </row>
    <row r="2372" spans="1:12">
      <c r="A2372" s="13"/>
      <c r="B2372" s="13"/>
      <c r="C2372" s="13"/>
      <c r="D2372" s="13"/>
      <c r="E2372" s="13"/>
      <c r="F2372" s="13"/>
      <c r="G2372" s="13"/>
      <c r="H2372" s="13"/>
      <c r="I2372" s="13"/>
      <c r="J2372" s="39" t="s">
        <v>8102</v>
      </c>
      <c r="K2372" s="13"/>
      <c r="L2372" s="13"/>
    </row>
    <row r="2373" spans="1:12">
      <c r="A2373" s="13"/>
      <c r="B2373" s="13"/>
      <c r="C2373" s="13"/>
      <c r="D2373" s="13"/>
      <c r="E2373" s="13"/>
      <c r="F2373" s="13"/>
      <c r="G2373" s="13"/>
      <c r="H2373" s="13"/>
      <c r="I2373" s="13"/>
      <c r="J2373" s="39" t="s">
        <v>8111</v>
      </c>
      <c r="K2373" s="13"/>
      <c r="L2373" s="13"/>
    </row>
    <row r="2374" spans="1:12">
      <c r="A2374" s="13"/>
      <c r="B2374" s="13"/>
      <c r="C2374" s="13"/>
      <c r="D2374" s="13"/>
      <c r="E2374" s="13"/>
      <c r="F2374" s="13"/>
      <c r="G2374" s="13"/>
      <c r="H2374" s="13"/>
      <c r="I2374" s="13"/>
      <c r="J2374" s="39" t="s">
        <v>4232</v>
      </c>
      <c r="K2374" s="13"/>
      <c r="L2374" s="13"/>
    </row>
    <row r="2375" spans="1:12">
      <c r="A2375" s="13"/>
      <c r="B2375" s="13"/>
      <c r="C2375" s="13"/>
      <c r="D2375" s="13"/>
      <c r="E2375" s="13"/>
      <c r="F2375" s="13"/>
      <c r="G2375" s="13"/>
      <c r="H2375" s="13"/>
      <c r="I2375" s="13"/>
      <c r="J2375" s="39" t="s">
        <v>4080</v>
      </c>
      <c r="K2375" s="13"/>
      <c r="L2375" s="13"/>
    </row>
    <row r="2376" spans="1:12">
      <c r="A2376" s="13"/>
      <c r="B2376" s="13"/>
      <c r="C2376" s="13"/>
      <c r="D2376" s="13"/>
      <c r="E2376" s="13"/>
      <c r="F2376" s="13"/>
      <c r="G2376" s="13"/>
      <c r="H2376" s="13"/>
      <c r="I2376" s="13"/>
      <c r="J2376" s="39" t="s">
        <v>3371</v>
      </c>
      <c r="K2376" s="13"/>
      <c r="L2376" s="13"/>
    </row>
    <row r="2377" spans="1:12">
      <c r="A2377" s="13"/>
      <c r="B2377" s="13"/>
      <c r="C2377" s="13"/>
      <c r="D2377" s="13"/>
      <c r="E2377" s="13"/>
      <c r="F2377" s="13"/>
      <c r="G2377" s="13"/>
      <c r="H2377" s="13"/>
      <c r="I2377" s="13"/>
      <c r="J2377" s="39" t="s">
        <v>8112</v>
      </c>
      <c r="K2377" s="13"/>
      <c r="L2377" s="13"/>
    </row>
    <row r="2378" spans="1:12">
      <c r="A2378" s="13"/>
      <c r="B2378" s="13"/>
      <c r="C2378" s="13"/>
      <c r="D2378" s="13"/>
      <c r="E2378" s="13"/>
      <c r="F2378" s="13"/>
      <c r="G2378" s="13"/>
      <c r="H2378" s="13"/>
      <c r="I2378" s="13"/>
      <c r="J2378" s="39" t="s">
        <v>8105</v>
      </c>
      <c r="K2378" s="13"/>
      <c r="L2378" s="13"/>
    </row>
    <row r="2379" spans="1:12">
      <c r="A2379" s="13"/>
      <c r="B2379" s="13"/>
      <c r="C2379" s="13"/>
      <c r="D2379" s="13"/>
      <c r="E2379" s="13"/>
      <c r="F2379" s="13"/>
      <c r="G2379" s="13"/>
      <c r="H2379" s="13"/>
      <c r="I2379" s="13"/>
      <c r="J2379" s="39" t="s">
        <v>8106</v>
      </c>
      <c r="K2379" s="13"/>
      <c r="L2379" s="13"/>
    </row>
    <row r="2380" spans="1:12">
      <c r="A2380" s="13"/>
      <c r="B2380" s="13"/>
      <c r="C2380" s="13"/>
      <c r="D2380" s="13"/>
      <c r="E2380" s="13"/>
      <c r="F2380" s="13"/>
      <c r="G2380" s="13"/>
      <c r="H2380" s="13"/>
      <c r="I2380" s="13"/>
      <c r="J2380" s="39" t="s">
        <v>8107</v>
      </c>
      <c r="K2380" s="13"/>
      <c r="L2380" s="13"/>
    </row>
    <row r="2381" spans="1:12">
      <c r="A2381" s="13"/>
      <c r="B2381" s="13"/>
      <c r="C2381" s="13"/>
      <c r="D2381" s="13"/>
      <c r="E2381" s="13"/>
      <c r="F2381" s="13"/>
      <c r="G2381" s="13"/>
      <c r="H2381" s="13"/>
      <c r="I2381" s="13"/>
      <c r="J2381" s="39" t="s">
        <v>8108</v>
      </c>
      <c r="K2381" s="13"/>
      <c r="L2381" s="13"/>
    </row>
    <row r="2382" spans="1:12">
      <c r="A2382" s="13"/>
      <c r="B2382" s="13"/>
      <c r="C2382" s="13"/>
      <c r="D2382" s="13"/>
      <c r="E2382" s="13"/>
      <c r="F2382" s="13"/>
      <c r="G2382" s="13"/>
      <c r="H2382" s="13"/>
      <c r="I2382" s="13"/>
      <c r="J2382" s="39" t="s">
        <v>8113</v>
      </c>
      <c r="K2382" s="13"/>
      <c r="L2382" s="13"/>
    </row>
    <row r="2383" spans="1:12">
      <c r="A2383" s="13"/>
      <c r="B2383" s="13"/>
      <c r="C2383" s="13"/>
      <c r="D2383" s="13"/>
      <c r="E2383" s="13"/>
      <c r="F2383" s="13"/>
      <c r="G2383" s="13"/>
      <c r="H2383" s="13"/>
      <c r="I2383" s="13"/>
      <c r="J2383" s="39" t="s">
        <v>8110</v>
      </c>
      <c r="K2383" s="13"/>
      <c r="L2383" s="13"/>
    </row>
    <row r="2384" spans="1:12">
      <c r="A2384" s="13"/>
      <c r="B2384" s="13"/>
      <c r="C2384" s="13"/>
      <c r="D2384" s="13"/>
      <c r="E2384" s="13"/>
      <c r="F2384" s="13"/>
      <c r="G2384" s="13"/>
      <c r="H2384" s="13"/>
      <c r="I2384" s="13"/>
      <c r="J2384" s="39" t="s">
        <v>3686</v>
      </c>
      <c r="K2384" s="13"/>
      <c r="L2384" s="13"/>
    </row>
    <row r="2385" spans="1:12">
      <c r="A2385" s="13"/>
      <c r="B2385" s="13"/>
      <c r="C2385" s="13"/>
      <c r="D2385" s="13"/>
      <c r="E2385" s="13"/>
      <c r="F2385" s="13"/>
      <c r="G2385" s="13"/>
      <c r="H2385" s="13"/>
      <c r="I2385" s="13"/>
      <c r="J2385" s="39" t="s">
        <v>7870</v>
      </c>
      <c r="K2385" s="13"/>
      <c r="L2385" s="13"/>
    </row>
    <row r="2386" spans="1:12">
      <c r="A2386" s="13"/>
      <c r="B2386" s="13"/>
      <c r="C2386" s="13"/>
      <c r="D2386" s="13"/>
      <c r="E2386" s="13"/>
      <c r="F2386" s="13"/>
      <c r="G2386" s="13"/>
      <c r="H2386" s="13"/>
      <c r="I2386" s="13"/>
      <c r="J2386" s="39" t="s">
        <v>2265</v>
      </c>
      <c r="K2386" s="13"/>
      <c r="L2386" s="13"/>
    </row>
    <row r="2387" spans="1:12">
      <c r="A2387" s="13"/>
      <c r="B2387" s="13"/>
      <c r="C2387" s="13"/>
      <c r="D2387" s="13"/>
      <c r="E2387" s="13"/>
      <c r="F2387" s="13"/>
      <c r="G2387" s="13"/>
      <c r="H2387" s="13"/>
      <c r="I2387" s="13"/>
      <c r="J2387" s="39" t="s">
        <v>1259</v>
      </c>
      <c r="K2387" s="13"/>
      <c r="L2387" s="13"/>
    </row>
    <row r="2388" spans="1:12">
      <c r="A2388" s="13"/>
      <c r="B2388" s="13"/>
      <c r="C2388" s="13"/>
      <c r="D2388" s="13"/>
      <c r="E2388" s="13"/>
      <c r="F2388" s="13"/>
      <c r="G2388" s="13"/>
      <c r="H2388" s="13"/>
      <c r="I2388" s="13"/>
      <c r="J2388" s="39" t="s">
        <v>7872</v>
      </c>
      <c r="K2388" s="13"/>
      <c r="L2388" s="13"/>
    </row>
    <row r="2389" spans="1:12">
      <c r="A2389" s="13"/>
      <c r="B2389" s="13"/>
      <c r="C2389" s="13"/>
      <c r="D2389" s="13"/>
      <c r="E2389" s="13"/>
      <c r="F2389" s="13"/>
      <c r="G2389" s="13"/>
      <c r="H2389" s="13"/>
      <c r="I2389" s="13"/>
      <c r="J2389" s="39"/>
      <c r="K2389" s="13"/>
      <c r="L2389" s="13"/>
    </row>
    <row r="2390" spans="1:12">
      <c r="A2390" s="13"/>
      <c r="B2390" s="13"/>
      <c r="C2390" s="13"/>
      <c r="D2390" s="13"/>
      <c r="E2390" s="13"/>
      <c r="F2390" s="13"/>
      <c r="G2390" s="13"/>
      <c r="H2390" s="13"/>
      <c r="I2390" s="13"/>
      <c r="J2390" s="39" t="s">
        <v>7453</v>
      </c>
      <c r="K2390" s="13"/>
      <c r="L2390" s="13"/>
    </row>
    <row r="2391" spans="1:12">
      <c r="A2391" s="13"/>
      <c r="B2391" s="13"/>
      <c r="C2391" s="13"/>
      <c r="D2391" s="13"/>
      <c r="E2391" s="13"/>
      <c r="F2391" s="13"/>
      <c r="G2391" s="13"/>
      <c r="H2391" s="13"/>
      <c r="I2391" s="13"/>
      <c r="J2391" s="39" t="s">
        <v>8114</v>
      </c>
      <c r="K2391" s="13"/>
      <c r="L2391" s="13"/>
    </row>
    <row r="2392" spans="1:12">
      <c r="A2392" s="13"/>
      <c r="B2392" s="13"/>
      <c r="C2392" s="13"/>
      <c r="D2392" s="13"/>
      <c r="E2392" s="13"/>
      <c r="F2392" s="13"/>
      <c r="G2392" s="13"/>
      <c r="H2392" s="13"/>
      <c r="I2392" s="13"/>
      <c r="J2392" s="39" t="s">
        <v>7875</v>
      </c>
      <c r="K2392" s="13"/>
      <c r="L2392" s="13"/>
    </row>
    <row r="2393" spans="1:12">
      <c r="A2393" s="13"/>
      <c r="B2393" s="13"/>
      <c r="C2393" s="13"/>
      <c r="D2393" s="13"/>
      <c r="E2393" s="13"/>
      <c r="F2393" s="13"/>
      <c r="G2393" s="13"/>
      <c r="H2393" s="13"/>
      <c r="I2393" s="13"/>
      <c r="J2393" s="39" t="s">
        <v>7876</v>
      </c>
      <c r="K2393" s="13"/>
      <c r="L2393" s="13"/>
    </row>
    <row r="2394" spans="1:12">
      <c r="A2394" s="13"/>
      <c r="B2394" s="13"/>
      <c r="C2394" s="13"/>
      <c r="D2394" s="13"/>
      <c r="E2394" s="13"/>
      <c r="F2394" s="13"/>
      <c r="G2394" s="13"/>
      <c r="H2394" s="13"/>
      <c r="I2394" s="13"/>
      <c r="J2394" s="39" t="s">
        <v>7877</v>
      </c>
      <c r="K2394" s="13"/>
      <c r="L2394" s="13"/>
    </row>
    <row r="2395" spans="1:12">
      <c r="A2395" s="13"/>
      <c r="B2395" s="13"/>
      <c r="C2395" s="13"/>
      <c r="D2395" s="13"/>
      <c r="E2395" s="13"/>
      <c r="F2395" s="13"/>
      <c r="G2395" s="13"/>
      <c r="H2395" s="13"/>
      <c r="I2395" s="13"/>
      <c r="J2395" s="39" t="s">
        <v>7879</v>
      </c>
      <c r="K2395" s="13"/>
      <c r="L2395" s="13"/>
    </row>
    <row r="2396" spans="1:12">
      <c r="A2396" s="13"/>
      <c r="B2396" s="13"/>
      <c r="C2396" s="13"/>
      <c r="D2396" s="13"/>
      <c r="E2396" s="13"/>
      <c r="F2396" s="13"/>
      <c r="G2396" s="13"/>
      <c r="H2396" s="13"/>
      <c r="I2396" s="13"/>
      <c r="J2396" s="39"/>
      <c r="K2396" s="13"/>
      <c r="L2396" s="13"/>
    </row>
    <row r="2397" spans="1:12">
      <c r="A2397" s="13"/>
      <c r="B2397" s="13"/>
      <c r="C2397" s="13"/>
      <c r="D2397" s="13"/>
      <c r="E2397" s="13"/>
      <c r="F2397" s="13"/>
      <c r="G2397" s="13"/>
      <c r="H2397" s="13"/>
      <c r="I2397" s="13"/>
      <c r="J2397" s="39" t="s">
        <v>7880</v>
      </c>
      <c r="K2397" s="13"/>
      <c r="L2397" s="13"/>
    </row>
    <row r="2398" spans="1:12">
      <c r="A2398" s="13"/>
      <c r="B2398" s="13"/>
      <c r="C2398" s="13"/>
      <c r="D2398" s="13"/>
      <c r="E2398" s="13"/>
      <c r="F2398" s="13"/>
      <c r="G2398" s="13"/>
      <c r="H2398" s="13"/>
      <c r="I2398" s="13"/>
      <c r="J2398" s="39"/>
      <c r="K2398" s="13"/>
      <c r="L2398" s="13"/>
    </row>
    <row r="2399" spans="1:12">
      <c r="A2399" s="13"/>
      <c r="B2399" s="13"/>
      <c r="C2399" s="13"/>
      <c r="D2399" s="13"/>
      <c r="E2399" s="13"/>
      <c r="F2399" s="13"/>
      <c r="G2399" s="13"/>
      <c r="H2399" s="13"/>
      <c r="I2399" s="13"/>
      <c r="J2399" s="39" t="s">
        <v>7881</v>
      </c>
      <c r="K2399" s="13"/>
      <c r="L2399" s="13"/>
    </row>
    <row r="2400" spans="1:12">
      <c r="A2400" s="13"/>
      <c r="B2400" s="13"/>
      <c r="C2400" s="13"/>
      <c r="D2400" s="13"/>
      <c r="E2400" s="13"/>
      <c r="F2400" s="13"/>
      <c r="G2400" s="13"/>
      <c r="H2400" s="13"/>
      <c r="I2400" s="13"/>
      <c r="J2400" s="39" t="s">
        <v>7882</v>
      </c>
      <c r="K2400" s="13"/>
      <c r="L2400" s="13"/>
    </row>
    <row r="2401" spans="1:12">
      <c r="A2401" s="13"/>
      <c r="B2401" s="13"/>
      <c r="C2401" s="13"/>
      <c r="D2401" s="13"/>
      <c r="E2401" s="13"/>
      <c r="F2401" s="13"/>
      <c r="G2401" s="13"/>
      <c r="H2401" s="13"/>
      <c r="I2401" s="13"/>
      <c r="J2401" s="39"/>
      <c r="K2401" s="13"/>
      <c r="L2401" s="13"/>
    </row>
    <row r="2402" spans="1:12">
      <c r="A2402" s="13"/>
      <c r="B2402" s="13"/>
      <c r="C2402" s="13"/>
      <c r="D2402" s="13"/>
      <c r="E2402" s="13"/>
      <c r="F2402" s="13"/>
      <c r="G2402" s="13"/>
      <c r="H2402" s="13"/>
      <c r="I2402" s="13"/>
      <c r="J2402" s="39" t="s">
        <v>3371</v>
      </c>
      <c r="K2402" s="13"/>
      <c r="L2402" s="13"/>
    </row>
    <row r="2403" spans="1:12">
      <c r="A2403" s="13"/>
      <c r="B2403" s="13"/>
      <c r="C2403" s="13"/>
      <c r="D2403" s="13"/>
      <c r="E2403" s="13"/>
      <c r="F2403" s="13"/>
      <c r="G2403" s="13"/>
      <c r="H2403" s="13"/>
      <c r="I2403" s="13"/>
      <c r="J2403" s="39"/>
      <c r="K2403" s="13"/>
      <c r="L2403" s="13"/>
    </row>
    <row r="2404" spans="1:12">
      <c r="A2404" s="13"/>
      <c r="B2404" s="13"/>
      <c r="C2404" s="13"/>
      <c r="D2404" s="13"/>
      <c r="E2404" s="13"/>
      <c r="F2404" s="13"/>
      <c r="G2404" s="13"/>
      <c r="H2404" s="13"/>
      <c r="I2404" s="13"/>
      <c r="J2404" s="39" t="s">
        <v>7885</v>
      </c>
      <c r="K2404" s="13"/>
      <c r="L2404" s="13"/>
    </row>
    <row r="2405" spans="1:12">
      <c r="A2405" s="13"/>
      <c r="B2405" s="13"/>
      <c r="C2405" s="13"/>
      <c r="D2405" s="13"/>
      <c r="E2405" s="13"/>
      <c r="F2405" s="13"/>
      <c r="G2405" s="13"/>
      <c r="H2405" s="13"/>
      <c r="I2405" s="13"/>
      <c r="J2405" s="39" t="s">
        <v>7887</v>
      </c>
      <c r="K2405" s="13"/>
      <c r="L2405" s="13"/>
    </row>
    <row r="2406" spans="1:12">
      <c r="A2406" s="13"/>
      <c r="B2406" s="13"/>
      <c r="C2406" s="13"/>
      <c r="D2406" s="13"/>
      <c r="E2406" s="13"/>
      <c r="F2406" s="13"/>
      <c r="G2406" s="13"/>
      <c r="H2406" s="13"/>
      <c r="I2406" s="13"/>
      <c r="J2406" s="39" t="s">
        <v>7889</v>
      </c>
      <c r="K2406" s="13"/>
      <c r="L2406" s="13"/>
    </row>
    <row r="2407" spans="1:12">
      <c r="A2407" s="13"/>
      <c r="B2407" s="13"/>
      <c r="C2407" s="13"/>
      <c r="D2407" s="13"/>
      <c r="E2407" s="13"/>
      <c r="F2407" s="13"/>
      <c r="G2407" s="13"/>
      <c r="H2407" s="13"/>
      <c r="I2407" s="13"/>
      <c r="J2407" s="39"/>
      <c r="K2407" s="13"/>
      <c r="L2407" s="13"/>
    </row>
    <row r="2408" spans="1:12">
      <c r="A2408" s="13"/>
      <c r="B2408" s="13"/>
      <c r="C2408" s="13"/>
      <c r="D2408" s="13"/>
      <c r="E2408" s="13"/>
      <c r="F2408" s="13"/>
      <c r="G2408" s="13"/>
      <c r="H2408" s="13"/>
      <c r="I2408" s="13"/>
      <c r="J2408" s="39" t="s">
        <v>8115</v>
      </c>
      <c r="K2408" s="13"/>
      <c r="L2408" s="13"/>
    </row>
    <row r="2409" spans="1:12">
      <c r="A2409" s="13"/>
      <c r="B2409" s="13"/>
      <c r="C2409" s="13"/>
      <c r="D2409" s="13"/>
      <c r="E2409" s="13"/>
      <c r="F2409" s="13"/>
      <c r="G2409" s="13"/>
      <c r="H2409" s="13"/>
      <c r="I2409" s="13"/>
      <c r="J2409" s="39" t="s">
        <v>8116</v>
      </c>
      <c r="K2409" s="13"/>
      <c r="L2409" s="13"/>
    </row>
    <row r="2410" spans="1:12">
      <c r="A2410" s="13"/>
      <c r="B2410" s="13"/>
      <c r="C2410" s="13"/>
      <c r="D2410" s="13"/>
      <c r="E2410" s="13"/>
      <c r="F2410" s="13"/>
      <c r="G2410" s="13"/>
      <c r="H2410" s="13"/>
      <c r="I2410" s="13"/>
      <c r="J2410" s="39" t="s">
        <v>8117</v>
      </c>
      <c r="K2410" s="13"/>
      <c r="L2410" s="13"/>
    </row>
    <row r="2411" spans="1:12">
      <c r="A2411" s="13"/>
      <c r="B2411" s="13"/>
      <c r="C2411" s="13"/>
      <c r="D2411" s="13"/>
      <c r="E2411" s="13"/>
      <c r="F2411" s="13"/>
      <c r="G2411" s="13"/>
      <c r="H2411" s="13"/>
      <c r="I2411" s="13"/>
      <c r="J2411" s="39" t="s">
        <v>7896</v>
      </c>
      <c r="K2411" s="13"/>
      <c r="L2411" s="13"/>
    </row>
    <row r="2412" spans="1:12">
      <c r="A2412" s="13"/>
      <c r="B2412" s="13"/>
      <c r="C2412" s="13"/>
      <c r="D2412" s="13"/>
      <c r="E2412" s="13"/>
      <c r="F2412" s="13"/>
      <c r="G2412" s="13"/>
      <c r="H2412" s="13"/>
      <c r="I2412" s="13"/>
      <c r="J2412" s="39" t="s">
        <v>7898</v>
      </c>
      <c r="K2412" s="13"/>
      <c r="L2412" s="13"/>
    </row>
    <row r="2413" spans="1:12">
      <c r="A2413" s="13"/>
      <c r="B2413" s="13"/>
      <c r="C2413" s="13"/>
      <c r="D2413" s="13"/>
      <c r="E2413" s="13"/>
      <c r="F2413" s="13"/>
      <c r="G2413" s="13"/>
      <c r="H2413" s="13"/>
      <c r="I2413" s="13"/>
      <c r="J2413" s="39" t="s">
        <v>4080</v>
      </c>
      <c r="K2413" s="13"/>
      <c r="L2413" s="13"/>
    </row>
    <row r="2414" spans="1:12">
      <c r="A2414" s="13"/>
      <c r="B2414" s="13"/>
      <c r="C2414" s="13"/>
      <c r="D2414" s="13"/>
      <c r="E2414" s="13"/>
      <c r="F2414" s="13"/>
      <c r="G2414" s="13"/>
      <c r="H2414" s="13"/>
      <c r="I2414" s="13"/>
      <c r="J2414" s="39"/>
      <c r="K2414" s="13"/>
      <c r="L2414" s="13"/>
    </row>
    <row r="2415" spans="1:12">
      <c r="A2415" s="13"/>
      <c r="B2415" s="13"/>
      <c r="C2415" s="13"/>
      <c r="D2415" s="13"/>
      <c r="E2415" s="13"/>
      <c r="F2415" s="13"/>
      <c r="G2415" s="13"/>
      <c r="H2415" s="13"/>
      <c r="I2415" s="13"/>
      <c r="J2415" s="39" t="s">
        <v>8118</v>
      </c>
      <c r="K2415" s="13"/>
      <c r="L2415" s="13"/>
    </row>
    <row r="2416" spans="1:12">
      <c r="A2416" s="13"/>
      <c r="B2416" s="13"/>
      <c r="C2416" s="13"/>
      <c r="D2416" s="13"/>
      <c r="E2416" s="13"/>
      <c r="F2416" s="13"/>
      <c r="G2416" s="13"/>
      <c r="H2416" s="13"/>
      <c r="I2416" s="13"/>
      <c r="J2416" s="39" t="s">
        <v>8119</v>
      </c>
      <c r="K2416" s="13"/>
      <c r="L2416" s="13"/>
    </row>
    <row r="2417" spans="1:12">
      <c r="A2417" s="13"/>
      <c r="B2417" s="13"/>
      <c r="C2417" s="13"/>
      <c r="D2417" s="13"/>
      <c r="E2417" s="13"/>
      <c r="F2417" s="13"/>
      <c r="G2417" s="13"/>
      <c r="H2417" s="13"/>
      <c r="I2417" s="13"/>
      <c r="J2417" s="39" t="s">
        <v>8120</v>
      </c>
      <c r="K2417" s="13"/>
      <c r="L2417" s="13"/>
    </row>
    <row r="2418" spans="1:12">
      <c r="A2418" s="13"/>
      <c r="B2418" s="13"/>
      <c r="C2418" s="13"/>
      <c r="D2418" s="13"/>
      <c r="E2418" s="13"/>
      <c r="F2418" s="13"/>
      <c r="G2418" s="13"/>
      <c r="H2418" s="13"/>
      <c r="I2418" s="13"/>
      <c r="J2418" s="39" t="s">
        <v>7896</v>
      </c>
      <c r="K2418" s="13"/>
      <c r="L2418" s="13"/>
    </row>
    <row r="2419" spans="1:12">
      <c r="A2419" s="13"/>
      <c r="B2419" s="13"/>
      <c r="C2419" s="13"/>
      <c r="D2419" s="13"/>
      <c r="E2419" s="13"/>
      <c r="F2419" s="13"/>
      <c r="G2419" s="13"/>
      <c r="H2419" s="13"/>
      <c r="I2419" s="13"/>
      <c r="J2419" s="39" t="s">
        <v>7898</v>
      </c>
      <c r="K2419" s="13"/>
      <c r="L2419" s="13"/>
    </row>
    <row r="2420" spans="1:12">
      <c r="A2420" s="13"/>
      <c r="B2420" s="13"/>
      <c r="C2420" s="13"/>
      <c r="D2420" s="13"/>
      <c r="E2420" s="13"/>
      <c r="F2420" s="13"/>
      <c r="G2420" s="13"/>
      <c r="H2420" s="13"/>
      <c r="I2420" s="13"/>
      <c r="J2420" s="39" t="s">
        <v>4080</v>
      </c>
      <c r="K2420" s="13"/>
      <c r="L2420" s="13"/>
    </row>
    <row r="2421" spans="1:12">
      <c r="A2421" s="13"/>
      <c r="B2421" s="13"/>
      <c r="C2421" s="13"/>
      <c r="D2421" s="13"/>
      <c r="E2421" s="13"/>
      <c r="F2421" s="13"/>
      <c r="G2421" s="13"/>
      <c r="H2421" s="13"/>
      <c r="I2421" s="13"/>
      <c r="J2421" s="39"/>
      <c r="K2421" s="13"/>
      <c r="L2421" s="13"/>
    </row>
    <row r="2422" spans="1:12">
      <c r="A2422" s="13"/>
      <c r="B2422" s="13"/>
      <c r="C2422" s="13"/>
      <c r="D2422" s="13"/>
      <c r="E2422" s="13"/>
      <c r="F2422" s="13"/>
      <c r="G2422" s="13"/>
      <c r="H2422" s="13"/>
      <c r="I2422" s="13"/>
      <c r="J2422" s="39" t="s">
        <v>8121</v>
      </c>
      <c r="K2422" s="13"/>
      <c r="L2422" s="13"/>
    </row>
    <row r="2423" spans="1:12">
      <c r="A2423" s="13"/>
      <c r="B2423" s="13"/>
      <c r="C2423" s="13"/>
      <c r="D2423" s="13"/>
      <c r="E2423" s="13"/>
      <c r="F2423" s="13"/>
      <c r="G2423" s="13"/>
      <c r="H2423" s="13"/>
      <c r="I2423" s="13"/>
      <c r="J2423" s="39" t="s">
        <v>8122</v>
      </c>
      <c r="K2423" s="13"/>
      <c r="L2423" s="13"/>
    </row>
    <row r="2424" spans="1:12">
      <c r="A2424" s="13"/>
      <c r="B2424" s="13"/>
      <c r="C2424" s="13"/>
      <c r="D2424" s="13"/>
      <c r="E2424" s="13"/>
      <c r="F2424" s="13"/>
      <c r="G2424" s="13"/>
      <c r="H2424" s="13"/>
      <c r="I2424" s="13"/>
      <c r="J2424" s="39" t="s">
        <v>8123</v>
      </c>
      <c r="K2424" s="13"/>
      <c r="L2424" s="13"/>
    </row>
    <row r="2425" spans="1:12">
      <c r="A2425" s="13"/>
      <c r="B2425" s="13"/>
      <c r="C2425" s="13"/>
      <c r="D2425" s="13"/>
      <c r="E2425" s="13"/>
      <c r="F2425" s="13"/>
      <c r="G2425" s="13"/>
      <c r="H2425" s="13"/>
      <c r="I2425" s="13"/>
      <c r="J2425" s="39" t="s">
        <v>8124</v>
      </c>
      <c r="K2425" s="13"/>
      <c r="L2425" s="13"/>
    </row>
    <row r="2426" spans="1:12">
      <c r="A2426" s="13"/>
      <c r="B2426" s="13"/>
      <c r="C2426" s="13"/>
      <c r="D2426" s="13"/>
      <c r="E2426" s="13"/>
      <c r="F2426" s="13"/>
      <c r="G2426" s="13"/>
      <c r="H2426" s="13"/>
      <c r="I2426" s="13"/>
      <c r="J2426" s="39" t="s">
        <v>8125</v>
      </c>
      <c r="K2426" s="13"/>
      <c r="L2426" s="13"/>
    </row>
    <row r="2427" spans="1:12">
      <c r="A2427" s="13"/>
      <c r="B2427" s="13"/>
      <c r="C2427" s="13"/>
      <c r="D2427" s="13"/>
      <c r="E2427" s="13"/>
      <c r="F2427" s="13"/>
      <c r="G2427" s="13"/>
      <c r="H2427" s="13"/>
      <c r="I2427" s="13"/>
      <c r="J2427" s="39" t="s">
        <v>8126</v>
      </c>
      <c r="K2427" s="13"/>
      <c r="L2427" s="13"/>
    </row>
    <row r="2428" spans="1:12">
      <c r="A2428" s="13"/>
      <c r="B2428" s="13"/>
      <c r="C2428" s="13"/>
      <c r="D2428" s="13"/>
      <c r="E2428" s="13"/>
      <c r="F2428" s="13"/>
      <c r="G2428" s="13"/>
      <c r="H2428" s="13"/>
      <c r="I2428" s="13"/>
      <c r="J2428" s="39"/>
      <c r="K2428" s="13"/>
      <c r="L2428" s="13"/>
    </row>
    <row r="2429" spans="1:12">
      <c r="A2429" s="13"/>
      <c r="B2429" s="13"/>
      <c r="C2429" s="13"/>
      <c r="D2429" s="13"/>
      <c r="E2429" s="13"/>
      <c r="F2429" s="13"/>
      <c r="G2429" s="13"/>
      <c r="H2429" s="13"/>
      <c r="I2429" s="13"/>
      <c r="J2429" s="39" t="s">
        <v>8127</v>
      </c>
      <c r="K2429" s="13"/>
      <c r="L2429" s="13"/>
    </row>
    <row r="2430" spans="1:12">
      <c r="A2430" s="13"/>
      <c r="B2430" s="13"/>
      <c r="C2430" s="13"/>
      <c r="D2430" s="13"/>
      <c r="E2430" s="13"/>
      <c r="F2430" s="13"/>
      <c r="G2430" s="13"/>
      <c r="H2430" s="13"/>
      <c r="I2430" s="13"/>
      <c r="J2430" s="39" t="s">
        <v>8128</v>
      </c>
      <c r="K2430" s="13"/>
      <c r="L2430" s="13"/>
    </row>
    <row r="2431" spans="1:12">
      <c r="A2431" s="13"/>
      <c r="B2431" s="13"/>
      <c r="C2431" s="13"/>
      <c r="D2431" s="13"/>
      <c r="E2431" s="13"/>
      <c r="F2431" s="13"/>
      <c r="G2431" s="13"/>
      <c r="H2431" s="13"/>
      <c r="I2431" s="13"/>
      <c r="J2431" s="39" t="s">
        <v>8129</v>
      </c>
      <c r="K2431" s="13"/>
      <c r="L2431" s="13"/>
    </row>
    <row r="2432" spans="1:12">
      <c r="A2432" s="13"/>
      <c r="B2432" s="13"/>
      <c r="C2432" s="13"/>
      <c r="D2432" s="13"/>
      <c r="E2432" s="13"/>
      <c r="F2432" s="13"/>
      <c r="G2432" s="13"/>
      <c r="H2432" s="13"/>
      <c r="I2432" s="13"/>
      <c r="J2432" s="39" t="s">
        <v>8124</v>
      </c>
      <c r="K2432" s="13"/>
      <c r="L2432" s="13"/>
    </row>
    <row r="2433" spans="1:12">
      <c r="A2433" s="13"/>
      <c r="B2433" s="13"/>
      <c r="C2433" s="13"/>
      <c r="D2433" s="13"/>
      <c r="E2433" s="13"/>
      <c r="F2433" s="13"/>
      <c r="G2433" s="13"/>
      <c r="H2433" s="13"/>
      <c r="I2433" s="13"/>
      <c r="J2433" s="39" t="s">
        <v>8125</v>
      </c>
      <c r="K2433" s="13"/>
      <c r="L2433" s="13"/>
    </row>
    <row r="2434" spans="1:12">
      <c r="A2434" s="13"/>
      <c r="B2434" s="13"/>
      <c r="C2434" s="13"/>
      <c r="D2434" s="13"/>
      <c r="E2434" s="13"/>
      <c r="F2434" s="13"/>
      <c r="G2434" s="13"/>
      <c r="H2434" s="13"/>
      <c r="I2434" s="13"/>
      <c r="J2434" s="39" t="s">
        <v>8126</v>
      </c>
      <c r="K2434" s="13"/>
      <c r="L2434" s="13"/>
    </row>
    <row r="2435" spans="1:12">
      <c r="A2435" s="13"/>
      <c r="B2435" s="13"/>
      <c r="C2435" s="13"/>
      <c r="D2435" s="13"/>
      <c r="E2435" s="13"/>
      <c r="F2435" s="13"/>
      <c r="G2435" s="13"/>
      <c r="H2435" s="13"/>
      <c r="I2435" s="13"/>
      <c r="J2435" s="39"/>
      <c r="K2435" s="13"/>
      <c r="L2435" s="13"/>
    </row>
    <row r="2436" spans="1:12">
      <c r="A2436" s="13"/>
      <c r="B2436" s="13"/>
      <c r="C2436" s="13"/>
      <c r="D2436" s="13"/>
      <c r="E2436" s="13"/>
      <c r="F2436" s="13"/>
      <c r="G2436" s="13"/>
      <c r="H2436" s="13"/>
      <c r="I2436" s="13"/>
      <c r="J2436" s="39" t="s">
        <v>8130</v>
      </c>
      <c r="K2436" s="13"/>
      <c r="L2436" s="13"/>
    </row>
    <row r="2437" spans="1:12">
      <c r="A2437" s="13"/>
      <c r="B2437" s="13"/>
      <c r="C2437" s="13"/>
      <c r="D2437" s="13"/>
      <c r="E2437" s="13"/>
      <c r="F2437" s="13"/>
      <c r="G2437" s="13"/>
      <c r="H2437" s="13"/>
      <c r="I2437" s="13"/>
      <c r="J2437" s="39" t="s">
        <v>8131</v>
      </c>
      <c r="K2437" s="13"/>
      <c r="L2437" s="13"/>
    </row>
    <row r="2438" spans="1:12">
      <c r="A2438" s="13"/>
      <c r="B2438" s="13"/>
      <c r="C2438" s="13"/>
      <c r="D2438" s="13"/>
      <c r="E2438" s="13"/>
      <c r="F2438" s="13"/>
      <c r="G2438" s="13"/>
      <c r="H2438" s="13"/>
      <c r="I2438" s="13"/>
      <c r="J2438" s="39" t="s">
        <v>8132</v>
      </c>
      <c r="K2438" s="13"/>
      <c r="L2438" s="13"/>
    </row>
    <row r="2439" spans="1:12">
      <c r="A2439" s="13"/>
      <c r="B2439" s="13"/>
      <c r="C2439" s="13"/>
      <c r="D2439" s="13"/>
      <c r="E2439" s="13"/>
      <c r="F2439" s="13"/>
      <c r="G2439" s="13"/>
      <c r="H2439" s="13"/>
      <c r="I2439" s="13"/>
      <c r="J2439" s="39" t="s">
        <v>7896</v>
      </c>
      <c r="K2439" s="13"/>
      <c r="L2439" s="13"/>
    </row>
    <row r="2440" spans="1:12">
      <c r="A2440" s="13"/>
      <c r="B2440" s="13"/>
      <c r="C2440" s="13"/>
      <c r="D2440" s="13"/>
      <c r="E2440" s="13"/>
      <c r="F2440" s="13"/>
      <c r="G2440" s="13"/>
      <c r="H2440" s="13"/>
      <c r="I2440" s="13"/>
      <c r="J2440" s="39" t="s">
        <v>7898</v>
      </c>
      <c r="K2440" s="13"/>
      <c r="L2440" s="13"/>
    </row>
    <row r="2441" spans="1:12">
      <c r="A2441" s="13"/>
      <c r="B2441" s="13"/>
      <c r="C2441" s="13"/>
      <c r="D2441" s="13"/>
      <c r="E2441" s="13"/>
      <c r="F2441" s="13"/>
      <c r="G2441" s="13"/>
      <c r="H2441" s="13"/>
      <c r="I2441" s="13"/>
      <c r="J2441" s="39" t="s">
        <v>4080</v>
      </c>
      <c r="K2441" s="13"/>
      <c r="L2441" s="13"/>
    </row>
    <row r="2442" spans="1:12">
      <c r="A2442" s="13"/>
      <c r="B2442" s="13"/>
      <c r="C2442" s="13"/>
      <c r="D2442" s="13"/>
      <c r="E2442" s="13"/>
      <c r="F2442" s="13"/>
      <c r="G2442" s="13"/>
      <c r="H2442" s="13"/>
      <c r="I2442" s="13"/>
      <c r="J2442" s="39"/>
      <c r="K2442" s="13"/>
      <c r="L2442" s="13"/>
    </row>
    <row r="2443" spans="1:12">
      <c r="A2443" s="13"/>
      <c r="B2443" s="13"/>
      <c r="C2443" s="13"/>
      <c r="D2443" s="13"/>
      <c r="E2443" s="13"/>
      <c r="F2443" s="13"/>
      <c r="G2443" s="13"/>
      <c r="H2443" s="13"/>
      <c r="I2443" s="13"/>
      <c r="J2443" s="39" t="s">
        <v>8133</v>
      </c>
      <c r="K2443" s="13"/>
      <c r="L2443" s="13"/>
    </row>
    <row r="2444" spans="1:12">
      <c r="A2444" s="13"/>
      <c r="B2444" s="13"/>
      <c r="C2444" s="13"/>
      <c r="D2444" s="13"/>
      <c r="E2444" s="13"/>
      <c r="F2444" s="13"/>
      <c r="G2444" s="13"/>
      <c r="H2444" s="13"/>
      <c r="I2444" s="13"/>
      <c r="J2444" s="39" t="s">
        <v>8134</v>
      </c>
      <c r="K2444" s="13"/>
      <c r="L2444" s="13"/>
    </row>
    <row r="2445" spans="1:12">
      <c r="A2445" s="13"/>
      <c r="B2445" s="13"/>
      <c r="C2445" s="13"/>
      <c r="D2445" s="13"/>
      <c r="E2445" s="13"/>
      <c r="F2445" s="13"/>
      <c r="G2445" s="13"/>
      <c r="H2445" s="13"/>
      <c r="I2445" s="13"/>
      <c r="J2445" s="39" t="s">
        <v>8135</v>
      </c>
      <c r="K2445" s="13"/>
      <c r="L2445" s="13"/>
    </row>
    <row r="2446" spans="1:12">
      <c r="A2446" s="13"/>
      <c r="B2446" s="13"/>
      <c r="C2446" s="13"/>
      <c r="D2446" s="13"/>
      <c r="E2446" s="13"/>
      <c r="F2446" s="13"/>
      <c r="G2446" s="13"/>
      <c r="H2446" s="13"/>
      <c r="I2446" s="13"/>
      <c r="J2446" s="39" t="s">
        <v>7896</v>
      </c>
      <c r="K2446" s="13"/>
      <c r="L2446" s="13"/>
    </row>
    <row r="2447" spans="1:12">
      <c r="A2447" s="13"/>
      <c r="B2447" s="13"/>
      <c r="C2447" s="13"/>
      <c r="D2447" s="13"/>
      <c r="E2447" s="13"/>
      <c r="F2447" s="13"/>
      <c r="G2447" s="13"/>
      <c r="H2447" s="13"/>
      <c r="I2447" s="13"/>
      <c r="J2447" s="39" t="s">
        <v>7898</v>
      </c>
      <c r="K2447" s="13"/>
      <c r="L2447" s="13"/>
    </row>
    <row r="2448" spans="1:12">
      <c r="A2448" s="13"/>
      <c r="B2448" s="13"/>
      <c r="C2448" s="13"/>
      <c r="D2448" s="13"/>
      <c r="E2448" s="13"/>
      <c r="F2448" s="13"/>
      <c r="G2448" s="13"/>
      <c r="H2448" s="13"/>
      <c r="I2448" s="13"/>
      <c r="J2448" s="39" t="s">
        <v>4080</v>
      </c>
      <c r="K2448" s="13"/>
      <c r="L2448" s="13"/>
    </row>
    <row r="2449" spans="1:12">
      <c r="A2449" s="13"/>
      <c r="B2449" s="13"/>
      <c r="C2449" s="13"/>
      <c r="D2449" s="13"/>
      <c r="E2449" s="13"/>
      <c r="F2449" s="13"/>
      <c r="G2449" s="13"/>
      <c r="H2449" s="13"/>
      <c r="I2449" s="13"/>
      <c r="J2449" s="39"/>
      <c r="K2449" s="13"/>
      <c r="L2449" s="13"/>
    </row>
    <row r="2450" spans="1:12">
      <c r="A2450" s="13"/>
      <c r="B2450" s="13"/>
      <c r="C2450" s="13"/>
      <c r="D2450" s="13"/>
      <c r="E2450" s="13"/>
      <c r="F2450" s="13"/>
      <c r="G2450" s="13"/>
      <c r="H2450" s="13"/>
      <c r="I2450" s="13"/>
      <c r="J2450" s="39" t="s">
        <v>3371</v>
      </c>
      <c r="K2450" s="13"/>
      <c r="L2450" s="13"/>
    </row>
    <row r="2451" spans="1:12">
      <c r="A2451" s="13"/>
      <c r="B2451" s="13"/>
      <c r="C2451" s="13"/>
      <c r="D2451" s="13"/>
      <c r="E2451" s="13"/>
      <c r="F2451" s="13"/>
      <c r="G2451" s="13"/>
      <c r="H2451" s="13"/>
      <c r="I2451" s="13"/>
      <c r="J2451" s="39"/>
      <c r="K2451" s="13"/>
      <c r="L2451" s="13"/>
    </row>
    <row r="2452" spans="1:12">
      <c r="A2452" s="13"/>
      <c r="B2452" s="13"/>
      <c r="C2452" s="13"/>
      <c r="D2452" s="13"/>
      <c r="E2452" s="13"/>
      <c r="F2452" s="13"/>
      <c r="G2452" s="13"/>
      <c r="H2452" s="13"/>
      <c r="I2452" s="13"/>
      <c r="J2452" s="39" t="s">
        <v>8136</v>
      </c>
      <c r="K2452" s="13"/>
      <c r="L2452" s="13"/>
    </row>
    <row r="2453" spans="1:12">
      <c r="A2453" s="13"/>
      <c r="B2453" s="13"/>
      <c r="C2453" s="13"/>
      <c r="D2453" s="13"/>
      <c r="E2453" s="13"/>
      <c r="F2453" s="13"/>
      <c r="G2453" s="13"/>
      <c r="H2453" s="13"/>
      <c r="I2453" s="13"/>
      <c r="J2453" s="39" t="s">
        <v>8137</v>
      </c>
      <c r="K2453" s="13"/>
      <c r="L2453" s="13"/>
    </row>
    <row r="2454" spans="1:12">
      <c r="A2454" s="13"/>
      <c r="B2454" s="13"/>
      <c r="C2454" s="13"/>
      <c r="D2454" s="13"/>
      <c r="E2454" s="13"/>
      <c r="F2454" s="13"/>
      <c r="G2454" s="13"/>
      <c r="H2454" s="13"/>
      <c r="I2454" s="13"/>
      <c r="J2454" s="39" t="s">
        <v>7630</v>
      </c>
      <c r="K2454" s="13"/>
      <c r="L2454" s="13"/>
    </row>
    <row r="2455" spans="1:12">
      <c r="A2455" s="13"/>
      <c r="B2455" s="13"/>
      <c r="C2455" s="13"/>
      <c r="D2455" s="13"/>
      <c r="E2455" s="13"/>
      <c r="F2455" s="13"/>
      <c r="G2455" s="13"/>
      <c r="H2455" s="13"/>
      <c r="I2455" s="13"/>
      <c r="J2455" s="39" t="s">
        <v>7631</v>
      </c>
      <c r="K2455" s="13"/>
      <c r="L2455" s="13"/>
    </row>
    <row r="2456" spans="1:12">
      <c r="A2456" s="13"/>
      <c r="B2456" s="13"/>
      <c r="C2456" s="13"/>
      <c r="D2456" s="13"/>
      <c r="E2456" s="13"/>
      <c r="F2456" s="13"/>
      <c r="G2456" s="13"/>
      <c r="H2456" s="13"/>
      <c r="I2456" s="13"/>
      <c r="J2456" s="39"/>
      <c r="K2456" s="13"/>
      <c r="L2456" s="13"/>
    </row>
    <row r="2457" spans="1:12">
      <c r="A2457" s="13"/>
      <c r="B2457" s="13"/>
      <c r="C2457" s="13"/>
      <c r="D2457" s="13"/>
      <c r="E2457" s="13"/>
      <c r="F2457" s="13"/>
      <c r="G2457" s="13"/>
      <c r="H2457" s="13"/>
      <c r="I2457" s="13"/>
      <c r="J2457" s="39" t="s">
        <v>8138</v>
      </c>
      <c r="K2457" s="13"/>
      <c r="L2457" s="13"/>
    </row>
    <row r="2458" spans="1:12">
      <c r="A2458" s="13"/>
      <c r="B2458" s="13"/>
      <c r="C2458" s="13"/>
      <c r="D2458" s="13"/>
      <c r="E2458" s="13"/>
      <c r="F2458" s="13"/>
      <c r="G2458" s="13"/>
      <c r="H2458" s="13"/>
      <c r="I2458" s="13"/>
      <c r="J2458" s="39" t="s">
        <v>8139</v>
      </c>
      <c r="K2458" s="13"/>
      <c r="L2458" s="13"/>
    </row>
    <row r="2459" spans="1:12">
      <c r="A2459" s="13"/>
      <c r="B2459" s="13"/>
      <c r="C2459" s="13"/>
      <c r="D2459" s="13"/>
      <c r="E2459" s="13"/>
      <c r="F2459" s="13"/>
      <c r="G2459" s="13"/>
      <c r="H2459" s="13"/>
      <c r="I2459" s="13"/>
      <c r="J2459" s="39" t="s">
        <v>8140</v>
      </c>
      <c r="K2459" s="13"/>
      <c r="L2459" s="13"/>
    </row>
    <row r="2460" spans="1:12">
      <c r="A2460" s="13"/>
      <c r="B2460" s="13"/>
      <c r="C2460" s="13"/>
      <c r="D2460" s="13"/>
      <c r="E2460" s="13"/>
      <c r="F2460" s="13"/>
      <c r="G2460" s="13"/>
      <c r="H2460" s="13"/>
      <c r="I2460" s="13"/>
      <c r="J2460" s="39" t="s">
        <v>8141</v>
      </c>
      <c r="K2460" s="13"/>
      <c r="L2460" s="13"/>
    </row>
    <row r="2461" spans="1:12">
      <c r="A2461" s="13"/>
      <c r="B2461" s="13"/>
      <c r="C2461" s="13"/>
      <c r="D2461" s="13"/>
      <c r="E2461" s="13"/>
      <c r="F2461" s="13"/>
      <c r="G2461" s="13"/>
      <c r="H2461" s="13"/>
      <c r="I2461" s="13"/>
      <c r="J2461" s="39" t="s">
        <v>8142</v>
      </c>
      <c r="K2461" s="13"/>
      <c r="L2461" s="13"/>
    </row>
    <row r="2462" spans="1:12">
      <c r="A2462" s="13"/>
      <c r="B2462" s="13"/>
      <c r="C2462" s="13"/>
      <c r="D2462" s="13"/>
      <c r="E2462" s="13"/>
      <c r="F2462" s="13"/>
      <c r="G2462" s="13"/>
      <c r="H2462" s="13"/>
      <c r="I2462" s="13"/>
      <c r="J2462" s="39" t="s">
        <v>3756</v>
      </c>
      <c r="K2462" s="13"/>
      <c r="L2462" s="13"/>
    </row>
    <row r="2463" spans="1:12">
      <c r="A2463" s="13"/>
      <c r="B2463" s="13"/>
      <c r="C2463" s="13"/>
      <c r="D2463" s="13"/>
      <c r="E2463" s="13"/>
      <c r="F2463" s="13"/>
      <c r="G2463" s="13"/>
      <c r="H2463" s="13"/>
      <c r="I2463" s="13"/>
      <c r="J2463" s="39" t="s">
        <v>8143</v>
      </c>
      <c r="K2463" s="13"/>
      <c r="L2463" s="13"/>
    </row>
    <row r="2464" spans="1:12">
      <c r="A2464" s="13"/>
      <c r="B2464" s="13"/>
      <c r="C2464" s="13"/>
      <c r="D2464" s="13"/>
      <c r="E2464" s="13"/>
      <c r="F2464" s="13"/>
      <c r="G2464" s="13"/>
      <c r="H2464" s="13"/>
      <c r="I2464" s="13"/>
      <c r="J2464" s="39" t="s">
        <v>8144</v>
      </c>
      <c r="K2464" s="13"/>
      <c r="L2464" s="13"/>
    </row>
    <row r="2465" spans="1:12">
      <c r="A2465" s="13"/>
      <c r="B2465" s="13"/>
      <c r="C2465" s="13"/>
      <c r="D2465" s="13"/>
      <c r="E2465" s="13"/>
      <c r="F2465" s="13"/>
      <c r="G2465" s="13"/>
      <c r="H2465" s="13"/>
      <c r="I2465" s="13"/>
      <c r="J2465" s="39" t="s">
        <v>8145</v>
      </c>
      <c r="K2465" s="13"/>
      <c r="L2465" s="13"/>
    </row>
    <row r="2466" spans="1:12">
      <c r="A2466" s="13"/>
      <c r="B2466" s="13"/>
      <c r="C2466" s="13"/>
      <c r="D2466" s="13"/>
      <c r="E2466" s="13"/>
      <c r="F2466" s="13"/>
      <c r="G2466" s="13"/>
      <c r="H2466" s="13"/>
      <c r="I2466" s="13"/>
      <c r="J2466" s="39" t="s">
        <v>8146</v>
      </c>
      <c r="K2466" s="13"/>
      <c r="L2466" s="13"/>
    </row>
    <row r="2467" spans="1:12">
      <c r="A2467" s="13"/>
      <c r="B2467" s="13"/>
      <c r="C2467" s="13"/>
      <c r="D2467" s="13"/>
      <c r="E2467" s="13"/>
      <c r="F2467" s="13"/>
      <c r="G2467" s="13"/>
      <c r="H2467" s="13"/>
      <c r="I2467" s="13"/>
      <c r="J2467" s="39" t="s">
        <v>3801</v>
      </c>
      <c r="K2467" s="13"/>
      <c r="L2467" s="13"/>
    </row>
    <row r="2468" spans="1:12">
      <c r="A2468" s="13"/>
      <c r="B2468" s="13"/>
      <c r="C2468" s="13"/>
      <c r="D2468" s="13"/>
      <c r="E2468" s="13"/>
      <c r="F2468" s="13"/>
      <c r="G2468" s="13"/>
      <c r="H2468" s="13"/>
      <c r="I2468" s="13"/>
      <c r="J2468" s="39" t="s">
        <v>8147</v>
      </c>
      <c r="K2468" s="13"/>
      <c r="L2468" s="13"/>
    </row>
    <row r="2469" spans="1:12">
      <c r="A2469" s="13"/>
      <c r="B2469" s="13"/>
      <c r="C2469" s="13"/>
      <c r="D2469" s="13"/>
      <c r="E2469" s="13"/>
      <c r="F2469" s="13"/>
      <c r="G2469" s="13"/>
      <c r="H2469" s="13"/>
      <c r="I2469" s="13"/>
      <c r="J2469" s="39" t="s">
        <v>8148</v>
      </c>
      <c r="K2469" s="13"/>
      <c r="L2469" s="13"/>
    </row>
    <row r="2470" spans="1:12">
      <c r="A2470" s="13"/>
      <c r="B2470" s="13"/>
      <c r="C2470" s="13"/>
      <c r="D2470" s="13"/>
      <c r="E2470" s="13"/>
      <c r="F2470" s="13"/>
      <c r="G2470" s="13"/>
      <c r="H2470" s="13"/>
      <c r="I2470" s="13"/>
      <c r="J2470" s="39" t="s">
        <v>3354</v>
      </c>
      <c r="K2470" s="13"/>
      <c r="L2470" s="13"/>
    </row>
    <row r="2471" spans="1:12">
      <c r="A2471" s="13"/>
      <c r="B2471" s="13"/>
      <c r="C2471" s="13"/>
      <c r="D2471" s="13"/>
      <c r="E2471" s="13"/>
      <c r="F2471" s="13"/>
      <c r="G2471" s="13"/>
      <c r="H2471" s="13"/>
      <c r="I2471" s="13"/>
      <c r="J2471" s="39" t="s">
        <v>8105</v>
      </c>
      <c r="K2471" s="13"/>
      <c r="L2471" s="13"/>
    </row>
    <row r="2472" spans="1:12">
      <c r="A2472" s="13"/>
      <c r="B2472" s="13"/>
      <c r="C2472" s="13"/>
      <c r="D2472" s="13"/>
      <c r="E2472" s="13"/>
      <c r="F2472" s="13"/>
      <c r="G2472" s="13"/>
      <c r="H2472" s="13"/>
      <c r="I2472" s="13"/>
      <c r="J2472" s="39" t="s">
        <v>8149</v>
      </c>
      <c r="K2472" s="13"/>
      <c r="L2472" s="13"/>
    </row>
    <row r="2473" spans="1:12">
      <c r="A2473" s="13"/>
      <c r="B2473" s="13"/>
      <c r="C2473" s="13"/>
      <c r="D2473" s="13"/>
      <c r="E2473" s="13"/>
      <c r="F2473" s="13"/>
      <c r="G2473" s="13"/>
      <c r="H2473" s="13"/>
      <c r="I2473" s="13"/>
      <c r="J2473" s="39" t="s">
        <v>8150</v>
      </c>
      <c r="K2473" s="13"/>
      <c r="L2473" s="13"/>
    </row>
    <row r="2474" spans="1:12">
      <c r="A2474" s="13"/>
      <c r="B2474" s="13"/>
      <c r="C2474" s="13"/>
      <c r="D2474" s="13"/>
      <c r="E2474" s="13"/>
      <c r="F2474" s="13"/>
      <c r="G2474" s="13"/>
      <c r="H2474" s="13"/>
      <c r="I2474" s="13"/>
      <c r="J2474" s="39" t="s">
        <v>8151</v>
      </c>
      <c r="K2474" s="13"/>
      <c r="L2474" s="13"/>
    </row>
    <row r="2475" spans="1:12">
      <c r="A2475" s="13"/>
      <c r="B2475" s="13"/>
      <c r="C2475" s="13"/>
      <c r="D2475" s="13"/>
      <c r="E2475" s="13"/>
      <c r="F2475" s="13"/>
      <c r="G2475" s="13"/>
      <c r="H2475" s="13"/>
      <c r="I2475" s="13"/>
      <c r="J2475" s="39" t="s">
        <v>8152</v>
      </c>
      <c r="K2475" s="13"/>
      <c r="L2475" s="13"/>
    </row>
    <row r="2476" spans="1:12">
      <c r="A2476" s="13"/>
      <c r="B2476" s="13"/>
      <c r="C2476" s="13"/>
      <c r="D2476" s="13"/>
      <c r="E2476" s="13"/>
      <c r="F2476" s="13"/>
      <c r="G2476" s="13"/>
      <c r="H2476" s="13"/>
      <c r="I2476" s="13"/>
      <c r="J2476" s="39" t="s">
        <v>8110</v>
      </c>
      <c r="K2476" s="13"/>
      <c r="L2476" s="13"/>
    </row>
    <row r="2477" spans="1:12">
      <c r="A2477" s="13"/>
      <c r="B2477" s="13"/>
      <c r="C2477" s="13"/>
      <c r="D2477" s="13"/>
      <c r="E2477" s="13"/>
      <c r="F2477" s="13"/>
      <c r="G2477" s="13"/>
      <c r="H2477" s="13"/>
      <c r="I2477" s="13"/>
      <c r="J2477" s="39" t="s">
        <v>3371</v>
      </c>
      <c r="K2477" s="13"/>
      <c r="L2477" s="13"/>
    </row>
    <row r="2478" spans="1:12">
      <c r="A2478" s="13"/>
      <c r="B2478" s="13"/>
      <c r="C2478" s="13"/>
      <c r="D2478" s="13"/>
      <c r="E2478" s="13"/>
      <c r="F2478" s="13"/>
      <c r="G2478" s="13"/>
      <c r="H2478" s="13"/>
      <c r="I2478" s="13"/>
      <c r="J2478" s="39" t="s">
        <v>8153</v>
      </c>
      <c r="K2478" s="13"/>
      <c r="L2478" s="13"/>
    </row>
    <row r="2479" spans="1:12">
      <c r="A2479" s="13"/>
      <c r="B2479" s="13"/>
      <c r="C2479" s="13"/>
      <c r="D2479" s="13"/>
      <c r="E2479" s="13"/>
      <c r="F2479" s="13"/>
      <c r="G2479" s="13"/>
      <c r="H2479" s="13"/>
      <c r="I2479" s="13"/>
      <c r="J2479" s="39"/>
      <c r="K2479" s="13"/>
      <c r="L2479" s="13"/>
    </row>
    <row r="2480" spans="1:12">
      <c r="A2480" s="13"/>
      <c r="B2480" s="13"/>
      <c r="C2480" s="13"/>
      <c r="D2480" s="13"/>
      <c r="E2480" s="13"/>
      <c r="F2480" s="13"/>
      <c r="G2480" s="13"/>
      <c r="H2480" s="13"/>
      <c r="I2480" s="13"/>
      <c r="J2480" s="39" t="s">
        <v>8154</v>
      </c>
      <c r="K2480" s="13"/>
      <c r="L2480" s="13"/>
    </row>
    <row r="2481" spans="1:12">
      <c r="A2481" s="13"/>
      <c r="B2481" s="13"/>
      <c r="C2481" s="13"/>
      <c r="D2481" s="13"/>
      <c r="E2481" s="13"/>
      <c r="F2481" s="13"/>
      <c r="G2481" s="13"/>
      <c r="H2481" s="13"/>
      <c r="I2481" s="13"/>
      <c r="J2481" s="39" t="s">
        <v>8155</v>
      </c>
      <c r="K2481" s="13"/>
      <c r="L2481" s="13"/>
    </row>
    <row r="2482" spans="1:12">
      <c r="A2482" s="13"/>
      <c r="B2482" s="13"/>
      <c r="C2482" s="13"/>
      <c r="D2482" s="13"/>
      <c r="E2482" s="13"/>
      <c r="F2482" s="13"/>
      <c r="G2482" s="13"/>
      <c r="H2482" s="13"/>
      <c r="I2482" s="13"/>
      <c r="J2482" s="39" t="s">
        <v>8156</v>
      </c>
      <c r="K2482" s="13"/>
      <c r="L2482" s="13"/>
    </row>
    <row r="2483" spans="1:12">
      <c r="A2483" s="13"/>
      <c r="B2483" s="13"/>
      <c r="C2483" s="13"/>
      <c r="D2483" s="13"/>
      <c r="E2483" s="13"/>
      <c r="F2483" s="13"/>
      <c r="G2483" s="13"/>
      <c r="H2483" s="13"/>
      <c r="I2483" s="13"/>
      <c r="J2483" s="39" t="s">
        <v>8157</v>
      </c>
      <c r="K2483" s="13"/>
      <c r="L2483" s="13"/>
    </row>
    <row r="2484" spans="1:12">
      <c r="A2484" s="13"/>
      <c r="B2484" s="13"/>
      <c r="C2484" s="13"/>
      <c r="D2484" s="13"/>
      <c r="E2484" s="13"/>
      <c r="F2484" s="13"/>
      <c r="G2484" s="13"/>
      <c r="H2484" s="13"/>
      <c r="I2484" s="13"/>
      <c r="J2484" s="39" t="s">
        <v>8158</v>
      </c>
      <c r="K2484" s="13"/>
      <c r="L2484" s="13"/>
    </row>
    <row r="2485" spans="1:12">
      <c r="A2485" s="13"/>
      <c r="B2485" s="13"/>
      <c r="C2485" s="13"/>
      <c r="D2485" s="13"/>
      <c r="E2485" s="13"/>
      <c r="F2485" s="13"/>
      <c r="G2485" s="13"/>
      <c r="H2485" s="13"/>
      <c r="I2485" s="13"/>
      <c r="J2485" s="39" t="s">
        <v>8159</v>
      </c>
      <c r="K2485" s="13"/>
      <c r="L2485" s="13"/>
    </row>
    <row r="2486" spans="1:12">
      <c r="A2486" s="13"/>
      <c r="B2486" s="13"/>
      <c r="C2486" s="13"/>
      <c r="D2486" s="13"/>
      <c r="E2486" s="13"/>
      <c r="F2486" s="13"/>
      <c r="G2486" s="13"/>
      <c r="H2486" s="13"/>
      <c r="I2486" s="13"/>
      <c r="J2486" s="39" t="s">
        <v>7939</v>
      </c>
      <c r="K2486" s="13"/>
      <c r="L2486" s="13"/>
    </row>
    <row r="2487" spans="1:12">
      <c r="A2487" s="13"/>
      <c r="B2487" s="13"/>
      <c r="C2487" s="13"/>
      <c r="D2487" s="13"/>
      <c r="E2487" s="13"/>
      <c r="F2487" s="13"/>
      <c r="G2487" s="13"/>
      <c r="H2487" s="13"/>
      <c r="I2487" s="13"/>
      <c r="J2487" s="39" t="s">
        <v>7941</v>
      </c>
      <c r="K2487" s="13"/>
      <c r="L2487" s="13"/>
    </row>
    <row r="2488" spans="1:12">
      <c r="A2488" s="13"/>
      <c r="B2488" s="13"/>
      <c r="C2488" s="13"/>
      <c r="D2488" s="13"/>
      <c r="E2488" s="13"/>
      <c r="F2488" s="13"/>
      <c r="G2488" s="13"/>
      <c r="H2488" s="13"/>
      <c r="I2488" s="13"/>
      <c r="J2488" s="39" t="s">
        <v>3371</v>
      </c>
      <c r="K2488" s="13"/>
      <c r="L2488" s="13"/>
    </row>
    <row r="2489" spans="1:12">
      <c r="A2489" s="13"/>
      <c r="B2489" s="13"/>
      <c r="C2489" s="13"/>
      <c r="D2489" s="13"/>
      <c r="E2489" s="13"/>
      <c r="F2489" s="13"/>
      <c r="G2489" s="13"/>
      <c r="H2489" s="13"/>
      <c r="I2489" s="13"/>
      <c r="J2489" s="39"/>
      <c r="K2489" s="13"/>
      <c r="L2489" s="13"/>
    </row>
    <row r="2490" spans="1:12">
      <c r="A2490" s="13"/>
      <c r="B2490" s="13"/>
      <c r="C2490" s="13"/>
      <c r="D2490" s="13"/>
      <c r="E2490" s="13"/>
      <c r="F2490" s="13"/>
      <c r="G2490" s="13"/>
      <c r="H2490" s="13"/>
      <c r="I2490" s="13"/>
      <c r="J2490" s="39" t="s">
        <v>5345</v>
      </c>
      <c r="K2490" s="13"/>
      <c r="L2490" s="13"/>
    </row>
    <row r="2491" spans="1:12">
      <c r="A2491" s="13"/>
      <c r="B2491" s="13"/>
      <c r="C2491" s="13"/>
      <c r="D2491" s="13"/>
      <c r="E2491" s="13"/>
      <c r="F2491" s="13"/>
      <c r="G2491" s="13"/>
      <c r="H2491" s="13"/>
      <c r="I2491" s="13"/>
      <c r="J2491" s="39" t="s">
        <v>8160</v>
      </c>
      <c r="K2491" s="13"/>
      <c r="L2491" s="13"/>
    </row>
    <row r="2492" spans="1:12">
      <c r="A2492" s="13"/>
      <c r="B2492" s="13"/>
      <c r="C2492" s="13"/>
      <c r="D2492" s="13"/>
      <c r="E2492" s="13"/>
      <c r="F2492" s="13"/>
      <c r="G2492" s="13"/>
      <c r="H2492" s="13"/>
      <c r="I2492" s="13"/>
      <c r="J2492" s="39" t="s">
        <v>8161</v>
      </c>
      <c r="K2492" s="13"/>
      <c r="L2492" s="13"/>
    </row>
    <row r="2493" spans="1:12">
      <c r="A2493" s="13"/>
      <c r="B2493" s="13"/>
      <c r="C2493" s="13"/>
      <c r="D2493" s="13"/>
      <c r="E2493" s="13"/>
      <c r="F2493" s="13"/>
      <c r="G2493" s="13"/>
      <c r="H2493" s="13"/>
      <c r="I2493" s="13"/>
      <c r="J2493" s="39" t="s">
        <v>8159</v>
      </c>
      <c r="K2493" s="13"/>
      <c r="L2493" s="13"/>
    </row>
    <row r="2494" spans="1:12">
      <c r="A2494" s="13"/>
      <c r="B2494" s="13"/>
      <c r="C2494" s="13"/>
      <c r="D2494" s="13"/>
      <c r="E2494" s="13"/>
      <c r="F2494" s="13"/>
      <c r="G2494" s="13"/>
      <c r="H2494" s="13"/>
      <c r="I2494" s="13"/>
      <c r="J2494" s="39" t="s">
        <v>7939</v>
      </c>
      <c r="K2494" s="13"/>
      <c r="L2494" s="13"/>
    </row>
    <row r="2495" spans="1:12">
      <c r="A2495" s="13"/>
      <c r="B2495" s="13"/>
      <c r="C2495" s="13"/>
      <c r="D2495" s="13"/>
      <c r="E2495" s="13"/>
      <c r="F2495" s="13"/>
      <c r="G2495" s="13"/>
      <c r="H2495" s="13"/>
      <c r="I2495" s="13"/>
      <c r="J2495" s="39" t="s">
        <v>7941</v>
      </c>
      <c r="K2495" s="13"/>
      <c r="L2495" s="13"/>
    </row>
    <row r="2496" spans="1:12">
      <c r="A2496" s="13"/>
      <c r="B2496" s="13"/>
      <c r="C2496" s="13"/>
      <c r="D2496" s="13"/>
      <c r="E2496" s="13"/>
      <c r="F2496" s="13"/>
      <c r="G2496" s="13"/>
      <c r="H2496" s="13"/>
      <c r="I2496" s="13"/>
      <c r="J2496" s="39" t="s">
        <v>3371</v>
      </c>
      <c r="K2496" s="13"/>
      <c r="L2496" s="13"/>
    </row>
    <row r="2497" spans="1:12">
      <c r="A2497" s="13"/>
      <c r="B2497" s="13"/>
      <c r="C2497" s="13"/>
      <c r="D2497" s="13"/>
      <c r="E2497" s="13"/>
      <c r="F2497" s="13"/>
      <c r="G2497" s="13"/>
      <c r="H2497" s="13"/>
      <c r="I2497" s="13"/>
      <c r="J2497" s="39"/>
      <c r="K2497" s="13"/>
      <c r="L2497" s="13"/>
    </row>
    <row r="2498" spans="1:12">
      <c r="A2498" s="13"/>
      <c r="B2498" s="13"/>
      <c r="C2498" s="13"/>
      <c r="D2498" s="13"/>
      <c r="E2498" s="13"/>
      <c r="F2498" s="13"/>
      <c r="G2498" s="13"/>
      <c r="H2498" s="13"/>
      <c r="I2498" s="13"/>
      <c r="J2498" s="39" t="s">
        <v>8162</v>
      </c>
      <c r="K2498" s="13"/>
      <c r="L2498" s="13"/>
    </row>
    <row r="2499" spans="1:12">
      <c r="A2499" s="13"/>
      <c r="B2499" s="13"/>
      <c r="C2499" s="13"/>
      <c r="D2499" s="13"/>
      <c r="E2499" s="13"/>
      <c r="F2499" s="13"/>
      <c r="G2499" s="13"/>
      <c r="H2499" s="13"/>
      <c r="I2499" s="13"/>
      <c r="J2499" s="39" t="s">
        <v>8163</v>
      </c>
      <c r="K2499" s="13"/>
      <c r="L2499" s="13"/>
    </row>
    <row r="2500" spans="1:12">
      <c r="A2500" s="13"/>
      <c r="B2500" s="13"/>
      <c r="C2500" s="13"/>
      <c r="D2500" s="13"/>
      <c r="E2500" s="13"/>
      <c r="F2500" s="13"/>
      <c r="G2500" s="13"/>
      <c r="H2500" s="13"/>
      <c r="I2500" s="13"/>
      <c r="J2500" s="39" t="s">
        <v>8159</v>
      </c>
      <c r="K2500" s="13"/>
      <c r="L2500" s="13"/>
    </row>
    <row r="2501" spans="1:12">
      <c r="A2501" s="13"/>
      <c r="B2501" s="13"/>
      <c r="C2501" s="13"/>
      <c r="D2501" s="13"/>
      <c r="E2501" s="13"/>
      <c r="F2501" s="13"/>
      <c r="G2501" s="13"/>
      <c r="H2501" s="13"/>
      <c r="I2501" s="13"/>
      <c r="J2501" s="39" t="s">
        <v>7939</v>
      </c>
      <c r="K2501" s="13"/>
      <c r="L2501" s="13"/>
    </row>
    <row r="2502" spans="1:12">
      <c r="A2502" s="13"/>
      <c r="B2502" s="13"/>
      <c r="C2502" s="13"/>
      <c r="D2502" s="13"/>
      <c r="E2502" s="13"/>
      <c r="F2502" s="13"/>
      <c r="G2502" s="13"/>
      <c r="H2502" s="13"/>
      <c r="I2502" s="13"/>
      <c r="J2502" s="39" t="s">
        <v>7941</v>
      </c>
      <c r="K2502" s="13"/>
      <c r="L2502" s="13"/>
    </row>
    <row r="2503" spans="1:12">
      <c r="A2503" s="13"/>
      <c r="B2503" s="13"/>
      <c r="C2503" s="13"/>
      <c r="D2503" s="13"/>
      <c r="E2503" s="13"/>
      <c r="F2503" s="13"/>
      <c r="G2503" s="13"/>
      <c r="H2503" s="13"/>
      <c r="I2503" s="13"/>
      <c r="J2503" s="39" t="s">
        <v>3371</v>
      </c>
      <c r="K2503" s="13"/>
      <c r="L2503" s="13"/>
    </row>
    <row r="2504" spans="1:12">
      <c r="A2504" s="13"/>
      <c r="B2504" s="13"/>
      <c r="C2504" s="13"/>
      <c r="D2504" s="13"/>
      <c r="E2504" s="13"/>
      <c r="F2504" s="13"/>
      <c r="G2504" s="13"/>
      <c r="H2504" s="13"/>
      <c r="I2504" s="13"/>
      <c r="J2504" s="39"/>
      <c r="K2504" s="13"/>
      <c r="L2504" s="13"/>
    </row>
    <row r="2505" spans="1:12">
      <c r="A2505" s="13"/>
      <c r="B2505" s="13"/>
      <c r="C2505" s="13"/>
      <c r="D2505" s="13"/>
      <c r="E2505" s="13"/>
      <c r="F2505" s="13"/>
      <c r="G2505" s="13"/>
      <c r="H2505" s="13"/>
      <c r="I2505" s="13"/>
      <c r="J2505" s="39" t="s">
        <v>8164</v>
      </c>
      <c r="K2505" s="13"/>
      <c r="L2505" s="13"/>
    </row>
    <row r="2506" spans="1:12">
      <c r="A2506" s="13"/>
      <c r="B2506" s="13"/>
      <c r="C2506" s="13"/>
      <c r="D2506" s="13"/>
      <c r="E2506" s="13"/>
      <c r="F2506" s="13"/>
      <c r="G2506" s="13"/>
      <c r="H2506" s="13"/>
      <c r="I2506" s="13"/>
      <c r="J2506" s="39" t="s">
        <v>8165</v>
      </c>
      <c r="K2506" s="13"/>
      <c r="L2506" s="13"/>
    </row>
    <row r="2507" spans="1:12">
      <c r="A2507" s="13"/>
      <c r="B2507" s="13"/>
      <c r="C2507" s="13"/>
      <c r="D2507" s="13"/>
      <c r="E2507" s="13"/>
      <c r="F2507" s="13"/>
      <c r="G2507" s="13"/>
      <c r="H2507" s="13"/>
      <c r="I2507" s="13"/>
      <c r="J2507" s="39" t="s">
        <v>6982</v>
      </c>
      <c r="K2507" s="13"/>
      <c r="L2507" s="13"/>
    </row>
    <row r="2508" spans="1:12">
      <c r="A2508" s="13"/>
      <c r="B2508" s="13"/>
      <c r="C2508" s="13"/>
      <c r="D2508" s="13"/>
      <c r="E2508" s="13"/>
      <c r="F2508" s="13"/>
      <c r="G2508" s="13"/>
      <c r="H2508" s="13"/>
      <c r="I2508" s="13"/>
      <c r="J2508" s="39"/>
      <c r="K2508" s="13"/>
      <c r="L2508" s="13"/>
    </row>
    <row r="2509" spans="1:12">
      <c r="A2509" s="13"/>
      <c r="B2509" s="13"/>
      <c r="C2509" s="13"/>
      <c r="D2509" s="13"/>
      <c r="E2509" s="13"/>
      <c r="F2509" s="13"/>
      <c r="G2509" s="13"/>
      <c r="H2509" s="13"/>
      <c r="I2509" s="13"/>
      <c r="J2509" s="39" t="s">
        <v>8166</v>
      </c>
      <c r="K2509" s="13"/>
      <c r="L2509" s="13"/>
    </row>
    <row r="2510" spans="1:12">
      <c r="A2510" s="13"/>
      <c r="B2510" s="13"/>
      <c r="C2510" s="13"/>
      <c r="D2510" s="13"/>
      <c r="E2510" s="13"/>
      <c r="F2510" s="13"/>
      <c r="G2510" s="13"/>
      <c r="H2510" s="13"/>
      <c r="I2510" s="13"/>
      <c r="J2510" s="39" t="s">
        <v>8167</v>
      </c>
      <c r="K2510" s="13"/>
      <c r="L2510" s="13"/>
    </row>
    <row r="2511" spans="1:12">
      <c r="A2511" s="13"/>
      <c r="B2511" s="13"/>
      <c r="C2511" s="13"/>
      <c r="D2511" s="13"/>
      <c r="E2511" s="13"/>
      <c r="F2511" s="13"/>
      <c r="G2511" s="13"/>
      <c r="H2511" s="13"/>
      <c r="I2511" s="13"/>
      <c r="J2511" s="39" t="s">
        <v>7630</v>
      </c>
      <c r="K2511" s="13"/>
      <c r="L2511" s="13"/>
    </row>
    <row r="2512" spans="1:12">
      <c r="A2512" s="13"/>
      <c r="B2512" s="13"/>
      <c r="C2512" s="13"/>
      <c r="D2512" s="13"/>
      <c r="E2512" s="13"/>
      <c r="F2512" s="13"/>
      <c r="G2512" s="13"/>
      <c r="H2512" s="13"/>
      <c r="I2512" s="13"/>
      <c r="J2512" s="39" t="s">
        <v>7631</v>
      </c>
      <c r="K2512" s="13"/>
      <c r="L2512" s="13"/>
    </row>
    <row r="2513" spans="1:12">
      <c r="A2513" s="13"/>
      <c r="B2513" s="13"/>
      <c r="C2513" s="13"/>
      <c r="D2513" s="13"/>
      <c r="E2513" s="13"/>
      <c r="F2513" s="13"/>
      <c r="G2513" s="13"/>
      <c r="H2513" s="13"/>
      <c r="I2513" s="13"/>
      <c r="J2513" s="39" t="s">
        <v>8168</v>
      </c>
      <c r="K2513" s="13"/>
      <c r="L2513" s="13"/>
    </row>
    <row r="2514" spans="1:12">
      <c r="A2514" s="13"/>
      <c r="B2514" s="13"/>
      <c r="C2514" s="13"/>
      <c r="D2514" s="13"/>
      <c r="E2514" s="13"/>
      <c r="F2514" s="13"/>
      <c r="G2514" s="13"/>
      <c r="H2514" s="13"/>
      <c r="I2514" s="13"/>
      <c r="J2514" s="39" t="s">
        <v>8169</v>
      </c>
      <c r="K2514" s="13"/>
      <c r="L2514" s="13"/>
    </row>
    <row r="2515" spans="1:12">
      <c r="A2515" s="13"/>
      <c r="B2515" s="13"/>
      <c r="C2515" s="13"/>
      <c r="D2515" s="13"/>
      <c r="E2515" s="13"/>
      <c r="F2515" s="13"/>
      <c r="G2515" s="13"/>
      <c r="H2515" s="13"/>
      <c r="I2515" s="13"/>
      <c r="J2515" s="39" t="s">
        <v>8170</v>
      </c>
      <c r="K2515" s="13"/>
      <c r="L2515" s="13"/>
    </row>
    <row r="2516" spans="1:12">
      <c r="A2516" s="13"/>
      <c r="B2516" s="13"/>
      <c r="C2516" s="13"/>
      <c r="D2516" s="13"/>
      <c r="E2516" s="13"/>
      <c r="F2516" s="13"/>
      <c r="G2516" s="13"/>
      <c r="H2516" s="13"/>
      <c r="I2516" s="13"/>
      <c r="J2516" s="39" t="s">
        <v>8171</v>
      </c>
      <c r="K2516" s="13"/>
      <c r="L2516" s="13"/>
    </row>
    <row r="2517" spans="1:12">
      <c r="A2517" s="13"/>
      <c r="B2517" s="13"/>
      <c r="C2517" s="13"/>
      <c r="D2517" s="13"/>
      <c r="E2517" s="13"/>
      <c r="F2517" s="13"/>
      <c r="G2517" s="13"/>
      <c r="H2517" s="13"/>
      <c r="I2517" s="13"/>
      <c r="J2517" s="39" t="s">
        <v>8172</v>
      </c>
      <c r="K2517" s="13"/>
      <c r="L2517" s="13"/>
    </row>
    <row r="2518" spans="1:12">
      <c r="A2518" s="13"/>
      <c r="B2518" s="13"/>
      <c r="C2518" s="13"/>
      <c r="D2518" s="13"/>
      <c r="E2518" s="13"/>
      <c r="F2518" s="13"/>
      <c r="G2518" s="13"/>
      <c r="H2518" s="13"/>
      <c r="I2518" s="13"/>
      <c r="J2518" s="39" t="s">
        <v>8173</v>
      </c>
      <c r="K2518" s="13"/>
      <c r="L2518" s="13"/>
    </row>
    <row r="2519" spans="1:12">
      <c r="A2519" s="13"/>
      <c r="B2519" s="13"/>
      <c r="C2519" s="13"/>
      <c r="D2519" s="13"/>
      <c r="E2519" s="13"/>
      <c r="F2519" s="13"/>
      <c r="G2519" s="13"/>
      <c r="H2519" s="13"/>
      <c r="I2519" s="13"/>
      <c r="J2519" s="39" t="s">
        <v>8174</v>
      </c>
      <c r="K2519" s="13"/>
      <c r="L2519" s="13"/>
    </row>
    <row r="2520" spans="1:12">
      <c r="A2520" s="13"/>
      <c r="B2520" s="13"/>
      <c r="C2520" s="13"/>
      <c r="D2520" s="13"/>
      <c r="E2520" s="13"/>
      <c r="F2520" s="13"/>
      <c r="G2520" s="13"/>
      <c r="H2520" s="13"/>
      <c r="I2520" s="13"/>
      <c r="J2520" s="39" t="s">
        <v>4080</v>
      </c>
      <c r="K2520" s="13"/>
      <c r="L2520" s="13"/>
    </row>
    <row r="2521" spans="1:12">
      <c r="A2521" s="13"/>
      <c r="B2521" s="13"/>
      <c r="C2521" s="13"/>
      <c r="D2521" s="13"/>
      <c r="E2521" s="13"/>
      <c r="F2521" s="13"/>
      <c r="G2521" s="13"/>
      <c r="H2521" s="13"/>
      <c r="I2521" s="13"/>
      <c r="J2521" s="39" t="s">
        <v>8175</v>
      </c>
      <c r="K2521" s="13"/>
      <c r="L2521" s="13"/>
    </row>
    <row r="2522" spans="1:12">
      <c r="A2522" s="13"/>
      <c r="B2522" s="13"/>
      <c r="C2522" s="13"/>
      <c r="D2522" s="13"/>
      <c r="E2522" s="13"/>
      <c r="F2522" s="13"/>
      <c r="G2522" s="13"/>
      <c r="H2522" s="13"/>
      <c r="I2522" s="13"/>
      <c r="J2522" s="39" t="s">
        <v>8176</v>
      </c>
      <c r="K2522" s="13"/>
      <c r="L2522" s="13"/>
    </row>
    <row r="2523" spans="1:12">
      <c r="A2523" s="13"/>
      <c r="B2523" s="13"/>
      <c r="C2523" s="13"/>
      <c r="D2523" s="13"/>
      <c r="E2523" s="13"/>
      <c r="F2523" s="13"/>
      <c r="G2523" s="13"/>
      <c r="H2523" s="13"/>
      <c r="I2523" s="13"/>
      <c r="J2523" s="39" t="s">
        <v>8170</v>
      </c>
      <c r="K2523" s="13"/>
      <c r="L2523" s="13"/>
    </row>
    <row r="2524" spans="1:12">
      <c r="A2524" s="13"/>
      <c r="B2524" s="13"/>
      <c r="C2524" s="13"/>
      <c r="D2524" s="13"/>
      <c r="E2524" s="13"/>
      <c r="F2524" s="13"/>
      <c r="G2524" s="13"/>
      <c r="H2524" s="13"/>
      <c r="I2524" s="13"/>
      <c r="J2524" s="39" t="s">
        <v>8171</v>
      </c>
      <c r="K2524" s="13"/>
      <c r="L2524" s="13"/>
    </row>
    <row r="2525" spans="1:12">
      <c r="A2525" s="13"/>
      <c r="B2525" s="13"/>
      <c r="C2525" s="13"/>
      <c r="D2525" s="13"/>
      <c r="E2525" s="13"/>
      <c r="F2525" s="13"/>
      <c r="G2525" s="13"/>
      <c r="H2525" s="13"/>
      <c r="I2525" s="13"/>
      <c r="J2525" s="39" t="s">
        <v>8172</v>
      </c>
      <c r="K2525" s="13"/>
      <c r="L2525" s="13"/>
    </row>
    <row r="2526" spans="1:12">
      <c r="A2526" s="13"/>
      <c r="B2526" s="13"/>
      <c r="C2526" s="13"/>
      <c r="D2526" s="13"/>
      <c r="E2526" s="13"/>
      <c r="F2526" s="13"/>
      <c r="G2526" s="13"/>
      <c r="H2526" s="13"/>
      <c r="I2526" s="13"/>
      <c r="J2526" s="39" t="s">
        <v>8173</v>
      </c>
      <c r="K2526" s="13"/>
      <c r="L2526" s="13"/>
    </row>
    <row r="2527" spans="1:12">
      <c r="A2527" s="13"/>
      <c r="B2527" s="13"/>
      <c r="C2527" s="13"/>
      <c r="D2527" s="13"/>
      <c r="E2527" s="13"/>
      <c r="F2527" s="13"/>
      <c r="G2527" s="13"/>
      <c r="H2527" s="13"/>
      <c r="I2527" s="13"/>
      <c r="J2527" s="39" t="s">
        <v>8174</v>
      </c>
      <c r="K2527" s="13"/>
      <c r="L2527" s="13"/>
    </row>
    <row r="2528" spans="1:12">
      <c r="A2528" s="13"/>
      <c r="B2528" s="13"/>
      <c r="C2528" s="13"/>
      <c r="D2528" s="13"/>
      <c r="E2528" s="13"/>
      <c r="F2528" s="13"/>
      <c r="G2528" s="13"/>
      <c r="H2528" s="13"/>
      <c r="I2528" s="13"/>
      <c r="J2528" s="39" t="s">
        <v>4080</v>
      </c>
      <c r="K2528" s="13"/>
      <c r="L2528" s="13"/>
    </row>
    <row r="2529" spans="1:12">
      <c r="A2529" s="13"/>
      <c r="B2529" s="13"/>
      <c r="C2529" s="13"/>
      <c r="D2529" s="13"/>
      <c r="E2529" s="13"/>
      <c r="F2529" s="13"/>
      <c r="G2529" s="13"/>
      <c r="H2529" s="13"/>
      <c r="I2529" s="13"/>
      <c r="J2529" s="39" t="s">
        <v>8177</v>
      </c>
      <c r="K2529" s="13"/>
      <c r="L2529" s="13"/>
    </row>
    <row r="2530" spans="1:12">
      <c r="A2530" s="13"/>
      <c r="B2530" s="13"/>
      <c r="C2530" s="13"/>
      <c r="D2530" s="13"/>
      <c r="E2530" s="13"/>
      <c r="F2530" s="13"/>
      <c r="G2530" s="13"/>
      <c r="H2530" s="13"/>
      <c r="I2530" s="13"/>
      <c r="J2530" s="39" t="s">
        <v>8178</v>
      </c>
      <c r="K2530" s="13"/>
      <c r="L2530" s="13"/>
    </row>
    <row r="2531" spans="1:12">
      <c r="A2531" s="13"/>
      <c r="B2531" s="13"/>
      <c r="C2531" s="13"/>
      <c r="D2531" s="13"/>
      <c r="E2531" s="13"/>
      <c r="F2531" s="13"/>
      <c r="G2531" s="13"/>
      <c r="H2531" s="13"/>
      <c r="I2531" s="13"/>
      <c r="J2531" s="39" t="s">
        <v>8170</v>
      </c>
      <c r="K2531" s="13"/>
      <c r="L2531" s="13"/>
    </row>
    <row r="2532" spans="1:12">
      <c r="A2532" s="13"/>
      <c r="B2532" s="13"/>
      <c r="C2532" s="13"/>
      <c r="D2532" s="13"/>
      <c r="E2532" s="13"/>
      <c r="F2532" s="13"/>
      <c r="G2532" s="13"/>
      <c r="H2532" s="13"/>
      <c r="I2532" s="13"/>
      <c r="J2532" s="39" t="s">
        <v>8171</v>
      </c>
      <c r="K2532" s="13"/>
      <c r="L2532" s="13"/>
    </row>
    <row r="2533" spans="1:12">
      <c r="A2533" s="13"/>
      <c r="B2533" s="13"/>
      <c r="C2533" s="13"/>
      <c r="D2533" s="13"/>
      <c r="E2533" s="13"/>
      <c r="F2533" s="13"/>
      <c r="G2533" s="13"/>
      <c r="H2533" s="13"/>
      <c r="I2533" s="13"/>
      <c r="J2533" s="39" t="s">
        <v>8172</v>
      </c>
      <c r="K2533" s="13"/>
      <c r="L2533" s="13"/>
    </row>
    <row r="2534" spans="1:12">
      <c r="A2534" s="13"/>
      <c r="B2534" s="13"/>
      <c r="C2534" s="13"/>
      <c r="D2534" s="13"/>
      <c r="E2534" s="13"/>
      <c r="F2534" s="13"/>
      <c r="G2534" s="13"/>
      <c r="H2534" s="13"/>
      <c r="I2534" s="13"/>
      <c r="J2534" s="39" t="s">
        <v>8173</v>
      </c>
      <c r="K2534" s="13"/>
      <c r="L2534" s="13"/>
    </row>
    <row r="2535" spans="1:12">
      <c r="A2535" s="13"/>
      <c r="B2535" s="13"/>
      <c r="C2535" s="13"/>
      <c r="D2535" s="13"/>
      <c r="E2535" s="13"/>
      <c r="F2535" s="13"/>
      <c r="G2535" s="13"/>
      <c r="H2535" s="13"/>
      <c r="I2535" s="13"/>
      <c r="J2535" s="39" t="s">
        <v>8174</v>
      </c>
      <c r="K2535" s="13"/>
      <c r="L2535" s="13"/>
    </row>
    <row r="2536" spans="1:12">
      <c r="A2536" s="13"/>
      <c r="B2536" s="13"/>
      <c r="C2536" s="13"/>
      <c r="D2536" s="13"/>
      <c r="E2536" s="13"/>
      <c r="F2536" s="13"/>
      <c r="G2536" s="13"/>
      <c r="H2536" s="13"/>
      <c r="I2536" s="13"/>
      <c r="J2536" s="39" t="s">
        <v>4080</v>
      </c>
      <c r="K2536" s="13"/>
      <c r="L2536" s="13"/>
    </row>
    <row r="2537" spans="1:12">
      <c r="A2537" s="13"/>
      <c r="B2537" s="13"/>
      <c r="C2537" s="13"/>
      <c r="D2537" s="13"/>
      <c r="E2537" s="13"/>
      <c r="F2537" s="13"/>
      <c r="G2537" s="13"/>
      <c r="H2537" s="13"/>
      <c r="I2537" s="13"/>
      <c r="J2537" s="39" t="s">
        <v>8179</v>
      </c>
      <c r="K2537" s="13"/>
      <c r="L2537" s="13"/>
    </row>
    <row r="2538" spans="1:12">
      <c r="A2538" s="13"/>
      <c r="B2538" s="13"/>
      <c r="C2538" s="13"/>
      <c r="D2538" s="13"/>
      <c r="E2538" s="13"/>
      <c r="F2538" s="13"/>
      <c r="G2538" s="13"/>
      <c r="H2538" s="13"/>
      <c r="I2538" s="13"/>
      <c r="J2538" s="39" t="s">
        <v>8180</v>
      </c>
      <c r="K2538" s="13"/>
      <c r="L2538" s="13"/>
    </row>
    <row r="2539" spans="1:12">
      <c r="A2539" s="13"/>
      <c r="B2539" s="13"/>
      <c r="C2539" s="13"/>
      <c r="D2539" s="13"/>
      <c r="E2539" s="13"/>
      <c r="F2539" s="13"/>
      <c r="G2539" s="13"/>
      <c r="H2539" s="13"/>
      <c r="I2539" s="13"/>
      <c r="J2539" s="39" t="s">
        <v>8170</v>
      </c>
      <c r="K2539" s="13"/>
      <c r="L2539" s="13"/>
    </row>
    <row r="2540" spans="1:12">
      <c r="A2540" s="13"/>
      <c r="B2540" s="13"/>
      <c r="C2540" s="13"/>
      <c r="D2540" s="13"/>
      <c r="E2540" s="13"/>
      <c r="F2540" s="13"/>
      <c r="G2540" s="13"/>
      <c r="H2540" s="13"/>
      <c r="I2540" s="13"/>
      <c r="J2540" s="39" t="s">
        <v>8171</v>
      </c>
      <c r="K2540" s="13"/>
      <c r="L2540" s="13"/>
    </row>
    <row r="2541" spans="1:12">
      <c r="A2541" s="13"/>
      <c r="B2541" s="13"/>
      <c r="C2541" s="13"/>
      <c r="D2541" s="13"/>
      <c r="E2541" s="13"/>
      <c r="F2541" s="13"/>
      <c r="G2541" s="13"/>
      <c r="H2541" s="13"/>
      <c r="I2541" s="13"/>
      <c r="J2541" s="39" t="s">
        <v>8172</v>
      </c>
      <c r="K2541" s="13"/>
      <c r="L2541" s="13"/>
    </row>
    <row r="2542" spans="1:12">
      <c r="A2542" s="13"/>
      <c r="B2542" s="13"/>
      <c r="C2542" s="13"/>
      <c r="D2542" s="13"/>
      <c r="E2542" s="13"/>
      <c r="F2542" s="13"/>
      <c r="G2542" s="13"/>
      <c r="H2542" s="13"/>
      <c r="I2542" s="13"/>
      <c r="J2542" s="39" t="s">
        <v>8173</v>
      </c>
      <c r="K2542" s="13"/>
      <c r="L2542" s="13"/>
    </row>
    <row r="2543" spans="1:12">
      <c r="A2543" s="13"/>
      <c r="B2543" s="13"/>
      <c r="C2543" s="13"/>
      <c r="D2543" s="13"/>
      <c r="E2543" s="13"/>
      <c r="F2543" s="13"/>
      <c r="G2543" s="13"/>
      <c r="H2543" s="13"/>
      <c r="I2543" s="13"/>
      <c r="J2543" s="39" t="s">
        <v>8174</v>
      </c>
      <c r="K2543" s="13"/>
      <c r="L2543" s="13"/>
    </row>
    <row r="2544" spans="1:12">
      <c r="A2544" s="13"/>
      <c r="B2544" s="13"/>
      <c r="C2544" s="13"/>
      <c r="D2544" s="13"/>
      <c r="E2544" s="13"/>
      <c r="F2544" s="13"/>
      <c r="G2544" s="13"/>
      <c r="H2544" s="13"/>
      <c r="I2544" s="13"/>
      <c r="J2544" s="39" t="s">
        <v>4080</v>
      </c>
      <c r="K2544" s="13"/>
      <c r="L2544" s="13"/>
    </row>
    <row r="2545" spans="1:12">
      <c r="A2545" s="13"/>
      <c r="B2545" s="13"/>
      <c r="C2545" s="13"/>
      <c r="D2545" s="13"/>
      <c r="E2545" s="13"/>
      <c r="F2545" s="13"/>
      <c r="G2545" s="13"/>
      <c r="H2545" s="13"/>
      <c r="I2545" s="13"/>
      <c r="J2545" s="39" t="s">
        <v>8181</v>
      </c>
      <c r="K2545" s="13"/>
      <c r="L2545" s="13"/>
    </row>
    <row r="2546" spans="1:12">
      <c r="A2546" s="13"/>
      <c r="B2546" s="13"/>
      <c r="C2546" s="13"/>
      <c r="D2546" s="13"/>
      <c r="E2546" s="13"/>
      <c r="F2546" s="13"/>
      <c r="G2546" s="13"/>
      <c r="H2546" s="13"/>
      <c r="I2546" s="13"/>
      <c r="J2546" s="39" t="s">
        <v>8182</v>
      </c>
      <c r="K2546" s="13"/>
      <c r="L2546" s="13"/>
    </row>
    <row r="2547" spans="1:12">
      <c r="A2547" s="13"/>
      <c r="B2547" s="13"/>
      <c r="C2547" s="13"/>
      <c r="D2547" s="13"/>
      <c r="E2547" s="13"/>
      <c r="F2547" s="13"/>
      <c r="G2547" s="13"/>
      <c r="H2547" s="13"/>
      <c r="I2547" s="13"/>
      <c r="J2547" s="39" t="s">
        <v>8170</v>
      </c>
      <c r="K2547" s="13"/>
      <c r="L2547" s="13"/>
    </row>
    <row r="2548" spans="1:12">
      <c r="A2548" s="13"/>
      <c r="B2548" s="13"/>
      <c r="C2548" s="13"/>
      <c r="D2548" s="13"/>
      <c r="E2548" s="13"/>
      <c r="F2548" s="13"/>
      <c r="G2548" s="13"/>
      <c r="H2548" s="13"/>
      <c r="I2548" s="13"/>
      <c r="J2548" s="39" t="s">
        <v>8171</v>
      </c>
      <c r="K2548" s="13"/>
      <c r="L2548" s="13"/>
    </row>
    <row r="2549" spans="1:12">
      <c r="A2549" s="13"/>
      <c r="B2549" s="13"/>
      <c r="C2549" s="13"/>
      <c r="D2549" s="13"/>
      <c r="E2549" s="13"/>
      <c r="F2549" s="13"/>
      <c r="G2549" s="13"/>
      <c r="H2549" s="13"/>
      <c r="I2549" s="13"/>
      <c r="J2549" s="39" t="s">
        <v>8172</v>
      </c>
      <c r="K2549" s="13"/>
      <c r="L2549" s="13"/>
    </row>
    <row r="2550" spans="1:12">
      <c r="A2550" s="13"/>
      <c r="B2550" s="13"/>
      <c r="C2550" s="13"/>
      <c r="D2550" s="13"/>
      <c r="E2550" s="13"/>
      <c r="F2550" s="13"/>
      <c r="G2550" s="13"/>
      <c r="H2550" s="13"/>
      <c r="I2550" s="13"/>
      <c r="J2550" s="39" t="s">
        <v>8173</v>
      </c>
      <c r="K2550" s="13"/>
      <c r="L2550" s="13"/>
    </row>
    <row r="2551" spans="1:12">
      <c r="A2551" s="13"/>
      <c r="B2551" s="13"/>
      <c r="C2551" s="13"/>
      <c r="D2551" s="13"/>
      <c r="E2551" s="13"/>
      <c r="F2551" s="13"/>
      <c r="G2551" s="13"/>
      <c r="H2551" s="13"/>
      <c r="I2551" s="13"/>
      <c r="J2551" s="39" t="s">
        <v>8174</v>
      </c>
      <c r="K2551" s="13"/>
      <c r="L2551" s="13"/>
    </row>
    <row r="2552" spans="1:12">
      <c r="A2552" s="13"/>
      <c r="B2552" s="13"/>
      <c r="C2552" s="13"/>
      <c r="D2552" s="13"/>
      <c r="E2552" s="13"/>
      <c r="F2552" s="13"/>
      <c r="G2552" s="13"/>
      <c r="H2552" s="13"/>
      <c r="I2552" s="13"/>
      <c r="J2552" s="39" t="s">
        <v>4080</v>
      </c>
      <c r="K2552" s="13"/>
      <c r="L2552" s="13"/>
    </row>
    <row r="2553" spans="1:12">
      <c r="A2553" s="13"/>
      <c r="B2553" s="13"/>
      <c r="C2553" s="13"/>
      <c r="D2553" s="13"/>
      <c r="E2553" s="13"/>
      <c r="F2553" s="13"/>
      <c r="G2553" s="13"/>
      <c r="H2553" s="13"/>
      <c r="I2553" s="13"/>
      <c r="J2553" s="39" t="s">
        <v>8183</v>
      </c>
      <c r="K2553" s="13"/>
      <c r="L2553" s="13"/>
    </row>
    <row r="2554" spans="1:12">
      <c r="A2554" s="13"/>
      <c r="B2554" s="13"/>
      <c r="C2554" s="13"/>
      <c r="D2554" s="13"/>
      <c r="E2554" s="13"/>
      <c r="F2554" s="13"/>
      <c r="G2554" s="13"/>
      <c r="H2554" s="13"/>
      <c r="I2554" s="13"/>
      <c r="J2554" s="39" t="s">
        <v>8184</v>
      </c>
      <c r="K2554" s="13"/>
      <c r="L2554" s="13"/>
    </row>
    <row r="2555" spans="1:12">
      <c r="A2555" s="13"/>
      <c r="B2555" s="13"/>
      <c r="C2555" s="13"/>
      <c r="D2555" s="13"/>
      <c r="E2555" s="13"/>
      <c r="F2555" s="13"/>
      <c r="G2555" s="13"/>
      <c r="H2555" s="13"/>
      <c r="I2555" s="13"/>
      <c r="J2555" s="39" t="s">
        <v>8185</v>
      </c>
      <c r="K2555" s="13"/>
      <c r="L2555" s="13"/>
    </row>
    <row r="2556" spans="1:12">
      <c r="A2556" s="13"/>
      <c r="B2556" s="13"/>
      <c r="C2556" s="13"/>
      <c r="D2556" s="13"/>
      <c r="E2556" s="13"/>
      <c r="F2556" s="13"/>
      <c r="G2556" s="13"/>
      <c r="H2556" s="13"/>
      <c r="I2556" s="13"/>
      <c r="J2556" s="39" t="s">
        <v>8186</v>
      </c>
      <c r="K2556" s="13"/>
      <c r="L2556" s="13"/>
    </row>
    <row r="2557" spans="1:12">
      <c r="A2557" s="13"/>
      <c r="B2557" s="13"/>
      <c r="C2557" s="13"/>
      <c r="D2557" s="13"/>
      <c r="E2557" s="13"/>
      <c r="F2557" s="13"/>
      <c r="G2557" s="13"/>
      <c r="H2557" s="13"/>
      <c r="I2557" s="13"/>
      <c r="J2557" s="39" t="s">
        <v>8187</v>
      </c>
      <c r="K2557" s="13"/>
      <c r="L2557" s="13"/>
    </row>
    <row r="2558" spans="1:12">
      <c r="A2558" s="13"/>
      <c r="B2558" s="13"/>
      <c r="C2558" s="13"/>
      <c r="D2558" s="13"/>
      <c r="E2558" s="13"/>
      <c r="F2558" s="13"/>
      <c r="G2558" s="13"/>
      <c r="H2558" s="13"/>
      <c r="I2558" s="13"/>
      <c r="J2558" s="39" t="s">
        <v>8188</v>
      </c>
      <c r="K2558" s="13"/>
      <c r="L2558" s="13"/>
    </row>
    <row r="2559" spans="1:12">
      <c r="A2559" s="13"/>
      <c r="B2559" s="13"/>
      <c r="C2559" s="13"/>
      <c r="D2559" s="13"/>
      <c r="E2559" s="13"/>
      <c r="F2559" s="13"/>
      <c r="G2559" s="13"/>
      <c r="H2559" s="13"/>
      <c r="I2559" s="13"/>
      <c r="J2559" s="39" t="s">
        <v>2596</v>
      </c>
      <c r="K2559" s="13"/>
      <c r="L2559" s="13"/>
    </row>
    <row r="2560" spans="1:12">
      <c r="A2560" s="13"/>
      <c r="B2560" s="13"/>
      <c r="C2560" s="13"/>
      <c r="D2560" s="13"/>
      <c r="E2560" s="13"/>
      <c r="F2560" s="13"/>
      <c r="G2560" s="13"/>
      <c r="H2560" s="13"/>
      <c r="I2560" s="13"/>
      <c r="J2560" s="39"/>
      <c r="K2560" s="13"/>
      <c r="L2560" s="13"/>
    </row>
    <row r="2561" spans="1:12">
      <c r="A2561" s="13"/>
      <c r="B2561" s="13"/>
      <c r="C2561" s="13"/>
      <c r="D2561" s="13"/>
      <c r="E2561" s="13"/>
      <c r="F2561" s="13"/>
      <c r="G2561" s="13"/>
      <c r="H2561" s="13"/>
      <c r="I2561" s="13"/>
      <c r="J2561" s="39" t="s">
        <v>7946</v>
      </c>
      <c r="K2561" s="13"/>
      <c r="L2561" s="13"/>
    </row>
    <row r="2562" spans="1:12">
      <c r="A2562" s="13"/>
      <c r="B2562" s="13"/>
      <c r="C2562" s="13"/>
      <c r="D2562" s="13"/>
      <c r="E2562" s="13"/>
      <c r="F2562" s="13"/>
      <c r="G2562" s="13"/>
      <c r="H2562" s="13"/>
      <c r="I2562" s="13"/>
      <c r="J2562" s="39" t="s">
        <v>2265</v>
      </c>
      <c r="K2562" s="13"/>
      <c r="L2562" s="13"/>
    </row>
    <row r="2563" spans="1:12">
      <c r="A2563" s="13"/>
      <c r="B2563" s="13"/>
      <c r="C2563" s="13"/>
      <c r="D2563" s="13"/>
      <c r="E2563" s="13"/>
      <c r="F2563" s="13"/>
      <c r="G2563" s="13"/>
      <c r="H2563" s="13"/>
      <c r="I2563" s="13"/>
      <c r="J2563" s="39" t="s">
        <v>1278</v>
      </c>
      <c r="K2563" s="13"/>
      <c r="L2563" s="13"/>
    </row>
    <row r="2564" spans="1:12">
      <c r="A2564" s="13"/>
      <c r="B2564" s="13"/>
      <c r="C2564" s="13"/>
      <c r="D2564" s="13"/>
      <c r="E2564" s="13"/>
      <c r="F2564" s="13"/>
      <c r="G2564" s="13"/>
      <c r="H2564" s="13"/>
      <c r="I2564" s="13"/>
      <c r="J2564" s="39" t="s">
        <v>8189</v>
      </c>
      <c r="K2564" s="13"/>
      <c r="L2564" s="13"/>
    </row>
    <row r="2565" spans="1:12">
      <c r="A2565" s="13"/>
      <c r="B2565" s="13"/>
      <c r="C2565" s="13"/>
      <c r="D2565" s="13"/>
      <c r="E2565" s="13"/>
      <c r="F2565" s="13"/>
      <c r="G2565" s="13"/>
      <c r="H2565" s="13"/>
      <c r="I2565" s="13"/>
      <c r="J2565" s="39"/>
      <c r="K2565" s="13"/>
      <c r="L2565" s="13"/>
    </row>
    <row r="2566" spans="1:12">
      <c r="A2566" s="13"/>
      <c r="B2566" s="13"/>
      <c r="C2566" s="13"/>
      <c r="D2566" s="13"/>
      <c r="E2566" s="13"/>
      <c r="F2566" s="13"/>
      <c r="G2566" s="13"/>
      <c r="H2566" s="13"/>
      <c r="I2566" s="13"/>
      <c r="J2566" s="39" t="s">
        <v>7839</v>
      </c>
      <c r="K2566" s="13"/>
      <c r="L2566" s="13"/>
    </row>
    <row r="2567" spans="1:12">
      <c r="A2567" s="13"/>
      <c r="B2567" s="13"/>
      <c r="C2567" s="13"/>
      <c r="D2567" s="13"/>
      <c r="E2567" s="13"/>
      <c r="F2567" s="13"/>
      <c r="G2567" s="13"/>
      <c r="H2567" s="13"/>
      <c r="I2567" s="13"/>
      <c r="J2567" s="39" t="s">
        <v>7841</v>
      </c>
      <c r="K2567" s="13"/>
      <c r="L2567" s="13"/>
    </row>
    <row r="2568" spans="1:12">
      <c r="A2568" s="13"/>
      <c r="B2568" s="13"/>
      <c r="C2568" s="13"/>
      <c r="D2568" s="13"/>
      <c r="E2568" s="13"/>
      <c r="F2568" s="13"/>
      <c r="G2568" s="13"/>
      <c r="H2568" s="13"/>
      <c r="I2568" s="13"/>
      <c r="J2568" s="39" t="s">
        <v>7843</v>
      </c>
      <c r="K2568" s="13"/>
      <c r="L2568" s="13"/>
    </row>
    <row r="2569" spans="1:12">
      <c r="A2569" s="13"/>
      <c r="B2569" s="13"/>
      <c r="C2569" s="13"/>
      <c r="D2569" s="13"/>
      <c r="E2569" s="13"/>
      <c r="F2569" s="13"/>
      <c r="G2569" s="13"/>
      <c r="H2569" s="13"/>
      <c r="I2569" s="13"/>
      <c r="J2569" s="39" t="s">
        <v>7845</v>
      </c>
      <c r="K2569" s="13"/>
      <c r="L2569" s="13"/>
    </row>
    <row r="2570" spans="1:12">
      <c r="A2570" s="13"/>
      <c r="B2570" s="13"/>
      <c r="C2570" s="13"/>
      <c r="D2570" s="13"/>
      <c r="E2570" s="13"/>
      <c r="F2570" s="13"/>
      <c r="G2570" s="13"/>
      <c r="H2570" s="13"/>
      <c r="I2570" s="13"/>
      <c r="J2570" s="39" t="s">
        <v>7847</v>
      </c>
      <c r="K2570" s="13"/>
      <c r="L2570" s="13"/>
    </row>
    <row r="2571" spans="1:12">
      <c r="A2571" s="13"/>
      <c r="B2571" s="13"/>
      <c r="C2571" s="13"/>
      <c r="D2571" s="13"/>
      <c r="E2571" s="13"/>
      <c r="F2571" s="13"/>
      <c r="G2571" s="13"/>
      <c r="H2571" s="13"/>
      <c r="I2571" s="13"/>
      <c r="J2571" s="39" t="s">
        <v>7849</v>
      </c>
      <c r="K2571" s="13"/>
      <c r="L2571" s="13"/>
    </row>
    <row r="2572" spans="1:12">
      <c r="A2572" s="13"/>
      <c r="B2572" s="13"/>
      <c r="C2572" s="13"/>
      <c r="D2572" s="13"/>
      <c r="E2572" s="13"/>
      <c r="F2572" s="13"/>
      <c r="G2572" s="13"/>
      <c r="H2572" s="13"/>
      <c r="I2572" s="13"/>
      <c r="J2572" s="39" t="s">
        <v>7851</v>
      </c>
      <c r="K2572" s="13"/>
      <c r="L2572" s="13"/>
    </row>
    <row r="2573" spans="1:12">
      <c r="A2573" s="13"/>
      <c r="B2573" s="13"/>
      <c r="C2573" s="13"/>
      <c r="D2573" s="13"/>
      <c r="E2573" s="13"/>
      <c r="F2573" s="13"/>
      <c r="G2573" s="13"/>
      <c r="H2573" s="13"/>
      <c r="I2573" s="13"/>
      <c r="J2573" s="39" t="s">
        <v>7853</v>
      </c>
      <c r="K2573" s="13"/>
      <c r="L2573" s="13"/>
    </row>
    <row r="2574" spans="1:12">
      <c r="A2574" s="13"/>
      <c r="B2574" s="13"/>
      <c r="C2574" s="13"/>
      <c r="D2574" s="13"/>
      <c r="E2574" s="13"/>
      <c r="F2574" s="13"/>
      <c r="G2574" s="13"/>
      <c r="H2574" s="13"/>
      <c r="I2574" s="13"/>
      <c r="J2574" s="39" t="s">
        <v>2836</v>
      </c>
      <c r="K2574" s="13"/>
      <c r="L2574" s="13"/>
    </row>
    <row r="2575" spans="1:12">
      <c r="A2575" s="13"/>
      <c r="B2575" s="13"/>
      <c r="C2575" s="13"/>
      <c r="D2575" s="13"/>
      <c r="E2575" s="13"/>
      <c r="F2575" s="13"/>
      <c r="G2575" s="13"/>
      <c r="H2575" s="13"/>
      <c r="I2575" s="13"/>
      <c r="J2575" s="39" t="s">
        <v>7855</v>
      </c>
      <c r="K2575" s="13"/>
      <c r="L2575" s="13"/>
    </row>
    <row r="2576" spans="1:12">
      <c r="A2576" s="13"/>
      <c r="B2576" s="13"/>
      <c r="C2576" s="13"/>
      <c r="D2576" s="13"/>
      <c r="E2576" s="13"/>
      <c r="F2576" s="13"/>
      <c r="G2576" s="13"/>
      <c r="H2576" s="13"/>
      <c r="I2576" s="13"/>
      <c r="J2576" s="39"/>
      <c r="K2576" s="13"/>
      <c r="L2576" s="13"/>
    </row>
    <row r="2577" spans="1:12">
      <c r="A2577" s="13"/>
      <c r="B2577" s="13"/>
      <c r="C2577" s="13"/>
      <c r="D2577" s="13"/>
      <c r="E2577" s="13"/>
      <c r="F2577" s="13"/>
      <c r="G2577" s="13"/>
      <c r="H2577" s="13"/>
      <c r="I2577" s="13"/>
      <c r="J2577" s="39" t="s">
        <v>7843</v>
      </c>
      <c r="K2577" s="13"/>
      <c r="L2577" s="13"/>
    </row>
    <row r="2578" spans="1:12">
      <c r="A2578" s="13"/>
      <c r="B2578" s="13"/>
      <c r="C2578" s="13"/>
      <c r="D2578" s="13"/>
      <c r="E2578" s="13"/>
      <c r="F2578" s="13"/>
      <c r="G2578" s="13"/>
      <c r="H2578" s="13"/>
      <c r="I2578" s="13"/>
      <c r="J2578" s="39" t="s">
        <v>7845</v>
      </c>
      <c r="K2578" s="13"/>
      <c r="L2578" s="13"/>
    </row>
    <row r="2579" spans="1:12">
      <c r="A2579" s="13"/>
      <c r="B2579" s="13"/>
      <c r="C2579" s="13"/>
      <c r="D2579" s="13"/>
      <c r="E2579" s="13"/>
      <c r="F2579" s="13"/>
      <c r="G2579" s="13"/>
      <c r="H2579" s="13"/>
      <c r="I2579" s="13"/>
      <c r="J2579" s="39" t="s">
        <v>7857</v>
      </c>
      <c r="K2579" s="13"/>
      <c r="L2579" s="13"/>
    </row>
    <row r="2580" spans="1:12">
      <c r="A2580" s="13"/>
      <c r="B2580" s="13"/>
      <c r="C2580" s="13"/>
      <c r="D2580" s="13"/>
      <c r="E2580" s="13"/>
      <c r="F2580" s="13"/>
      <c r="G2580" s="13"/>
      <c r="H2580" s="13"/>
      <c r="I2580" s="13"/>
      <c r="J2580" s="39" t="s">
        <v>7858</v>
      </c>
      <c r="K2580" s="13"/>
      <c r="L2580" s="13"/>
    </row>
    <row r="2581" spans="1:12">
      <c r="A2581" s="13"/>
      <c r="B2581" s="13"/>
      <c r="C2581" s="13"/>
      <c r="D2581" s="13"/>
      <c r="E2581" s="13"/>
      <c r="F2581" s="13"/>
      <c r="G2581" s="13"/>
      <c r="H2581" s="13"/>
      <c r="I2581" s="13"/>
      <c r="J2581" s="39" t="s">
        <v>7859</v>
      </c>
      <c r="K2581" s="13"/>
      <c r="L2581" s="13"/>
    </row>
    <row r="2582" spans="1:12">
      <c r="A2582" s="13"/>
      <c r="B2582" s="13"/>
      <c r="C2582" s="13"/>
      <c r="D2582" s="13"/>
      <c r="E2582" s="13"/>
      <c r="F2582" s="13"/>
      <c r="G2582" s="13"/>
      <c r="H2582" s="13"/>
      <c r="I2582" s="13"/>
      <c r="J2582" s="39" t="s">
        <v>7853</v>
      </c>
      <c r="K2582" s="13"/>
      <c r="L2582" s="13"/>
    </row>
    <row r="2583" spans="1:12">
      <c r="A2583" s="13"/>
      <c r="B2583" s="13"/>
      <c r="C2583" s="13"/>
      <c r="D2583" s="13"/>
      <c r="E2583" s="13"/>
      <c r="F2583" s="13"/>
      <c r="G2583" s="13"/>
      <c r="H2583" s="13"/>
      <c r="I2583" s="13"/>
      <c r="J2583" s="39" t="s">
        <v>2836</v>
      </c>
      <c r="K2583" s="13"/>
      <c r="L2583" s="13"/>
    </row>
    <row r="2584" spans="1:12">
      <c r="A2584" s="13"/>
      <c r="B2584" s="13"/>
      <c r="C2584" s="13"/>
      <c r="D2584" s="13"/>
      <c r="E2584" s="13"/>
      <c r="F2584" s="13"/>
      <c r="G2584" s="13"/>
      <c r="H2584" s="13"/>
      <c r="I2584" s="13"/>
      <c r="J2584" s="39" t="s">
        <v>7855</v>
      </c>
      <c r="K2584" s="13"/>
      <c r="L2584" s="13"/>
    </row>
    <row r="2585" spans="1:12">
      <c r="A2585" s="13"/>
      <c r="B2585" s="13"/>
      <c r="C2585" s="13"/>
      <c r="D2585" s="13"/>
      <c r="E2585" s="13"/>
      <c r="F2585" s="13"/>
      <c r="G2585" s="13"/>
      <c r="H2585" s="13"/>
      <c r="I2585" s="13"/>
      <c r="J2585" s="39" t="s">
        <v>3756</v>
      </c>
      <c r="K2585" s="13"/>
      <c r="L2585" s="13"/>
    </row>
    <row r="2586" spans="1:12">
      <c r="A2586" s="13"/>
      <c r="B2586" s="13"/>
      <c r="C2586" s="13"/>
      <c r="D2586" s="13"/>
      <c r="E2586" s="13"/>
      <c r="F2586" s="13"/>
      <c r="G2586" s="13"/>
      <c r="H2586" s="13"/>
      <c r="I2586" s="13"/>
      <c r="J2586" s="39" t="s">
        <v>7862</v>
      </c>
      <c r="K2586" s="13"/>
      <c r="L2586" s="13"/>
    </row>
    <row r="2587" spans="1:12">
      <c r="A2587" s="13"/>
      <c r="B2587" s="13"/>
      <c r="C2587" s="13"/>
      <c r="D2587" s="13"/>
      <c r="E2587" s="13"/>
      <c r="F2587" s="13"/>
      <c r="G2587" s="13"/>
      <c r="H2587" s="13"/>
      <c r="I2587" s="13"/>
      <c r="J2587" s="39" t="s">
        <v>8190</v>
      </c>
      <c r="K2587" s="13"/>
      <c r="L2587" s="13"/>
    </row>
    <row r="2588" spans="1:12">
      <c r="A2588" s="13"/>
      <c r="B2588" s="13"/>
      <c r="C2588" s="13"/>
      <c r="D2588" s="13"/>
      <c r="E2588" s="13"/>
      <c r="F2588" s="13"/>
      <c r="G2588" s="13"/>
      <c r="H2588" s="13"/>
      <c r="I2588" s="13"/>
      <c r="J2588" s="39" t="s">
        <v>7865</v>
      </c>
      <c r="K2588" s="13"/>
      <c r="L2588" s="13"/>
    </row>
    <row r="2589" spans="1:12">
      <c r="A2589" s="13"/>
      <c r="B2589" s="13"/>
      <c r="C2589" s="13"/>
      <c r="D2589" s="13"/>
      <c r="E2589" s="13"/>
      <c r="F2589" s="13"/>
      <c r="G2589" s="13"/>
      <c r="H2589" s="13"/>
      <c r="I2589" s="13"/>
      <c r="J2589" s="39" t="s">
        <v>7866</v>
      </c>
      <c r="K2589" s="13"/>
      <c r="L2589" s="13"/>
    </row>
    <row r="2590" spans="1:12">
      <c r="A2590" s="13"/>
      <c r="B2590" s="13"/>
      <c r="C2590" s="13"/>
      <c r="D2590" s="13"/>
      <c r="E2590" s="13"/>
      <c r="F2590" s="13"/>
      <c r="G2590" s="13"/>
      <c r="H2590" s="13"/>
      <c r="I2590" s="13"/>
      <c r="J2590" s="39" t="s">
        <v>8191</v>
      </c>
      <c r="K2590" s="13"/>
      <c r="L2590" s="13"/>
    </row>
    <row r="2591" spans="1:12">
      <c r="A2591" s="13"/>
      <c r="B2591" s="13"/>
      <c r="C2591" s="13"/>
      <c r="D2591" s="13"/>
      <c r="E2591" s="13"/>
      <c r="F2591" s="13"/>
      <c r="G2591" s="13"/>
      <c r="H2591" s="13"/>
      <c r="I2591" s="13"/>
      <c r="J2591" s="39" t="s">
        <v>7869</v>
      </c>
      <c r="K2591" s="13"/>
      <c r="L2591" s="13"/>
    </row>
    <row r="2592" spans="1:12">
      <c r="A2592" s="13"/>
      <c r="B2592" s="13"/>
      <c r="C2592" s="13"/>
      <c r="D2592" s="13"/>
      <c r="E2592" s="13"/>
      <c r="F2592" s="13"/>
      <c r="G2592" s="13"/>
      <c r="H2592" s="13"/>
      <c r="I2592" s="13"/>
      <c r="J2592" s="39"/>
      <c r="K2592" s="13"/>
      <c r="L2592" s="13"/>
    </row>
    <row r="2593" spans="1:12">
      <c r="A2593" s="13"/>
      <c r="B2593" s="13"/>
      <c r="C2593" s="13"/>
      <c r="D2593" s="13"/>
      <c r="E2593" s="13"/>
      <c r="F2593" s="13"/>
      <c r="G2593" s="13"/>
      <c r="H2593" s="13"/>
      <c r="I2593" s="13"/>
      <c r="J2593" s="39" t="s">
        <v>8192</v>
      </c>
      <c r="K2593" s="13"/>
      <c r="L2593" s="13"/>
    </row>
    <row r="2594" spans="1:12">
      <c r="A2594" s="13"/>
      <c r="B2594" s="13"/>
      <c r="C2594" s="13"/>
      <c r="D2594" s="13"/>
      <c r="E2594" s="13"/>
      <c r="F2594" s="13"/>
      <c r="G2594" s="13"/>
      <c r="H2594" s="13"/>
      <c r="I2594" s="13"/>
      <c r="J2594" s="39" t="s">
        <v>2265</v>
      </c>
      <c r="K2594" s="13"/>
      <c r="L2594" s="13"/>
    </row>
    <row r="2595" spans="1:12">
      <c r="A2595" s="13"/>
      <c r="B2595" s="13"/>
      <c r="C2595" s="13"/>
      <c r="D2595" s="13"/>
      <c r="E2595" s="13"/>
      <c r="F2595" s="13"/>
      <c r="G2595" s="13"/>
      <c r="H2595" s="13"/>
      <c r="I2595" s="13"/>
      <c r="J2595" s="39" t="s">
        <v>1259</v>
      </c>
      <c r="K2595" s="13"/>
      <c r="L2595" s="13"/>
    </row>
    <row r="2596" spans="1:12">
      <c r="A2596" s="13"/>
      <c r="B2596" s="13"/>
      <c r="C2596" s="13"/>
      <c r="D2596" s="13"/>
      <c r="E2596" s="13"/>
      <c r="F2596" s="13"/>
      <c r="G2596" s="13"/>
      <c r="H2596" s="13"/>
      <c r="I2596" s="13"/>
      <c r="J2596" s="39" t="s">
        <v>5617</v>
      </c>
      <c r="K2596" s="13"/>
      <c r="L2596" s="13"/>
    </row>
    <row r="2597" spans="1:12">
      <c r="A2597" s="13"/>
      <c r="B2597" s="13"/>
      <c r="C2597" s="13"/>
      <c r="D2597" s="13"/>
      <c r="E2597" s="13"/>
      <c r="F2597" s="13"/>
      <c r="G2597" s="13"/>
      <c r="H2597" s="13"/>
      <c r="I2597" s="13"/>
      <c r="J2597" s="39" t="s">
        <v>5624</v>
      </c>
      <c r="K2597" s="13"/>
      <c r="L2597" s="13"/>
    </row>
    <row r="2598" spans="1:12">
      <c r="A2598" s="13"/>
      <c r="B2598" s="13"/>
      <c r="C2598" s="13"/>
      <c r="D2598" s="13"/>
      <c r="E2598" s="13"/>
      <c r="F2598" s="13"/>
      <c r="G2598" s="13"/>
      <c r="H2598" s="13"/>
      <c r="I2598" s="13"/>
      <c r="J2598" s="39" t="s">
        <v>7947</v>
      </c>
      <c r="K2598" s="13"/>
      <c r="L2598" s="13"/>
    </row>
    <row r="2599" spans="1:12">
      <c r="A2599" s="13"/>
      <c r="B2599" s="13"/>
      <c r="C2599" s="13"/>
      <c r="D2599" s="13"/>
      <c r="E2599" s="13"/>
      <c r="F2599" s="13"/>
      <c r="G2599" s="13"/>
      <c r="H2599" s="13"/>
      <c r="I2599" s="13"/>
      <c r="J2599" s="39" t="s">
        <v>7948</v>
      </c>
      <c r="K2599" s="13"/>
      <c r="L2599" s="13"/>
    </row>
    <row r="2600" spans="1:12">
      <c r="A2600" s="13"/>
      <c r="B2600" s="13"/>
      <c r="C2600" s="13"/>
      <c r="D2600" s="13"/>
      <c r="E2600" s="13"/>
      <c r="F2600" s="13"/>
      <c r="G2600" s="13"/>
      <c r="H2600" s="13"/>
      <c r="I2600" s="13"/>
      <c r="J2600" s="39" t="s">
        <v>2424</v>
      </c>
      <c r="K2600" s="13"/>
      <c r="L2600" s="13"/>
    </row>
    <row r="2601" spans="1:12">
      <c r="A2601" s="13"/>
      <c r="B2601" s="13"/>
      <c r="C2601" s="13"/>
      <c r="D2601" s="13"/>
      <c r="E2601" s="13"/>
      <c r="F2601" s="13"/>
      <c r="G2601" s="13"/>
      <c r="H2601" s="13"/>
      <c r="I2601" s="13"/>
      <c r="J2601" s="39" t="s">
        <v>8193</v>
      </c>
      <c r="K2601" s="13"/>
      <c r="L2601" s="13"/>
    </row>
    <row r="2602" spans="1:12">
      <c r="A2602" s="13"/>
      <c r="B2602" s="13"/>
      <c r="C2602" s="13"/>
      <c r="D2602" s="13"/>
      <c r="E2602" s="13"/>
      <c r="F2602" s="13"/>
      <c r="G2602" s="13"/>
      <c r="H2602" s="13"/>
      <c r="I2602" s="13"/>
      <c r="J2602" s="39" t="s">
        <v>8194</v>
      </c>
      <c r="K2602" s="13"/>
      <c r="L2602" s="13"/>
    </row>
    <row r="2603" spans="1:12">
      <c r="A2603" s="13"/>
      <c r="B2603" s="13"/>
      <c r="C2603" s="13"/>
      <c r="D2603" s="13"/>
      <c r="E2603" s="13"/>
      <c r="F2603" s="13"/>
      <c r="G2603" s="13"/>
      <c r="H2603" s="13"/>
      <c r="I2603" s="13"/>
      <c r="J2603" s="39" t="s">
        <v>3354</v>
      </c>
      <c r="K2603" s="13"/>
      <c r="L2603" s="13"/>
    </row>
    <row r="2604" spans="1:12">
      <c r="A2604" s="13"/>
      <c r="B2604" s="13"/>
      <c r="C2604" s="13"/>
      <c r="D2604" s="13"/>
      <c r="E2604" s="13"/>
      <c r="F2604" s="13"/>
      <c r="G2604" s="13"/>
      <c r="H2604" s="13"/>
      <c r="I2604" s="13"/>
      <c r="J2604" s="39" t="s">
        <v>8195</v>
      </c>
      <c r="K2604" s="13"/>
      <c r="L2604" s="13"/>
    </row>
    <row r="2605" spans="1:12">
      <c r="A2605" s="13"/>
      <c r="B2605" s="13"/>
      <c r="C2605" s="13"/>
      <c r="D2605" s="13"/>
      <c r="E2605" s="13"/>
      <c r="F2605" s="13"/>
      <c r="G2605" s="13"/>
      <c r="H2605" s="13"/>
      <c r="I2605" s="13"/>
      <c r="J2605" s="39" t="s">
        <v>3371</v>
      </c>
      <c r="K2605" s="13"/>
      <c r="L2605" s="13"/>
    </row>
    <row r="2606" spans="1:12">
      <c r="A2606" s="13"/>
      <c r="B2606" s="13"/>
      <c r="C2606" s="13"/>
      <c r="D2606" s="13"/>
      <c r="E2606" s="13"/>
      <c r="F2606" s="13"/>
      <c r="G2606" s="13"/>
      <c r="H2606" s="13"/>
      <c r="I2606" s="13"/>
      <c r="J2606" s="39"/>
      <c r="K2606" s="13"/>
      <c r="L2606" s="13"/>
    </row>
    <row r="2607" spans="1:12">
      <c r="A2607" s="13"/>
      <c r="B2607" s="13"/>
      <c r="C2607" s="13"/>
      <c r="D2607" s="13"/>
      <c r="E2607" s="13"/>
      <c r="F2607" s="13"/>
      <c r="G2607" s="13"/>
      <c r="H2607" s="13"/>
      <c r="I2607" s="13"/>
      <c r="J2607" s="39" t="s">
        <v>2357</v>
      </c>
      <c r="K2607" s="13"/>
      <c r="L2607" s="13"/>
    </row>
    <row r="2608" spans="1:12">
      <c r="A2608" s="13"/>
      <c r="B2608" s="13"/>
      <c r="C2608" s="13"/>
      <c r="D2608" s="13"/>
      <c r="E2608" s="13"/>
      <c r="F2608" s="13"/>
      <c r="G2608" s="13"/>
      <c r="H2608" s="13"/>
      <c r="I2608" s="13"/>
      <c r="J2608" s="39" t="s">
        <v>5634</v>
      </c>
      <c r="K2608" s="13"/>
      <c r="L2608" s="13"/>
    </row>
    <row r="2609" spans="1:12">
      <c r="A2609" s="13"/>
      <c r="B2609" s="13"/>
      <c r="C2609" s="13"/>
      <c r="D2609" s="13"/>
      <c r="E2609" s="13"/>
      <c r="F2609" s="13"/>
      <c r="G2609" s="13"/>
      <c r="H2609" s="13"/>
      <c r="I2609" s="13"/>
      <c r="J2609" s="39" t="s">
        <v>4078</v>
      </c>
      <c r="K2609" s="13"/>
      <c r="L2609" s="13"/>
    </row>
    <row r="2610" spans="1:12">
      <c r="A2610" s="13"/>
      <c r="B2610" s="13"/>
      <c r="C2610" s="13"/>
      <c r="D2610" s="13"/>
      <c r="E2610" s="13"/>
      <c r="F2610" s="13"/>
      <c r="G2610" s="13"/>
      <c r="H2610" s="13"/>
      <c r="I2610" s="13"/>
      <c r="J2610" s="39" t="s">
        <v>5640</v>
      </c>
      <c r="K2610" s="13"/>
      <c r="L2610" s="13"/>
    </row>
    <row r="2611" spans="1:12">
      <c r="A2611" s="13"/>
      <c r="B2611" s="13"/>
      <c r="C2611" s="13"/>
      <c r="D2611" s="13"/>
      <c r="E2611" s="13"/>
      <c r="F2611" s="13"/>
      <c r="G2611" s="13"/>
      <c r="H2611" s="13"/>
      <c r="I2611" s="13"/>
      <c r="J2611" s="39" t="s">
        <v>5645</v>
      </c>
      <c r="K2611" s="13"/>
      <c r="L2611" s="13"/>
    </row>
    <row r="2612" spans="1:12">
      <c r="A2612" s="13"/>
      <c r="B2612" s="13"/>
      <c r="C2612" s="13"/>
      <c r="D2612" s="13"/>
      <c r="E2612" s="13"/>
      <c r="F2612" s="13"/>
      <c r="G2612" s="13"/>
      <c r="H2612" s="13"/>
      <c r="I2612" s="13"/>
      <c r="J2612" s="39" t="s">
        <v>2424</v>
      </c>
      <c r="K2612" s="13"/>
      <c r="L2612" s="13"/>
    </row>
    <row r="2613" spans="1:12">
      <c r="A2613" s="13"/>
      <c r="B2613" s="13"/>
      <c r="C2613" s="13"/>
      <c r="D2613" s="13"/>
      <c r="E2613" s="13"/>
      <c r="F2613" s="13"/>
      <c r="G2613" s="13"/>
      <c r="H2613" s="13"/>
      <c r="I2613" s="13"/>
      <c r="J2613" s="39" t="s">
        <v>8196</v>
      </c>
      <c r="K2613" s="13"/>
      <c r="L2613" s="13"/>
    </row>
    <row r="2614" spans="1:12">
      <c r="A2614" s="13"/>
      <c r="B2614" s="13"/>
      <c r="C2614" s="13"/>
      <c r="D2614" s="13"/>
      <c r="E2614" s="13"/>
      <c r="F2614" s="13"/>
      <c r="G2614" s="13"/>
      <c r="H2614" s="13"/>
      <c r="I2614" s="13"/>
      <c r="J2614" s="39" t="s">
        <v>8197</v>
      </c>
      <c r="K2614" s="13"/>
      <c r="L2614" s="13"/>
    </row>
    <row r="2615" spans="1:12">
      <c r="A2615" s="13"/>
      <c r="B2615" s="13"/>
      <c r="C2615" s="13"/>
      <c r="D2615" s="13"/>
      <c r="E2615" s="13"/>
      <c r="F2615" s="13"/>
      <c r="G2615" s="13"/>
      <c r="H2615" s="13"/>
      <c r="I2615" s="13"/>
      <c r="J2615" s="39" t="s">
        <v>6748</v>
      </c>
      <c r="K2615" s="13"/>
      <c r="L2615" s="13"/>
    </row>
    <row r="2616" spans="1:12">
      <c r="A2616" s="13"/>
      <c r="B2616" s="13"/>
      <c r="C2616" s="13"/>
      <c r="D2616" s="13"/>
      <c r="E2616" s="13"/>
      <c r="F2616" s="13"/>
      <c r="G2616" s="13"/>
      <c r="H2616" s="13"/>
      <c r="I2616" s="13"/>
      <c r="J2616" s="39" t="s">
        <v>8198</v>
      </c>
      <c r="K2616" s="13"/>
      <c r="L2616" s="13"/>
    </row>
    <row r="2617" spans="1:12">
      <c r="A2617" s="13"/>
      <c r="B2617" s="13"/>
      <c r="C2617" s="13"/>
      <c r="D2617" s="13"/>
      <c r="E2617" s="13"/>
      <c r="F2617" s="13"/>
      <c r="G2617" s="13"/>
      <c r="H2617" s="13"/>
      <c r="I2617" s="13"/>
      <c r="J2617" s="39" t="s">
        <v>2357</v>
      </c>
      <c r="K2617" s="13"/>
      <c r="L2617" s="13"/>
    </row>
    <row r="2618" spans="1:12">
      <c r="A2618" s="13"/>
      <c r="B2618" s="13"/>
      <c r="C2618" s="13"/>
      <c r="D2618" s="13"/>
      <c r="E2618" s="13"/>
      <c r="F2618" s="13"/>
      <c r="G2618" s="13"/>
      <c r="H2618" s="13"/>
      <c r="I2618" s="13"/>
      <c r="J2618" s="39" t="s">
        <v>2237</v>
      </c>
      <c r="K2618" s="13"/>
      <c r="L2618" s="13"/>
    </row>
    <row r="2619" spans="1:12">
      <c r="A2619" s="13"/>
      <c r="B2619" s="13"/>
      <c r="C2619" s="13"/>
      <c r="D2619" s="13"/>
      <c r="E2619" s="13"/>
      <c r="F2619" s="13"/>
      <c r="G2619" s="13"/>
      <c r="H2619" s="13"/>
      <c r="I2619" s="13"/>
      <c r="J2619" s="39" t="s">
        <v>5659</v>
      </c>
      <c r="K2619" s="13"/>
      <c r="L2619" s="13"/>
    </row>
    <row r="2620" spans="1:12">
      <c r="A2620" s="13"/>
      <c r="B2620" s="13"/>
      <c r="C2620" s="13"/>
      <c r="D2620" s="13"/>
      <c r="E2620" s="13"/>
      <c r="F2620" s="13"/>
      <c r="G2620" s="13"/>
      <c r="H2620" s="13"/>
      <c r="I2620" s="13"/>
      <c r="J2620" s="39" t="s">
        <v>2265</v>
      </c>
      <c r="K2620" s="13"/>
      <c r="L2620" s="13"/>
    </row>
    <row r="2621" spans="1:12">
      <c r="A2621" s="13"/>
      <c r="B2621" s="13"/>
      <c r="C2621" s="13"/>
      <c r="D2621" s="13"/>
      <c r="E2621" s="13"/>
      <c r="F2621" s="13"/>
      <c r="G2621" s="13"/>
      <c r="H2621" s="13"/>
      <c r="I2621" s="13"/>
      <c r="J2621" s="39" t="s">
        <v>1278</v>
      </c>
      <c r="K2621" s="13"/>
      <c r="L2621" s="13"/>
    </row>
    <row r="2622" spans="1:12">
      <c r="A2622" s="13"/>
      <c r="B2622" s="13"/>
      <c r="C2622" s="13"/>
      <c r="D2622" s="13"/>
      <c r="E2622" s="13"/>
      <c r="F2622" s="13"/>
      <c r="G2622" s="13"/>
      <c r="H2622" s="13"/>
      <c r="I2622" s="13"/>
      <c r="J2622" s="39" t="s">
        <v>8199</v>
      </c>
      <c r="K2622" s="13"/>
      <c r="L2622" s="13"/>
    </row>
    <row r="2623" spans="1:12">
      <c r="A2623" s="13"/>
      <c r="B2623" s="13"/>
      <c r="C2623" s="13"/>
      <c r="D2623" s="13"/>
      <c r="E2623" s="13"/>
      <c r="F2623" s="13"/>
      <c r="G2623" s="13"/>
      <c r="H2623" s="13"/>
      <c r="I2623" s="13"/>
      <c r="J2623" s="39" t="s">
        <v>5624</v>
      </c>
      <c r="K2623" s="13"/>
      <c r="L2623" s="13"/>
    </row>
    <row r="2624" spans="1:12">
      <c r="A2624" s="13"/>
      <c r="B2624" s="13"/>
      <c r="C2624" s="13"/>
      <c r="D2624" s="13"/>
      <c r="E2624" s="13"/>
      <c r="F2624" s="13"/>
      <c r="G2624" s="13"/>
      <c r="H2624" s="13"/>
      <c r="I2624" s="13"/>
      <c r="J2624" s="39" t="s">
        <v>7947</v>
      </c>
      <c r="K2624" s="13"/>
      <c r="L2624" s="13"/>
    </row>
    <row r="2625" spans="1:12">
      <c r="A2625" s="13"/>
      <c r="B2625" s="13"/>
      <c r="C2625" s="13"/>
      <c r="D2625" s="13"/>
      <c r="E2625" s="13"/>
      <c r="F2625" s="13"/>
      <c r="G2625" s="13"/>
      <c r="H2625" s="13"/>
      <c r="I2625" s="13"/>
      <c r="J2625" s="39" t="s">
        <v>7948</v>
      </c>
      <c r="K2625" s="13"/>
      <c r="L2625" s="13"/>
    </row>
    <row r="2626" spans="1:12">
      <c r="A2626" s="13"/>
      <c r="B2626" s="13"/>
      <c r="C2626" s="13"/>
      <c r="D2626" s="13"/>
      <c r="E2626" s="13"/>
      <c r="F2626" s="13"/>
      <c r="G2626" s="13"/>
      <c r="H2626" s="13"/>
      <c r="I2626" s="13"/>
      <c r="J2626" s="39" t="s">
        <v>2424</v>
      </c>
      <c r="K2626" s="13"/>
      <c r="L2626" s="13"/>
    </row>
    <row r="2627" spans="1:12">
      <c r="A2627" s="13"/>
      <c r="B2627" s="13"/>
      <c r="C2627" s="13"/>
      <c r="D2627" s="13"/>
      <c r="E2627" s="13"/>
      <c r="F2627" s="13"/>
      <c r="G2627" s="13"/>
      <c r="H2627" s="13"/>
      <c r="I2627" s="13"/>
      <c r="J2627" s="39" t="s">
        <v>8193</v>
      </c>
      <c r="K2627" s="13"/>
      <c r="L2627" s="13"/>
    </row>
    <row r="2628" spans="1:12">
      <c r="A2628" s="13"/>
      <c r="B2628" s="13"/>
      <c r="C2628" s="13"/>
      <c r="D2628" s="13"/>
      <c r="E2628" s="13"/>
      <c r="F2628" s="13"/>
      <c r="G2628" s="13"/>
      <c r="H2628" s="13"/>
      <c r="I2628" s="13"/>
      <c r="J2628" s="39" t="s">
        <v>8194</v>
      </c>
      <c r="K2628" s="13"/>
      <c r="L2628" s="13"/>
    </row>
    <row r="2629" spans="1:12">
      <c r="A2629" s="13"/>
      <c r="B2629" s="13"/>
      <c r="C2629" s="13"/>
      <c r="D2629" s="13"/>
      <c r="E2629" s="13"/>
      <c r="F2629" s="13"/>
      <c r="G2629" s="13"/>
      <c r="H2629" s="13"/>
      <c r="I2629" s="13"/>
      <c r="J2629" s="39" t="s">
        <v>3354</v>
      </c>
      <c r="K2629" s="13"/>
      <c r="L2629" s="13"/>
    </row>
    <row r="2630" spans="1:12">
      <c r="A2630" s="13"/>
      <c r="B2630" s="13"/>
      <c r="C2630" s="13"/>
      <c r="D2630" s="13"/>
      <c r="E2630" s="13"/>
      <c r="F2630" s="13"/>
      <c r="G2630" s="13"/>
      <c r="H2630" s="13"/>
      <c r="I2630" s="13"/>
      <c r="J2630" s="39" t="s">
        <v>8195</v>
      </c>
      <c r="K2630" s="13"/>
      <c r="L2630" s="13"/>
    </row>
    <row r="2631" spans="1:12">
      <c r="A2631" s="13"/>
      <c r="B2631" s="13"/>
      <c r="C2631" s="13"/>
      <c r="D2631" s="13"/>
      <c r="E2631" s="13"/>
      <c r="F2631" s="13"/>
      <c r="G2631" s="13"/>
      <c r="H2631" s="13"/>
      <c r="I2631" s="13"/>
      <c r="J2631" s="39" t="s">
        <v>3371</v>
      </c>
      <c r="K2631" s="13"/>
      <c r="L2631" s="13"/>
    </row>
    <row r="2632" spans="1:12">
      <c r="A2632" s="13"/>
      <c r="B2632" s="13"/>
      <c r="C2632" s="13"/>
      <c r="D2632" s="13"/>
      <c r="E2632" s="13"/>
      <c r="F2632" s="13"/>
      <c r="G2632" s="13"/>
      <c r="H2632" s="13"/>
      <c r="I2632" s="13"/>
      <c r="J2632" s="39" t="s">
        <v>2357</v>
      </c>
      <c r="K2632" s="13"/>
      <c r="L2632" s="13"/>
    </row>
    <row r="2633" spans="1:12">
      <c r="A2633" s="13"/>
      <c r="B2633" s="13"/>
      <c r="C2633" s="13"/>
      <c r="D2633" s="13"/>
      <c r="E2633" s="13"/>
      <c r="F2633" s="13"/>
      <c r="G2633" s="13"/>
      <c r="H2633" s="13"/>
      <c r="I2633" s="13"/>
      <c r="J2633" s="39" t="s">
        <v>5634</v>
      </c>
      <c r="K2633" s="13"/>
      <c r="L2633" s="13"/>
    </row>
    <row r="2634" spans="1:12">
      <c r="A2634" s="13"/>
      <c r="B2634" s="13"/>
      <c r="C2634" s="13"/>
      <c r="D2634" s="13"/>
      <c r="E2634" s="13"/>
      <c r="F2634" s="13"/>
      <c r="G2634" s="13"/>
      <c r="H2634" s="13"/>
      <c r="I2634" s="13"/>
      <c r="J2634" s="39" t="s">
        <v>4078</v>
      </c>
      <c r="K2634" s="13"/>
      <c r="L2634" s="13"/>
    </row>
    <row r="2635" spans="1:12">
      <c r="A2635" s="13"/>
      <c r="B2635" s="13"/>
      <c r="C2635" s="13"/>
      <c r="D2635" s="13"/>
      <c r="E2635" s="13"/>
      <c r="F2635" s="13"/>
      <c r="G2635" s="13"/>
      <c r="H2635" s="13"/>
      <c r="I2635" s="13"/>
      <c r="J2635" s="39" t="s">
        <v>5640</v>
      </c>
      <c r="K2635" s="13"/>
      <c r="L2635" s="13"/>
    </row>
    <row r="2636" spans="1:12">
      <c r="A2636" s="13"/>
      <c r="B2636" s="13"/>
      <c r="C2636" s="13"/>
      <c r="D2636" s="13"/>
      <c r="E2636" s="13"/>
      <c r="F2636" s="13"/>
      <c r="G2636" s="13"/>
      <c r="H2636" s="13"/>
      <c r="I2636" s="13"/>
      <c r="J2636" s="39" t="s">
        <v>5645</v>
      </c>
      <c r="K2636" s="13"/>
      <c r="L2636" s="13"/>
    </row>
    <row r="2637" spans="1:12">
      <c r="A2637" s="13"/>
      <c r="B2637" s="13"/>
      <c r="C2637" s="13"/>
      <c r="D2637" s="13"/>
      <c r="E2637" s="13"/>
      <c r="F2637" s="13"/>
      <c r="G2637" s="13"/>
      <c r="H2637" s="13"/>
      <c r="I2637" s="13"/>
      <c r="J2637" s="39" t="s">
        <v>2424</v>
      </c>
      <c r="K2637" s="13"/>
      <c r="L2637" s="13"/>
    </row>
    <row r="2638" spans="1:12">
      <c r="A2638" s="13"/>
      <c r="B2638" s="13"/>
      <c r="C2638" s="13"/>
      <c r="D2638" s="13"/>
      <c r="E2638" s="13"/>
      <c r="F2638" s="13"/>
      <c r="G2638" s="13"/>
      <c r="H2638" s="13"/>
      <c r="I2638" s="13"/>
      <c r="J2638" s="39" t="s">
        <v>8200</v>
      </c>
      <c r="K2638" s="13"/>
      <c r="L2638" s="13"/>
    </row>
    <row r="2639" spans="1:12">
      <c r="A2639" s="13"/>
      <c r="B2639" s="13"/>
      <c r="C2639" s="13"/>
      <c r="D2639" s="13"/>
      <c r="E2639" s="13"/>
      <c r="F2639" s="13"/>
      <c r="G2639" s="13"/>
      <c r="H2639" s="13"/>
      <c r="I2639" s="13"/>
      <c r="J2639" s="39" t="s">
        <v>2357</v>
      </c>
      <c r="K2639" s="13"/>
      <c r="L2639" s="13"/>
    </row>
    <row r="2640" spans="1:12">
      <c r="A2640" s="13"/>
      <c r="B2640" s="13"/>
      <c r="C2640" s="13"/>
      <c r="D2640" s="13"/>
      <c r="E2640" s="13"/>
      <c r="F2640" s="13"/>
      <c r="G2640" s="13"/>
      <c r="H2640" s="13"/>
      <c r="I2640" s="13"/>
      <c r="J2640" s="39" t="s">
        <v>2237</v>
      </c>
      <c r="K2640" s="13"/>
      <c r="L2640" s="13"/>
    </row>
    <row r="2641" spans="1:12">
      <c r="A2641" s="13"/>
      <c r="B2641" s="13"/>
      <c r="C2641" s="13"/>
      <c r="D2641" s="13"/>
      <c r="E2641" s="13"/>
      <c r="F2641" s="13"/>
      <c r="G2641" s="13"/>
      <c r="H2641" s="13"/>
      <c r="I2641" s="13"/>
      <c r="J2641" s="39" t="s">
        <v>8201</v>
      </c>
      <c r="K2641" s="13"/>
      <c r="L2641" s="13"/>
    </row>
    <row r="2642" spans="1:12">
      <c r="A2642" s="13"/>
      <c r="B2642" s="13"/>
      <c r="C2642" s="13"/>
      <c r="D2642" s="13"/>
      <c r="E2642" s="13"/>
      <c r="F2642" s="13"/>
      <c r="G2642" s="13"/>
      <c r="H2642" s="13"/>
      <c r="I2642" s="13"/>
      <c r="J2642" s="39" t="s">
        <v>2265</v>
      </c>
      <c r="K2642" s="13"/>
      <c r="L2642" s="13"/>
    </row>
    <row r="2643" spans="1:12">
      <c r="A2643" s="13"/>
      <c r="B2643" s="13"/>
      <c r="C2643" s="13"/>
      <c r="D2643" s="13"/>
      <c r="E2643" s="13"/>
      <c r="F2643" s="13"/>
      <c r="G2643" s="13"/>
      <c r="H2643" s="13"/>
      <c r="I2643" s="13"/>
      <c r="J2643" s="39" t="s">
        <v>1273</v>
      </c>
      <c r="K2643" s="13"/>
      <c r="L2643" s="13"/>
    </row>
    <row r="2644" spans="1:12">
      <c r="A2644" s="13"/>
      <c r="B2644" s="13"/>
      <c r="C2644" s="13"/>
      <c r="D2644" s="13"/>
      <c r="E2644" s="13"/>
      <c r="F2644" s="13"/>
      <c r="G2644" s="13"/>
      <c r="H2644" s="13"/>
      <c r="I2644" s="13"/>
      <c r="J2644" s="39" t="s">
        <v>1273</v>
      </c>
      <c r="K2644" s="13"/>
      <c r="L2644" s="13"/>
    </row>
    <row r="2645" spans="1:12">
      <c r="A2645" s="13"/>
      <c r="B2645" s="13"/>
      <c r="C2645" s="13"/>
      <c r="D2645" s="13"/>
      <c r="E2645" s="13"/>
      <c r="F2645" s="13"/>
      <c r="G2645" s="13"/>
      <c r="H2645" s="13"/>
      <c r="I2645" s="13"/>
      <c r="J2645" s="39" t="s">
        <v>1259</v>
      </c>
      <c r="K2645" s="13"/>
      <c r="L2645" s="13"/>
    </row>
    <row r="2646" spans="1:12">
      <c r="A2646" s="13"/>
      <c r="B2646" s="13"/>
      <c r="C2646" s="13"/>
      <c r="D2646" s="13"/>
      <c r="E2646" s="13"/>
      <c r="F2646" s="13"/>
      <c r="G2646" s="13"/>
      <c r="H2646" s="13"/>
      <c r="I2646" s="13"/>
      <c r="J2646" s="39" t="s">
        <v>1259</v>
      </c>
      <c r="K2646" s="13"/>
      <c r="L2646" s="13"/>
    </row>
    <row r="2647" spans="1:12">
      <c r="A2647" s="13"/>
      <c r="B2647" s="13"/>
      <c r="C2647" s="13"/>
      <c r="D2647" s="13"/>
      <c r="E2647" s="13"/>
      <c r="F2647" s="13"/>
      <c r="G2647" s="13"/>
      <c r="H2647" s="13"/>
      <c r="I2647" s="13"/>
      <c r="J2647" s="39" t="s">
        <v>1259</v>
      </c>
      <c r="K2647" s="13"/>
      <c r="L2647" s="13"/>
    </row>
    <row r="2648" spans="1:12">
      <c r="A2648" s="13"/>
      <c r="B2648" s="13"/>
      <c r="C2648" s="13"/>
      <c r="D2648" s="13"/>
      <c r="E2648" s="13"/>
      <c r="F2648" s="13"/>
      <c r="G2648" s="13"/>
      <c r="H2648" s="13"/>
      <c r="I2648" s="13"/>
      <c r="J2648" s="39" t="s">
        <v>4697</v>
      </c>
      <c r="K2648" s="13"/>
      <c r="L2648" s="13"/>
    </row>
    <row r="2649" spans="1:12">
      <c r="A2649" s="13"/>
      <c r="B2649" s="13"/>
      <c r="C2649" s="13"/>
      <c r="D2649" s="13"/>
      <c r="E2649" s="13"/>
      <c r="F2649" s="13"/>
      <c r="G2649" s="13"/>
      <c r="H2649" s="13"/>
      <c r="I2649" s="13"/>
      <c r="J2649" s="39" t="s">
        <v>8202</v>
      </c>
      <c r="K2649" s="13"/>
      <c r="L2649" s="13"/>
    </row>
    <row r="2650" spans="1:12">
      <c r="A2650" s="13"/>
      <c r="B2650" s="13"/>
      <c r="C2650" s="13"/>
      <c r="D2650" s="13"/>
      <c r="E2650" s="13"/>
      <c r="F2650" s="13"/>
      <c r="G2650" s="13"/>
      <c r="H2650" s="13"/>
      <c r="I2650" s="13"/>
      <c r="J2650" s="39" t="s">
        <v>4710</v>
      </c>
      <c r="K2650" s="13"/>
      <c r="L2650" s="13"/>
    </row>
    <row r="2651" spans="1:12">
      <c r="A2651" s="13"/>
      <c r="B2651" s="13"/>
      <c r="C2651" s="13"/>
      <c r="D2651" s="13"/>
      <c r="E2651" s="13"/>
      <c r="F2651" s="13"/>
      <c r="G2651" s="13"/>
      <c r="H2651" s="13"/>
      <c r="I2651" s="13"/>
      <c r="J2651" s="39" t="s">
        <v>2237</v>
      </c>
      <c r="K2651" s="13"/>
      <c r="L2651" s="13"/>
    </row>
    <row r="2652" spans="1:12">
      <c r="A2652" s="13"/>
      <c r="B2652" s="13"/>
      <c r="C2652" s="13"/>
      <c r="D2652" s="13"/>
      <c r="E2652" s="13"/>
      <c r="F2652" s="13"/>
      <c r="G2652" s="13"/>
      <c r="H2652" s="13"/>
      <c r="I2652" s="13"/>
      <c r="J2652" s="39" t="s">
        <v>1576</v>
      </c>
      <c r="K2652" s="13"/>
      <c r="L2652" s="13"/>
    </row>
    <row r="2653" spans="1:12">
      <c r="A2653" s="13"/>
      <c r="B2653" s="13"/>
      <c r="C2653" s="13"/>
      <c r="D2653" s="13"/>
      <c r="E2653" s="13"/>
      <c r="F2653" s="13"/>
      <c r="G2653" s="13"/>
      <c r="H2653" s="13"/>
      <c r="I2653" s="13"/>
      <c r="J2653" s="13"/>
      <c r="K2653" s="13"/>
      <c r="L2653" s="1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workbookViewId="0">
      <selection activeCell="D27" sqref="D27"/>
    </sheetView>
  </sheetViews>
  <sheetFormatPr defaultRowHeight="14.45"/>
  <cols>
    <col min="1" max="1" width="13.140625" bestFit="1" customWidth="1"/>
    <col min="2" max="4" width="15" bestFit="1" customWidth="1"/>
    <col min="5" max="8" width="13.140625" bestFit="1" customWidth="1"/>
    <col min="9" max="12" width="15" bestFit="1" customWidth="1"/>
  </cols>
  <sheetData>
    <row r="1" spans="1:12" ht="18.600000000000001">
      <c r="A1" s="112" t="s">
        <v>9</v>
      </c>
      <c r="B1" s="112" t="s">
        <v>19</v>
      </c>
      <c r="C1" s="112" t="s">
        <v>33</v>
      </c>
      <c r="D1" s="112" t="s">
        <v>28</v>
      </c>
      <c r="E1" s="112" t="s">
        <v>37</v>
      </c>
      <c r="F1" s="112" t="s">
        <v>44</v>
      </c>
      <c r="G1" s="112" t="s">
        <v>49</v>
      </c>
      <c r="H1" s="112" t="s">
        <v>56</v>
      </c>
      <c r="I1" s="112" t="s">
        <v>64</v>
      </c>
      <c r="J1" s="123" t="s">
        <v>68</v>
      </c>
      <c r="K1" s="112" t="s">
        <v>72</v>
      </c>
      <c r="L1" s="112" t="s">
        <v>76</v>
      </c>
    </row>
    <row r="2" spans="1:12">
      <c r="A2" s="113">
        <v>1003</v>
      </c>
      <c r="B2" s="111"/>
      <c r="C2" s="111"/>
      <c r="D2" s="113">
        <v>1006</v>
      </c>
      <c r="E2" s="114" t="s">
        <v>8203</v>
      </c>
      <c r="F2" s="113">
        <v>1027</v>
      </c>
      <c r="G2" s="116">
        <v>1031</v>
      </c>
      <c r="H2" s="113">
        <v>1023</v>
      </c>
      <c r="I2" s="121">
        <v>1008</v>
      </c>
      <c r="J2" s="124">
        <v>1231</v>
      </c>
      <c r="K2" s="122">
        <v>1020</v>
      </c>
      <c r="L2" s="113">
        <v>1301</v>
      </c>
    </row>
    <row r="3" spans="1:12">
      <c r="A3" s="113">
        <v>1004</v>
      </c>
      <c r="B3" s="111"/>
      <c r="C3" s="111"/>
      <c r="D3" s="111"/>
      <c r="E3" s="113">
        <v>1012</v>
      </c>
      <c r="F3" s="116">
        <v>1028</v>
      </c>
      <c r="G3" s="113">
        <v>1032</v>
      </c>
      <c r="H3" s="111"/>
      <c r="I3" s="113">
        <v>1009</v>
      </c>
      <c r="J3" s="116">
        <v>1232</v>
      </c>
      <c r="K3" s="113">
        <v>1021</v>
      </c>
      <c r="L3" s="111"/>
    </row>
    <row r="4" spans="1:12">
      <c r="A4" s="113">
        <v>1005</v>
      </c>
      <c r="B4" s="111"/>
      <c r="C4" s="111"/>
      <c r="D4" s="111"/>
      <c r="E4" s="113">
        <v>1013</v>
      </c>
      <c r="F4" s="113">
        <v>1029</v>
      </c>
      <c r="G4" s="113">
        <v>1033</v>
      </c>
      <c r="H4" s="111"/>
      <c r="I4" s="113">
        <v>1010</v>
      </c>
      <c r="J4" s="125">
        <v>1233</v>
      </c>
      <c r="K4" s="113">
        <v>1022</v>
      </c>
      <c r="L4" s="111"/>
    </row>
    <row r="5" spans="1:12">
      <c r="A5" s="111"/>
      <c r="B5" s="111"/>
      <c r="C5" s="111"/>
      <c r="D5" s="111"/>
      <c r="E5" s="111"/>
      <c r="F5" s="111"/>
      <c r="G5" s="113">
        <v>1034</v>
      </c>
      <c r="H5" s="111"/>
      <c r="I5" s="113">
        <v>1011</v>
      </c>
      <c r="J5" s="125">
        <v>1234</v>
      </c>
      <c r="K5" s="113">
        <v>1023</v>
      </c>
      <c r="L5" s="111"/>
    </row>
    <row r="6" spans="1:12">
      <c r="A6" s="111"/>
      <c r="B6" s="111"/>
      <c r="C6" s="111"/>
      <c r="D6" s="111"/>
      <c r="E6" s="111"/>
      <c r="F6" s="111"/>
      <c r="G6" s="116">
        <v>1035</v>
      </c>
      <c r="H6" s="111"/>
      <c r="I6" s="113">
        <v>1014</v>
      </c>
      <c r="J6" s="125">
        <v>1235</v>
      </c>
      <c r="K6" s="111"/>
      <c r="L6" s="111"/>
    </row>
    <row r="7" spans="1:12">
      <c r="A7" s="111"/>
      <c r="B7" s="111"/>
      <c r="C7" s="111"/>
      <c r="D7" s="111"/>
      <c r="E7" s="111"/>
      <c r="F7" s="111"/>
      <c r="G7" s="113">
        <v>1036</v>
      </c>
      <c r="H7" s="111"/>
      <c r="I7" s="113">
        <v>1140</v>
      </c>
      <c r="J7" s="125">
        <v>1236</v>
      </c>
      <c r="K7" s="111"/>
      <c r="L7" s="111"/>
    </row>
    <row r="8" spans="1:12">
      <c r="A8" s="111"/>
      <c r="B8" s="111"/>
      <c r="C8" s="111"/>
      <c r="D8" s="111"/>
      <c r="E8" s="111"/>
      <c r="F8" s="111"/>
      <c r="G8" s="115">
        <v>1001</v>
      </c>
      <c r="H8" s="111"/>
      <c r="I8" s="115">
        <v>1001</v>
      </c>
      <c r="J8" s="125">
        <v>1237</v>
      </c>
      <c r="K8" s="111"/>
      <c r="L8" s="111"/>
    </row>
    <row r="9" spans="1:12">
      <c r="A9" s="111"/>
      <c r="B9" s="111"/>
      <c r="C9" s="111"/>
      <c r="D9" s="111"/>
      <c r="E9" s="111"/>
      <c r="F9" s="111"/>
      <c r="G9" s="111"/>
      <c r="H9" s="111"/>
      <c r="I9" s="111"/>
      <c r="J9" s="125">
        <v>1238</v>
      </c>
      <c r="K9" s="111"/>
      <c r="L9" s="111"/>
    </row>
    <row r="10" spans="1:12">
      <c r="A10" s="111"/>
      <c r="B10" s="111"/>
      <c r="C10" s="111"/>
      <c r="D10" s="111"/>
      <c r="E10" s="111"/>
      <c r="F10" s="111"/>
      <c r="G10" s="111"/>
      <c r="H10" s="111"/>
      <c r="I10" s="111"/>
      <c r="J10" s="125">
        <v>1239</v>
      </c>
      <c r="K10" s="111"/>
      <c r="L10" s="111"/>
    </row>
    <row r="11" spans="1:12">
      <c r="A11" s="111"/>
      <c r="B11" s="111"/>
      <c r="C11" s="111"/>
      <c r="D11" s="111"/>
      <c r="E11" s="111"/>
      <c r="F11" s="111"/>
      <c r="G11" s="111"/>
      <c r="H11" s="111"/>
      <c r="I11" s="111"/>
      <c r="J11" s="113">
        <v>1008</v>
      </c>
      <c r="K11" s="111"/>
      <c r="L11" s="111"/>
    </row>
    <row r="12" spans="1:12">
      <c r="A12" s="111"/>
      <c r="B12" s="111"/>
      <c r="C12" s="111"/>
      <c r="D12" s="111"/>
      <c r="E12" s="111"/>
      <c r="F12" s="111"/>
      <c r="G12" s="111"/>
      <c r="H12" s="111"/>
      <c r="I12" s="111"/>
      <c r="J12" s="113">
        <v>1009</v>
      </c>
      <c r="K12" s="111"/>
      <c r="L12" s="111"/>
    </row>
    <row r="13" spans="1:12">
      <c r="A13" s="111"/>
      <c r="B13" s="111"/>
      <c r="C13" s="111"/>
      <c r="D13" s="111"/>
      <c r="E13" s="111"/>
      <c r="F13" s="111"/>
      <c r="G13" s="111"/>
      <c r="H13" s="111"/>
      <c r="I13" s="111"/>
      <c r="J13" s="113">
        <v>1010</v>
      </c>
      <c r="K13" s="111"/>
      <c r="L13" s="111"/>
    </row>
    <row r="14" spans="1:12">
      <c r="A14" s="111"/>
      <c r="B14" s="111"/>
      <c r="C14" s="111"/>
      <c r="D14" s="111"/>
      <c r="E14" s="111"/>
      <c r="F14" s="111"/>
      <c r="G14" s="111"/>
      <c r="H14" s="111"/>
      <c r="I14" s="111"/>
      <c r="J14" s="113">
        <v>1011</v>
      </c>
      <c r="K14" s="111"/>
      <c r="L14" s="111"/>
    </row>
    <row r="15" spans="1:12">
      <c r="A15" s="111"/>
      <c r="B15" s="111"/>
      <c r="C15" s="111"/>
      <c r="D15" s="111"/>
      <c r="E15" s="111"/>
      <c r="F15" s="111"/>
      <c r="G15" s="111"/>
      <c r="H15" s="111"/>
      <c r="I15" s="111"/>
      <c r="J15" s="113">
        <v>1019</v>
      </c>
      <c r="K15" s="111"/>
      <c r="L15" s="111"/>
    </row>
    <row r="16" spans="1:12">
      <c r="A16" s="111"/>
      <c r="B16" s="111"/>
      <c r="C16" s="111"/>
      <c r="D16" s="111"/>
      <c r="E16" s="111"/>
      <c r="F16" s="111"/>
      <c r="G16" s="111"/>
      <c r="H16" s="111"/>
      <c r="I16" s="111"/>
      <c r="J16" s="115">
        <v>1001</v>
      </c>
      <c r="K16" s="111"/>
      <c r="L16" s="111"/>
    </row>
    <row r="18" spans="1:13">
      <c r="A18" s="145" t="s">
        <v>11</v>
      </c>
      <c r="B18" s="146"/>
      <c r="C18" s="146"/>
      <c r="D18" s="145" t="s">
        <v>20</v>
      </c>
      <c r="E18" s="145" t="s">
        <v>39</v>
      </c>
      <c r="F18" s="145" t="s">
        <v>20</v>
      </c>
      <c r="G18" s="145" t="s">
        <v>8204</v>
      </c>
      <c r="H18" s="145" t="s">
        <v>58</v>
      </c>
      <c r="I18" s="145" t="s">
        <v>8205</v>
      </c>
      <c r="J18" s="145" t="s">
        <v>8206</v>
      </c>
      <c r="K18" s="145" t="s">
        <v>20</v>
      </c>
      <c r="L18" s="145" t="s">
        <v>20</v>
      </c>
      <c r="M18" s="182" t="s">
        <v>8207</v>
      </c>
    </row>
    <row r="19" spans="1:13">
      <c r="A19" s="180">
        <v>2040</v>
      </c>
      <c r="D19" s="180">
        <v>2040</v>
      </c>
      <c r="E19" s="180">
        <v>2040</v>
      </c>
      <c r="F19" s="180">
        <v>2040</v>
      </c>
      <c r="G19" s="180" t="s">
        <v>8208</v>
      </c>
      <c r="H19" s="180">
        <v>2040</v>
      </c>
      <c r="I19" s="181"/>
      <c r="J19" s="181"/>
      <c r="K19" s="181"/>
      <c r="L19" s="181"/>
      <c r="M19" s="182" t="s">
        <v>8209</v>
      </c>
    </row>
    <row r="20" spans="1:13">
      <c r="A20" s="180" t="s">
        <v>12</v>
      </c>
      <c r="B20" s="144"/>
      <c r="C20" s="144"/>
      <c r="D20" s="180" t="s">
        <v>22</v>
      </c>
      <c r="E20" s="180" t="s">
        <v>40</v>
      </c>
      <c r="F20" s="180" t="s">
        <v>22</v>
      </c>
      <c r="G20" s="180" t="s">
        <v>52</v>
      </c>
      <c r="H20" s="180" t="s">
        <v>59</v>
      </c>
      <c r="I20" s="180" t="s">
        <v>8210</v>
      </c>
      <c r="J20" s="180" t="s">
        <v>8211</v>
      </c>
      <c r="K20" s="180" t="s">
        <v>22</v>
      </c>
      <c r="L20" s="180" t="s">
        <v>22</v>
      </c>
      <c r="M20" s="182" t="s">
        <v>8212</v>
      </c>
    </row>
    <row r="21" spans="1:13">
      <c r="A21" s="180"/>
      <c r="B21" s="144"/>
      <c r="C21" s="144"/>
      <c r="D21" s="180">
        <v>1040</v>
      </c>
      <c r="E21" s="180"/>
      <c r="F21" s="180"/>
      <c r="G21" s="180"/>
      <c r="H21" s="180">
        <v>1090</v>
      </c>
      <c r="I21" s="180"/>
      <c r="J21" s="180"/>
      <c r="K21" s="180"/>
      <c r="L21" s="180"/>
      <c r="M21" s="182" t="s">
        <v>8213</v>
      </c>
    </row>
    <row r="22" spans="1:13">
      <c r="A22" s="180" t="s">
        <v>8214</v>
      </c>
      <c r="D22" s="183" t="s">
        <v>8215</v>
      </c>
      <c r="E22" s="180" t="s">
        <v>8216</v>
      </c>
      <c r="F22" s="180" t="s">
        <v>8214</v>
      </c>
      <c r="G22" s="180" t="s">
        <v>8217</v>
      </c>
      <c r="H22" s="183" t="s">
        <v>8218</v>
      </c>
      <c r="I22" s="180"/>
      <c r="J22" s="180"/>
      <c r="K22" s="180"/>
      <c r="L22" s="180"/>
      <c r="M22" s="182"/>
    </row>
    <row r="23" spans="1:13">
      <c r="A23" s="180" t="s">
        <v>8219</v>
      </c>
      <c r="D23" s="182"/>
      <c r="E23" s="180" t="s">
        <v>8220</v>
      </c>
      <c r="F23" s="182"/>
      <c r="G23" s="182"/>
      <c r="H23" s="182"/>
      <c r="I23" s="182"/>
      <c r="J23" s="182"/>
      <c r="K23" s="182"/>
      <c r="L23" s="182"/>
      <c r="M23" s="182"/>
    </row>
    <row r="24" spans="1:13">
      <c r="A24" s="180" t="s">
        <v>8217</v>
      </c>
      <c r="D24" s="182"/>
      <c r="E24" s="182"/>
      <c r="F24" s="182"/>
      <c r="G24" s="182"/>
      <c r="H24" s="182"/>
      <c r="I24" s="182"/>
      <c r="J24" s="182"/>
      <c r="K24" s="182"/>
      <c r="L24" s="182"/>
      <c r="M24" s="18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275"/>
  <sheetViews>
    <sheetView zoomScale="75" zoomScaleNormal="75" workbookViewId="0"/>
  </sheetViews>
  <sheetFormatPr defaultRowHeight="14.45"/>
  <cols>
    <col min="1" max="1" width="1.7109375" customWidth="1"/>
    <col min="2" max="2" width="76.85546875" bestFit="1" customWidth="1"/>
    <col min="3" max="3" width="7.7109375" bestFit="1" customWidth="1"/>
    <col min="4" max="4" width="62.85546875" customWidth="1"/>
    <col min="5" max="5" width="9.140625" customWidth="1"/>
    <col min="6" max="6" width="9.140625" bestFit="1" customWidth="1"/>
    <col min="7" max="7" width="11.7109375" style="144" customWidth="1"/>
    <col min="8" max="8" width="1.7109375" customWidth="1"/>
    <col min="9" max="9" width="2.7109375" customWidth="1"/>
    <col min="10" max="10" width="27.140625" bestFit="1" customWidth="1"/>
    <col min="11" max="11" width="29.28515625" bestFit="1" customWidth="1"/>
    <col min="12" max="12" width="26.5703125" bestFit="1" customWidth="1"/>
    <col min="13" max="13" width="28.85546875" bestFit="1" customWidth="1"/>
    <col min="14" max="14" width="29.140625" bestFit="1" customWidth="1"/>
    <col min="15" max="15" width="27" bestFit="1" customWidth="1"/>
    <col min="16" max="16" width="28" bestFit="1" customWidth="1"/>
    <col min="17" max="18" width="25.140625" bestFit="1" customWidth="1"/>
    <col min="19" max="19" width="25" bestFit="1" customWidth="1"/>
    <col min="20" max="20" width="27.85546875" bestFit="1" customWidth="1"/>
    <col min="21" max="21" width="1.7109375" customWidth="1"/>
  </cols>
  <sheetData>
    <row r="1" spans="2:20" ht="9" customHeight="1"/>
    <row r="2" spans="2:20">
      <c r="B2" s="1" t="s">
        <v>8221</v>
      </c>
      <c r="C2" s="1" t="s">
        <v>8222</v>
      </c>
      <c r="D2" s="1" t="s">
        <v>8223</v>
      </c>
      <c r="E2" s="5" t="s">
        <v>8224</v>
      </c>
      <c r="F2" s="5" t="s">
        <v>8225</v>
      </c>
      <c r="G2" s="147" t="s">
        <v>8226</v>
      </c>
      <c r="J2" s="29" t="s">
        <v>80</v>
      </c>
      <c r="K2" s="29" t="s">
        <v>33</v>
      </c>
      <c r="L2" s="29" t="s">
        <v>28</v>
      </c>
      <c r="M2" s="29" t="s">
        <v>37</v>
      </c>
      <c r="N2" s="29" t="s">
        <v>44</v>
      </c>
      <c r="O2" s="29" t="s">
        <v>49</v>
      </c>
      <c r="P2" s="29" t="s">
        <v>56</v>
      </c>
      <c r="Q2" s="29" t="s">
        <v>64</v>
      </c>
      <c r="R2" s="29" t="s">
        <v>68</v>
      </c>
      <c r="S2" s="29" t="s">
        <v>72</v>
      </c>
      <c r="T2" s="29" t="s">
        <v>76</v>
      </c>
    </row>
    <row r="3" spans="2:20">
      <c r="B3" s="14" t="s">
        <v>91</v>
      </c>
      <c r="C3" s="15"/>
      <c r="D3" s="16"/>
      <c r="E3" s="17">
        <v>1</v>
      </c>
      <c r="F3" s="17">
        <v>0</v>
      </c>
      <c r="G3" s="148"/>
      <c r="J3" s="51" t="s">
        <v>82</v>
      </c>
      <c r="K3" s="51" t="s">
        <v>83</v>
      </c>
      <c r="L3" s="51" t="s">
        <v>29</v>
      </c>
      <c r="M3" s="51" t="s">
        <v>84</v>
      </c>
      <c r="N3" s="51" t="s">
        <v>85</v>
      </c>
      <c r="O3" s="51" t="s">
        <v>86</v>
      </c>
      <c r="P3" s="51" t="s">
        <v>87</v>
      </c>
      <c r="Q3" s="51" t="s">
        <v>65</v>
      </c>
      <c r="R3" s="51" t="s">
        <v>69</v>
      </c>
      <c r="S3" s="51" t="s">
        <v>88</v>
      </c>
      <c r="T3" s="29" t="s">
        <v>77</v>
      </c>
    </row>
    <row r="4" spans="2:20">
      <c r="B4" s="10" t="s">
        <v>8227</v>
      </c>
      <c r="C4" s="9" t="s">
        <v>8228</v>
      </c>
      <c r="D4" s="23" t="s">
        <v>8229</v>
      </c>
      <c r="E4" s="6">
        <f>E3+F3</f>
        <v>1</v>
      </c>
      <c r="F4" s="6">
        <v>4</v>
      </c>
      <c r="G4" s="149" t="s">
        <v>8230</v>
      </c>
      <c r="J4" s="55"/>
      <c r="K4" s="52"/>
      <c r="L4" s="52"/>
      <c r="M4" s="52"/>
      <c r="N4" s="52"/>
      <c r="O4" s="52"/>
      <c r="P4" s="52"/>
      <c r="Q4" s="52"/>
      <c r="R4" s="52"/>
      <c r="S4" s="52"/>
      <c r="T4" s="52"/>
    </row>
    <row r="5" spans="2:20">
      <c r="B5" s="127" t="s">
        <v>8231</v>
      </c>
      <c r="C5" s="128"/>
      <c r="D5" s="131" t="s">
        <v>8232</v>
      </c>
      <c r="E5" s="6"/>
      <c r="F5" s="6"/>
      <c r="G5" s="150"/>
      <c r="J5" s="57"/>
      <c r="K5" s="58"/>
      <c r="L5" s="58"/>
      <c r="M5" s="58"/>
      <c r="N5" s="58"/>
      <c r="O5" s="58"/>
      <c r="P5" s="58"/>
      <c r="Q5" s="58"/>
      <c r="R5" s="58"/>
      <c r="S5" s="58"/>
      <c r="T5" s="58"/>
    </row>
    <row r="6" spans="2:20">
      <c r="B6" s="127" t="s">
        <v>8233</v>
      </c>
      <c r="C6" s="128"/>
      <c r="D6" s="131" t="s">
        <v>8234</v>
      </c>
      <c r="E6" s="6"/>
      <c r="F6" s="6"/>
      <c r="G6" s="150"/>
      <c r="J6" s="56"/>
      <c r="K6" s="53"/>
      <c r="L6" s="53"/>
      <c r="M6" s="53"/>
      <c r="N6" s="53"/>
      <c r="O6" s="53"/>
      <c r="P6" s="53"/>
      <c r="Q6" s="53"/>
      <c r="R6" s="53"/>
      <c r="S6" s="53"/>
      <c r="T6" s="53"/>
    </row>
    <row r="7" spans="2:20">
      <c r="B7" s="127" t="s">
        <v>8235</v>
      </c>
      <c r="C7" s="128"/>
      <c r="D7" s="131" t="s">
        <v>8236</v>
      </c>
      <c r="E7" s="6"/>
      <c r="F7" s="6"/>
      <c r="G7" s="150"/>
      <c r="J7" s="56"/>
      <c r="K7" s="53"/>
      <c r="L7" s="53"/>
      <c r="M7" s="53"/>
      <c r="N7" s="53"/>
      <c r="O7" s="53"/>
      <c r="P7" s="53"/>
      <c r="Q7" s="53"/>
      <c r="R7" s="53"/>
      <c r="S7" s="53"/>
      <c r="T7" s="53"/>
    </row>
    <row r="8" spans="2:20">
      <c r="B8" s="127" t="s">
        <v>8237</v>
      </c>
      <c r="C8" s="128"/>
      <c r="D8" s="131" t="s">
        <v>8238</v>
      </c>
      <c r="E8" s="6"/>
      <c r="F8" s="6"/>
      <c r="G8" s="150"/>
      <c r="J8" s="56"/>
      <c r="K8" s="53"/>
      <c r="L8" s="53"/>
      <c r="M8" s="53"/>
      <c r="N8" s="53"/>
      <c r="O8" s="53"/>
      <c r="P8" s="53"/>
      <c r="Q8" s="53"/>
      <c r="R8" s="53"/>
      <c r="S8" s="53"/>
      <c r="T8" s="53"/>
    </row>
    <row r="9" spans="2:20">
      <c r="B9" s="127" t="s">
        <v>8239</v>
      </c>
      <c r="C9" s="128"/>
      <c r="D9" s="131" t="s">
        <v>8240</v>
      </c>
      <c r="E9" s="6"/>
      <c r="F9" s="6"/>
      <c r="G9" s="150"/>
      <c r="J9" s="56"/>
      <c r="K9" s="53"/>
      <c r="L9" s="53"/>
      <c r="M9" s="53"/>
      <c r="N9" s="53"/>
      <c r="O9" s="53"/>
      <c r="P9" s="53"/>
      <c r="Q9" s="53"/>
      <c r="R9" s="53"/>
      <c r="S9" s="53"/>
      <c r="T9" s="53"/>
    </row>
    <row r="10" spans="2:20">
      <c r="B10" s="10" t="s">
        <v>8241</v>
      </c>
      <c r="C10" s="9"/>
      <c r="D10" s="8" t="s">
        <v>8242</v>
      </c>
      <c r="E10" s="6">
        <f>E4+F4</f>
        <v>5</v>
      </c>
      <c r="F10" s="8">
        <v>1</v>
      </c>
      <c r="G10" s="149" t="s">
        <v>8230</v>
      </c>
      <c r="J10" s="55"/>
      <c r="K10" s="52"/>
      <c r="L10" s="52"/>
      <c r="M10" s="52"/>
      <c r="N10" s="52"/>
      <c r="O10" s="52"/>
      <c r="P10" s="52"/>
      <c r="Q10" s="52"/>
      <c r="R10" s="52"/>
      <c r="S10" s="52"/>
      <c r="T10" s="52"/>
    </row>
    <row r="11" spans="2:20">
      <c r="B11" s="10" t="s">
        <v>8243</v>
      </c>
      <c r="C11" s="9"/>
      <c r="D11" s="8" t="s">
        <v>8244</v>
      </c>
      <c r="E11" s="6"/>
      <c r="F11" s="8"/>
      <c r="G11" s="150"/>
      <c r="J11" s="56"/>
      <c r="K11" s="53"/>
      <c r="L11" s="53"/>
      <c r="M11" s="53"/>
      <c r="N11" s="53"/>
      <c r="O11" s="53"/>
      <c r="P11" s="53"/>
      <c r="Q11" s="53"/>
      <c r="R11" s="53"/>
      <c r="S11" s="53"/>
      <c r="T11" s="53"/>
    </row>
    <row r="12" spans="2:20">
      <c r="B12" s="10" t="s">
        <v>8245</v>
      </c>
      <c r="C12" s="9"/>
      <c r="D12" s="8" t="s">
        <v>8246</v>
      </c>
      <c r="E12" s="6"/>
      <c r="F12" s="8"/>
      <c r="G12" s="150"/>
      <c r="J12" s="56"/>
      <c r="K12" s="53"/>
      <c r="L12" s="53"/>
      <c r="M12" s="53"/>
      <c r="N12" s="53"/>
      <c r="O12" s="53"/>
      <c r="P12" s="53"/>
      <c r="Q12" s="53"/>
      <c r="R12" s="53"/>
      <c r="S12" s="53"/>
      <c r="T12" s="53"/>
    </row>
    <row r="13" spans="2:20">
      <c r="B13" s="10" t="s">
        <v>8247</v>
      </c>
      <c r="C13" s="9"/>
      <c r="D13" s="8" t="s">
        <v>8248</v>
      </c>
      <c r="E13" s="6"/>
      <c r="F13" s="8"/>
      <c r="G13" s="150"/>
      <c r="J13" s="57"/>
      <c r="K13" s="58"/>
      <c r="L13" s="58"/>
      <c r="M13" s="58"/>
      <c r="N13" s="58"/>
      <c r="O13" s="58"/>
      <c r="P13" s="58"/>
      <c r="Q13" s="58"/>
      <c r="R13" s="58"/>
      <c r="S13" s="58"/>
      <c r="T13" s="58"/>
    </row>
    <row r="14" spans="2:20">
      <c r="B14" s="10" t="s">
        <v>8249</v>
      </c>
      <c r="C14" s="9"/>
      <c r="D14" s="23" t="s">
        <v>8250</v>
      </c>
      <c r="E14" s="6">
        <f>E10+F10</f>
        <v>6</v>
      </c>
      <c r="F14" s="6">
        <v>1</v>
      </c>
      <c r="G14" s="149" t="s">
        <v>8230</v>
      </c>
      <c r="J14" s="55" t="s">
        <v>8251</v>
      </c>
      <c r="K14" s="52" t="s">
        <v>8252</v>
      </c>
      <c r="L14" s="52" t="s">
        <v>8253</v>
      </c>
      <c r="M14" s="52" t="s">
        <v>8254</v>
      </c>
      <c r="N14" s="52" t="s">
        <v>8255</v>
      </c>
      <c r="O14" s="52" t="s">
        <v>8256</v>
      </c>
      <c r="P14" s="52" t="s">
        <v>8257</v>
      </c>
      <c r="Q14" s="52"/>
      <c r="R14" s="52"/>
      <c r="S14" s="52"/>
      <c r="T14" s="52"/>
    </row>
    <row r="15" spans="2:20">
      <c r="B15" s="10" t="s">
        <v>8258</v>
      </c>
      <c r="C15" s="9"/>
      <c r="D15" s="23" t="s">
        <v>8259</v>
      </c>
      <c r="E15" s="6"/>
      <c r="F15" s="6"/>
      <c r="G15" s="150"/>
      <c r="J15" s="56"/>
      <c r="K15" s="53"/>
      <c r="L15" s="53"/>
      <c r="M15" s="53"/>
      <c r="N15" s="53"/>
      <c r="O15" s="53"/>
      <c r="P15" s="53"/>
      <c r="Q15" s="53"/>
      <c r="R15" s="53"/>
      <c r="S15" s="53"/>
      <c r="T15" s="53"/>
    </row>
    <row r="16" spans="2:20">
      <c r="B16" s="10" t="s">
        <v>8260</v>
      </c>
      <c r="C16" s="9"/>
      <c r="D16" s="23" t="s">
        <v>8261</v>
      </c>
      <c r="E16" s="6"/>
      <c r="F16" s="6"/>
      <c r="G16" s="150"/>
      <c r="J16" s="57"/>
      <c r="K16" s="58"/>
      <c r="L16" s="58"/>
      <c r="M16" s="58"/>
      <c r="N16" s="58"/>
      <c r="O16" s="58"/>
      <c r="P16" s="58"/>
      <c r="Q16" s="58"/>
      <c r="R16" s="58"/>
      <c r="S16" s="58"/>
      <c r="T16" s="58"/>
    </row>
    <row r="17" spans="2:20">
      <c r="B17" s="10" t="s">
        <v>8262</v>
      </c>
      <c r="C17" s="9"/>
      <c r="D17" s="8" t="s">
        <v>8263</v>
      </c>
      <c r="E17" s="6">
        <f>E14+F14</f>
        <v>7</v>
      </c>
      <c r="F17" s="8">
        <v>8</v>
      </c>
      <c r="G17" s="151" t="s">
        <v>8264</v>
      </c>
      <c r="J17" s="63"/>
      <c r="K17" s="64"/>
      <c r="L17" s="64"/>
      <c r="M17" s="64"/>
      <c r="N17" s="64"/>
      <c r="O17" s="64"/>
      <c r="P17" s="64"/>
      <c r="Q17" s="64" t="s">
        <v>8265</v>
      </c>
      <c r="R17" s="64" t="s">
        <v>8265</v>
      </c>
      <c r="S17" s="64"/>
      <c r="T17" s="64"/>
    </row>
    <row r="18" spans="2:20">
      <c r="B18" s="10" t="s">
        <v>8266</v>
      </c>
      <c r="C18" s="22"/>
      <c r="D18" s="23" t="s">
        <v>8267</v>
      </c>
      <c r="E18" s="6">
        <f>E17+F17</f>
        <v>15</v>
      </c>
      <c r="F18" s="6">
        <v>3</v>
      </c>
      <c r="G18" s="149" t="s">
        <v>8230</v>
      </c>
      <c r="J18" s="55" t="s">
        <v>8268</v>
      </c>
      <c r="K18" s="52" t="s">
        <v>8269</v>
      </c>
      <c r="L18" s="52" t="s">
        <v>8270</v>
      </c>
      <c r="M18" s="52" t="s">
        <v>8271</v>
      </c>
      <c r="N18" s="52"/>
      <c r="O18" s="52"/>
      <c r="P18" s="52"/>
      <c r="Q18" s="52" t="s">
        <v>8270</v>
      </c>
      <c r="R18" s="52" t="s">
        <v>8270</v>
      </c>
      <c r="S18" s="52" t="s">
        <v>8272</v>
      </c>
      <c r="T18" s="52"/>
    </row>
    <row r="19" spans="2:20">
      <c r="B19" s="10" t="s">
        <v>8273</v>
      </c>
      <c r="C19" s="22"/>
      <c r="D19" s="23" t="s">
        <v>8274</v>
      </c>
      <c r="E19" s="6"/>
      <c r="F19" s="6"/>
      <c r="G19" s="150"/>
      <c r="J19" s="56"/>
      <c r="K19" s="53"/>
      <c r="L19" s="53"/>
      <c r="M19" s="53"/>
      <c r="N19" s="53"/>
      <c r="O19" s="53"/>
      <c r="P19" s="53"/>
      <c r="Q19" s="53"/>
      <c r="R19" s="53"/>
      <c r="S19" s="53"/>
      <c r="T19" s="53"/>
    </row>
    <row r="20" spans="2:20">
      <c r="B20" s="10" t="s">
        <v>8275</v>
      </c>
      <c r="C20" s="22"/>
      <c r="D20" s="23" t="s">
        <v>8276</v>
      </c>
      <c r="E20" s="6"/>
      <c r="F20" s="6"/>
      <c r="G20" s="150"/>
      <c r="J20" s="56"/>
      <c r="K20" s="53"/>
      <c r="L20" s="53"/>
      <c r="M20" s="53"/>
      <c r="N20" s="53"/>
      <c r="O20" s="53"/>
      <c r="P20" s="53"/>
      <c r="Q20" s="53"/>
      <c r="R20" s="53"/>
      <c r="S20" s="53"/>
      <c r="T20" s="53"/>
    </row>
    <row r="21" spans="2:20">
      <c r="B21" s="127" t="s">
        <v>8277</v>
      </c>
      <c r="C21" s="130"/>
      <c r="D21" s="131" t="s">
        <v>8278</v>
      </c>
      <c r="E21" s="6"/>
      <c r="F21" s="6"/>
      <c r="G21" s="150"/>
      <c r="J21" s="56"/>
      <c r="K21" s="53"/>
      <c r="L21" s="53"/>
      <c r="M21" s="53"/>
      <c r="N21" s="53"/>
      <c r="O21" s="53"/>
      <c r="P21" s="53"/>
      <c r="Q21" s="53"/>
      <c r="R21" s="53"/>
      <c r="S21" s="53"/>
      <c r="T21" s="53"/>
    </row>
    <row r="22" spans="2:20">
      <c r="B22" s="10" t="s">
        <v>8279</v>
      </c>
      <c r="C22" s="9"/>
      <c r="D22" s="23" t="s">
        <v>8280</v>
      </c>
      <c r="E22" s="8"/>
      <c r="F22" s="8"/>
      <c r="G22" s="150"/>
      <c r="J22" s="57"/>
      <c r="K22" s="58"/>
      <c r="L22" s="58"/>
      <c r="M22" s="58"/>
      <c r="N22" s="58"/>
      <c r="O22" s="58"/>
      <c r="P22" s="58"/>
      <c r="Q22" s="58"/>
      <c r="R22" s="58"/>
      <c r="S22" s="58"/>
      <c r="T22" s="58"/>
    </row>
    <row r="23" spans="2:20">
      <c r="B23" s="10" t="s">
        <v>8281</v>
      </c>
      <c r="C23" s="9"/>
      <c r="D23" s="23" t="s">
        <v>8282</v>
      </c>
      <c r="E23" s="6">
        <f>E18+F18</f>
        <v>18</v>
      </c>
      <c r="F23" s="8">
        <v>3</v>
      </c>
      <c r="G23" s="149" t="s">
        <v>8230</v>
      </c>
      <c r="J23" s="56" t="s">
        <v>8283</v>
      </c>
      <c r="K23" s="53" t="s">
        <v>8284</v>
      </c>
      <c r="L23" s="53" t="s">
        <v>8285</v>
      </c>
      <c r="M23" s="53" t="s">
        <v>8286</v>
      </c>
      <c r="N23" s="53" t="s">
        <v>8287</v>
      </c>
      <c r="O23" s="53" t="s">
        <v>8288</v>
      </c>
      <c r="P23" s="53" t="s">
        <v>8289</v>
      </c>
      <c r="Q23" s="53" t="s">
        <v>8285</v>
      </c>
      <c r="R23" s="53" t="s">
        <v>8285</v>
      </c>
      <c r="S23" s="53" t="s">
        <v>8290</v>
      </c>
      <c r="T23" s="53" t="s">
        <v>8291</v>
      </c>
    </row>
    <row r="24" spans="2:20">
      <c r="B24" s="10" t="s">
        <v>8292</v>
      </c>
      <c r="C24" s="9"/>
      <c r="D24" s="23" t="s">
        <v>8293</v>
      </c>
      <c r="E24" s="8"/>
      <c r="F24" s="8"/>
      <c r="G24" s="150"/>
      <c r="J24" s="56"/>
      <c r="K24" s="53"/>
      <c r="L24" s="53"/>
      <c r="M24" s="53"/>
      <c r="N24" s="53"/>
      <c r="O24" s="53"/>
      <c r="P24" s="53"/>
      <c r="Q24" s="53"/>
      <c r="R24" s="53"/>
      <c r="S24" s="53"/>
      <c r="T24" s="53"/>
    </row>
    <row r="25" spans="2:20">
      <c r="B25" s="10" t="s">
        <v>8294</v>
      </c>
      <c r="C25" s="9"/>
      <c r="D25" s="23" t="s">
        <v>8295</v>
      </c>
      <c r="E25" s="8"/>
      <c r="F25" s="8"/>
      <c r="G25" s="150"/>
      <c r="J25" s="56"/>
      <c r="K25" s="53"/>
      <c r="L25" s="53"/>
      <c r="M25" s="53"/>
      <c r="N25" s="53"/>
      <c r="O25" s="53"/>
      <c r="P25" s="53"/>
      <c r="Q25" s="53"/>
      <c r="R25" s="53"/>
      <c r="S25" s="53"/>
      <c r="T25" s="53"/>
    </row>
    <row r="26" spans="2:20">
      <c r="B26" s="127" t="s">
        <v>8296</v>
      </c>
      <c r="C26" s="128"/>
      <c r="D26" s="131" t="s">
        <v>8297</v>
      </c>
      <c r="E26" s="8"/>
      <c r="F26" s="8"/>
      <c r="G26" s="150"/>
      <c r="J26" s="56"/>
      <c r="K26" s="53"/>
      <c r="L26" s="53"/>
      <c r="M26" s="53"/>
      <c r="N26" s="53"/>
      <c r="O26" s="53"/>
      <c r="P26" s="53"/>
      <c r="Q26" s="53"/>
      <c r="R26" s="53"/>
      <c r="S26" s="53"/>
      <c r="T26" s="53"/>
    </row>
    <row r="27" spans="2:20">
      <c r="B27" s="127" t="s">
        <v>8298</v>
      </c>
      <c r="C27" s="128"/>
      <c r="D27" s="131" t="s">
        <v>8299</v>
      </c>
      <c r="E27" s="8"/>
      <c r="F27" s="8"/>
      <c r="G27" s="150"/>
      <c r="J27" s="56"/>
      <c r="K27" s="53"/>
      <c r="L27" s="53"/>
      <c r="M27" s="53"/>
      <c r="N27" s="53"/>
      <c r="O27" s="53"/>
      <c r="P27" s="53"/>
      <c r="Q27" s="53"/>
      <c r="R27" s="53"/>
      <c r="S27" s="53"/>
      <c r="T27" s="53"/>
    </row>
    <row r="28" spans="2:20">
      <c r="B28" s="10" t="s">
        <v>8300</v>
      </c>
      <c r="C28" s="9"/>
      <c r="D28" s="23" t="s">
        <v>8301</v>
      </c>
      <c r="E28" s="8"/>
      <c r="F28" s="8"/>
      <c r="G28" s="150"/>
      <c r="J28" s="56"/>
      <c r="K28" s="53"/>
      <c r="L28" s="53"/>
      <c r="M28" s="53"/>
      <c r="N28" s="53"/>
      <c r="O28" s="53"/>
      <c r="P28" s="53"/>
      <c r="Q28" s="53"/>
      <c r="R28" s="53"/>
      <c r="S28" s="53"/>
      <c r="T28" s="53"/>
    </row>
    <row r="29" spans="2:20">
      <c r="B29" s="10" t="s">
        <v>8302</v>
      </c>
      <c r="C29" s="9"/>
      <c r="D29" s="23" t="s">
        <v>8303</v>
      </c>
      <c r="E29" s="8"/>
      <c r="F29" s="8"/>
      <c r="G29" s="150"/>
      <c r="J29" s="57"/>
      <c r="K29" s="58"/>
      <c r="L29" s="58"/>
      <c r="M29" s="58"/>
      <c r="N29" s="58"/>
      <c r="O29" s="58"/>
      <c r="P29" s="58"/>
      <c r="Q29" s="58"/>
      <c r="R29" s="58"/>
      <c r="S29" s="58"/>
      <c r="T29" s="58"/>
    </row>
    <row r="30" spans="2:20">
      <c r="B30" s="10" t="s">
        <v>8304</v>
      </c>
      <c r="C30" s="9"/>
      <c r="D30" s="23"/>
      <c r="E30" s="8">
        <f>E23+F23</f>
        <v>21</v>
      </c>
      <c r="F30" s="8">
        <v>1</v>
      </c>
      <c r="G30" s="152" t="s">
        <v>8305</v>
      </c>
      <c r="J30" s="55"/>
      <c r="K30" s="52"/>
      <c r="L30" s="52" t="s">
        <v>8285</v>
      </c>
      <c r="M30" s="52"/>
      <c r="N30" s="52"/>
      <c r="O30" s="52"/>
      <c r="P30" s="52"/>
      <c r="Q30" s="52" t="s">
        <v>8285</v>
      </c>
      <c r="R30" s="52" t="s">
        <v>8285</v>
      </c>
      <c r="S30" s="52"/>
      <c r="T30" s="52"/>
    </row>
    <row r="31" spans="2:20" ht="28.9">
      <c r="B31" s="65" t="s">
        <v>8306</v>
      </c>
      <c r="C31" s="66"/>
      <c r="D31" s="28" t="s">
        <v>8307</v>
      </c>
      <c r="E31" s="67"/>
      <c r="F31" s="67"/>
      <c r="G31" s="150"/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</row>
    <row r="32" spans="2:20">
      <c r="B32" s="10" t="s">
        <v>8308</v>
      </c>
      <c r="C32" s="9"/>
      <c r="D32" s="8" t="s">
        <v>8309</v>
      </c>
      <c r="E32" s="6">
        <f>E30+F30</f>
        <v>22</v>
      </c>
      <c r="F32" s="8">
        <v>10</v>
      </c>
      <c r="G32" s="150"/>
      <c r="J32" s="63" t="s">
        <v>8310</v>
      </c>
      <c r="K32" s="64" t="s">
        <v>8311</v>
      </c>
      <c r="L32" s="64" t="s">
        <v>8312</v>
      </c>
      <c r="M32" s="64"/>
      <c r="N32" s="64"/>
      <c r="O32" s="64" t="s">
        <v>8313</v>
      </c>
      <c r="P32" s="64"/>
      <c r="Q32" s="64" t="s">
        <v>8312</v>
      </c>
      <c r="R32" s="64" t="s">
        <v>8312</v>
      </c>
      <c r="S32" s="64" t="s">
        <v>8314</v>
      </c>
      <c r="T32" s="64"/>
    </row>
    <row r="33" spans="2:20">
      <c r="B33" s="10" t="s">
        <v>8315</v>
      </c>
      <c r="C33" s="9"/>
      <c r="D33" s="8" t="s">
        <v>8316</v>
      </c>
      <c r="E33" s="6">
        <f>E32+F32</f>
        <v>32</v>
      </c>
      <c r="F33" s="8">
        <v>10</v>
      </c>
      <c r="G33" s="151" t="s">
        <v>8264</v>
      </c>
      <c r="J33" s="57" t="s">
        <v>8317</v>
      </c>
      <c r="K33" s="58" t="s">
        <v>8318</v>
      </c>
      <c r="L33" s="58" t="s">
        <v>8319</v>
      </c>
      <c r="M33" s="58" t="s">
        <v>8320</v>
      </c>
      <c r="N33" s="58"/>
      <c r="O33" s="58" t="s">
        <v>8321</v>
      </c>
      <c r="P33" s="58" t="s">
        <v>8322</v>
      </c>
      <c r="Q33" s="58" t="s">
        <v>8319</v>
      </c>
      <c r="R33" s="58" t="s">
        <v>8319</v>
      </c>
      <c r="S33" s="58" t="s">
        <v>8323</v>
      </c>
      <c r="T33" s="58" t="s">
        <v>8324</v>
      </c>
    </row>
    <row r="34" spans="2:20">
      <c r="B34" s="10" t="s">
        <v>8325</v>
      </c>
      <c r="C34" s="9"/>
      <c r="D34" s="8" t="s">
        <v>8326</v>
      </c>
      <c r="E34" s="6">
        <f>E33+F33</f>
        <v>42</v>
      </c>
      <c r="F34" s="8">
        <v>16</v>
      </c>
      <c r="G34" s="149" t="s">
        <v>8230</v>
      </c>
      <c r="J34" s="63" t="s">
        <v>8327</v>
      </c>
      <c r="K34" s="64" t="s">
        <v>8328</v>
      </c>
      <c r="L34" s="64" t="s">
        <v>8329</v>
      </c>
      <c r="M34" s="64" t="s">
        <v>8330</v>
      </c>
      <c r="N34" s="64" t="s">
        <v>8331</v>
      </c>
      <c r="O34" s="64" t="s">
        <v>8332</v>
      </c>
      <c r="P34" s="64" t="s">
        <v>8333</v>
      </c>
      <c r="Q34" s="64" t="s">
        <v>8329</v>
      </c>
      <c r="R34" s="64" t="s">
        <v>8329</v>
      </c>
      <c r="S34" s="64" t="s">
        <v>8334</v>
      </c>
      <c r="T34" s="64" t="s">
        <v>8335</v>
      </c>
    </row>
    <row r="35" spans="2:20">
      <c r="B35" s="10" t="s">
        <v>8336</v>
      </c>
      <c r="C35" s="9"/>
      <c r="D35" s="23" t="s">
        <v>8337</v>
      </c>
      <c r="E35" s="6">
        <f>E34+F34</f>
        <v>58</v>
      </c>
      <c r="F35" s="8">
        <v>3</v>
      </c>
      <c r="G35" s="149" t="s">
        <v>8230</v>
      </c>
      <c r="J35" s="55" t="s">
        <v>8338</v>
      </c>
      <c r="K35" s="52"/>
      <c r="L35" s="52" t="s">
        <v>8339</v>
      </c>
      <c r="M35" s="52"/>
      <c r="N35" s="52"/>
      <c r="O35" s="52"/>
      <c r="P35" s="52"/>
      <c r="Q35" s="52" t="s">
        <v>8339</v>
      </c>
      <c r="R35" s="52" t="s">
        <v>8339</v>
      </c>
      <c r="S35" s="52"/>
      <c r="T35" s="52"/>
    </row>
    <row r="36" spans="2:20">
      <c r="B36" s="10" t="s">
        <v>8340</v>
      </c>
      <c r="C36" s="9"/>
      <c r="D36" s="8" t="s">
        <v>8341</v>
      </c>
      <c r="E36" s="8"/>
      <c r="F36" s="8"/>
      <c r="G36" s="150"/>
      <c r="J36" s="56"/>
      <c r="K36" s="53"/>
      <c r="L36" s="53"/>
      <c r="M36" s="53"/>
      <c r="N36" s="53"/>
      <c r="O36" s="53"/>
      <c r="P36" s="53"/>
      <c r="Q36" s="53"/>
      <c r="R36" s="53"/>
      <c r="S36" s="53"/>
      <c r="T36" s="53"/>
    </row>
    <row r="37" spans="2:20">
      <c r="B37" s="10" t="s">
        <v>8342</v>
      </c>
      <c r="C37" s="9"/>
      <c r="D37" s="8" t="s">
        <v>8343</v>
      </c>
      <c r="E37" s="8"/>
      <c r="F37" s="8"/>
      <c r="G37" s="150"/>
      <c r="J37" s="56"/>
      <c r="K37" s="53"/>
      <c r="L37" s="53"/>
      <c r="M37" s="53"/>
      <c r="N37" s="53"/>
      <c r="O37" s="53"/>
      <c r="P37" s="53"/>
      <c r="Q37" s="53"/>
      <c r="R37" s="53"/>
      <c r="S37" s="53"/>
      <c r="T37" s="53"/>
    </row>
    <row r="38" spans="2:20">
      <c r="B38" s="10" t="s">
        <v>8344</v>
      </c>
      <c r="C38" s="9"/>
      <c r="D38" s="8" t="s">
        <v>8345</v>
      </c>
      <c r="E38" s="8"/>
      <c r="F38" s="8"/>
      <c r="G38" s="150"/>
      <c r="J38" s="56"/>
      <c r="K38" s="53"/>
      <c r="L38" s="53"/>
      <c r="M38" s="53"/>
      <c r="N38" s="53"/>
      <c r="O38" s="53"/>
      <c r="P38" s="53"/>
      <c r="Q38" s="53"/>
      <c r="R38" s="53"/>
      <c r="S38" s="53"/>
      <c r="T38" s="53"/>
    </row>
    <row r="39" spans="2:20">
      <c r="B39" s="10" t="s">
        <v>8346</v>
      </c>
      <c r="C39" s="9"/>
      <c r="D39" s="8" t="s">
        <v>8347</v>
      </c>
      <c r="E39" s="8"/>
      <c r="F39" s="8"/>
      <c r="G39" s="150"/>
      <c r="J39" s="56"/>
      <c r="K39" s="53"/>
      <c r="L39" s="53"/>
      <c r="M39" s="53"/>
      <c r="N39" s="53"/>
      <c r="O39" s="53"/>
      <c r="P39" s="53"/>
      <c r="Q39" s="53"/>
      <c r="R39" s="53"/>
      <c r="S39" s="53"/>
      <c r="T39" s="53"/>
    </row>
    <row r="40" spans="2:20">
      <c r="B40" s="10" t="s">
        <v>8348</v>
      </c>
      <c r="C40" s="9"/>
      <c r="D40" s="8" t="s">
        <v>8349</v>
      </c>
      <c r="E40" s="8"/>
      <c r="F40" s="8"/>
      <c r="G40" s="150"/>
      <c r="J40" s="56"/>
      <c r="K40" s="53"/>
      <c r="L40" s="53"/>
      <c r="M40" s="53"/>
      <c r="N40" s="53"/>
      <c r="O40" s="53"/>
      <c r="P40" s="53"/>
      <c r="Q40" s="53"/>
      <c r="R40" s="53"/>
      <c r="S40" s="53"/>
      <c r="T40" s="53"/>
    </row>
    <row r="41" spans="2:20">
      <c r="B41" s="10" t="s">
        <v>8350</v>
      </c>
      <c r="C41" s="9"/>
      <c r="D41" s="8" t="s">
        <v>8351</v>
      </c>
      <c r="E41" s="8"/>
      <c r="F41" s="8"/>
      <c r="G41" s="150"/>
      <c r="J41" s="57"/>
      <c r="K41" s="58"/>
      <c r="L41" s="58"/>
      <c r="M41" s="58"/>
      <c r="N41" s="58"/>
      <c r="O41" s="58"/>
      <c r="P41" s="58"/>
      <c r="Q41" s="58"/>
      <c r="R41" s="58"/>
      <c r="S41" s="58"/>
      <c r="T41" s="58"/>
    </row>
    <row r="42" spans="2:20">
      <c r="B42" s="10" t="s">
        <v>8352</v>
      </c>
      <c r="C42" s="9" t="s">
        <v>8228</v>
      </c>
      <c r="D42" s="8" t="s">
        <v>8353</v>
      </c>
      <c r="E42" s="6">
        <f>E35+F35</f>
        <v>61</v>
      </c>
      <c r="F42" s="8">
        <v>1</v>
      </c>
      <c r="G42" s="152" t="s">
        <v>8305</v>
      </c>
      <c r="J42" s="63"/>
      <c r="K42" s="64"/>
      <c r="L42" s="64"/>
      <c r="M42" s="64"/>
      <c r="N42" s="64"/>
      <c r="O42" s="64"/>
      <c r="P42" s="64"/>
      <c r="Q42" s="64"/>
      <c r="R42" s="64"/>
      <c r="S42" s="64"/>
      <c r="T42" s="64"/>
    </row>
    <row r="43" spans="2:20">
      <c r="B43" s="14" t="s">
        <v>8354</v>
      </c>
      <c r="C43" s="15"/>
      <c r="D43" s="16"/>
      <c r="E43" s="17">
        <f>E42+F42</f>
        <v>62</v>
      </c>
      <c r="F43" s="17">
        <v>2138</v>
      </c>
      <c r="G43" s="148"/>
      <c r="J43" s="59"/>
      <c r="K43" s="60"/>
      <c r="L43" s="60"/>
      <c r="M43" s="60"/>
      <c r="N43" s="60"/>
      <c r="O43" s="60"/>
      <c r="P43" s="60"/>
      <c r="Q43" s="60"/>
      <c r="R43" s="60"/>
      <c r="S43" s="60"/>
      <c r="T43" s="60"/>
    </row>
    <row r="44" spans="2:20">
      <c r="B44" s="14" t="s">
        <v>8355</v>
      </c>
      <c r="C44" s="15"/>
      <c r="D44" s="16"/>
      <c r="E44" s="17">
        <f>E42+F42</f>
        <v>62</v>
      </c>
      <c r="F44" s="17">
        <v>0</v>
      </c>
      <c r="G44" s="148"/>
      <c r="J44" s="61"/>
      <c r="K44" s="62"/>
      <c r="L44" s="62"/>
      <c r="M44" s="62"/>
      <c r="N44" s="62"/>
      <c r="O44" s="62"/>
      <c r="P44" s="62"/>
      <c r="Q44" s="62"/>
      <c r="R44" s="62"/>
      <c r="S44" s="62"/>
      <c r="T44" s="62"/>
    </row>
    <row r="45" spans="2:20">
      <c r="B45" s="18" t="s">
        <v>8356</v>
      </c>
      <c r="C45" s="19"/>
      <c r="D45" s="20"/>
      <c r="E45" s="21">
        <f>E44+F44</f>
        <v>62</v>
      </c>
      <c r="F45" s="20">
        <v>0</v>
      </c>
      <c r="G45" s="153"/>
      <c r="J45" s="108"/>
      <c r="K45" s="109"/>
      <c r="L45" s="109"/>
      <c r="M45" s="109"/>
      <c r="N45" s="109"/>
      <c r="O45" s="109"/>
      <c r="P45" s="109"/>
      <c r="Q45" s="109"/>
      <c r="R45" s="109"/>
      <c r="S45" s="109"/>
      <c r="T45" s="109"/>
    </row>
    <row r="46" spans="2:20" ht="27.6">
      <c r="B46" s="65" t="s">
        <v>8357</v>
      </c>
      <c r="C46" s="66"/>
      <c r="D46" s="67" t="s">
        <v>8358</v>
      </c>
      <c r="E46" s="67">
        <f>E45+F45</f>
        <v>62</v>
      </c>
      <c r="F46" s="67">
        <v>1</v>
      </c>
      <c r="G46" s="149" t="s">
        <v>8230</v>
      </c>
      <c r="J46" s="105" t="s">
        <v>8359</v>
      </c>
      <c r="K46" s="106"/>
      <c r="L46" s="107" t="s">
        <v>8360</v>
      </c>
      <c r="M46" s="106" t="s">
        <v>8361</v>
      </c>
      <c r="N46" s="106"/>
      <c r="O46" s="106" t="s">
        <v>8362</v>
      </c>
      <c r="P46" s="106"/>
      <c r="Q46" s="106"/>
      <c r="R46" s="106"/>
      <c r="S46" s="106" t="s">
        <v>8363</v>
      </c>
      <c r="T46" s="106" t="s">
        <v>8364</v>
      </c>
    </row>
    <row r="47" spans="2:20">
      <c r="B47" s="10" t="s">
        <v>8365</v>
      </c>
      <c r="C47" s="9"/>
      <c r="D47" s="8" t="s">
        <v>8366</v>
      </c>
      <c r="E47" s="8"/>
      <c r="F47" s="8"/>
      <c r="G47" s="150"/>
      <c r="J47" s="56"/>
      <c r="K47" s="53"/>
      <c r="L47" s="53"/>
      <c r="M47" s="53"/>
      <c r="N47" s="53"/>
      <c r="O47" s="53"/>
      <c r="P47" s="53"/>
      <c r="Q47" s="53"/>
      <c r="R47" s="53"/>
      <c r="S47" s="53"/>
      <c r="T47" s="53"/>
    </row>
    <row r="48" spans="2:20">
      <c r="B48" s="10" t="s">
        <v>8367</v>
      </c>
      <c r="C48" s="9"/>
      <c r="D48" s="8" t="s">
        <v>8368</v>
      </c>
      <c r="E48" s="8"/>
      <c r="F48" s="8"/>
      <c r="G48" s="150"/>
      <c r="J48" s="56"/>
      <c r="K48" s="53"/>
      <c r="L48" s="53"/>
      <c r="M48" s="53"/>
      <c r="N48" s="53"/>
      <c r="O48" s="53"/>
      <c r="P48" s="53"/>
      <c r="Q48" s="53"/>
      <c r="R48" s="53"/>
      <c r="S48" s="53"/>
      <c r="T48" s="53"/>
    </row>
    <row r="49" spans="1:20">
      <c r="B49" s="10" t="s">
        <v>8369</v>
      </c>
      <c r="C49" s="9"/>
      <c r="D49" s="8" t="s">
        <v>8370</v>
      </c>
      <c r="E49" s="8"/>
      <c r="F49" s="8"/>
      <c r="G49" s="150"/>
      <c r="J49" s="56"/>
      <c r="K49" s="53"/>
      <c r="L49" s="53"/>
      <c r="M49" s="53"/>
      <c r="N49" s="53"/>
      <c r="O49" s="53"/>
      <c r="P49" s="53"/>
      <c r="Q49" s="53"/>
      <c r="R49" s="53"/>
      <c r="S49" s="53"/>
      <c r="T49" s="53"/>
    </row>
    <row r="50" spans="1:20">
      <c r="B50" s="10" t="s">
        <v>8371</v>
      </c>
      <c r="C50" s="9"/>
      <c r="D50" s="8" t="s">
        <v>8372</v>
      </c>
      <c r="E50" s="8"/>
      <c r="F50" s="8"/>
      <c r="G50" s="150"/>
      <c r="J50" s="56"/>
      <c r="K50" s="53"/>
      <c r="L50" s="53"/>
      <c r="M50" s="53"/>
      <c r="N50" s="53"/>
      <c r="O50" s="53"/>
      <c r="P50" s="53"/>
      <c r="Q50" s="53"/>
      <c r="R50" s="53"/>
      <c r="S50" s="53"/>
      <c r="T50" s="53"/>
    </row>
    <row r="51" spans="1:20">
      <c r="A51" s="155"/>
      <c r="B51" s="10" t="s">
        <v>8373</v>
      </c>
      <c r="C51" s="9"/>
      <c r="D51" s="8" t="s">
        <v>8374</v>
      </c>
      <c r="E51" s="6">
        <f>E46+F46</f>
        <v>63</v>
      </c>
      <c r="F51" s="8">
        <v>10</v>
      </c>
      <c r="G51" s="149" t="s">
        <v>8230</v>
      </c>
      <c r="J51" s="160" t="s">
        <v>8375</v>
      </c>
      <c r="K51" s="156" t="s">
        <v>8376</v>
      </c>
      <c r="L51" s="156" t="s">
        <v>8377</v>
      </c>
      <c r="M51" s="64"/>
      <c r="N51" s="64"/>
      <c r="O51" s="64" t="s">
        <v>8378</v>
      </c>
      <c r="P51" s="64"/>
      <c r="Q51" s="64"/>
      <c r="R51" s="64"/>
      <c r="S51" s="64"/>
      <c r="T51" s="64"/>
    </row>
    <row r="52" spans="1:20">
      <c r="B52" s="10" t="s">
        <v>8379</v>
      </c>
      <c r="C52" s="9"/>
      <c r="D52" s="8" t="s">
        <v>8380</v>
      </c>
      <c r="E52" s="6">
        <f>E51+F51</f>
        <v>73</v>
      </c>
      <c r="F52" s="8">
        <v>3</v>
      </c>
      <c r="G52" s="151" t="s">
        <v>8264</v>
      </c>
      <c r="J52" s="56" t="s">
        <v>8381</v>
      </c>
      <c r="K52" s="53"/>
      <c r="L52" s="53"/>
      <c r="M52" s="53"/>
      <c r="N52" s="53" t="s">
        <v>8382</v>
      </c>
      <c r="O52" s="53"/>
      <c r="P52" s="53"/>
      <c r="Q52" s="53"/>
      <c r="R52" s="53"/>
      <c r="S52" s="53"/>
      <c r="T52" s="53"/>
    </row>
    <row r="53" spans="1:20" ht="28.9">
      <c r="B53" s="126" t="s">
        <v>8383</v>
      </c>
      <c r="C53" s="66"/>
      <c r="D53" s="67" t="s">
        <v>8384</v>
      </c>
      <c r="E53" s="8"/>
      <c r="F53" s="8"/>
      <c r="G53" s="150"/>
      <c r="J53" s="56"/>
      <c r="K53" s="53"/>
      <c r="L53" s="53"/>
      <c r="M53" s="53"/>
      <c r="N53" s="53"/>
      <c r="O53" s="53"/>
      <c r="P53" s="53"/>
      <c r="Q53" s="53"/>
      <c r="R53" s="53"/>
      <c r="S53" s="53"/>
      <c r="T53" s="53"/>
    </row>
    <row r="54" spans="1:20">
      <c r="B54" s="10" t="s">
        <v>8385</v>
      </c>
      <c r="C54" s="9"/>
      <c r="D54" s="8" t="s">
        <v>8386</v>
      </c>
      <c r="E54" s="8"/>
      <c r="F54" s="8"/>
      <c r="G54" s="150"/>
      <c r="J54" s="56"/>
      <c r="K54" s="53"/>
      <c r="L54" s="53"/>
      <c r="M54" s="53"/>
      <c r="N54" s="53"/>
      <c r="O54" s="53"/>
      <c r="P54" s="53"/>
      <c r="Q54" s="53"/>
      <c r="R54" s="53"/>
      <c r="S54" s="53"/>
      <c r="T54" s="53"/>
    </row>
    <row r="55" spans="1:20">
      <c r="B55" s="10" t="s">
        <v>8387</v>
      </c>
      <c r="C55" s="9"/>
      <c r="D55" s="8" t="s">
        <v>8388</v>
      </c>
      <c r="E55" s="8"/>
      <c r="F55" s="8"/>
      <c r="G55" s="150"/>
      <c r="J55" s="56"/>
      <c r="K55" s="53"/>
      <c r="L55" s="53"/>
      <c r="M55" s="53"/>
      <c r="N55" s="53"/>
      <c r="O55" s="53"/>
      <c r="P55" s="53"/>
      <c r="Q55" s="53"/>
      <c r="R55" s="53"/>
      <c r="S55" s="53"/>
      <c r="T55" s="53"/>
    </row>
    <row r="56" spans="1:20">
      <c r="B56" s="10" t="s">
        <v>8389</v>
      </c>
      <c r="C56" s="9"/>
      <c r="D56" s="8" t="s">
        <v>8390</v>
      </c>
      <c r="E56" s="8"/>
      <c r="F56" s="8"/>
      <c r="G56" s="150"/>
      <c r="J56" s="56"/>
      <c r="K56" s="53"/>
      <c r="L56" s="53"/>
      <c r="M56" s="53"/>
      <c r="N56" s="53"/>
      <c r="O56" s="53"/>
      <c r="P56" s="53"/>
      <c r="Q56" s="53"/>
      <c r="R56" s="53"/>
      <c r="S56" s="53"/>
      <c r="T56" s="53"/>
    </row>
    <row r="57" spans="1:20" ht="28.9">
      <c r="B57" s="126" t="s">
        <v>8391</v>
      </c>
      <c r="C57" s="66"/>
      <c r="D57" s="67" t="s">
        <v>8392</v>
      </c>
      <c r="E57" s="8"/>
      <c r="F57" s="8"/>
      <c r="G57" s="150"/>
      <c r="J57" s="56"/>
      <c r="K57" s="53"/>
      <c r="L57" s="53"/>
      <c r="M57" s="53"/>
      <c r="N57" s="53"/>
      <c r="O57" s="53"/>
      <c r="P57" s="53"/>
      <c r="Q57" s="53"/>
      <c r="R57" s="53"/>
      <c r="S57" s="53"/>
      <c r="T57" s="53"/>
    </row>
    <row r="58" spans="1:20">
      <c r="B58" s="10" t="s">
        <v>8393</v>
      </c>
      <c r="C58" s="9"/>
      <c r="D58" s="8" t="s">
        <v>8394</v>
      </c>
      <c r="E58" s="8"/>
      <c r="F58" s="8"/>
      <c r="G58" s="150"/>
      <c r="J58" s="56"/>
      <c r="K58" s="53"/>
      <c r="L58" s="53"/>
      <c r="M58" s="53"/>
      <c r="N58" s="53"/>
      <c r="O58" s="53"/>
      <c r="P58" s="53"/>
      <c r="Q58" s="53"/>
      <c r="R58" s="53"/>
      <c r="S58" s="53"/>
      <c r="T58" s="53"/>
    </row>
    <row r="59" spans="1:20">
      <c r="B59" s="10" t="s">
        <v>8395</v>
      </c>
      <c r="C59" s="9"/>
      <c r="D59" s="8" t="s">
        <v>8396</v>
      </c>
      <c r="E59" s="8"/>
      <c r="F59" s="8"/>
      <c r="G59" s="150"/>
      <c r="J59" s="56"/>
      <c r="K59" s="53"/>
      <c r="L59" s="53"/>
      <c r="M59" s="53"/>
      <c r="N59" s="53"/>
      <c r="O59" s="53"/>
      <c r="P59" s="53"/>
      <c r="Q59" s="53"/>
      <c r="R59" s="53"/>
      <c r="S59" s="53"/>
      <c r="T59" s="53"/>
    </row>
    <row r="60" spans="1:20">
      <c r="B60" s="10" t="s">
        <v>8397</v>
      </c>
      <c r="C60" s="9"/>
      <c r="D60" s="8" t="s">
        <v>8398</v>
      </c>
      <c r="E60" s="8"/>
      <c r="F60" s="8"/>
      <c r="G60" s="150"/>
      <c r="J60" s="56"/>
      <c r="K60" s="53"/>
      <c r="L60" s="53"/>
      <c r="M60" s="53"/>
      <c r="N60" s="53"/>
      <c r="O60" s="53"/>
      <c r="P60" s="53"/>
      <c r="Q60" s="53"/>
      <c r="R60" s="53"/>
      <c r="S60" s="53"/>
      <c r="T60" s="53"/>
    </row>
    <row r="61" spans="1:20" ht="28.9">
      <c r="B61" s="126" t="s">
        <v>8399</v>
      </c>
      <c r="C61" s="66"/>
      <c r="D61" s="67" t="s">
        <v>8400</v>
      </c>
      <c r="E61" s="8"/>
      <c r="F61" s="8"/>
      <c r="G61" s="150"/>
      <c r="J61" s="56"/>
      <c r="K61" s="53"/>
      <c r="L61" s="53"/>
      <c r="M61" s="53"/>
      <c r="N61" s="53"/>
      <c r="O61" s="53"/>
      <c r="P61" s="53"/>
      <c r="Q61" s="53"/>
      <c r="R61" s="53"/>
      <c r="S61" s="53"/>
      <c r="T61" s="53"/>
    </row>
    <row r="62" spans="1:20">
      <c r="B62" s="10" t="s">
        <v>8401</v>
      </c>
      <c r="C62" s="9"/>
      <c r="D62" s="8" t="s">
        <v>8402</v>
      </c>
      <c r="E62" s="8"/>
      <c r="F62" s="8"/>
      <c r="G62" s="150"/>
      <c r="J62" s="56"/>
      <c r="K62" s="53"/>
      <c r="L62" s="53"/>
      <c r="M62" s="53"/>
      <c r="N62" s="53"/>
      <c r="O62" s="53"/>
      <c r="P62" s="53"/>
      <c r="Q62" s="53"/>
      <c r="R62" s="53"/>
      <c r="S62" s="53"/>
      <c r="T62" s="53"/>
    </row>
    <row r="63" spans="1:20">
      <c r="B63" s="10" t="s">
        <v>8403</v>
      </c>
      <c r="C63" s="9"/>
      <c r="D63" s="8" t="s">
        <v>8404</v>
      </c>
      <c r="E63" s="8"/>
      <c r="F63" s="8"/>
      <c r="G63" s="150"/>
      <c r="J63" s="56"/>
      <c r="K63" s="53"/>
      <c r="L63" s="53"/>
      <c r="M63" s="53"/>
      <c r="N63" s="53"/>
      <c r="O63" s="53"/>
      <c r="P63" s="53"/>
      <c r="Q63" s="53"/>
      <c r="R63" s="53"/>
      <c r="S63" s="53"/>
      <c r="T63" s="53"/>
    </row>
    <row r="64" spans="1:20">
      <c r="B64" s="10" t="s">
        <v>8405</v>
      </c>
      <c r="C64" s="9"/>
      <c r="D64" s="8" t="s">
        <v>8406</v>
      </c>
      <c r="E64" s="8"/>
      <c r="F64" s="8"/>
      <c r="G64" s="150"/>
      <c r="J64" s="56"/>
      <c r="K64" s="53"/>
      <c r="L64" s="53"/>
      <c r="M64" s="53"/>
      <c r="N64" s="53"/>
      <c r="O64" s="53"/>
      <c r="P64" s="53"/>
      <c r="Q64" s="53"/>
      <c r="R64" s="53"/>
      <c r="S64" s="53"/>
      <c r="T64" s="53"/>
    </row>
    <row r="65" spans="2:20">
      <c r="B65" s="10" t="s">
        <v>8407</v>
      </c>
      <c r="C65" s="9"/>
      <c r="D65" s="8" t="s">
        <v>8408</v>
      </c>
      <c r="E65" s="8"/>
      <c r="F65" s="8"/>
      <c r="G65" s="150"/>
      <c r="J65" s="56"/>
      <c r="K65" s="53"/>
      <c r="L65" s="53"/>
      <c r="M65" s="53"/>
      <c r="N65" s="53"/>
      <c r="O65" s="53"/>
      <c r="P65" s="53"/>
      <c r="Q65" s="53"/>
      <c r="R65" s="53"/>
      <c r="S65" s="53"/>
      <c r="T65" s="53"/>
    </row>
    <row r="66" spans="2:20">
      <c r="B66" s="10" t="s">
        <v>8409</v>
      </c>
      <c r="C66" s="9"/>
      <c r="D66" s="8" t="s">
        <v>8410</v>
      </c>
      <c r="E66" s="8"/>
      <c r="F66" s="8"/>
      <c r="G66" s="150"/>
      <c r="J66" s="56"/>
      <c r="K66" s="53"/>
      <c r="L66" s="53"/>
      <c r="M66" s="53"/>
      <c r="N66" s="53"/>
      <c r="O66" s="53"/>
      <c r="P66" s="53"/>
      <c r="Q66" s="53"/>
      <c r="R66" s="53"/>
      <c r="S66" s="53"/>
      <c r="T66" s="53"/>
    </row>
    <row r="67" spans="2:20">
      <c r="B67" s="10" t="s">
        <v>8411</v>
      </c>
      <c r="C67" s="9"/>
      <c r="D67" s="8" t="s">
        <v>8412</v>
      </c>
      <c r="E67" s="8"/>
      <c r="F67" s="8"/>
      <c r="G67" s="150"/>
      <c r="J67" s="57"/>
      <c r="K67" s="58"/>
      <c r="L67" s="58"/>
      <c r="M67" s="58"/>
      <c r="N67" s="58"/>
      <c r="O67" s="58"/>
      <c r="P67" s="58"/>
      <c r="Q67" s="58"/>
      <c r="R67" s="58"/>
      <c r="S67" s="58"/>
      <c r="T67" s="58"/>
    </row>
    <row r="68" spans="2:20">
      <c r="B68" s="74" t="s">
        <v>8413</v>
      </c>
      <c r="C68" s="75"/>
      <c r="D68" s="76" t="s">
        <v>8414</v>
      </c>
      <c r="E68" s="77">
        <f>E52+F52</f>
        <v>76</v>
      </c>
      <c r="F68" s="76">
        <v>3</v>
      </c>
      <c r="G68" s="149" t="s">
        <v>8230</v>
      </c>
      <c r="J68" s="63" t="s">
        <v>8415</v>
      </c>
      <c r="K68" s="64"/>
      <c r="L68" s="64" t="s">
        <v>8416</v>
      </c>
      <c r="M68" s="64"/>
      <c r="N68" s="64"/>
      <c r="O68" s="64"/>
      <c r="P68" s="64"/>
      <c r="Q68" s="64"/>
      <c r="R68" s="64"/>
      <c r="S68" s="64"/>
      <c r="T68" s="64"/>
    </row>
    <row r="69" spans="2:20">
      <c r="B69" s="10" t="s">
        <v>8417</v>
      </c>
      <c r="C69" s="9"/>
      <c r="D69" s="8" t="s">
        <v>8418</v>
      </c>
      <c r="E69" s="6">
        <f>E68+F68</f>
        <v>79</v>
      </c>
      <c r="F69" s="8">
        <v>10</v>
      </c>
      <c r="G69" s="151" t="s">
        <v>8264</v>
      </c>
      <c r="J69" s="57" t="s">
        <v>8419</v>
      </c>
      <c r="K69" s="58" t="s">
        <v>8420</v>
      </c>
      <c r="L69" s="58" t="s">
        <v>8421</v>
      </c>
      <c r="M69" s="58" t="s">
        <v>8422</v>
      </c>
      <c r="N69" s="58" t="s">
        <v>8423</v>
      </c>
      <c r="O69" s="58" t="s">
        <v>8424</v>
      </c>
      <c r="P69" s="58" t="s">
        <v>8425</v>
      </c>
      <c r="Q69" s="58" t="s">
        <v>8421</v>
      </c>
      <c r="R69" s="58" t="s">
        <v>8421</v>
      </c>
      <c r="S69" s="58"/>
      <c r="T69" s="58"/>
    </row>
    <row r="70" spans="2:20">
      <c r="B70" s="10" t="s">
        <v>8426</v>
      </c>
      <c r="C70" s="9"/>
      <c r="D70" s="8" t="s">
        <v>8427</v>
      </c>
      <c r="E70" s="6">
        <f>E69+F69</f>
        <v>89</v>
      </c>
      <c r="F70" s="8">
        <v>10</v>
      </c>
      <c r="G70" s="151" t="s">
        <v>8264</v>
      </c>
      <c r="J70" s="55" t="s">
        <v>8428</v>
      </c>
      <c r="K70" s="52"/>
      <c r="L70" s="52"/>
      <c r="M70" s="52"/>
      <c r="N70" s="52"/>
      <c r="O70" s="52"/>
      <c r="P70" s="52"/>
      <c r="Q70" s="52"/>
      <c r="R70" s="52"/>
      <c r="S70" s="52" t="s">
        <v>8429</v>
      </c>
      <c r="T70" s="52" t="s">
        <v>8430</v>
      </c>
    </row>
    <row r="71" spans="2:20">
      <c r="B71" s="10" t="s">
        <v>8431</v>
      </c>
      <c r="C71" s="9"/>
      <c r="D71" s="8" t="s">
        <v>8432</v>
      </c>
      <c r="E71" s="6"/>
      <c r="F71" s="8"/>
      <c r="G71" s="150"/>
      <c r="J71" s="56"/>
      <c r="K71" s="53"/>
      <c r="L71" s="53"/>
      <c r="M71" s="53"/>
      <c r="N71" s="53"/>
      <c r="O71" s="53"/>
      <c r="P71" s="53"/>
      <c r="Q71" s="53"/>
      <c r="R71" s="53"/>
      <c r="S71" s="53"/>
      <c r="T71" s="53"/>
    </row>
    <row r="72" spans="2:20">
      <c r="B72" s="10" t="s">
        <v>8433</v>
      </c>
      <c r="C72" s="9"/>
      <c r="D72" s="8"/>
      <c r="E72" s="6"/>
      <c r="F72" s="8"/>
      <c r="G72" s="150"/>
      <c r="J72" s="56"/>
      <c r="K72" s="53"/>
      <c r="L72" s="53"/>
      <c r="M72" s="53"/>
      <c r="N72" s="53"/>
      <c r="O72" s="53"/>
      <c r="P72" s="53"/>
      <c r="Q72" s="53"/>
      <c r="R72" s="53"/>
      <c r="S72" s="53"/>
      <c r="T72" s="53"/>
    </row>
    <row r="73" spans="2:20">
      <c r="B73" s="10" t="s">
        <v>8434</v>
      </c>
      <c r="C73" s="9"/>
      <c r="D73" s="8"/>
      <c r="E73" s="6"/>
      <c r="F73" s="8"/>
      <c r="G73" s="150"/>
      <c r="J73" s="56"/>
      <c r="K73" s="53"/>
      <c r="L73" s="53"/>
      <c r="M73" s="53"/>
      <c r="N73" s="53"/>
      <c r="O73" s="53"/>
      <c r="P73" s="53"/>
      <c r="Q73" s="53"/>
      <c r="R73" s="53"/>
      <c r="S73" s="53"/>
      <c r="T73" s="53"/>
    </row>
    <row r="74" spans="2:20">
      <c r="B74" s="10" t="s">
        <v>8435</v>
      </c>
      <c r="C74" s="9"/>
      <c r="D74" s="8"/>
      <c r="E74" s="6"/>
      <c r="F74" s="8"/>
      <c r="G74" s="150"/>
      <c r="J74" s="56"/>
      <c r="K74" s="53"/>
      <c r="L74" s="53"/>
      <c r="M74" s="53"/>
      <c r="N74" s="53"/>
      <c r="O74" s="53"/>
      <c r="P74" s="53"/>
      <c r="Q74" s="53"/>
      <c r="R74" s="53"/>
      <c r="S74" s="53"/>
      <c r="T74" s="53"/>
    </row>
    <row r="75" spans="2:20">
      <c r="B75" s="10" t="s">
        <v>8436</v>
      </c>
      <c r="C75" s="9"/>
      <c r="D75" s="8"/>
      <c r="E75" s="6"/>
      <c r="F75" s="8"/>
      <c r="G75" s="150"/>
      <c r="J75" s="56"/>
      <c r="K75" s="53"/>
      <c r="L75" s="53"/>
      <c r="M75" s="53"/>
      <c r="N75" s="53"/>
      <c r="O75" s="53"/>
      <c r="P75" s="53"/>
      <c r="Q75" s="53"/>
      <c r="R75" s="53"/>
      <c r="S75" s="53"/>
      <c r="T75" s="53"/>
    </row>
    <row r="76" spans="2:20">
      <c r="B76" s="10" t="s">
        <v>8437</v>
      </c>
      <c r="C76" s="9"/>
      <c r="D76" s="8"/>
      <c r="E76" s="6"/>
      <c r="F76" s="8"/>
      <c r="G76" s="150"/>
      <c r="J76" s="56"/>
      <c r="K76" s="53"/>
      <c r="L76" s="53"/>
      <c r="M76" s="53"/>
      <c r="N76" s="53"/>
      <c r="O76" s="53"/>
      <c r="P76" s="53"/>
      <c r="Q76" s="53"/>
      <c r="R76" s="53"/>
      <c r="S76" s="53"/>
      <c r="T76" s="53"/>
    </row>
    <row r="77" spans="2:20">
      <c r="B77" s="10" t="s">
        <v>8438</v>
      </c>
      <c r="C77" s="9"/>
      <c r="D77" s="8"/>
      <c r="E77" s="6"/>
      <c r="F77" s="8"/>
      <c r="G77" s="150"/>
      <c r="J77" s="56"/>
      <c r="K77" s="53"/>
      <c r="L77" s="53"/>
      <c r="M77" s="53"/>
      <c r="N77" s="53"/>
      <c r="O77" s="53"/>
      <c r="P77" s="53"/>
      <c r="Q77" s="53"/>
      <c r="R77" s="53"/>
      <c r="S77" s="53"/>
      <c r="T77" s="53"/>
    </row>
    <row r="78" spans="2:20">
      <c r="B78" s="10" t="s">
        <v>8439</v>
      </c>
      <c r="C78" s="9"/>
      <c r="D78" s="8"/>
      <c r="E78" s="6"/>
      <c r="F78" s="8"/>
      <c r="G78" s="150"/>
      <c r="J78" s="56"/>
      <c r="K78" s="53"/>
      <c r="L78" s="53"/>
      <c r="M78" s="53"/>
      <c r="N78" s="53"/>
      <c r="O78" s="53"/>
      <c r="P78" s="53"/>
      <c r="Q78" s="53"/>
      <c r="R78" s="53"/>
      <c r="S78" s="53"/>
      <c r="T78" s="53"/>
    </row>
    <row r="79" spans="2:20">
      <c r="B79" s="10" t="s">
        <v>8440</v>
      </c>
      <c r="C79" s="9"/>
      <c r="D79" s="8"/>
      <c r="E79" s="6"/>
      <c r="F79" s="8"/>
      <c r="G79" s="150"/>
      <c r="J79" s="56"/>
      <c r="K79" s="53"/>
      <c r="L79" s="53"/>
      <c r="M79" s="53"/>
      <c r="N79" s="53"/>
      <c r="O79" s="53"/>
      <c r="P79" s="53"/>
      <c r="Q79" s="53"/>
      <c r="R79" s="53"/>
      <c r="S79" s="53"/>
      <c r="T79" s="53"/>
    </row>
    <row r="80" spans="2:20">
      <c r="B80" s="10" t="s">
        <v>8441</v>
      </c>
      <c r="C80" s="9"/>
      <c r="D80" s="8"/>
      <c r="E80" s="6"/>
      <c r="F80" s="8"/>
      <c r="G80" s="150"/>
      <c r="J80" s="56"/>
      <c r="K80" s="53"/>
      <c r="L80" s="53"/>
      <c r="M80" s="53"/>
      <c r="N80" s="53"/>
      <c r="O80" s="53"/>
      <c r="P80" s="53"/>
      <c r="Q80" s="53"/>
      <c r="R80" s="53"/>
      <c r="S80" s="53"/>
      <c r="T80" s="53"/>
    </row>
    <row r="81" spans="1:20">
      <c r="B81" s="10" t="s">
        <v>8442</v>
      </c>
      <c r="C81" s="9"/>
      <c r="D81" s="8"/>
      <c r="E81" s="6"/>
      <c r="F81" s="8"/>
      <c r="G81" s="150"/>
      <c r="J81" s="56"/>
      <c r="K81" s="53"/>
      <c r="L81" s="53"/>
      <c r="M81" s="53"/>
      <c r="N81" s="53"/>
      <c r="O81" s="53"/>
      <c r="P81" s="53"/>
      <c r="Q81" s="53"/>
      <c r="R81" s="53"/>
      <c r="S81" s="53"/>
      <c r="T81" s="53"/>
    </row>
    <row r="82" spans="1:20">
      <c r="B82" s="10" t="s">
        <v>8443</v>
      </c>
      <c r="C82" s="9"/>
      <c r="D82" s="8"/>
      <c r="E82" s="6"/>
      <c r="F82" s="8"/>
      <c r="G82" s="150"/>
      <c r="J82" s="56"/>
      <c r="K82" s="53"/>
      <c r="L82" s="53"/>
      <c r="M82" s="53"/>
      <c r="N82" s="53"/>
      <c r="O82" s="53"/>
      <c r="P82" s="53"/>
      <c r="Q82" s="53"/>
      <c r="R82" s="53"/>
      <c r="S82" s="53"/>
      <c r="T82" s="53"/>
    </row>
    <row r="83" spans="1:20">
      <c r="B83" s="10" t="s">
        <v>8444</v>
      </c>
      <c r="C83" s="9"/>
      <c r="D83" s="8"/>
      <c r="E83" s="6"/>
      <c r="F83" s="8"/>
      <c r="G83" s="150"/>
      <c r="J83" s="56"/>
      <c r="K83" s="53"/>
      <c r="L83" s="53"/>
      <c r="M83" s="53"/>
      <c r="N83" s="53"/>
      <c r="O83" s="53"/>
      <c r="P83" s="53"/>
      <c r="Q83" s="53"/>
      <c r="R83" s="53"/>
      <c r="S83" s="53"/>
      <c r="T83" s="53"/>
    </row>
    <row r="84" spans="1:20">
      <c r="B84" s="10" t="s">
        <v>8445</v>
      </c>
      <c r="C84" s="9"/>
      <c r="D84" s="8"/>
      <c r="E84" s="6"/>
      <c r="F84" s="8"/>
      <c r="G84" s="150"/>
      <c r="J84" s="56"/>
      <c r="K84" s="53"/>
      <c r="L84" s="53"/>
      <c r="M84" s="53"/>
      <c r="N84" s="53"/>
      <c r="O84" s="53"/>
      <c r="P84" s="53"/>
      <c r="Q84" s="53"/>
      <c r="R84" s="53"/>
      <c r="S84" s="53"/>
      <c r="T84" s="53"/>
    </row>
    <row r="85" spans="1:20">
      <c r="B85" s="10" t="s">
        <v>8446</v>
      </c>
      <c r="C85" s="9"/>
      <c r="D85" s="8"/>
      <c r="E85" s="6"/>
      <c r="F85" s="8"/>
      <c r="G85" s="150"/>
      <c r="J85" s="56"/>
      <c r="K85" s="53"/>
      <c r="L85" s="53"/>
      <c r="M85" s="53"/>
      <c r="N85" s="53"/>
      <c r="O85" s="53"/>
      <c r="P85" s="53"/>
      <c r="Q85" s="53"/>
      <c r="R85" s="53"/>
      <c r="S85" s="53"/>
      <c r="T85" s="53"/>
    </row>
    <row r="86" spans="1:20">
      <c r="A86" s="155"/>
      <c r="B86" s="10" t="s">
        <v>8447</v>
      </c>
      <c r="C86" s="9"/>
      <c r="D86" s="8" t="s">
        <v>8448</v>
      </c>
      <c r="E86" s="6"/>
      <c r="F86" s="8"/>
      <c r="G86" s="150"/>
      <c r="J86" s="56"/>
      <c r="K86" s="53"/>
      <c r="L86" s="53"/>
      <c r="M86" s="53"/>
      <c r="N86" s="53"/>
      <c r="O86" s="53"/>
      <c r="P86" s="53"/>
      <c r="Q86" s="53"/>
      <c r="R86" s="53"/>
      <c r="S86" s="53"/>
      <c r="T86" s="53"/>
    </row>
    <row r="87" spans="1:20">
      <c r="B87" s="10" t="s">
        <v>8449</v>
      </c>
      <c r="C87" s="9"/>
      <c r="D87" s="8"/>
      <c r="E87" s="6"/>
      <c r="F87" s="8"/>
      <c r="G87" s="150"/>
      <c r="J87" s="56"/>
      <c r="K87" s="53"/>
      <c r="L87" s="53"/>
      <c r="M87" s="53"/>
      <c r="N87" s="53"/>
      <c r="O87" s="53"/>
      <c r="P87" s="53"/>
      <c r="Q87" s="53"/>
      <c r="R87" s="53"/>
      <c r="S87" s="53"/>
      <c r="T87" s="53"/>
    </row>
    <row r="88" spans="1:20">
      <c r="A88" s="155"/>
      <c r="B88" s="10" t="s">
        <v>8450</v>
      </c>
      <c r="C88" s="9"/>
      <c r="D88" s="8" t="s">
        <v>8451</v>
      </c>
      <c r="E88" s="6"/>
      <c r="F88" s="8"/>
      <c r="G88" s="150"/>
      <c r="J88" s="56"/>
      <c r="K88" s="53"/>
      <c r="L88" s="53"/>
      <c r="M88" s="53"/>
      <c r="N88" s="53"/>
      <c r="O88" s="53"/>
      <c r="P88" s="53"/>
      <c r="Q88" s="53"/>
      <c r="R88" s="53"/>
      <c r="S88" s="53"/>
      <c r="T88" s="53"/>
    </row>
    <row r="89" spans="1:20">
      <c r="B89" s="10" t="s">
        <v>8452</v>
      </c>
      <c r="C89" s="9"/>
      <c r="D89" s="8"/>
      <c r="E89" s="6"/>
      <c r="F89" s="8"/>
      <c r="G89" s="150"/>
      <c r="J89" s="56"/>
      <c r="K89" s="53"/>
      <c r="L89" s="53"/>
      <c r="M89" s="53"/>
      <c r="N89" s="53"/>
      <c r="O89" s="53"/>
      <c r="P89" s="53"/>
      <c r="Q89" s="53"/>
      <c r="R89" s="53"/>
      <c r="S89" s="53"/>
      <c r="T89" s="53"/>
    </row>
    <row r="90" spans="1:20">
      <c r="B90" s="9" t="s">
        <v>8453</v>
      </c>
      <c r="C90" s="9"/>
      <c r="D90" s="8"/>
      <c r="E90" s="6"/>
      <c r="F90" s="8"/>
      <c r="G90" s="150"/>
      <c r="J90" s="57"/>
      <c r="K90" s="58"/>
      <c r="L90" s="58"/>
      <c r="M90" s="58"/>
      <c r="N90" s="58"/>
      <c r="O90" s="58"/>
      <c r="P90" s="58"/>
      <c r="Q90" s="58"/>
      <c r="R90" s="58"/>
      <c r="S90" s="58"/>
      <c r="T90" s="58"/>
    </row>
    <row r="91" spans="1:20" s="33" customFormat="1" ht="27.6">
      <c r="B91" s="132" t="s">
        <v>8454</v>
      </c>
      <c r="C91" s="133"/>
      <c r="D91" s="134" t="s">
        <v>8455</v>
      </c>
      <c r="E91" s="81">
        <f>E70+F70</f>
        <v>99</v>
      </c>
      <c r="F91" s="67">
        <v>40</v>
      </c>
      <c r="G91" s="149" t="s">
        <v>8230</v>
      </c>
      <c r="J91" s="135" t="s">
        <v>8456</v>
      </c>
      <c r="K91" s="136" t="s">
        <v>8457</v>
      </c>
      <c r="L91" s="136" t="s">
        <v>8458</v>
      </c>
      <c r="M91" s="136"/>
      <c r="N91" s="136" t="s">
        <v>8459</v>
      </c>
      <c r="O91" s="136" t="s">
        <v>8460</v>
      </c>
      <c r="P91" s="136" t="s">
        <v>8461</v>
      </c>
      <c r="Q91" s="136"/>
      <c r="R91" s="136"/>
      <c r="S91" s="136" t="s">
        <v>8462</v>
      </c>
      <c r="T91" s="136"/>
    </row>
    <row r="92" spans="1:20">
      <c r="B92" s="10" t="s">
        <v>8463</v>
      </c>
      <c r="C92" s="9"/>
      <c r="D92" s="8" t="s">
        <v>8464</v>
      </c>
      <c r="E92" s="6">
        <f>E91+F91</f>
        <v>139</v>
      </c>
      <c r="F92" s="8">
        <v>2</v>
      </c>
      <c r="G92" s="150"/>
      <c r="J92" s="55" t="s">
        <v>8465</v>
      </c>
      <c r="K92" s="52" t="s">
        <v>8466</v>
      </c>
      <c r="L92" s="52" t="s">
        <v>8467</v>
      </c>
      <c r="M92" s="53" t="s">
        <v>8468</v>
      </c>
      <c r="N92" s="52"/>
      <c r="O92" s="52"/>
      <c r="P92" s="52"/>
      <c r="Q92" s="52"/>
      <c r="R92" s="52"/>
      <c r="S92" s="52"/>
      <c r="T92" s="52"/>
    </row>
    <row r="93" spans="1:20">
      <c r="B93" s="9" t="s">
        <v>8469</v>
      </c>
      <c r="C93" s="9"/>
      <c r="D93" s="8"/>
      <c r="E93" s="6"/>
      <c r="F93" s="8"/>
      <c r="G93" s="150"/>
      <c r="J93" s="57"/>
      <c r="K93" s="58"/>
      <c r="L93" s="58"/>
      <c r="M93" s="58"/>
      <c r="N93" s="58"/>
      <c r="O93" s="58"/>
      <c r="P93" s="58"/>
      <c r="Q93" s="58"/>
      <c r="R93" s="58"/>
      <c r="S93" s="58"/>
      <c r="T93" s="58"/>
    </row>
    <row r="94" spans="1:20">
      <c r="B94" s="10" t="s">
        <v>8470</v>
      </c>
      <c r="C94" s="9"/>
      <c r="D94" s="8" t="s">
        <v>8471</v>
      </c>
      <c r="E94" s="6">
        <f>E92+F92</f>
        <v>141</v>
      </c>
      <c r="F94" s="8">
        <v>30</v>
      </c>
      <c r="G94" s="150"/>
      <c r="J94" s="57" t="s">
        <v>8472</v>
      </c>
      <c r="K94" s="58"/>
      <c r="L94" s="58" t="s">
        <v>8473</v>
      </c>
      <c r="M94" s="58" t="s">
        <v>8474</v>
      </c>
      <c r="N94" s="58"/>
      <c r="O94" s="58"/>
      <c r="P94" s="58"/>
      <c r="Q94" s="58"/>
      <c r="R94" s="58"/>
      <c r="S94" s="58"/>
      <c r="T94" s="58"/>
    </row>
    <row r="95" spans="1:20">
      <c r="B95" s="10" t="s">
        <v>8475</v>
      </c>
      <c r="C95" s="9"/>
      <c r="D95" s="8"/>
      <c r="E95" s="6">
        <f t="shared" ref="E95:E102" si="0">E94+F94</f>
        <v>171</v>
      </c>
      <c r="F95" s="8">
        <v>0</v>
      </c>
      <c r="G95" s="150"/>
      <c r="J95" s="63"/>
      <c r="K95" s="64"/>
      <c r="L95" s="64"/>
      <c r="M95" s="64"/>
      <c r="N95" s="64"/>
      <c r="O95" s="64"/>
      <c r="P95" s="64"/>
      <c r="Q95" s="64"/>
      <c r="R95" s="64"/>
      <c r="S95" s="64"/>
      <c r="T95" s="64"/>
    </row>
    <row r="96" spans="1:20">
      <c r="B96" s="10" t="s">
        <v>8476</v>
      </c>
      <c r="C96" s="9" t="s">
        <v>8228</v>
      </c>
      <c r="D96" s="8" t="s">
        <v>8477</v>
      </c>
      <c r="E96" s="6">
        <f t="shared" si="0"/>
        <v>171</v>
      </c>
      <c r="F96" s="8">
        <v>60</v>
      </c>
      <c r="G96" s="150"/>
      <c r="J96" s="57"/>
      <c r="K96" s="58"/>
      <c r="L96" s="58"/>
      <c r="M96" s="58"/>
      <c r="N96" s="58"/>
      <c r="O96" s="58"/>
      <c r="P96" s="58"/>
      <c r="Q96" s="58"/>
      <c r="R96" s="58"/>
      <c r="S96" s="58"/>
      <c r="T96" s="58"/>
    </row>
    <row r="97" spans="2:20">
      <c r="B97" s="10" t="s">
        <v>8478</v>
      </c>
      <c r="C97" s="9"/>
      <c r="D97" s="8" t="s">
        <v>8479</v>
      </c>
      <c r="E97" s="6">
        <f t="shared" si="0"/>
        <v>231</v>
      </c>
      <c r="F97" s="8">
        <v>34</v>
      </c>
      <c r="G97" s="151" t="s">
        <v>8264</v>
      </c>
      <c r="J97" s="57" t="s">
        <v>8480</v>
      </c>
      <c r="K97" s="58"/>
      <c r="L97" s="58" t="s">
        <v>8481</v>
      </c>
      <c r="M97" s="58"/>
      <c r="N97" s="58" t="s">
        <v>8482</v>
      </c>
      <c r="O97" s="58"/>
      <c r="P97" s="58"/>
      <c r="Q97" s="58"/>
      <c r="R97" s="58"/>
      <c r="S97" s="58" t="s">
        <v>8483</v>
      </c>
      <c r="T97" s="58" t="s">
        <v>8484</v>
      </c>
    </row>
    <row r="98" spans="2:20">
      <c r="B98" s="10" t="s">
        <v>8485</v>
      </c>
      <c r="C98" s="9"/>
      <c r="D98" s="8" t="s">
        <v>8486</v>
      </c>
      <c r="E98" s="6">
        <f t="shared" si="0"/>
        <v>265</v>
      </c>
      <c r="F98" s="8">
        <v>11</v>
      </c>
      <c r="G98" s="151" t="s">
        <v>8264</v>
      </c>
      <c r="J98" s="57" t="s">
        <v>8487</v>
      </c>
      <c r="K98" s="58"/>
      <c r="L98" s="58"/>
      <c r="M98" s="58"/>
      <c r="N98" s="58" t="s">
        <v>8488</v>
      </c>
      <c r="O98" s="58"/>
      <c r="P98" s="58"/>
      <c r="Q98" s="58"/>
      <c r="R98" s="58"/>
      <c r="S98" s="58"/>
      <c r="T98" s="58"/>
    </row>
    <row r="99" spans="2:20">
      <c r="B99" s="10" t="s">
        <v>8489</v>
      </c>
      <c r="C99" s="9"/>
      <c r="D99" s="8" t="s">
        <v>8490</v>
      </c>
      <c r="E99" s="6">
        <f t="shared" si="0"/>
        <v>276</v>
      </c>
      <c r="F99" s="8">
        <v>40</v>
      </c>
      <c r="G99" s="150"/>
      <c r="J99" s="63"/>
      <c r="K99" s="64"/>
      <c r="L99" s="64"/>
      <c r="M99" s="64"/>
      <c r="N99" s="64"/>
      <c r="O99" s="64"/>
      <c r="P99" s="64"/>
      <c r="Q99" s="64"/>
      <c r="R99" s="64"/>
      <c r="S99" s="64" t="s">
        <v>8491</v>
      </c>
      <c r="T99" s="64" t="s">
        <v>8492</v>
      </c>
    </row>
    <row r="100" spans="2:20">
      <c r="B100" s="10" t="s">
        <v>8493</v>
      </c>
      <c r="C100" s="9"/>
      <c r="D100" s="8" t="s">
        <v>8494</v>
      </c>
      <c r="E100" s="6">
        <f t="shared" si="0"/>
        <v>316</v>
      </c>
      <c r="F100" s="8">
        <v>12</v>
      </c>
      <c r="G100" s="150"/>
      <c r="J100" s="57"/>
      <c r="K100" s="58"/>
      <c r="L100" s="58"/>
      <c r="M100" s="58"/>
      <c r="N100" s="58"/>
      <c r="O100" s="58"/>
      <c r="P100" s="58"/>
      <c r="Q100" s="58"/>
      <c r="R100" s="58"/>
      <c r="S100" s="58" t="s">
        <v>8495</v>
      </c>
      <c r="T100" s="58"/>
    </row>
    <row r="101" spans="2:20">
      <c r="B101" s="10" t="s">
        <v>8496</v>
      </c>
      <c r="C101" s="9"/>
      <c r="D101" s="8" t="s">
        <v>8497</v>
      </c>
      <c r="E101" s="6">
        <f t="shared" si="0"/>
        <v>328</v>
      </c>
      <c r="F101" s="8">
        <v>30</v>
      </c>
      <c r="G101" s="150"/>
      <c r="J101" s="57"/>
      <c r="K101" s="58"/>
      <c r="L101" s="58"/>
      <c r="M101" s="58"/>
      <c r="N101" s="58"/>
      <c r="O101" s="58"/>
      <c r="P101" s="58"/>
      <c r="Q101" s="58"/>
      <c r="R101" s="58"/>
      <c r="S101" s="58" t="s">
        <v>8498</v>
      </c>
      <c r="T101" s="58"/>
    </row>
    <row r="102" spans="2:20">
      <c r="B102" s="18" t="s">
        <v>8499</v>
      </c>
      <c r="C102" s="19"/>
      <c r="D102" s="20"/>
      <c r="E102" s="21">
        <f t="shared" si="0"/>
        <v>358</v>
      </c>
      <c r="F102" s="20">
        <v>0</v>
      </c>
      <c r="G102" s="153"/>
      <c r="J102" s="108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</row>
    <row r="103" spans="2:20">
      <c r="B103" s="10" t="s">
        <v>8500</v>
      </c>
      <c r="C103" s="9"/>
      <c r="D103" s="8" t="s">
        <v>8501</v>
      </c>
      <c r="E103" s="6">
        <f t="shared" ref="E103:E104" si="1">E102+F102</f>
        <v>358</v>
      </c>
      <c r="F103" s="8">
        <v>40</v>
      </c>
      <c r="G103" s="149" t="s">
        <v>8230</v>
      </c>
      <c r="J103" s="63" t="s">
        <v>8502</v>
      </c>
      <c r="K103" s="64" t="s">
        <v>8503</v>
      </c>
      <c r="L103" s="64" t="s">
        <v>8504</v>
      </c>
      <c r="M103" s="64" t="s">
        <v>8505</v>
      </c>
      <c r="N103" s="64" t="s">
        <v>8506</v>
      </c>
      <c r="O103" s="64" t="s">
        <v>8507</v>
      </c>
      <c r="P103" s="64" t="s">
        <v>8508</v>
      </c>
      <c r="Q103" s="64" t="s">
        <v>8504</v>
      </c>
      <c r="R103" s="64" t="s">
        <v>8504</v>
      </c>
      <c r="S103" s="64" t="s">
        <v>8509</v>
      </c>
      <c r="T103" s="64" t="s">
        <v>8510</v>
      </c>
    </row>
    <row r="104" spans="2:20">
      <c r="B104" s="10" t="s">
        <v>8511</v>
      </c>
      <c r="C104" s="9" t="s">
        <v>8228</v>
      </c>
      <c r="D104" s="8" t="s">
        <v>8512</v>
      </c>
      <c r="E104" s="6">
        <f t="shared" si="1"/>
        <v>398</v>
      </c>
      <c r="F104" s="8">
        <v>4</v>
      </c>
      <c r="G104" s="149" t="s">
        <v>8230</v>
      </c>
      <c r="J104" s="57"/>
      <c r="K104" s="58"/>
      <c r="L104" s="58"/>
      <c r="M104" s="58"/>
      <c r="N104" s="58"/>
      <c r="O104" s="58"/>
      <c r="P104" s="58"/>
      <c r="Q104" s="58"/>
      <c r="R104" s="58"/>
      <c r="S104" s="58"/>
      <c r="T104" s="58"/>
    </row>
    <row r="105" spans="2:20">
      <c r="B105" s="10" t="s">
        <v>8513</v>
      </c>
      <c r="C105" s="9"/>
      <c r="D105" s="8" t="s">
        <v>8514</v>
      </c>
      <c r="E105" s="6">
        <f t="shared" ref="E105:E113" si="2">E104+F104</f>
        <v>402</v>
      </c>
      <c r="F105" s="8">
        <v>40</v>
      </c>
      <c r="G105" s="149" t="s">
        <v>8230</v>
      </c>
      <c r="J105" s="63" t="s">
        <v>8515</v>
      </c>
      <c r="K105" s="64" t="s">
        <v>8516</v>
      </c>
      <c r="L105" s="64" t="s">
        <v>8517</v>
      </c>
      <c r="M105" s="64" t="s">
        <v>8518</v>
      </c>
      <c r="N105" s="64" t="s">
        <v>8519</v>
      </c>
      <c r="O105" s="64" t="s">
        <v>8520</v>
      </c>
      <c r="P105" s="64" t="s">
        <v>8521</v>
      </c>
      <c r="Q105" s="64" t="s">
        <v>8517</v>
      </c>
      <c r="R105" s="64" t="s">
        <v>8517</v>
      </c>
      <c r="S105" s="64" t="s">
        <v>8522</v>
      </c>
      <c r="T105" s="64" t="s">
        <v>8523</v>
      </c>
    </row>
    <row r="106" spans="2:20">
      <c r="B106" s="10" t="s">
        <v>8524</v>
      </c>
      <c r="C106" s="9"/>
      <c r="D106" s="8" t="s">
        <v>8525</v>
      </c>
      <c r="E106" s="6">
        <f t="shared" si="2"/>
        <v>442</v>
      </c>
      <c r="F106" s="8">
        <v>40</v>
      </c>
      <c r="G106" s="149" t="s">
        <v>8230</v>
      </c>
      <c r="J106" s="57" t="s">
        <v>8526</v>
      </c>
      <c r="K106" s="58" t="s">
        <v>8527</v>
      </c>
      <c r="L106" s="58" t="s">
        <v>8528</v>
      </c>
      <c r="M106" s="58" t="s">
        <v>8529</v>
      </c>
      <c r="N106" s="58" t="s">
        <v>8530</v>
      </c>
      <c r="O106" s="58" t="s">
        <v>8531</v>
      </c>
      <c r="P106" s="58" t="s">
        <v>8532</v>
      </c>
      <c r="Q106" s="58" t="s">
        <v>8528</v>
      </c>
      <c r="R106" s="58" t="s">
        <v>8528</v>
      </c>
      <c r="S106" s="58" t="s">
        <v>8533</v>
      </c>
      <c r="T106" s="58" t="s">
        <v>8534</v>
      </c>
    </row>
    <row r="107" spans="2:20">
      <c r="B107" s="10" t="s">
        <v>8535</v>
      </c>
      <c r="C107" s="9"/>
      <c r="D107" s="8" t="s">
        <v>8536</v>
      </c>
      <c r="E107" s="6">
        <f t="shared" si="2"/>
        <v>482</v>
      </c>
      <c r="F107" s="8">
        <v>40</v>
      </c>
      <c r="G107" s="149" t="s">
        <v>8230</v>
      </c>
      <c r="J107" s="57" t="s">
        <v>8537</v>
      </c>
      <c r="K107" s="58" t="s">
        <v>8538</v>
      </c>
      <c r="L107" s="58" t="s">
        <v>8539</v>
      </c>
      <c r="M107" s="58" t="s">
        <v>8540</v>
      </c>
      <c r="N107" s="58" t="s">
        <v>8541</v>
      </c>
      <c r="O107" s="58" t="s">
        <v>8542</v>
      </c>
      <c r="P107" s="58" t="s">
        <v>8543</v>
      </c>
      <c r="Q107" s="58" t="s">
        <v>8539</v>
      </c>
      <c r="R107" s="58" t="s">
        <v>8539</v>
      </c>
      <c r="S107" s="58" t="s">
        <v>8544</v>
      </c>
      <c r="T107" s="58" t="s">
        <v>8545</v>
      </c>
    </row>
    <row r="108" spans="2:20">
      <c r="B108" s="10" t="s">
        <v>8546</v>
      </c>
      <c r="C108" s="9"/>
      <c r="D108" s="8" t="s">
        <v>8547</v>
      </c>
      <c r="E108" s="6">
        <f t="shared" si="2"/>
        <v>522</v>
      </c>
      <c r="F108" s="8">
        <v>9</v>
      </c>
      <c r="G108" s="149" t="s">
        <v>8230</v>
      </c>
      <c r="J108" s="57" t="s">
        <v>8548</v>
      </c>
      <c r="K108" s="58" t="s">
        <v>8549</v>
      </c>
      <c r="L108" s="58" t="s">
        <v>8550</v>
      </c>
      <c r="M108" s="58" t="s">
        <v>8551</v>
      </c>
      <c r="N108" s="58"/>
      <c r="O108" s="58" t="s">
        <v>8552</v>
      </c>
      <c r="P108" s="58" t="s">
        <v>8553</v>
      </c>
      <c r="Q108" s="58" t="s">
        <v>8550</v>
      </c>
      <c r="R108" s="58" t="s">
        <v>8550</v>
      </c>
      <c r="S108" s="58" t="s">
        <v>8554</v>
      </c>
      <c r="T108" s="58" t="s">
        <v>8555</v>
      </c>
    </row>
    <row r="109" spans="2:20">
      <c r="B109" s="10" t="s">
        <v>8556</v>
      </c>
      <c r="C109" s="9"/>
      <c r="D109" s="8" t="s">
        <v>8557</v>
      </c>
      <c r="E109" s="6">
        <f t="shared" si="2"/>
        <v>531</v>
      </c>
      <c r="F109" s="8">
        <v>40</v>
      </c>
      <c r="G109" s="149" t="s">
        <v>8230</v>
      </c>
      <c r="J109" s="57" t="s">
        <v>8558</v>
      </c>
      <c r="K109" s="58" t="s">
        <v>8559</v>
      </c>
      <c r="L109" s="58" t="s">
        <v>8560</v>
      </c>
      <c r="M109" s="58" t="s">
        <v>8561</v>
      </c>
      <c r="N109" s="58" t="s">
        <v>8562</v>
      </c>
      <c r="O109" s="58" t="s">
        <v>8563</v>
      </c>
      <c r="P109" s="58" t="s">
        <v>8564</v>
      </c>
      <c r="Q109" s="58" t="s">
        <v>8560</v>
      </c>
      <c r="R109" s="58" t="s">
        <v>8560</v>
      </c>
      <c r="S109" s="58" t="s">
        <v>8565</v>
      </c>
      <c r="T109" s="58" t="s">
        <v>8566</v>
      </c>
    </row>
    <row r="110" spans="2:20">
      <c r="B110" s="10" t="s">
        <v>8567</v>
      </c>
      <c r="C110" s="9" t="s">
        <v>8228</v>
      </c>
      <c r="D110" s="8" t="s">
        <v>8568</v>
      </c>
      <c r="E110" s="6">
        <f>E109+F109</f>
        <v>571</v>
      </c>
      <c r="F110" s="8">
        <v>3</v>
      </c>
      <c r="G110" s="149" t="s">
        <v>8230</v>
      </c>
      <c r="J110" s="57"/>
      <c r="K110" s="58"/>
      <c r="L110" s="58"/>
      <c r="M110" s="58"/>
      <c r="N110" s="58"/>
      <c r="O110" s="58"/>
      <c r="P110" s="58"/>
      <c r="Q110" s="58"/>
      <c r="R110" s="58"/>
      <c r="S110" s="58"/>
      <c r="T110" s="58"/>
    </row>
    <row r="111" spans="2:20">
      <c r="B111" s="10" t="s">
        <v>8569</v>
      </c>
      <c r="C111" s="9" t="s">
        <v>8228</v>
      </c>
      <c r="D111" s="8" t="s">
        <v>8570</v>
      </c>
      <c r="E111" s="6">
        <f>E110+F110</f>
        <v>574</v>
      </c>
      <c r="F111" s="8">
        <v>40</v>
      </c>
      <c r="G111" s="149" t="s">
        <v>8230</v>
      </c>
      <c r="J111" s="57"/>
      <c r="K111" s="58"/>
      <c r="L111" s="58"/>
      <c r="M111" s="58"/>
      <c r="N111" s="58"/>
      <c r="O111" s="58"/>
      <c r="P111" s="58"/>
      <c r="Q111" s="58"/>
      <c r="R111" s="58"/>
      <c r="S111" s="58"/>
      <c r="T111" s="58"/>
    </row>
    <row r="112" spans="2:20" ht="41.45">
      <c r="B112" s="65" t="s">
        <v>8571</v>
      </c>
      <c r="C112" s="66"/>
      <c r="D112" s="67" t="s">
        <v>8572</v>
      </c>
      <c r="E112" s="81">
        <f t="shared" si="2"/>
        <v>614</v>
      </c>
      <c r="F112" s="67">
        <v>4</v>
      </c>
      <c r="G112" s="149" t="s">
        <v>8230</v>
      </c>
      <c r="J112" s="68" t="s">
        <v>8573</v>
      </c>
      <c r="K112" s="69" t="s">
        <v>8574</v>
      </c>
      <c r="L112" s="69" t="s">
        <v>8575</v>
      </c>
      <c r="M112" s="69" t="s">
        <v>8576</v>
      </c>
      <c r="N112" s="69" t="s">
        <v>8577</v>
      </c>
      <c r="O112" s="69" t="s">
        <v>8578</v>
      </c>
      <c r="P112" s="69" t="s">
        <v>8579</v>
      </c>
      <c r="Q112" s="69" t="s">
        <v>8575</v>
      </c>
      <c r="R112" s="69" t="s">
        <v>8575</v>
      </c>
      <c r="S112" s="69" t="s">
        <v>8580</v>
      </c>
      <c r="T112" s="69" t="s">
        <v>8581</v>
      </c>
    </row>
    <row r="113" spans="1:20">
      <c r="B113" s="10" t="s">
        <v>8582</v>
      </c>
      <c r="C113" s="9"/>
      <c r="D113" s="8" t="s">
        <v>8583</v>
      </c>
      <c r="E113" s="6">
        <f t="shared" si="2"/>
        <v>618</v>
      </c>
      <c r="F113" s="8">
        <v>22</v>
      </c>
      <c r="G113" s="151" t="s">
        <v>8264</v>
      </c>
      <c r="J113" s="63" t="s">
        <v>8584</v>
      </c>
      <c r="K113" s="64"/>
      <c r="L113" s="64"/>
      <c r="M113" s="64"/>
      <c r="N113" s="64" t="s">
        <v>8585</v>
      </c>
      <c r="O113" s="64"/>
      <c r="P113" s="64"/>
      <c r="Q113" s="64"/>
      <c r="R113" s="64" t="s">
        <v>8586</v>
      </c>
      <c r="S113" s="64" t="s">
        <v>8587</v>
      </c>
      <c r="T113" s="64"/>
    </row>
    <row r="114" spans="1:20">
      <c r="B114" s="10" t="s">
        <v>8588</v>
      </c>
      <c r="C114" s="9" t="s">
        <v>8228</v>
      </c>
      <c r="D114" s="8" t="s">
        <v>8589</v>
      </c>
      <c r="E114" s="6">
        <f>E113+F113</f>
        <v>640</v>
      </c>
      <c r="F114" s="8">
        <v>1</v>
      </c>
      <c r="G114" s="150"/>
      <c r="J114" s="55"/>
      <c r="K114" s="52"/>
      <c r="L114" s="52"/>
      <c r="M114" s="52"/>
      <c r="N114" s="52"/>
      <c r="O114" s="52"/>
      <c r="P114" s="52"/>
      <c r="Q114" s="52"/>
      <c r="R114" s="52"/>
      <c r="S114" s="52"/>
      <c r="T114" s="52"/>
    </row>
    <row r="115" spans="1:20">
      <c r="B115" s="10" t="s">
        <v>8590</v>
      </c>
      <c r="C115" s="9"/>
      <c r="D115" s="8" t="s">
        <v>8591</v>
      </c>
      <c r="E115" s="6"/>
      <c r="F115" s="8"/>
      <c r="G115" s="150"/>
      <c r="J115" s="56"/>
      <c r="K115" s="53"/>
      <c r="L115" s="53"/>
      <c r="M115" s="53"/>
      <c r="N115" s="53"/>
      <c r="O115" s="53"/>
      <c r="P115" s="53"/>
      <c r="Q115" s="53"/>
      <c r="R115" s="53"/>
      <c r="S115" s="53"/>
      <c r="T115" s="53"/>
    </row>
    <row r="116" spans="1:20">
      <c r="B116" s="10" t="s">
        <v>8592</v>
      </c>
      <c r="C116" s="9"/>
      <c r="D116" s="8" t="s">
        <v>8593</v>
      </c>
      <c r="E116" s="6"/>
      <c r="F116" s="8"/>
      <c r="G116" s="150"/>
      <c r="J116" s="57"/>
      <c r="K116" s="58"/>
      <c r="L116" s="58"/>
      <c r="M116" s="58"/>
      <c r="N116" s="58"/>
      <c r="O116" s="58"/>
      <c r="P116" s="58"/>
      <c r="Q116" s="58"/>
      <c r="R116" s="58"/>
      <c r="S116" s="58"/>
      <c r="T116" s="58"/>
    </row>
    <row r="117" spans="1:20">
      <c r="B117" s="18" t="s">
        <v>8594</v>
      </c>
      <c r="C117" s="19"/>
      <c r="D117" s="20"/>
      <c r="E117" s="21">
        <f>E114+F114</f>
        <v>641</v>
      </c>
      <c r="F117" s="20">
        <v>0</v>
      </c>
      <c r="G117" s="153"/>
      <c r="J117" s="108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</row>
    <row r="118" spans="1:20">
      <c r="B118" s="10" t="s">
        <v>8595</v>
      </c>
      <c r="C118" s="9"/>
      <c r="D118" s="8" t="s">
        <v>8596</v>
      </c>
      <c r="E118" s="6">
        <f t="shared" ref="E118:E123" si="3">E117+F117</f>
        <v>641</v>
      </c>
      <c r="F118" s="8">
        <v>8</v>
      </c>
      <c r="G118" s="149" t="s">
        <v>8230</v>
      </c>
      <c r="J118" s="63" t="s">
        <v>8597</v>
      </c>
      <c r="K118" s="64" t="s">
        <v>8598</v>
      </c>
      <c r="L118" s="64" t="s">
        <v>8599</v>
      </c>
      <c r="M118" s="64" t="s">
        <v>8600</v>
      </c>
      <c r="N118" s="64"/>
      <c r="O118" s="64" t="s">
        <v>8601</v>
      </c>
      <c r="P118" s="64"/>
      <c r="Q118" s="64"/>
      <c r="R118" s="64"/>
      <c r="S118" s="64"/>
      <c r="T118" s="64"/>
    </row>
    <row r="119" spans="1:20">
      <c r="B119" s="10" t="s">
        <v>8602</v>
      </c>
      <c r="C119" s="9"/>
      <c r="D119" s="8" t="s">
        <v>8603</v>
      </c>
      <c r="E119" s="6">
        <f t="shared" si="3"/>
        <v>649</v>
      </c>
      <c r="F119" s="8">
        <v>8</v>
      </c>
      <c r="G119" s="149" t="s">
        <v>8230</v>
      </c>
      <c r="J119" s="57" t="s">
        <v>8604</v>
      </c>
      <c r="K119" s="58" t="s">
        <v>8605</v>
      </c>
      <c r="L119" s="58" t="s">
        <v>8606</v>
      </c>
      <c r="M119" s="58" t="s">
        <v>8607</v>
      </c>
      <c r="N119" s="58"/>
      <c r="O119" s="58" t="s">
        <v>8608</v>
      </c>
      <c r="P119" s="58"/>
      <c r="Q119" s="58"/>
      <c r="R119" s="58"/>
      <c r="S119" s="58"/>
      <c r="T119" s="58"/>
    </row>
    <row r="120" spans="1:20" ht="27.6">
      <c r="A120" s="155"/>
      <c r="B120" s="10" t="s">
        <v>8609</v>
      </c>
      <c r="C120" s="9"/>
      <c r="D120" s="8" t="s">
        <v>8610</v>
      </c>
      <c r="E120" s="6">
        <f t="shared" si="3"/>
        <v>657</v>
      </c>
      <c r="F120" s="8">
        <v>8</v>
      </c>
      <c r="G120" s="149" t="s">
        <v>8230</v>
      </c>
      <c r="J120" s="63" t="s">
        <v>8611</v>
      </c>
      <c r="K120" s="64" t="s">
        <v>8612</v>
      </c>
      <c r="L120" s="179" t="s">
        <v>8613</v>
      </c>
      <c r="M120" s="64" t="s">
        <v>8614</v>
      </c>
      <c r="N120" s="64" t="s">
        <v>8615</v>
      </c>
      <c r="O120" s="64" t="s">
        <v>8616</v>
      </c>
      <c r="P120" s="64" t="s">
        <v>8617</v>
      </c>
      <c r="Q120" s="64" t="s">
        <v>8618</v>
      </c>
      <c r="R120" s="64" t="s">
        <v>8618</v>
      </c>
      <c r="S120" s="64" t="s">
        <v>8619</v>
      </c>
      <c r="T120" s="64" t="s">
        <v>8620</v>
      </c>
    </row>
    <row r="121" spans="1:20">
      <c r="B121" s="10" t="s">
        <v>8621</v>
      </c>
      <c r="C121" s="9"/>
      <c r="D121" s="8" t="s">
        <v>8622</v>
      </c>
      <c r="E121" s="6">
        <f t="shared" si="3"/>
        <v>665</v>
      </c>
      <c r="F121" s="8">
        <v>8</v>
      </c>
      <c r="G121" s="149" t="s">
        <v>8230</v>
      </c>
      <c r="J121" s="63" t="s">
        <v>8623</v>
      </c>
      <c r="K121" s="64" t="s">
        <v>8624</v>
      </c>
      <c r="L121" s="64" t="s">
        <v>8625</v>
      </c>
      <c r="M121" s="64" t="s">
        <v>8626</v>
      </c>
      <c r="N121" s="64" t="s">
        <v>8627</v>
      </c>
      <c r="O121" s="64" t="s">
        <v>8628</v>
      </c>
      <c r="P121" s="64" t="s">
        <v>8629</v>
      </c>
      <c r="Q121" s="64"/>
      <c r="R121" s="64"/>
      <c r="S121" s="64" t="s">
        <v>8630</v>
      </c>
      <c r="T121" s="64" t="s">
        <v>8631</v>
      </c>
    </row>
    <row r="122" spans="1:20">
      <c r="B122" s="10" t="s">
        <v>8632</v>
      </c>
      <c r="C122" s="9"/>
      <c r="D122" s="8" t="s">
        <v>8633</v>
      </c>
      <c r="E122" s="6">
        <f t="shared" si="3"/>
        <v>673</v>
      </c>
      <c r="F122" s="8">
        <v>8</v>
      </c>
      <c r="G122" s="150"/>
      <c r="J122" s="63"/>
      <c r="K122" s="64"/>
      <c r="L122" s="64"/>
      <c r="M122" s="64"/>
      <c r="N122" s="64"/>
      <c r="O122" s="64"/>
      <c r="P122" s="64"/>
      <c r="Q122" s="64"/>
      <c r="R122" s="64"/>
      <c r="S122" s="64"/>
      <c r="T122" s="64" t="s">
        <v>8634</v>
      </c>
    </row>
    <row r="123" spans="1:20">
      <c r="B123" s="10" t="s">
        <v>8635</v>
      </c>
      <c r="C123" s="9"/>
      <c r="D123" s="8" t="s">
        <v>8636</v>
      </c>
      <c r="E123" s="6">
        <f t="shared" si="3"/>
        <v>681</v>
      </c>
      <c r="F123" s="8">
        <v>8</v>
      </c>
      <c r="G123" s="151" t="s">
        <v>8264</v>
      </c>
      <c r="J123" s="63"/>
      <c r="K123" s="64" t="s">
        <v>8637</v>
      </c>
      <c r="L123" s="64" t="s">
        <v>8638</v>
      </c>
      <c r="M123" s="64"/>
      <c r="N123" s="64"/>
      <c r="O123" s="64"/>
      <c r="P123" s="64"/>
      <c r="Q123" s="64"/>
      <c r="R123" s="64"/>
      <c r="S123" s="64"/>
      <c r="T123" s="64"/>
    </row>
    <row r="124" spans="1:20">
      <c r="B124" s="18" t="s">
        <v>8639</v>
      </c>
      <c r="C124" s="19"/>
      <c r="D124" s="20"/>
      <c r="E124" s="21">
        <f>E123+F123</f>
        <v>689</v>
      </c>
      <c r="F124" s="20">
        <v>0</v>
      </c>
      <c r="G124" s="153"/>
      <c r="J124" s="108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</row>
    <row r="125" spans="1:20">
      <c r="B125" s="10" t="s">
        <v>8640</v>
      </c>
      <c r="C125" s="9"/>
      <c r="D125" s="8"/>
      <c r="E125" s="6">
        <f t="shared" ref="E125:E147" si="4">E124+F124</f>
        <v>689</v>
      </c>
      <c r="F125" s="8">
        <v>0</v>
      </c>
      <c r="G125" s="150"/>
      <c r="J125" s="63"/>
      <c r="K125" s="64"/>
      <c r="L125" s="64"/>
      <c r="M125" s="64"/>
      <c r="N125" s="64"/>
      <c r="O125" s="64"/>
      <c r="P125" s="64"/>
      <c r="Q125" s="64"/>
      <c r="R125" s="64"/>
      <c r="S125" s="64"/>
      <c r="T125" s="64"/>
    </row>
    <row r="126" spans="1:20">
      <c r="B126" s="10" t="s">
        <v>8641</v>
      </c>
      <c r="C126" s="9" t="s">
        <v>8228</v>
      </c>
      <c r="D126" s="8" t="s">
        <v>8477</v>
      </c>
      <c r="E126" s="6">
        <f t="shared" si="4"/>
        <v>689</v>
      </c>
      <c r="F126" s="8">
        <v>60</v>
      </c>
      <c r="G126" s="150"/>
      <c r="J126" s="57"/>
      <c r="K126" s="58"/>
      <c r="L126" s="58"/>
      <c r="M126" s="58"/>
      <c r="N126" s="58"/>
      <c r="O126" s="58"/>
      <c r="P126" s="58"/>
      <c r="Q126" s="58"/>
      <c r="R126" s="58"/>
      <c r="S126" s="58"/>
      <c r="T126" s="58"/>
    </row>
    <row r="127" spans="1:20">
      <c r="B127" s="10" t="s">
        <v>8642</v>
      </c>
      <c r="C127" s="9" t="s">
        <v>8228</v>
      </c>
      <c r="D127" s="8" t="s">
        <v>8479</v>
      </c>
      <c r="E127" s="6">
        <f t="shared" si="4"/>
        <v>749</v>
      </c>
      <c r="F127" s="8">
        <v>34</v>
      </c>
      <c r="G127" s="150"/>
      <c r="J127" s="57"/>
      <c r="K127" s="58"/>
      <c r="L127" s="58"/>
      <c r="M127" s="58"/>
      <c r="N127" s="58"/>
      <c r="O127" s="58"/>
      <c r="P127" s="58"/>
      <c r="Q127" s="58"/>
      <c r="R127" s="58"/>
      <c r="S127" s="58"/>
      <c r="T127" s="58"/>
    </row>
    <row r="128" spans="1:20">
      <c r="B128" s="10" t="s">
        <v>8643</v>
      </c>
      <c r="C128" s="9" t="s">
        <v>8228</v>
      </c>
      <c r="D128" s="8" t="s">
        <v>8486</v>
      </c>
      <c r="E128" s="6">
        <f t="shared" si="4"/>
        <v>783</v>
      </c>
      <c r="F128" s="8">
        <v>11</v>
      </c>
      <c r="G128" s="150"/>
      <c r="J128" s="57"/>
      <c r="K128" s="58"/>
      <c r="L128" s="58"/>
      <c r="M128" s="58"/>
      <c r="N128" s="58"/>
      <c r="O128" s="58"/>
      <c r="P128" s="58"/>
      <c r="Q128" s="58"/>
      <c r="R128" s="58"/>
      <c r="S128" s="58"/>
      <c r="T128" s="58"/>
    </row>
    <row r="129" spans="2:20">
      <c r="B129" s="10" t="s">
        <v>8644</v>
      </c>
      <c r="C129" s="9"/>
      <c r="D129" s="8"/>
      <c r="E129" s="6">
        <f t="shared" si="4"/>
        <v>794</v>
      </c>
      <c r="F129" s="8">
        <v>0</v>
      </c>
      <c r="G129" s="150"/>
      <c r="J129" s="57"/>
      <c r="K129" s="58"/>
      <c r="L129" s="58"/>
      <c r="M129" s="58"/>
      <c r="N129" s="58"/>
      <c r="O129" s="58"/>
      <c r="P129" s="58"/>
      <c r="Q129" s="58"/>
      <c r="R129" s="58"/>
      <c r="S129" s="58"/>
      <c r="T129" s="58"/>
    </row>
    <row r="130" spans="2:20">
      <c r="B130" s="10" t="s">
        <v>8645</v>
      </c>
      <c r="C130" s="9" t="s">
        <v>8228</v>
      </c>
      <c r="D130" s="8" t="s">
        <v>8646</v>
      </c>
      <c r="E130" s="6">
        <f t="shared" si="4"/>
        <v>794</v>
      </c>
      <c r="F130" s="8">
        <v>5</v>
      </c>
      <c r="G130" s="150"/>
      <c r="J130" s="57"/>
      <c r="K130" s="58"/>
      <c r="L130" s="58"/>
      <c r="M130" s="58"/>
      <c r="N130" s="58"/>
      <c r="O130" s="58"/>
      <c r="P130" s="58"/>
      <c r="Q130" s="58"/>
      <c r="R130" s="58"/>
      <c r="S130" s="58"/>
      <c r="T130" s="58"/>
    </row>
    <row r="131" spans="2:20">
      <c r="B131" s="10" t="s">
        <v>8647</v>
      </c>
      <c r="C131" s="9" t="s">
        <v>8228</v>
      </c>
      <c r="D131" s="8" t="s">
        <v>8497</v>
      </c>
      <c r="E131" s="6">
        <f t="shared" si="4"/>
        <v>799</v>
      </c>
      <c r="F131" s="8">
        <v>9</v>
      </c>
      <c r="G131" s="150"/>
      <c r="J131" s="57"/>
      <c r="K131" s="58"/>
      <c r="L131" s="58"/>
      <c r="M131" s="58"/>
      <c r="N131" s="58"/>
      <c r="O131" s="58"/>
      <c r="P131" s="58"/>
      <c r="Q131" s="58"/>
      <c r="R131" s="58"/>
      <c r="S131" s="58"/>
      <c r="T131" s="58"/>
    </row>
    <row r="132" spans="2:20">
      <c r="B132" s="18" t="s">
        <v>914</v>
      </c>
      <c r="C132" s="19"/>
      <c r="D132" s="20"/>
      <c r="E132" s="21">
        <f t="shared" si="4"/>
        <v>808</v>
      </c>
      <c r="F132" s="20">
        <v>0</v>
      </c>
      <c r="G132" s="153"/>
      <c r="J132" s="108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</row>
    <row r="133" spans="2:20">
      <c r="B133" s="10" t="s">
        <v>8648</v>
      </c>
      <c r="C133" s="9"/>
      <c r="D133" s="8" t="s">
        <v>8501</v>
      </c>
      <c r="E133" s="6">
        <f t="shared" si="4"/>
        <v>808</v>
      </c>
      <c r="F133" s="8">
        <v>40</v>
      </c>
      <c r="G133" s="151" t="s">
        <v>8264</v>
      </c>
      <c r="J133" s="63" t="s">
        <v>8649</v>
      </c>
      <c r="K133" s="64" t="s">
        <v>8650</v>
      </c>
      <c r="L133" s="64" t="s">
        <v>8651</v>
      </c>
      <c r="M133" s="64"/>
      <c r="N133" s="64"/>
      <c r="O133" s="64" t="s">
        <v>8652</v>
      </c>
      <c r="P133" s="64"/>
      <c r="Q133" s="64"/>
      <c r="R133" s="64"/>
      <c r="S133" s="64"/>
      <c r="T133" s="64"/>
    </row>
    <row r="134" spans="2:20">
      <c r="B134" s="10" t="s">
        <v>8653</v>
      </c>
      <c r="C134" s="9" t="s">
        <v>8228</v>
      </c>
      <c r="D134" s="8" t="s">
        <v>8512</v>
      </c>
      <c r="E134" s="6">
        <f t="shared" si="4"/>
        <v>848</v>
      </c>
      <c r="F134" s="8">
        <v>4</v>
      </c>
      <c r="G134" s="151" t="s">
        <v>8264</v>
      </c>
      <c r="J134" s="57"/>
      <c r="K134" s="58"/>
      <c r="L134" s="58"/>
      <c r="M134" s="58"/>
      <c r="N134" s="58"/>
      <c r="O134" s="58"/>
      <c r="P134" s="58"/>
      <c r="Q134" s="58"/>
      <c r="R134" s="58"/>
      <c r="S134" s="58"/>
      <c r="T134" s="58"/>
    </row>
    <row r="135" spans="2:20">
      <c r="B135" s="10" t="s">
        <v>8654</v>
      </c>
      <c r="C135" s="9"/>
      <c r="D135" s="8" t="s">
        <v>8514</v>
      </c>
      <c r="E135" s="6">
        <f t="shared" si="4"/>
        <v>852</v>
      </c>
      <c r="F135" s="8">
        <v>40</v>
      </c>
      <c r="G135" s="151" t="s">
        <v>8264</v>
      </c>
      <c r="J135" s="57" t="s">
        <v>8655</v>
      </c>
      <c r="K135" s="58" t="s">
        <v>8656</v>
      </c>
      <c r="L135" s="58" t="s">
        <v>8657</v>
      </c>
      <c r="M135" s="58"/>
      <c r="N135" s="58"/>
      <c r="O135" s="58" t="s">
        <v>8658</v>
      </c>
      <c r="P135" s="58"/>
      <c r="Q135" s="58"/>
      <c r="R135" s="58"/>
      <c r="S135" s="58"/>
      <c r="T135" s="58"/>
    </row>
    <row r="136" spans="2:20">
      <c r="B136" s="10" t="s">
        <v>8659</v>
      </c>
      <c r="C136" s="9"/>
      <c r="D136" s="8" t="s">
        <v>8525</v>
      </c>
      <c r="E136" s="6">
        <f t="shared" si="4"/>
        <v>892</v>
      </c>
      <c r="F136" s="8">
        <v>40</v>
      </c>
      <c r="G136" s="151" t="s">
        <v>8264</v>
      </c>
      <c r="J136" s="57" t="s">
        <v>8660</v>
      </c>
      <c r="K136" s="58" t="s">
        <v>8661</v>
      </c>
      <c r="L136" s="58" t="s">
        <v>8662</v>
      </c>
      <c r="M136" s="58"/>
      <c r="N136" s="8"/>
      <c r="O136" s="58" t="s">
        <v>8663</v>
      </c>
      <c r="P136" s="58"/>
      <c r="Q136" s="58"/>
      <c r="R136" s="58"/>
      <c r="S136" s="58"/>
      <c r="T136" s="58"/>
    </row>
    <row r="137" spans="2:20">
      <c r="B137" s="10" t="s">
        <v>8664</v>
      </c>
      <c r="C137" s="9"/>
      <c r="D137" s="8" t="s">
        <v>8536</v>
      </c>
      <c r="E137" s="6">
        <f t="shared" si="4"/>
        <v>932</v>
      </c>
      <c r="F137" s="8">
        <v>40</v>
      </c>
      <c r="G137" s="151" t="s">
        <v>8264</v>
      </c>
      <c r="J137" s="57" t="s">
        <v>8665</v>
      </c>
      <c r="K137" s="58" t="s">
        <v>8666</v>
      </c>
      <c r="L137" s="58" t="s">
        <v>8667</v>
      </c>
      <c r="M137" s="58"/>
      <c r="N137" s="58"/>
      <c r="O137" s="58" t="s">
        <v>8668</v>
      </c>
      <c r="P137" s="58"/>
      <c r="Q137" s="58"/>
      <c r="R137" s="58"/>
      <c r="S137" s="58"/>
      <c r="T137" s="58"/>
    </row>
    <row r="138" spans="2:20">
      <c r="B138" s="10" t="s">
        <v>8669</v>
      </c>
      <c r="C138" s="9"/>
      <c r="D138" s="8" t="s">
        <v>8547</v>
      </c>
      <c r="E138" s="6">
        <f t="shared" si="4"/>
        <v>972</v>
      </c>
      <c r="F138" s="8">
        <v>9</v>
      </c>
      <c r="G138" s="151" t="s">
        <v>8264</v>
      </c>
      <c r="J138" s="57" t="s">
        <v>8670</v>
      </c>
      <c r="K138" s="58" t="s">
        <v>8671</v>
      </c>
      <c r="L138" s="58" t="s">
        <v>8672</v>
      </c>
      <c r="M138" s="58"/>
      <c r="N138" s="58"/>
      <c r="O138" s="58" t="s">
        <v>8673</v>
      </c>
      <c r="P138" s="58"/>
      <c r="Q138" s="58" t="s">
        <v>8672</v>
      </c>
      <c r="R138" s="58" t="s">
        <v>8672</v>
      </c>
      <c r="S138" s="58" t="s">
        <v>8674</v>
      </c>
      <c r="T138" s="58"/>
    </row>
    <row r="139" spans="2:20">
      <c r="B139" s="10" t="s">
        <v>8675</v>
      </c>
      <c r="C139" s="9"/>
      <c r="D139" s="8" t="s">
        <v>8557</v>
      </c>
      <c r="E139" s="6">
        <f t="shared" si="4"/>
        <v>981</v>
      </c>
      <c r="F139" s="8">
        <v>40</v>
      </c>
      <c r="G139" s="151" t="s">
        <v>8264</v>
      </c>
      <c r="J139" s="57" t="s">
        <v>8676</v>
      </c>
      <c r="K139" s="58" t="s">
        <v>8677</v>
      </c>
      <c r="L139" s="58" t="s">
        <v>8678</v>
      </c>
      <c r="M139" s="58"/>
      <c r="N139" s="58"/>
      <c r="O139" s="58" t="s">
        <v>8679</v>
      </c>
      <c r="P139" s="58"/>
      <c r="Q139" s="58"/>
      <c r="R139" s="58"/>
      <c r="S139" s="58"/>
      <c r="T139" s="58"/>
    </row>
    <row r="140" spans="2:20">
      <c r="B140" s="10" t="s">
        <v>8680</v>
      </c>
      <c r="C140" s="9" t="s">
        <v>8228</v>
      </c>
      <c r="D140" s="8" t="s">
        <v>8568</v>
      </c>
      <c r="E140" s="6">
        <f t="shared" si="4"/>
        <v>1021</v>
      </c>
      <c r="F140" s="8">
        <v>3</v>
      </c>
      <c r="G140" s="151" t="s">
        <v>8264</v>
      </c>
      <c r="J140" s="57"/>
      <c r="K140" s="58"/>
      <c r="L140" s="58"/>
      <c r="M140" s="58"/>
      <c r="N140" s="58"/>
      <c r="O140" s="58"/>
      <c r="P140" s="58"/>
      <c r="Q140" s="58"/>
      <c r="R140" s="58"/>
      <c r="S140" s="58"/>
      <c r="T140" s="58"/>
    </row>
    <row r="141" spans="2:20">
      <c r="B141" s="10" t="s">
        <v>8681</v>
      </c>
      <c r="C141" s="9" t="s">
        <v>8228</v>
      </c>
      <c r="D141" s="8" t="s">
        <v>8570</v>
      </c>
      <c r="E141" s="6">
        <f t="shared" si="4"/>
        <v>1024</v>
      </c>
      <c r="F141" s="8">
        <v>40</v>
      </c>
      <c r="G141" s="151" t="s">
        <v>8264</v>
      </c>
      <c r="J141" s="57"/>
      <c r="K141" s="58"/>
      <c r="L141" s="58"/>
      <c r="M141" s="58"/>
      <c r="N141" s="58"/>
      <c r="O141" s="58"/>
      <c r="P141" s="58"/>
      <c r="Q141" s="58"/>
      <c r="R141" s="58"/>
      <c r="S141" s="58"/>
      <c r="T141" s="58"/>
    </row>
    <row r="142" spans="2:20" ht="27.6">
      <c r="B142" s="65" t="s">
        <v>8682</v>
      </c>
      <c r="C142" s="66"/>
      <c r="D142" s="67" t="s">
        <v>8572</v>
      </c>
      <c r="E142" s="81">
        <f t="shared" si="4"/>
        <v>1064</v>
      </c>
      <c r="F142" s="67">
        <v>4</v>
      </c>
      <c r="G142" s="151" t="s">
        <v>8264</v>
      </c>
      <c r="J142" s="68" t="s">
        <v>8683</v>
      </c>
      <c r="K142" s="69" t="s">
        <v>8684</v>
      </c>
      <c r="L142" s="69" t="s">
        <v>8685</v>
      </c>
      <c r="M142" s="69"/>
      <c r="N142" s="69"/>
      <c r="O142" s="69" t="s">
        <v>8686</v>
      </c>
      <c r="P142" s="69"/>
      <c r="Q142" s="69"/>
      <c r="R142" s="69"/>
      <c r="S142" s="69"/>
      <c r="T142" s="69"/>
    </row>
    <row r="143" spans="2:20">
      <c r="B143" s="10" t="s">
        <v>8687</v>
      </c>
      <c r="C143" s="9" t="s">
        <v>8228</v>
      </c>
      <c r="D143" s="8" t="s">
        <v>8688</v>
      </c>
      <c r="E143" s="6">
        <f t="shared" si="4"/>
        <v>1068</v>
      </c>
      <c r="F143" s="8">
        <v>16</v>
      </c>
      <c r="G143" s="150"/>
      <c r="J143" s="57"/>
      <c r="K143" s="58"/>
      <c r="L143" s="58"/>
      <c r="M143" s="58"/>
      <c r="N143" s="58"/>
      <c r="O143" s="58"/>
      <c r="P143" s="58"/>
      <c r="Q143" s="58"/>
      <c r="R143" s="58"/>
      <c r="S143" s="58"/>
      <c r="T143" s="58"/>
    </row>
    <row r="144" spans="2:20">
      <c r="B144" s="10" t="s">
        <v>8689</v>
      </c>
      <c r="C144" s="9" t="s">
        <v>8228</v>
      </c>
      <c r="D144" s="8" t="s">
        <v>8690</v>
      </c>
      <c r="E144" s="6">
        <f t="shared" si="4"/>
        <v>1084</v>
      </c>
      <c r="F144" s="8">
        <v>16</v>
      </c>
      <c r="G144" s="150"/>
      <c r="J144" s="57"/>
      <c r="K144" s="58"/>
      <c r="L144" s="58"/>
      <c r="M144" s="58"/>
      <c r="N144" s="58"/>
      <c r="O144" s="58"/>
      <c r="P144" s="58"/>
      <c r="Q144" s="58"/>
      <c r="R144" s="58"/>
      <c r="S144" s="58"/>
      <c r="T144" s="58"/>
    </row>
    <row r="145" spans="2:20">
      <c r="B145" s="10" t="s">
        <v>8691</v>
      </c>
      <c r="C145" s="9" t="s">
        <v>8228</v>
      </c>
      <c r="D145" s="8" t="s">
        <v>8692</v>
      </c>
      <c r="E145" s="6">
        <f t="shared" si="4"/>
        <v>1100</v>
      </c>
      <c r="F145" s="8">
        <v>60</v>
      </c>
      <c r="G145" s="150"/>
      <c r="J145" s="57"/>
      <c r="K145" s="58"/>
      <c r="L145" s="58"/>
      <c r="M145" s="58"/>
      <c r="N145" s="58"/>
      <c r="O145" s="58"/>
      <c r="P145" s="58"/>
      <c r="Q145" s="58"/>
      <c r="R145" s="58"/>
      <c r="S145" s="58"/>
      <c r="T145" s="58"/>
    </row>
    <row r="146" spans="2:20">
      <c r="B146" s="18" t="s">
        <v>8693</v>
      </c>
      <c r="C146" s="19"/>
      <c r="D146" s="20"/>
      <c r="E146" s="21">
        <f>E145+F145</f>
        <v>1160</v>
      </c>
      <c r="F146" s="20">
        <v>0</v>
      </c>
      <c r="G146" s="153"/>
      <c r="J146" s="108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</row>
    <row r="147" spans="2:20">
      <c r="B147" s="10" t="s">
        <v>8694</v>
      </c>
      <c r="C147" s="9"/>
      <c r="D147" s="8" t="s">
        <v>8695</v>
      </c>
      <c r="E147" s="6">
        <f t="shared" si="4"/>
        <v>1160</v>
      </c>
      <c r="F147" s="8">
        <v>5</v>
      </c>
      <c r="G147" s="151" t="s">
        <v>8264</v>
      </c>
      <c r="J147" s="57"/>
      <c r="K147" s="58"/>
      <c r="L147" s="58"/>
      <c r="M147" s="58"/>
      <c r="N147" s="58"/>
      <c r="O147" s="58"/>
      <c r="P147" s="58"/>
      <c r="Q147" s="58"/>
      <c r="R147" s="58"/>
      <c r="S147" s="58"/>
      <c r="T147" s="58"/>
    </row>
    <row r="148" spans="2:20">
      <c r="B148" s="10" t="s">
        <v>8696</v>
      </c>
      <c r="C148" s="9"/>
      <c r="D148" s="8" t="s">
        <v>8697</v>
      </c>
      <c r="E148" s="6">
        <f>E147+F147</f>
        <v>1165</v>
      </c>
      <c r="F148" s="8">
        <v>10</v>
      </c>
      <c r="G148" s="151" t="s">
        <v>8264</v>
      </c>
      <c r="J148" s="63"/>
      <c r="K148" s="64"/>
      <c r="L148" s="64"/>
      <c r="M148" s="64"/>
      <c r="N148" s="64" t="s">
        <v>8698</v>
      </c>
      <c r="O148" s="64"/>
      <c r="P148" s="64"/>
      <c r="Q148" s="64"/>
      <c r="R148" s="64"/>
      <c r="S148" s="64"/>
      <c r="T148" s="64"/>
    </row>
    <row r="149" spans="2:20">
      <c r="B149" s="10" t="s">
        <v>8699</v>
      </c>
      <c r="C149" s="9"/>
      <c r="D149" s="8" t="s">
        <v>8501</v>
      </c>
      <c r="E149" s="6">
        <f>E148+F148</f>
        <v>1175</v>
      </c>
      <c r="F149" s="8">
        <v>40</v>
      </c>
      <c r="G149" s="151" t="s">
        <v>8264</v>
      </c>
      <c r="J149" s="78" t="s">
        <v>8700</v>
      </c>
      <c r="K149" s="79"/>
      <c r="L149" s="79"/>
      <c r="M149" s="79" t="s">
        <v>8701</v>
      </c>
      <c r="N149" s="79" t="s">
        <v>8702</v>
      </c>
      <c r="O149" s="79"/>
      <c r="P149" s="79"/>
      <c r="Q149" s="79"/>
      <c r="R149" s="79"/>
      <c r="S149" s="79"/>
      <c r="T149" s="79"/>
    </row>
    <row r="150" spans="2:20">
      <c r="B150" s="10" t="s">
        <v>8703</v>
      </c>
      <c r="C150" s="9" t="s">
        <v>8228</v>
      </c>
      <c r="D150" s="8" t="s">
        <v>8512</v>
      </c>
      <c r="E150" s="6">
        <f t="shared" ref="E150:E158" si="5">E149+F149</f>
        <v>1215</v>
      </c>
      <c r="F150" s="8">
        <v>4</v>
      </c>
      <c r="G150" s="151" t="s">
        <v>8264</v>
      </c>
      <c r="J150" s="78"/>
      <c r="K150" s="79"/>
      <c r="L150" s="79"/>
      <c r="M150" s="79"/>
      <c r="N150" s="79"/>
      <c r="O150" s="79"/>
      <c r="P150" s="79"/>
      <c r="Q150" s="79"/>
      <c r="R150" s="79"/>
      <c r="S150" s="79"/>
      <c r="T150" s="79"/>
    </row>
    <row r="151" spans="2:20">
      <c r="B151" s="10" t="s">
        <v>8704</v>
      </c>
      <c r="C151" s="9"/>
      <c r="D151" s="8" t="s">
        <v>8514</v>
      </c>
      <c r="E151" s="6">
        <f t="shared" si="5"/>
        <v>1219</v>
      </c>
      <c r="F151" s="8">
        <v>40</v>
      </c>
      <c r="G151" s="151" t="s">
        <v>8264</v>
      </c>
      <c r="J151" s="78" t="s">
        <v>8705</v>
      </c>
      <c r="K151" s="79"/>
      <c r="L151" s="79"/>
      <c r="M151" s="79" t="s">
        <v>8706</v>
      </c>
      <c r="N151" s="79" t="s">
        <v>8707</v>
      </c>
      <c r="O151" s="79"/>
      <c r="P151" s="79"/>
      <c r="Q151" s="79"/>
      <c r="R151" s="79"/>
      <c r="S151" s="79"/>
      <c r="T151" s="79"/>
    </row>
    <row r="152" spans="2:20">
      <c r="B152" s="10" t="s">
        <v>8708</v>
      </c>
      <c r="C152" s="9"/>
      <c r="D152" s="8" t="s">
        <v>8525</v>
      </c>
      <c r="E152" s="6">
        <f t="shared" si="5"/>
        <v>1259</v>
      </c>
      <c r="F152" s="8">
        <v>40</v>
      </c>
      <c r="G152" s="151" t="s">
        <v>8264</v>
      </c>
      <c r="J152" s="78" t="s">
        <v>8709</v>
      </c>
      <c r="K152" s="79"/>
      <c r="L152" s="79"/>
      <c r="M152" s="79" t="s">
        <v>8710</v>
      </c>
      <c r="N152" s="79" t="s">
        <v>8711</v>
      </c>
      <c r="O152" s="79"/>
      <c r="P152" s="79"/>
      <c r="Q152" s="79"/>
      <c r="R152" s="79"/>
      <c r="S152" s="79"/>
      <c r="T152" s="79"/>
    </row>
    <row r="153" spans="2:20">
      <c r="B153" s="10" t="s">
        <v>8712</v>
      </c>
      <c r="C153" s="9"/>
      <c r="D153" s="8" t="s">
        <v>8536</v>
      </c>
      <c r="E153" s="6">
        <f t="shared" si="5"/>
        <v>1299</v>
      </c>
      <c r="F153" s="8">
        <v>40</v>
      </c>
      <c r="G153" s="151" t="s">
        <v>8264</v>
      </c>
      <c r="J153" s="78" t="s">
        <v>8713</v>
      </c>
      <c r="K153" s="79"/>
      <c r="L153" s="79"/>
      <c r="M153" s="79" t="s">
        <v>8714</v>
      </c>
      <c r="N153" s="79" t="s">
        <v>8715</v>
      </c>
      <c r="O153" s="79"/>
      <c r="P153" s="79"/>
      <c r="Q153" s="79"/>
      <c r="R153" s="79"/>
      <c r="S153" s="79"/>
      <c r="T153" s="79"/>
    </row>
    <row r="154" spans="2:20">
      <c r="B154" s="10" t="s">
        <v>8716</v>
      </c>
      <c r="C154" s="9"/>
      <c r="D154" s="8" t="s">
        <v>8547</v>
      </c>
      <c r="E154" s="6">
        <f t="shared" si="5"/>
        <v>1339</v>
      </c>
      <c r="F154" s="8">
        <v>9</v>
      </c>
      <c r="G154" s="151" t="s">
        <v>8264</v>
      </c>
      <c r="J154" s="78" t="s">
        <v>8717</v>
      </c>
      <c r="K154" s="79"/>
      <c r="L154" s="79"/>
      <c r="M154" s="79" t="s">
        <v>8718</v>
      </c>
      <c r="N154" s="79" t="s">
        <v>8719</v>
      </c>
      <c r="O154" s="79"/>
      <c r="P154" s="79"/>
      <c r="Q154" s="79"/>
      <c r="R154" s="79"/>
      <c r="S154" s="79"/>
      <c r="T154" s="79"/>
    </row>
    <row r="155" spans="2:20">
      <c r="B155" s="10" t="s">
        <v>8720</v>
      </c>
      <c r="C155" s="9"/>
      <c r="D155" s="8" t="s">
        <v>8557</v>
      </c>
      <c r="E155" s="6">
        <f t="shared" si="5"/>
        <v>1348</v>
      </c>
      <c r="F155" s="8">
        <v>40</v>
      </c>
      <c r="G155" s="151" t="s">
        <v>8264</v>
      </c>
      <c r="J155" s="78" t="s">
        <v>8721</v>
      </c>
      <c r="K155" s="79"/>
      <c r="L155" s="79"/>
      <c r="M155" s="79" t="s">
        <v>8722</v>
      </c>
      <c r="N155" s="79" t="s">
        <v>8723</v>
      </c>
      <c r="O155" s="79"/>
      <c r="P155" s="79"/>
      <c r="Q155" s="79"/>
      <c r="R155" s="79"/>
      <c r="S155" s="79"/>
      <c r="T155" s="79"/>
    </row>
    <row r="156" spans="2:20">
      <c r="B156" s="10" t="s">
        <v>8724</v>
      </c>
      <c r="C156" s="9" t="s">
        <v>8228</v>
      </c>
      <c r="D156" s="8" t="s">
        <v>8568</v>
      </c>
      <c r="E156" s="6">
        <f>E155+F155</f>
        <v>1388</v>
      </c>
      <c r="F156" s="8">
        <v>3</v>
      </c>
      <c r="G156" s="151" t="s">
        <v>8264</v>
      </c>
      <c r="J156" s="78"/>
      <c r="K156" s="79"/>
      <c r="L156" s="79"/>
      <c r="M156" s="79"/>
      <c r="N156" s="79"/>
      <c r="O156" s="79"/>
      <c r="P156" s="79"/>
      <c r="Q156" s="79"/>
      <c r="R156" s="79"/>
      <c r="S156" s="79"/>
      <c r="T156" s="79"/>
    </row>
    <row r="157" spans="2:20">
      <c r="B157" s="10" t="s">
        <v>8725</v>
      </c>
      <c r="C157" s="9" t="s">
        <v>8228</v>
      </c>
      <c r="D157" s="8" t="s">
        <v>8570</v>
      </c>
      <c r="E157" s="6">
        <f>E156+F156</f>
        <v>1391</v>
      </c>
      <c r="F157" s="8">
        <v>40</v>
      </c>
      <c r="G157" s="151" t="s">
        <v>8264</v>
      </c>
      <c r="J157" s="78"/>
      <c r="K157" s="79"/>
      <c r="L157" s="79"/>
      <c r="M157" s="79"/>
      <c r="N157" s="79"/>
      <c r="O157" s="79"/>
      <c r="P157" s="79"/>
      <c r="Q157" s="79"/>
      <c r="R157" s="79"/>
      <c r="S157" s="79"/>
      <c r="T157" s="79"/>
    </row>
    <row r="158" spans="2:20" ht="27.6">
      <c r="B158" s="65" t="s">
        <v>8726</v>
      </c>
      <c r="C158" s="66"/>
      <c r="D158" s="67" t="s">
        <v>8572</v>
      </c>
      <c r="E158" s="81">
        <f t="shared" si="5"/>
        <v>1431</v>
      </c>
      <c r="F158" s="67">
        <v>4</v>
      </c>
      <c r="G158" s="151" t="s">
        <v>8264</v>
      </c>
      <c r="J158" s="91" t="s">
        <v>8727</v>
      </c>
      <c r="K158" s="82"/>
      <c r="L158" s="82"/>
      <c r="M158" s="82" t="s">
        <v>8728</v>
      </c>
      <c r="N158" s="82" t="s">
        <v>8729</v>
      </c>
      <c r="O158" s="82"/>
      <c r="P158" s="82"/>
      <c r="Q158" s="82"/>
      <c r="R158" s="82"/>
      <c r="S158" s="82"/>
      <c r="T158" s="82"/>
    </row>
    <row r="159" spans="2:20">
      <c r="B159" s="18" t="s">
        <v>8730</v>
      </c>
      <c r="C159" s="19"/>
      <c r="D159" s="20"/>
      <c r="E159" s="21">
        <f>E158+F158</f>
        <v>1435</v>
      </c>
      <c r="F159" s="20">
        <v>0</v>
      </c>
      <c r="G159" s="153"/>
      <c r="J159" s="108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</row>
    <row r="160" spans="2:20">
      <c r="B160" s="10" t="s">
        <v>8731</v>
      </c>
      <c r="C160" s="9"/>
      <c r="D160" s="8" t="s">
        <v>8732</v>
      </c>
      <c r="E160" s="6">
        <f>E159+F159</f>
        <v>1435</v>
      </c>
      <c r="F160" s="8">
        <v>5</v>
      </c>
      <c r="G160" s="149" t="s">
        <v>8230</v>
      </c>
      <c r="J160" s="72"/>
      <c r="K160" s="73" t="s">
        <v>8733</v>
      </c>
      <c r="L160" s="73" t="s">
        <v>8734</v>
      </c>
      <c r="M160" s="73"/>
      <c r="N160" s="73"/>
      <c r="O160" s="73"/>
      <c r="P160" s="73"/>
      <c r="Q160" s="73"/>
      <c r="R160" s="73"/>
      <c r="S160" s="73"/>
      <c r="T160" s="73"/>
    </row>
    <row r="161" spans="2:20">
      <c r="B161" s="10" t="s">
        <v>8735</v>
      </c>
      <c r="C161" s="9" t="s">
        <v>8228</v>
      </c>
      <c r="D161" s="8" t="s">
        <v>8736</v>
      </c>
      <c r="E161" s="6">
        <f>E160+F160</f>
        <v>1440</v>
      </c>
      <c r="F161" s="8">
        <v>2</v>
      </c>
      <c r="G161" s="149" t="s">
        <v>8230</v>
      </c>
      <c r="J161" s="103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</row>
    <row r="162" spans="2:20">
      <c r="B162" s="138" t="s">
        <v>8737</v>
      </c>
      <c r="C162" s="139" t="s">
        <v>8228</v>
      </c>
      <c r="D162" s="140" t="s">
        <v>8738</v>
      </c>
      <c r="E162" s="141"/>
      <c r="F162" s="140"/>
      <c r="G162" s="151"/>
      <c r="J162" s="100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</row>
    <row r="163" spans="2:20">
      <c r="B163" s="138" t="s">
        <v>8739</v>
      </c>
      <c r="C163" s="139" t="s">
        <v>8228</v>
      </c>
      <c r="D163" s="140" t="s">
        <v>8740</v>
      </c>
      <c r="E163" s="141"/>
      <c r="F163" s="140"/>
      <c r="G163" s="151"/>
      <c r="J163" s="100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</row>
    <row r="164" spans="2:20" ht="28.9">
      <c r="B164" s="126" t="s">
        <v>8741</v>
      </c>
      <c r="C164" s="66" t="s">
        <v>8228</v>
      </c>
      <c r="D164" s="67" t="s">
        <v>8742</v>
      </c>
      <c r="E164" s="6"/>
      <c r="F164" s="8"/>
      <c r="G164" s="150"/>
      <c r="J164" s="100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</row>
    <row r="165" spans="2:20">
      <c r="B165" s="10" t="s">
        <v>8743</v>
      </c>
      <c r="C165" s="9" t="s">
        <v>8228</v>
      </c>
      <c r="D165" s="8" t="s">
        <v>8744</v>
      </c>
      <c r="E165" s="6"/>
      <c r="F165" s="8"/>
      <c r="G165" s="150"/>
      <c r="J165" s="100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</row>
    <row r="166" spans="2:20">
      <c r="B166" s="10" t="s">
        <v>8745</v>
      </c>
      <c r="C166" s="9" t="s">
        <v>8228</v>
      </c>
      <c r="D166" s="8" t="s">
        <v>8746</v>
      </c>
      <c r="E166" s="6"/>
      <c r="F166" s="8"/>
      <c r="G166" s="150"/>
      <c r="J166" s="100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</row>
    <row r="167" spans="2:20">
      <c r="B167" s="10" t="s">
        <v>8747</v>
      </c>
      <c r="C167" s="9" t="s">
        <v>8228</v>
      </c>
      <c r="D167" s="8" t="s">
        <v>8748</v>
      </c>
      <c r="E167" s="6"/>
      <c r="F167" s="8"/>
      <c r="G167" s="150"/>
      <c r="J167" s="100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</row>
    <row r="168" spans="2:20">
      <c r="B168" s="138" t="s">
        <v>8749</v>
      </c>
      <c r="C168" s="139" t="s">
        <v>8228</v>
      </c>
      <c r="D168" s="140" t="s">
        <v>8750</v>
      </c>
      <c r="E168" s="141"/>
      <c r="F168" s="140"/>
      <c r="G168" s="151"/>
      <c r="J168" s="100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</row>
    <row r="169" spans="2:20">
      <c r="B169" s="138" t="s">
        <v>8751</v>
      </c>
      <c r="C169" s="139" t="s">
        <v>8228</v>
      </c>
      <c r="D169" s="140" t="s">
        <v>8752</v>
      </c>
      <c r="E169" s="141"/>
      <c r="F169" s="140"/>
      <c r="G169" s="151"/>
      <c r="J169" s="100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</row>
    <row r="170" spans="2:20">
      <c r="B170" s="24" t="s">
        <v>8753</v>
      </c>
      <c r="C170" s="25"/>
      <c r="D170" s="26"/>
      <c r="E170" s="21">
        <f>E161+F161</f>
        <v>1442</v>
      </c>
      <c r="F170" s="21">
        <v>400</v>
      </c>
      <c r="G170" s="153"/>
      <c r="J170" s="108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</row>
    <row r="171" spans="2:20">
      <c r="B171" s="18" t="s">
        <v>8754</v>
      </c>
      <c r="C171" s="19"/>
      <c r="D171" s="20"/>
      <c r="E171" s="21">
        <f>E170</f>
        <v>1442</v>
      </c>
      <c r="F171" s="20">
        <v>0</v>
      </c>
      <c r="G171" s="153"/>
      <c r="J171" s="108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</row>
    <row r="172" spans="2:20">
      <c r="B172" s="10" t="s">
        <v>8755</v>
      </c>
      <c r="C172" s="9"/>
      <c r="D172" s="8" t="s">
        <v>8756</v>
      </c>
      <c r="E172" s="6">
        <f t="shared" ref="E172" si="6">E171+F171</f>
        <v>1442</v>
      </c>
      <c r="F172" s="8">
        <v>65</v>
      </c>
      <c r="G172" s="151" t="s">
        <v>8264</v>
      </c>
      <c r="J172" s="72" t="s">
        <v>8757</v>
      </c>
      <c r="K172" s="73"/>
      <c r="L172" s="73" t="s">
        <v>8758</v>
      </c>
      <c r="M172" s="73"/>
      <c r="N172" s="73" t="s">
        <v>8759</v>
      </c>
      <c r="O172" s="73"/>
      <c r="P172" s="73"/>
      <c r="Q172" s="73"/>
      <c r="R172" s="73"/>
      <c r="S172" s="73"/>
      <c r="T172" s="73"/>
    </row>
    <row r="173" spans="2:20">
      <c r="B173" s="10" t="s">
        <v>8760</v>
      </c>
      <c r="C173" s="9"/>
      <c r="D173" s="8"/>
      <c r="E173" s="6">
        <f>E172+F172</f>
        <v>1507</v>
      </c>
      <c r="F173" s="8">
        <v>335</v>
      </c>
      <c r="G173" s="150"/>
      <c r="J173" s="78"/>
      <c r="K173" s="79"/>
      <c r="L173" s="79"/>
      <c r="M173" s="79"/>
      <c r="N173" s="79"/>
      <c r="O173" s="79"/>
      <c r="P173" s="79"/>
      <c r="Q173" s="79"/>
      <c r="R173" s="79"/>
      <c r="S173" s="79"/>
      <c r="T173" s="79"/>
    </row>
    <row r="174" spans="2:20">
      <c r="B174" s="18" t="s">
        <v>8761</v>
      </c>
      <c r="C174" s="19"/>
      <c r="D174" s="20"/>
      <c r="E174" s="21">
        <f>E171</f>
        <v>1442</v>
      </c>
      <c r="F174" s="20">
        <v>0</v>
      </c>
      <c r="G174" s="153"/>
      <c r="J174" s="89"/>
      <c r="K174" s="90"/>
      <c r="L174" s="90"/>
      <c r="M174" s="90"/>
      <c r="N174" s="90"/>
      <c r="O174" s="90"/>
      <c r="P174" s="90"/>
      <c r="Q174" s="90"/>
      <c r="R174" s="90"/>
      <c r="S174" s="90"/>
      <c r="T174" s="90"/>
    </row>
    <row r="175" spans="2:20">
      <c r="B175" s="117" t="s">
        <v>8762</v>
      </c>
      <c r="C175" s="118"/>
      <c r="D175" s="119" t="s">
        <v>8763</v>
      </c>
      <c r="E175" s="120">
        <f>E174+F174</f>
        <v>1442</v>
      </c>
      <c r="F175" s="119">
        <v>8</v>
      </c>
      <c r="G175" s="151" t="s">
        <v>8264</v>
      </c>
      <c r="J175" s="72"/>
      <c r="K175" s="73"/>
      <c r="L175" s="73"/>
      <c r="M175" s="73"/>
      <c r="N175" s="73"/>
      <c r="O175" s="73"/>
      <c r="P175" s="73"/>
      <c r="Q175" s="73"/>
      <c r="R175" s="73"/>
      <c r="S175" s="73"/>
      <c r="T175" s="73" t="s">
        <v>8764</v>
      </c>
    </row>
    <row r="176" spans="2:20">
      <c r="B176" s="117" t="s">
        <v>8765</v>
      </c>
      <c r="C176" s="118"/>
      <c r="D176" s="119" t="s">
        <v>8766</v>
      </c>
      <c r="E176" s="120">
        <f t="shared" ref="E176:E183" si="7">E175+F175</f>
        <v>1450</v>
      </c>
      <c r="F176" s="119">
        <v>50</v>
      </c>
      <c r="G176" s="151" t="s">
        <v>8264</v>
      </c>
      <c r="J176" s="78"/>
      <c r="K176" s="79"/>
      <c r="L176" s="79"/>
      <c r="M176" s="79"/>
      <c r="N176" s="79"/>
      <c r="O176" s="79"/>
      <c r="P176" s="79"/>
      <c r="Q176" s="79"/>
      <c r="R176" s="79"/>
      <c r="S176" s="79"/>
      <c r="T176" s="79" t="s">
        <v>8767</v>
      </c>
    </row>
    <row r="177" spans="2:20">
      <c r="B177" s="117" t="s">
        <v>8768</v>
      </c>
      <c r="C177" s="118"/>
      <c r="D177" s="119" t="s">
        <v>8769</v>
      </c>
      <c r="E177" s="120">
        <f t="shared" si="7"/>
        <v>1500</v>
      </c>
      <c r="F177" s="119">
        <v>22</v>
      </c>
      <c r="G177" s="151" t="s">
        <v>8264</v>
      </c>
      <c r="J177" s="78"/>
      <c r="K177" s="79"/>
      <c r="L177" s="79"/>
      <c r="M177" s="79"/>
      <c r="N177" s="79"/>
      <c r="O177" s="79"/>
      <c r="P177" s="79"/>
      <c r="Q177" s="79"/>
      <c r="R177" s="79"/>
      <c r="S177" s="79"/>
      <c r="T177" s="79" t="s">
        <v>8770</v>
      </c>
    </row>
    <row r="178" spans="2:20">
      <c r="B178" s="117" t="s">
        <v>8771</v>
      </c>
      <c r="C178" s="118" t="s">
        <v>8228</v>
      </c>
      <c r="D178" s="119" t="s">
        <v>8772</v>
      </c>
      <c r="E178" s="120">
        <f t="shared" si="7"/>
        <v>1522</v>
      </c>
      <c r="F178" s="119">
        <v>8</v>
      </c>
      <c r="G178" s="151" t="s">
        <v>8264</v>
      </c>
      <c r="J178" s="78"/>
      <c r="K178" s="79"/>
      <c r="L178" s="79"/>
      <c r="M178" s="79"/>
      <c r="N178" s="79"/>
      <c r="O178" s="79"/>
      <c r="P178" s="79"/>
      <c r="Q178" s="79"/>
      <c r="R178" s="79"/>
      <c r="S178" s="79"/>
      <c r="T178" s="79"/>
    </row>
    <row r="179" spans="2:20">
      <c r="B179" s="117" t="s">
        <v>8773</v>
      </c>
      <c r="C179" s="118"/>
      <c r="D179" s="119" t="s">
        <v>8774</v>
      </c>
      <c r="E179" s="120">
        <f t="shared" si="7"/>
        <v>1530</v>
      </c>
      <c r="F179" s="119">
        <v>50</v>
      </c>
      <c r="G179" s="151" t="s">
        <v>8264</v>
      </c>
      <c r="J179" s="78"/>
      <c r="K179" s="79"/>
      <c r="L179" s="79"/>
      <c r="M179" s="79"/>
      <c r="N179" s="79"/>
      <c r="O179" s="79"/>
      <c r="P179" s="79"/>
      <c r="Q179" s="79"/>
      <c r="R179" s="79"/>
      <c r="S179" s="79"/>
      <c r="T179" s="79" t="s">
        <v>8775</v>
      </c>
    </row>
    <row r="180" spans="2:20">
      <c r="B180" s="117" t="s">
        <v>8776</v>
      </c>
      <c r="C180" s="118" t="s">
        <v>8228</v>
      </c>
      <c r="D180" s="119" t="s">
        <v>8777</v>
      </c>
      <c r="E180" s="120">
        <f t="shared" si="7"/>
        <v>1580</v>
      </c>
      <c r="F180" s="119">
        <v>22</v>
      </c>
      <c r="G180" s="151" t="s">
        <v>8264</v>
      </c>
      <c r="J180" s="78"/>
      <c r="K180" s="79"/>
      <c r="L180" s="79"/>
      <c r="M180" s="79"/>
      <c r="N180" s="79"/>
      <c r="O180" s="79"/>
      <c r="P180" s="79"/>
      <c r="Q180" s="79"/>
      <c r="R180" s="79"/>
      <c r="S180" s="79"/>
      <c r="T180" s="79"/>
    </row>
    <row r="181" spans="2:20">
      <c r="B181" s="117" t="s">
        <v>8778</v>
      </c>
      <c r="C181" s="118" t="s">
        <v>8228</v>
      </c>
      <c r="D181" s="119" t="s">
        <v>8779</v>
      </c>
      <c r="E181" s="120">
        <f t="shared" si="7"/>
        <v>1602</v>
      </c>
      <c r="F181" s="119">
        <v>8</v>
      </c>
      <c r="G181" s="151" t="s">
        <v>8264</v>
      </c>
      <c r="J181" s="78"/>
      <c r="K181" s="79"/>
      <c r="L181" s="79"/>
      <c r="M181" s="79"/>
      <c r="N181" s="79"/>
      <c r="O181" s="79"/>
      <c r="P181" s="79"/>
      <c r="Q181" s="79"/>
      <c r="R181" s="79"/>
      <c r="S181" s="79"/>
      <c r="T181" s="79"/>
    </row>
    <row r="182" spans="2:20">
      <c r="B182" s="117" t="s">
        <v>8780</v>
      </c>
      <c r="C182" s="118"/>
      <c r="D182" s="119" t="s">
        <v>8781</v>
      </c>
      <c r="E182" s="120">
        <f t="shared" si="7"/>
        <v>1610</v>
      </c>
      <c r="F182" s="119">
        <v>24</v>
      </c>
      <c r="G182" s="151" t="s">
        <v>8264</v>
      </c>
      <c r="J182" s="78"/>
      <c r="K182" s="79"/>
      <c r="L182" s="79"/>
      <c r="M182" s="79"/>
      <c r="N182" s="79"/>
      <c r="O182" s="79"/>
      <c r="P182" s="79"/>
      <c r="Q182" s="79"/>
      <c r="R182" s="79"/>
      <c r="S182" s="79"/>
      <c r="T182" s="79"/>
    </row>
    <row r="183" spans="2:20">
      <c r="B183" s="117" t="s">
        <v>8782</v>
      </c>
      <c r="C183" s="118"/>
      <c r="D183" s="119" t="s">
        <v>8783</v>
      </c>
      <c r="E183" s="120">
        <f t="shared" si="7"/>
        <v>1634</v>
      </c>
      <c r="F183" s="119">
        <v>8</v>
      </c>
      <c r="G183" s="151" t="s">
        <v>8264</v>
      </c>
      <c r="J183" s="78"/>
      <c r="K183" s="79"/>
      <c r="L183" s="79"/>
      <c r="M183" s="79"/>
      <c r="N183" s="79"/>
      <c r="O183" s="79"/>
      <c r="P183" s="79"/>
      <c r="Q183" s="72" t="s">
        <v>8784</v>
      </c>
      <c r="R183" s="72" t="s">
        <v>8784</v>
      </c>
      <c r="S183" s="79"/>
      <c r="T183" s="79"/>
    </row>
    <row r="184" spans="2:20">
      <c r="B184" s="117" t="s">
        <v>8785</v>
      </c>
      <c r="C184" s="118"/>
      <c r="D184" s="119"/>
      <c r="E184" s="120">
        <f>E183+F183</f>
        <v>1642</v>
      </c>
      <c r="F184" s="119">
        <v>200</v>
      </c>
      <c r="G184" s="151"/>
      <c r="J184" s="78"/>
      <c r="K184" s="79"/>
      <c r="L184" s="79"/>
      <c r="M184" s="79"/>
      <c r="N184" s="79"/>
      <c r="O184" s="79"/>
      <c r="P184" s="79"/>
      <c r="Q184" s="79"/>
      <c r="R184" s="79"/>
      <c r="S184" s="79"/>
      <c r="T184" s="79"/>
    </row>
    <row r="185" spans="2:20">
      <c r="B185" s="18" t="s">
        <v>8786</v>
      </c>
      <c r="C185" s="19"/>
      <c r="D185" s="20"/>
      <c r="E185" s="21">
        <f>E171</f>
        <v>1442</v>
      </c>
      <c r="F185" s="20">
        <v>0</v>
      </c>
      <c r="G185" s="153"/>
      <c r="J185" s="108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</row>
    <row r="186" spans="2:20" s="33" customFormat="1" ht="28.9">
      <c r="B186" s="126" t="s">
        <v>8787</v>
      </c>
      <c r="C186" s="66" t="s">
        <v>8228</v>
      </c>
      <c r="D186" s="67" t="s">
        <v>8788</v>
      </c>
      <c r="E186" s="81">
        <f>E185+F185</f>
        <v>1442</v>
      </c>
      <c r="F186" s="67">
        <v>15</v>
      </c>
      <c r="G186" s="151" t="s">
        <v>8264</v>
      </c>
      <c r="J186" s="99"/>
      <c r="K186" s="95"/>
      <c r="L186" s="95"/>
      <c r="M186" s="95"/>
      <c r="N186" s="95"/>
      <c r="O186" s="95"/>
      <c r="P186" s="95"/>
      <c r="Q186" s="95"/>
      <c r="R186" s="95"/>
      <c r="S186" s="95"/>
      <c r="T186" s="95"/>
    </row>
    <row r="187" spans="2:20">
      <c r="B187" s="10" t="s">
        <v>8789</v>
      </c>
      <c r="C187" s="9" t="s">
        <v>8228</v>
      </c>
      <c r="D187" s="8" t="s">
        <v>8766</v>
      </c>
      <c r="E187" s="6">
        <f>E186+F186</f>
        <v>1457</v>
      </c>
      <c r="F187" s="8">
        <v>50</v>
      </c>
      <c r="G187" s="151" t="s">
        <v>8264</v>
      </c>
      <c r="J187" s="78"/>
      <c r="K187" s="79"/>
      <c r="L187" s="79"/>
      <c r="M187" s="79"/>
      <c r="N187" s="79"/>
      <c r="O187" s="79"/>
      <c r="P187" s="79"/>
      <c r="Q187" s="79"/>
      <c r="R187" s="79"/>
      <c r="S187" s="79"/>
      <c r="T187" s="79"/>
    </row>
    <row r="188" spans="2:20">
      <c r="B188" s="10" t="s">
        <v>8790</v>
      </c>
      <c r="C188" s="9" t="s">
        <v>8228</v>
      </c>
      <c r="D188" s="8" t="s">
        <v>8769</v>
      </c>
      <c r="E188" s="6">
        <f t="shared" ref="E188:E189" si="8">E187+F187</f>
        <v>1507</v>
      </c>
      <c r="F188" s="8">
        <v>22</v>
      </c>
      <c r="G188" s="151" t="s">
        <v>8264</v>
      </c>
      <c r="J188" s="78"/>
      <c r="K188" s="79"/>
      <c r="L188" s="79"/>
      <c r="M188" s="79"/>
      <c r="N188" s="79"/>
      <c r="O188" s="79"/>
      <c r="P188" s="79"/>
      <c r="Q188" s="79"/>
      <c r="R188" s="79"/>
      <c r="S188" s="79"/>
      <c r="T188" s="79"/>
    </row>
    <row r="189" spans="2:20">
      <c r="B189" s="10" t="s">
        <v>8791</v>
      </c>
      <c r="C189" s="9" t="s">
        <v>8228</v>
      </c>
      <c r="D189" s="8" t="s">
        <v>8792</v>
      </c>
      <c r="E189" s="6">
        <f t="shared" si="8"/>
        <v>1529</v>
      </c>
      <c r="F189" s="8">
        <v>10</v>
      </c>
      <c r="G189" s="151" t="s">
        <v>8264</v>
      </c>
      <c r="J189" s="78"/>
      <c r="K189" s="79"/>
      <c r="L189" s="79"/>
      <c r="M189" s="79"/>
      <c r="N189" s="79"/>
      <c r="O189" s="79"/>
      <c r="P189" s="79"/>
      <c r="Q189" s="79"/>
      <c r="R189" s="79"/>
      <c r="S189" s="79"/>
      <c r="T189" s="79"/>
    </row>
    <row r="190" spans="2:20">
      <c r="B190" s="10" t="s">
        <v>8793</v>
      </c>
      <c r="C190" s="9"/>
      <c r="D190" s="8"/>
      <c r="E190" s="6">
        <f>E189+F189</f>
        <v>1539</v>
      </c>
      <c r="F190" s="8">
        <v>303</v>
      </c>
      <c r="G190" s="150"/>
      <c r="J190" s="78"/>
      <c r="K190" s="79"/>
      <c r="L190" s="79"/>
      <c r="M190" s="79"/>
      <c r="N190" s="79"/>
      <c r="O190" s="79"/>
      <c r="P190" s="79"/>
      <c r="Q190" s="79"/>
      <c r="R190" s="79"/>
      <c r="S190" s="79"/>
      <c r="T190" s="79"/>
    </row>
    <row r="191" spans="2:20">
      <c r="B191" s="18" t="s">
        <v>8794</v>
      </c>
      <c r="C191" s="19"/>
      <c r="D191" s="20"/>
      <c r="E191" s="21">
        <f>E170</f>
        <v>1442</v>
      </c>
      <c r="F191" s="20">
        <v>0</v>
      </c>
      <c r="G191" s="153"/>
      <c r="J191" s="108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</row>
    <row r="192" spans="2:20">
      <c r="B192" s="10" t="s">
        <v>8795</v>
      </c>
      <c r="C192" s="9"/>
      <c r="D192" s="8"/>
      <c r="E192" s="8">
        <f t="shared" ref="E192:E205" si="9">E191+F191</f>
        <v>1442</v>
      </c>
      <c r="F192" s="8">
        <v>400</v>
      </c>
      <c r="G192" s="150"/>
      <c r="J192" s="72"/>
      <c r="K192" s="73"/>
      <c r="L192" s="73"/>
      <c r="M192" s="73"/>
      <c r="N192" s="73"/>
      <c r="O192" s="73"/>
      <c r="P192" s="73"/>
      <c r="Q192" s="73"/>
      <c r="R192" s="73"/>
      <c r="S192" s="73"/>
      <c r="T192" s="73"/>
    </row>
    <row r="193" spans="2:20">
      <c r="B193" s="10" t="s">
        <v>8796</v>
      </c>
      <c r="C193" s="9"/>
      <c r="D193" s="8"/>
      <c r="E193" s="8">
        <f t="shared" si="9"/>
        <v>1842</v>
      </c>
      <c r="F193" s="8">
        <v>0</v>
      </c>
      <c r="G193" s="150"/>
      <c r="J193" s="78"/>
      <c r="K193" s="79"/>
      <c r="L193" s="79"/>
      <c r="M193" s="79"/>
      <c r="N193" s="79"/>
      <c r="O193" s="79"/>
      <c r="P193" s="79"/>
      <c r="Q193" s="79"/>
      <c r="R193" s="79"/>
      <c r="S193" s="79"/>
      <c r="T193" s="79"/>
    </row>
    <row r="194" spans="2:20">
      <c r="B194" s="127" t="s">
        <v>8797</v>
      </c>
      <c r="C194" s="9"/>
      <c r="D194" s="8" t="s">
        <v>8798</v>
      </c>
      <c r="E194" s="8">
        <f t="shared" si="9"/>
        <v>1842</v>
      </c>
      <c r="F194" s="8">
        <v>30</v>
      </c>
      <c r="G194" s="151" t="s">
        <v>8264</v>
      </c>
      <c r="J194" s="72"/>
      <c r="K194" s="73" t="s">
        <v>8799</v>
      </c>
      <c r="L194" s="73" t="s">
        <v>8800</v>
      </c>
      <c r="M194" s="73"/>
      <c r="N194" s="73" t="s">
        <v>8801</v>
      </c>
      <c r="O194" s="73"/>
      <c r="P194" s="73"/>
      <c r="Q194" s="73"/>
      <c r="R194" s="73"/>
      <c r="S194" s="73"/>
      <c r="T194" s="73"/>
    </row>
    <row r="195" spans="2:20">
      <c r="B195" s="127" t="s">
        <v>8802</v>
      </c>
      <c r="C195" s="9"/>
      <c r="D195" s="8" t="s">
        <v>8803</v>
      </c>
      <c r="E195" s="8">
        <f t="shared" si="9"/>
        <v>1872</v>
      </c>
      <c r="F195" s="8">
        <v>10</v>
      </c>
      <c r="G195" s="151" t="s">
        <v>8264</v>
      </c>
      <c r="J195" s="78"/>
      <c r="K195" s="79" t="s">
        <v>8804</v>
      </c>
      <c r="L195" s="79"/>
      <c r="M195" s="79"/>
      <c r="N195" s="79" t="s">
        <v>8805</v>
      </c>
      <c r="O195" s="79"/>
      <c r="P195" s="79"/>
      <c r="Q195" s="79"/>
      <c r="R195" s="79"/>
      <c r="S195" s="79"/>
      <c r="T195" s="79"/>
    </row>
    <row r="196" spans="2:20">
      <c r="B196" s="127" t="s">
        <v>8806</v>
      </c>
      <c r="C196" s="9"/>
      <c r="D196" s="8" t="s">
        <v>8807</v>
      </c>
      <c r="E196" s="8">
        <f t="shared" si="9"/>
        <v>1882</v>
      </c>
      <c r="F196" s="8">
        <v>25</v>
      </c>
      <c r="G196" s="151" t="s">
        <v>8264</v>
      </c>
      <c r="J196" s="78"/>
      <c r="K196" s="73" t="s">
        <v>8808</v>
      </c>
      <c r="L196" s="73" t="s">
        <v>8809</v>
      </c>
      <c r="M196" s="73"/>
      <c r="N196" s="73" t="s">
        <v>8810</v>
      </c>
      <c r="O196" s="73"/>
      <c r="P196" s="73"/>
      <c r="Q196" s="73"/>
      <c r="R196" s="73"/>
      <c r="S196" s="73"/>
      <c r="T196" s="79"/>
    </row>
    <row r="197" spans="2:20">
      <c r="B197" s="10" t="s">
        <v>8811</v>
      </c>
      <c r="C197" s="9"/>
      <c r="D197" s="8" t="s">
        <v>8812</v>
      </c>
      <c r="E197" s="8">
        <f t="shared" si="9"/>
        <v>1907</v>
      </c>
      <c r="F197" s="8">
        <v>15</v>
      </c>
      <c r="G197" s="151" t="s">
        <v>8264</v>
      </c>
      <c r="J197" s="78"/>
      <c r="K197" s="79" t="s">
        <v>8813</v>
      </c>
      <c r="L197" s="79" t="s">
        <v>8814</v>
      </c>
      <c r="M197" s="79" t="s">
        <v>8815</v>
      </c>
      <c r="N197" s="79"/>
      <c r="O197" s="79"/>
      <c r="P197" s="79"/>
      <c r="Q197" s="79"/>
      <c r="R197" s="79"/>
      <c r="S197" s="79"/>
      <c r="T197" s="79"/>
    </row>
    <row r="198" spans="2:20">
      <c r="B198" s="127" t="s">
        <v>8816</v>
      </c>
      <c r="C198" s="9"/>
      <c r="D198" s="8"/>
      <c r="E198" s="8">
        <f t="shared" si="9"/>
        <v>1922</v>
      </c>
      <c r="F198" s="8">
        <v>320</v>
      </c>
      <c r="G198" s="150"/>
      <c r="J198" s="78"/>
      <c r="K198" s="79"/>
      <c r="L198" s="79"/>
      <c r="M198" s="79"/>
      <c r="N198" s="79"/>
      <c r="O198" s="79"/>
      <c r="P198" s="79"/>
      <c r="Q198" s="79"/>
      <c r="R198" s="79"/>
      <c r="S198" s="79"/>
      <c r="T198" s="79"/>
    </row>
    <row r="199" spans="2:20">
      <c r="B199" s="10" t="s">
        <v>8817</v>
      </c>
      <c r="C199" s="9"/>
      <c r="D199" s="8"/>
      <c r="E199" s="8">
        <f t="shared" si="9"/>
        <v>2242</v>
      </c>
      <c r="F199" s="8">
        <v>0</v>
      </c>
      <c r="G199" s="150"/>
      <c r="J199" s="78"/>
      <c r="K199" s="79"/>
      <c r="L199" s="79"/>
      <c r="M199" s="79"/>
      <c r="N199" s="79"/>
      <c r="O199" s="79"/>
      <c r="P199" s="79"/>
      <c r="Q199" s="79"/>
      <c r="R199" s="79"/>
      <c r="S199" s="79"/>
      <c r="T199" s="79"/>
    </row>
    <row r="200" spans="2:20">
      <c r="B200" s="10" t="s">
        <v>8818</v>
      </c>
      <c r="C200" s="9"/>
      <c r="D200" s="8" t="s">
        <v>8819</v>
      </c>
      <c r="E200" s="8">
        <f t="shared" si="9"/>
        <v>2242</v>
      </c>
      <c r="F200" s="8">
        <v>25</v>
      </c>
      <c r="G200" s="151" t="s">
        <v>8264</v>
      </c>
      <c r="J200" s="78"/>
      <c r="K200" s="79" t="s">
        <v>8820</v>
      </c>
      <c r="L200" s="79" t="s">
        <v>8821</v>
      </c>
      <c r="M200" s="79" t="s">
        <v>8822</v>
      </c>
      <c r="N200" s="79" t="s">
        <v>8823</v>
      </c>
      <c r="O200" s="79"/>
      <c r="P200" s="79"/>
      <c r="Q200" s="79"/>
      <c r="R200" s="79"/>
      <c r="S200" s="79"/>
      <c r="T200" s="79"/>
    </row>
    <row r="201" spans="2:20">
      <c r="B201" s="10" t="s">
        <v>8824</v>
      </c>
      <c r="C201" s="9" t="s">
        <v>8228</v>
      </c>
      <c r="D201" s="8" t="s">
        <v>8825</v>
      </c>
      <c r="E201" s="8">
        <f t="shared" si="9"/>
        <v>2267</v>
      </c>
      <c r="F201" s="8">
        <v>40</v>
      </c>
      <c r="G201" s="151" t="s">
        <v>8264</v>
      </c>
      <c r="J201" s="78"/>
      <c r="K201" s="79"/>
      <c r="L201" s="79"/>
      <c r="M201" s="79"/>
      <c r="N201" s="79"/>
      <c r="O201" s="79"/>
      <c r="P201" s="79"/>
      <c r="Q201" s="79"/>
      <c r="R201" s="79"/>
      <c r="S201" s="79"/>
      <c r="T201" s="79"/>
    </row>
    <row r="202" spans="2:20">
      <c r="B202" s="10" t="s">
        <v>8826</v>
      </c>
      <c r="C202" s="9"/>
      <c r="D202" s="8"/>
      <c r="E202" s="8">
        <f t="shared" si="9"/>
        <v>2307</v>
      </c>
      <c r="F202" s="8">
        <v>335</v>
      </c>
      <c r="G202" s="150"/>
      <c r="J202" s="78"/>
      <c r="K202" s="79"/>
      <c r="L202" s="79"/>
      <c r="M202" s="79"/>
      <c r="N202" s="79"/>
      <c r="O202" s="79"/>
      <c r="P202" s="79"/>
      <c r="Q202" s="79"/>
      <c r="R202" s="79"/>
      <c r="S202" s="79"/>
      <c r="T202" s="79"/>
    </row>
    <row r="203" spans="2:20">
      <c r="B203" s="10" t="s">
        <v>8827</v>
      </c>
      <c r="C203" s="9"/>
      <c r="D203" s="8"/>
      <c r="E203" s="8">
        <f t="shared" si="9"/>
        <v>2642</v>
      </c>
      <c r="F203" s="8">
        <v>0</v>
      </c>
      <c r="G203" s="150"/>
      <c r="J203" s="78"/>
      <c r="K203" s="79"/>
      <c r="L203" s="79"/>
      <c r="M203" s="79"/>
      <c r="N203" s="79"/>
      <c r="O203" s="79"/>
      <c r="P203" s="79"/>
      <c r="Q203" s="79"/>
      <c r="R203" s="79"/>
      <c r="S203" s="79"/>
      <c r="T203" s="79"/>
    </row>
    <row r="204" spans="2:20">
      <c r="B204" s="10" t="s">
        <v>8828</v>
      </c>
      <c r="C204" s="9"/>
      <c r="D204" s="8"/>
      <c r="E204" s="8">
        <f t="shared" si="9"/>
        <v>2642</v>
      </c>
      <c r="F204" s="8">
        <v>65</v>
      </c>
      <c r="G204" s="151" t="s">
        <v>8264</v>
      </c>
      <c r="J204" s="78"/>
      <c r="K204" s="79"/>
      <c r="L204" s="79"/>
      <c r="M204" s="79"/>
      <c r="N204" s="79"/>
      <c r="O204" s="79"/>
      <c r="P204" s="79"/>
      <c r="Q204" s="79"/>
      <c r="R204" s="79"/>
      <c r="S204" s="79"/>
      <c r="T204" s="79"/>
    </row>
    <row r="205" spans="2:20">
      <c r="B205" s="10" t="s">
        <v>8826</v>
      </c>
      <c r="C205" s="9"/>
      <c r="D205" s="8"/>
      <c r="E205" s="6">
        <f t="shared" si="9"/>
        <v>2707</v>
      </c>
      <c r="F205" s="8">
        <v>335</v>
      </c>
      <c r="G205" s="150"/>
      <c r="J205" s="72"/>
      <c r="K205" s="73"/>
      <c r="L205" s="73"/>
      <c r="M205" s="73"/>
      <c r="N205" s="73"/>
      <c r="O205" s="73"/>
      <c r="P205" s="73"/>
      <c r="Q205" s="73"/>
      <c r="R205" s="73"/>
      <c r="S205" s="73"/>
      <c r="T205" s="73"/>
    </row>
    <row r="206" spans="2:20">
      <c r="B206" s="18" t="s">
        <v>8829</v>
      </c>
      <c r="C206" s="19"/>
      <c r="D206" s="20"/>
      <c r="E206" s="21">
        <f>E170</f>
        <v>1442</v>
      </c>
      <c r="F206" s="20">
        <v>0</v>
      </c>
      <c r="G206" s="153"/>
      <c r="J206" s="108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</row>
    <row r="207" spans="2:20">
      <c r="B207" s="10" t="s">
        <v>8830</v>
      </c>
      <c r="C207" s="9" t="s">
        <v>8228</v>
      </c>
      <c r="D207" s="8" t="s">
        <v>8831</v>
      </c>
      <c r="E207" s="6">
        <f>E206+F206</f>
        <v>1442</v>
      </c>
      <c r="F207" s="8">
        <v>40</v>
      </c>
      <c r="G207" s="151" t="s">
        <v>8264</v>
      </c>
      <c r="J207" s="78"/>
      <c r="K207" s="79"/>
      <c r="L207" s="79"/>
      <c r="M207" s="79"/>
      <c r="N207" s="79"/>
      <c r="O207" s="79"/>
      <c r="P207" s="79"/>
      <c r="Q207" s="79"/>
      <c r="R207" s="79"/>
      <c r="S207" s="79"/>
      <c r="T207" s="79"/>
    </row>
    <row r="208" spans="2:20">
      <c r="B208" s="10" t="s">
        <v>8832</v>
      </c>
      <c r="C208" s="9" t="s">
        <v>8228</v>
      </c>
      <c r="D208" s="8" t="s">
        <v>8514</v>
      </c>
      <c r="E208" s="6">
        <f>E207+F207</f>
        <v>1482</v>
      </c>
      <c r="F208" s="8">
        <v>40</v>
      </c>
      <c r="G208" s="151" t="s">
        <v>8264</v>
      </c>
      <c r="J208" s="78"/>
      <c r="K208" s="79"/>
      <c r="L208" s="79"/>
      <c r="M208" s="79"/>
      <c r="N208" s="79"/>
      <c r="O208" s="79"/>
      <c r="P208" s="79"/>
      <c r="Q208" s="79"/>
      <c r="R208" s="79"/>
      <c r="S208" s="79"/>
      <c r="T208" s="79"/>
    </row>
    <row r="209" spans="1:20">
      <c r="B209" s="10" t="s">
        <v>8833</v>
      </c>
      <c r="C209" s="9" t="s">
        <v>8228</v>
      </c>
      <c r="D209" s="8" t="s">
        <v>8525</v>
      </c>
      <c r="E209" s="6">
        <f t="shared" ref="E209:E212" si="10">E208+F208</f>
        <v>1522</v>
      </c>
      <c r="F209" s="8">
        <v>40</v>
      </c>
      <c r="G209" s="151" t="s">
        <v>8264</v>
      </c>
      <c r="J209" s="78"/>
      <c r="K209" s="79"/>
      <c r="L209" s="79"/>
      <c r="M209" s="79"/>
      <c r="N209" s="79"/>
      <c r="O209" s="79"/>
      <c r="P209" s="79"/>
      <c r="Q209" s="79"/>
      <c r="R209" s="79"/>
      <c r="S209" s="79"/>
      <c r="T209" s="79"/>
    </row>
    <row r="210" spans="1:20">
      <c r="B210" s="10" t="s">
        <v>8834</v>
      </c>
      <c r="C210" s="9" t="s">
        <v>8228</v>
      </c>
      <c r="D210" s="8" t="s">
        <v>8536</v>
      </c>
      <c r="E210" s="6">
        <f t="shared" si="10"/>
        <v>1562</v>
      </c>
      <c r="F210" s="8">
        <v>40</v>
      </c>
      <c r="G210" s="151" t="s">
        <v>8264</v>
      </c>
      <c r="J210" s="78"/>
      <c r="K210" s="79"/>
      <c r="L210" s="79"/>
      <c r="M210" s="79"/>
      <c r="N210" s="79"/>
      <c r="O210" s="79"/>
      <c r="P210" s="79"/>
      <c r="Q210" s="79"/>
      <c r="R210" s="79"/>
      <c r="S210" s="79"/>
      <c r="T210" s="79"/>
    </row>
    <row r="211" spans="1:20">
      <c r="B211" s="10" t="s">
        <v>8835</v>
      </c>
      <c r="C211" s="9" t="s">
        <v>8228</v>
      </c>
      <c r="D211" s="8" t="s">
        <v>8547</v>
      </c>
      <c r="E211" s="6">
        <f t="shared" si="10"/>
        <v>1602</v>
      </c>
      <c r="F211" s="8">
        <v>9</v>
      </c>
      <c r="G211" s="151" t="s">
        <v>8264</v>
      </c>
      <c r="J211" s="57"/>
      <c r="K211" s="58"/>
      <c r="L211" s="58"/>
      <c r="M211" s="58"/>
      <c r="N211" s="58"/>
      <c r="O211" s="58"/>
      <c r="P211" s="58"/>
      <c r="Q211" s="58"/>
      <c r="R211" s="58"/>
      <c r="S211" s="58"/>
      <c r="T211" s="58"/>
    </row>
    <row r="212" spans="1:20">
      <c r="B212" s="10" t="s">
        <v>8836</v>
      </c>
      <c r="C212" s="9" t="s">
        <v>8228</v>
      </c>
      <c r="D212" s="8" t="s">
        <v>8557</v>
      </c>
      <c r="E212" s="6">
        <f t="shared" si="10"/>
        <v>1611</v>
      </c>
      <c r="F212" s="8">
        <v>40</v>
      </c>
      <c r="G212" s="151" t="s">
        <v>8264</v>
      </c>
      <c r="J212" s="57"/>
      <c r="K212" s="58"/>
      <c r="L212" s="58"/>
      <c r="M212" s="58"/>
      <c r="N212" s="58"/>
      <c r="O212" s="58"/>
      <c r="P212" s="58"/>
      <c r="Q212" s="58"/>
      <c r="R212" s="58"/>
      <c r="S212" s="58"/>
      <c r="T212" s="58"/>
    </row>
    <row r="213" spans="1:20">
      <c r="B213" s="10" t="s">
        <v>8837</v>
      </c>
      <c r="C213" s="9"/>
      <c r="D213" s="8"/>
      <c r="E213" s="6">
        <f>E212+F212</f>
        <v>1651</v>
      </c>
      <c r="F213" s="8">
        <v>191</v>
      </c>
      <c r="G213" s="150"/>
      <c r="J213" s="57"/>
      <c r="K213" s="58"/>
      <c r="L213" s="58"/>
      <c r="M213" s="58"/>
      <c r="N213" s="58"/>
      <c r="O213" s="58"/>
      <c r="P213" s="58"/>
      <c r="Q213" s="58"/>
      <c r="R213" s="58"/>
      <c r="S213" s="58"/>
      <c r="T213" s="58"/>
    </row>
    <row r="214" spans="1:20">
      <c r="B214" s="18" t="s">
        <v>8838</v>
      </c>
      <c r="C214" s="19"/>
      <c r="D214" s="20"/>
      <c r="E214" s="21">
        <f>E170</f>
        <v>1442</v>
      </c>
      <c r="F214" s="20">
        <v>0</v>
      </c>
      <c r="G214" s="153"/>
      <c r="J214" s="57"/>
      <c r="K214" s="58"/>
      <c r="L214" s="58"/>
      <c r="M214" s="58"/>
      <c r="N214" s="58"/>
      <c r="O214" s="58"/>
      <c r="P214" s="58"/>
      <c r="Q214" s="58"/>
      <c r="R214" s="58"/>
      <c r="S214" s="58"/>
      <c r="T214" s="58"/>
    </row>
    <row r="215" spans="1:20">
      <c r="B215" s="10" t="s">
        <v>8839</v>
      </c>
      <c r="C215" s="9" t="s">
        <v>8228</v>
      </c>
      <c r="D215" s="8" t="s">
        <v>8831</v>
      </c>
      <c r="E215" s="6">
        <f>E214+F214</f>
        <v>1442</v>
      </c>
      <c r="F215" s="8">
        <v>65</v>
      </c>
      <c r="G215" s="151" t="s">
        <v>8264</v>
      </c>
      <c r="J215" s="57"/>
      <c r="K215" s="58"/>
      <c r="L215" s="58"/>
      <c r="M215" s="58"/>
      <c r="N215" s="58"/>
      <c r="O215" s="58"/>
      <c r="P215" s="58"/>
      <c r="Q215" s="58"/>
      <c r="R215" s="58"/>
      <c r="S215" s="58"/>
      <c r="T215" s="58"/>
    </row>
    <row r="216" spans="1:20">
      <c r="B216" s="127" t="s">
        <v>8760</v>
      </c>
      <c r="C216" s="9"/>
      <c r="D216" s="8"/>
      <c r="E216" s="6">
        <f>E215+F215</f>
        <v>1507</v>
      </c>
      <c r="F216" s="129">
        <v>335</v>
      </c>
      <c r="G216" s="154"/>
      <c r="J216" s="57"/>
      <c r="K216" s="58"/>
      <c r="L216" s="58"/>
      <c r="M216" s="58"/>
      <c r="N216" s="58"/>
      <c r="O216" s="58"/>
      <c r="P216" s="58"/>
      <c r="Q216" s="58"/>
      <c r="R216" s="58"/>
      <c r="S216" s="58"/>
      <c r="T216" s="58"/>
    </row>
    <row r="217" spans="1:20">
      <c r="B217" s="18" t="s">
        <v>8840</v>
      </c>
      <c r="C217" s="19"/>
      <c r="D217" s="20"/>
      <c r="E217" s="20">
        <f>E170+F170</f>
        <v>1842</v>
      </c>
      <c r="F217" s="129">
        <v>343</v>
      </c>
      <c r="G217" s="154"/>
      <c r="J217" s="108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</row>
    <row r="218" spans="1:20">
      <c r="B218" s="14" t="s">
        <v>8355</v>
      </c>
      <c r="C218" s="15"/>
      <c r="D218" s="80" t="s">
        <v>8841</v>
      </c>
      <c r="E218" s="17">
        <f>E42+F42</f>
        <v>62</v>
      </c>
      <c r="F218" s="17">
        <v>0</v>
      </c>
      <c r="G218" s="148"/>
      <c r="J218" s="70"/>
      <c r="K218" s="71"/>
      <c r="L218" s="71"/>
      <c r="M218" s="71"/>
      <c r="N218" s="71"/>
      <c r="O218" s="71"/>
      <c r="P218" s="71"/>
      <c r="Q218" s="71"/>
      <c r="R218" s="71"/>
      <c r="S218" s="71"/>
      <c r="T218" s="71"/>
    </row>
    <row r="219" spans="1:20">
      <c r="B219" s="18" t="s">
        <v>8842</v>
      </c>
      <c r="C219" s="19"/>
      <c r="D219" s="20" t="s">
        <v>8843</v>
      </c>
      <c r="E219" s="21">
        <f t="shared" ref="E219:E225" si="11">E218+F218</f>
        <v>62</v>
      </c>
      <c r="F219" s="20">
        <v>0</v>
      </c>
      <c r="G219" s="151" t="s">
        <v>8264</v>
      </c>
      <c r="J219" s="85"/>
      <c r="K219" s="86"/>
      <c r="L219" s="86"/>
      <c r="M219" s="86"/>
      <c r="N219" s="86"/>
      <c r="O219" s="86"/>
      <c r="P219" s="86"/>
      <c r="Q219" s="86"/>
      <c r="R219" s="86"/>
      <c r="S219" s="86"/>
      <c r="T219" s="86"/>
    </row>
    <row r="220" spans="1:20" ht="55.15">
      <c r="A220" s="155"/>
      <c r="B220" s="65" t="s">
        <v>8844</v>
      </c>
      <c r="C220" s="66"/>
      <c r="D220" s="67" t="s">
        <v>8845</v>
      </c>
      <c r="E220" s="81">
        <f t="shared" si="11"/>
        <v>62</v>
      </c>
      <c r="F220" s="67">
        <v>16</v>
      </c>
      <c r="G220" s="151" t="s">
        <v>8264</v>
      </c>
      <c r="J220" s="159" t="s">
        <v>8846</v>
      </c>
      <c r="K220" s="158" t="s">
        <v>8376</v>
      </c>
      <c r="L220" s="157" t="s">
        <v>8377</v>
      </c>
      <c r="M220" s="94" t="s">
        <v>8847</v>
      </c>
      <c r="N220" s="94" t="s">
        <v>8848</v>
      </c>
      <c r="O220" s="94" t="s">
        <v>8849</v>
      </c>
      <c r="P220" s="94" t="s">
        <v>8850</v>
      </c>
      <c r="Q220" s="94"/>
      <c r="R220" s="94"/>
      <c r="S220" s="93" t="s">
        <v>8851</v>
      </c>
      <c r="T220" s="94" t="s">
        <v>8852</v>
      </c>
    </row>
    <row r="221" spans="1:20" ht="27.6">
      <c r="B221" s="65" t="s">
        <v>8853</v>
      </c>
      <c r="C221" s="66"/>
      <c r="D221" s="67" t="s">
        <v>8854</v>
      </c>
      <c r="E221" s="81">
        <f t="shared" si="11"/>
        <v>78</v>
      </c>
      <c r="F221" s="67">
        <v>8</v>
      </c>
      <c r="G221" s="151" t="s">
        <v>8264</v>
      </c>
      <c r="J221" s="97" t="s">
        <v>8855</v>
      </c>
      <c r="K221" s="94" t="s">
        <v>8856</v>
      </c>
      <c r="L221" s="94" t="s">
        <v>8857</v>
      </c>
      <c r="M221" s="94"/>
      <c r="N221" s="94" t="s">
        <v>8858</v>
      </c>
      <c r="O221" s="94" t="s">
        <v>8859</v>
      </c>
      <c r="P221" s="94"/>
      <c r="Q221" s="94"/>
      <c r="R221" s="94"/>
      <c r="S221" s="94" t="s">
        <v>8860</v>
      </c>
      <c r="T221" s="94" t="s">
        <v>8861</v>
      </c>
    </row>
    <row r="222" spans="1:20" ht="27.6">
      <c r="B222" s="65" t="s">
        <v>8862</v>
      </c>
      <c r="C222" s="66"/>
      <c r="D222" s="67" t="s">
        <v>8863</v>
      </c>
      <c r="E222" s="81">
        <f t="shared" si="11"/>
        <v>86</v>
      </c>
      <c r="F222" s="67">
        <v>8</v>
      </c>
      <c r="G222" s="151" t="s">
        <v>8264</v>
      </c>
      <c r="J222" s="102" t="s">
        <v>8864</v>
      </c>
      <c r="K222" s="95" t="s">
        <v>8865</v>
      </c>
      <c r="L222" s="95" t="s">
        <v>8866</v>
      </c>
      <c r="M222" s="95"/>
      <c r="N222" s="95" t="s">
        <v>8867</v>
      </c>
      <c r="O222" s="95" t="s">
        <v>8868</v>
      </c>
      <c r="P222" s="95"/>
      <c r="Q222" s="95"/>
      <c r="R222" s="95"/>
      <c r="S222" s="95" t="s">
        <v>8869</v>
      </c>
      <c r="T222" s="95" t="s">
        <v>8870</v>
      </c>
    </row>
    <row r="223" spans="1:20" ht="27.6">
      <c r="A223" s="155"/>
      <c r="B223" s="65" t="s">
        <v>8871</v>
      </c>
      <c r="C223" s="66"/>
      <c r="D223" s="67" t="s">
        <v>8872</v>
      </c>
      <c r="E223" s="81">
        <f t="shared" si="11"/>
        <v>94</v>
      </c>
      <c r="F223" s="67">
        <v>8</v>
      </c>
      <c r="G223" s="151" t="s">
        <v>8264</v>
      </c>
      <c r="J223" s="98"/>
      <c r="K223" s="94"/>
      <c r="L223" s="158" t="s">
        <v>8873</v>
      </c>
      <c r="M223" s="94" t="s">
        <v>8874</v>
      </c>
      <c r="N223" s="94" t="s">
        <v>8875</v>
      </c>
      <c r="O223" s="94"/>
      <c r="P223" s="94" t="s">
        <v>8876</v>
      </c>
      <c r="Q223" s="94"/>
      <c r="R223" s="94"/>
      <c r="S223" s="93" t="s">
        <v>8877</v>
      </c>
      <c r="T223" s="94"/>
    </row>
    <row r="224" spans="1:20" s="33" customFormat="1" ht="55.15">
      <c r="B224" s="137" t="s">
        <v>8878</v>
      </c>
      <c r="C224" s="66"/>
      <c r="D224" s="67" t="s">
        <v>8879</v>
      </c>
      <c r="E224" s="81">
        <f t="shared" si="11"/>
        <v>102</v>
      </c>
      <c r="F224" s="67">
        <v>15</v>
      </c>
      <c r="G224" s="151" t="s">
        <v>8264</v>
      </c>
      <c r="J224" s="97" t="s">
        <v>8880</v>
      </c>
      <c r="K224" s="94"/>
      <c r="L224" s="94"/>
      <c r="M224" s="94"/>
      <c r="N224" s="94" t="s">
        <v>8881</v>
      </c>
      <c r="O224" s="93" t="s">
        <v>8882</v>
      </c>
      <c r="P224" s="94" t="s">
        <v>8883</v>
      </c>
      <c r="Q224" s="94"/>
      <c r="R224" s="94"/>
      <c r="S224" s="93" t="s">
        <v>8884</v>
      </c>
      <c r="T224" s="94" t="s">
        <v>8885</v>
      </c>
    </row>
    <row r="225" spans="2:20" s="33" customFormat="1" ht="28.9">
      <c r="B225" s="137" t="s">
        <v>8886</v>
      </c>
      <c r="C225" s="66"/>
      <c r="D225" s="67" t="s">
        <v>8887</v>
      </c>
      <c r="E225" s="81">
        <f t="shared" si="11"/>
        <v>117</v>
      </c>
      <c r="F225" s="67">
        <v>15</v>
      </c>
      <c r="G225" s="151" t="s">
        <v>8264</v>
      </c>
      <c r="J225" s="98"/>
      <c r="K225" s="94"/>
      <c r="L225" s="94"/>
      <c r="M225" s="94"/>
      <c r="N225" s="94"/>
      <c r="O225" s="94" t="s">
        <v>8888</v>
      </c>
      <c r="P225" s="94" t="s">
        <v>8889</v>
      </c>
      <c r="Q225" s="94"/>
      <c r="R225" s="94"/>
      <c r="S225" s="93" t="s">
        <v>8890</v>
      </c>
      <c r="T225" s="94"/>
    </row>
    <row r="226" spans="2:20" s="33" customFormat="1" ht="28.9">
      <c r="B226" s="137" t="s">
        <v>8891</v>
      </c>
      <c r="C226" s="66"/>
      <c r="D226" s="67" t="s">
        <v>8892</v>
      </c>
      <c r="E226" s="81">
        <f>E225+F225</f>
        <v>132</v>
      </c>
      <c r="F226" s="67">
        <v>15</v>
      </c>
      <c r="G226" s="151" t="s">
        <v>8264</v>
      </c>
      <c r="J226" s="99" t="s">
        <v>8893</v>
      </c>
      <c r="K226" s="95"/>
      <c r="L226" s="95"/>
      <c r="M226" s="95"/>
      <c r="N226" s="95"/>
      <c r="O226" s="95" t="s">
        <v>8894</v>
      </c>
      <c r="P226" s="95" t="s">
        <v>8895</v>
      </c>
      <c r="Q226" s="95"/>
      <c r="R226" s="95"/>
      <c r="S226" s="96"/>
      <c r="T226" s="95"/>
    </row>
    <row r="227" spans="2:20" s="33" customFormat="1" ht="28.9">
      <c r="B227" s="137" t="s">
        <v>8896</v>
      </c>
      <c r="C227" s="66"/>
      <c r="D227" s="67" t="s">
        <v>8897</v>
      </c>
      <c r="E227" s="81">
        <f>E226+F226</f>
        <v>147</v>
      </c>
      <c r="F227" s="67">
        <v>15</v>
      </c>
      <c r="G227" s="151" t="s">
        <v>8264</v>
      </c>
      <c r="J227" s="99" t="s">
        <v>8898</v>
      </c>
      <c r="K227" s="95" t="s">
        <v>8899</v>
      </c>
      <c r="L227" s="95" t="s">
        <v>8900</v>
      </c>
      <c r="M227" s="95" t="s">
        <v>8901</v>
      </c>
      <c r="N227" s="95"/>
      <c r="O227" s="96" t="s">
        <v>8902</v>
      </c>
      <c r="P227" s="95"/>
      <c r="Q227" s="95"/>
      <c r="R227" s="95"/>
      <c r="S227" s="96" t="s">
        <v>8903</v>
      </c>
      <c r="T227" s="95" t="s">
        <v>8904</v>
      </c>
    </row>
    <row r="228" spans="2:20">
      <c r="B228" s="18" t="s">
        <v>8905</v>
      </c>
      <c r="C228" s="19"/>
      <c r="D228" s="20"/>
      <c r="E228" s="21">
        <f>E227+F227</f>
        <v>162</v>
      </c>
      <c r="F228" s="21">
        <v>2038</v>
      </c>
      <c r="G228" s="153"/>
      <c r="J228" s="83"/>
      <c r="K228" s="84"/>
      <c r="L228" s="84"/>
      <c r="M228" s="84"/>
      <c r="N228" s="84"/>
      <c r="O228" s="84"/>
      <c r="P228" s="84"/>
      <c r="Q228" s="84"/>
      <c r="R228" s="84"/>
      <c r="S228" s="84"/>
      <c r="T228" s="84"/>
    </row>
    <row r="229" spans="2:20">
      <c r="B229" s="14" t="s">
        <v>8355</v>
      </c>
      <c r="C229" s="15"/>
      <c r="D229" s="16"/>
      <c r="E229" s="17">
        <f>E42+F42</f>
        <v>62</v>
      </c>
      <c r="F229" s="17">
        <v>0</v>
      </c>
      <c r="G229" s="148"/>
      <c r="J229" s="70"/>
      <c r="K229" s="71"/>
      <c r="L229" s="71"/>
      <c r="M229" s="71"/>
      <c r="N229" s="71"/>
      <c r="O229" s="71"/>
      <c r="P229" s="71"/>
      <c r="Q229" s="71"/>
      <c r="R229" s="71"/>
      <c r="S229" s="71"/>
      <c r="T229" s="71"/>
    </row>
    <row r="230" spans="2:20">
      <c r="B230" s="18" t="s">
        <v>8906</v>
      </c>
      <c r="C230" s="19"/>
      <c r="D230" s="20" t="s">
        <v>8907</v>
      </c>
      <c r="E230" s="21">
        <f t="shared" ref="E230:E235" si="12">E229+F229</f>
        <v>62</v>
      </c>
      <c r="F230" s="20">
        <v>0</v>
      </c>
      <c r="G230" s="151" t="s">
        <v>8264</v>
      </c>
      <c r="J230" s="85"/>
      <c r="K230" s="86"/>
      <c r="L230" s="86"/>
      <c r="M230" s="86"/>
      <c r="N230" s="86"/>
      <c r="O230" s="86"/>
      <c r="P230" s="86"/>
      <c r="Q230" s="86"/>
      <c r="R230" s="86"/>
      <c r="S230" s="86"/>
      <c r="T230" s="86"/>
    </row>
    <row r="231" spans="2:20" s="33" customFormat="1" ht="28.9">
      <c r="B231" s="137" t="s">
        <v>8908</v>
      </c>
      <c r="C231" s="66"/>
      <c r="D231" s="67" t="s">
        <v>8909</v>
      </c>
      <c r="E231" s="81">
        <f t="shared" si="12"/>
        <v>62</v>
      </c>
      <c r="F231" s="67">
        <v>15</v>
      </c>
      <c r="G231" s="150"/>
      <c r="J231" s="98"/>
      <c r="K231" s="94"/>
      <c r="L231" s="94"/>
      <c r="M231" s="94"/>
      <c r="N231" s="94"/>
      <c r="O231" s="94"/>
      <c r="P231" s="94"/>
      <c r="Q231" s="94"/>
      <c r="R231" s="94"/>
      <c r="S231" s="94"/>
      <c r="T231" s="94"/>
    </row>
    <row r="232" spans="2:20" s="33" customFormat="1" ht="28.9">
      <c r="B232" s="137" t="s">
        <v>8910</v>
      </c>
      <c r="C232" s="66"/>
      <c r="D232" s="67" t="s">
        <v>8911</v>
      </c>
      <c r="E232" s="81">
        <f t="shared" si="12"/>
        <v>77</v>
      </c>
      <c r="F232" s="67">
        <v>15</v>
      </c>
      <c r="G232" s="150"/>
      <c r="J232" s="99"/>
      <c r="K232" s="95"/>
      <c r="L232" s="95"/>
      <c r="M232" s="95"/>
      <c r="N232" s="95"/>
      <c r="O232" s="95"/>
      <c r="P232" s="95"/>
      <c r="Q232" s="95"/>
      <c r="R232" s="95"/>
      <c r="S232" s="95"/>
      <c r="T232" s="95"/>
    </row>
    <row r="233" spans="2:20" s="33" customFormat="1" ht="28.9">
      <c r="B233" s="137" t="s">
        <v>8912</v>
      </c>
      <c r="C233" s="66"/>
      <c r="D233" s="67" t="s">
        <v>8913</v>
      </c>
      <c r="E233" s="81">
        <f t="shared" si="12"/>
        <v>92</v>
      </c>
      <c r="F233" s="67">
        <v>15</v>
      </c>
      <c r="G233" s="150"/>
      <c r="J233" s="99"/>
      <c r="K233" s="95"/>
      <c r="L233" s="95"/>
      <c r="M233" s="95"/>
      <c r="N233" s="95"/>
      <c r="O233" s="95"/>
      <c r="P233" s="95"/>
      <c r="Q233" s="95"/>
      <c r="R233" s="95"/>
      <c r="S233" s="95"/>
      <c r="T233" s="95"/>
    </row>
    <row r="234" spans="2:20" s="33" customFormat="1" ht="28.9">
      <c r="B234" s="137" t="s">
        <v>8914</v>
      </c>
      <c r="C234" s="66"/>
      <c r="D234" s="67" t="s">
        <v>8915</v>
      </c>
      <c r="E234" s="81">
        <f t="shared" si="12"/>
        <v>107</v>
      </c>
      <c r="F234" s="67">
        <v>15</v>
      </c>
      <c r="G234" s="150"/>
      <c r="J234" s="99"/>
      <c r="K234" s="95"/>
      <c r="L234" s="95"/>
      <c r="M234" s="95"/>
      <c r="N234" s="95"/>
      <c r="O234" s="95"/>
      <c r="P234" s="95"/>
      <c r="Q234" s="95"/>
      <c r="R234" s="95"/>
      <c r="S234" s="95"/>
      <c r="T234" s="95"/>
    </row>
    <row r="235" spans="2:20">
      <c r="B235" s="18" t="s">
        <v>8916</v>
      </c>
      <c r="C235" s="19"/>
      <c r="D235" s="20"/>
      <c r="E235" s="21">
        <f t="shared" si="12"/>
        <v>122</v>
      </c>
      <c r="F235" s="20">
        <v>2078</v>
      </c>
      <c r="G235" s="153"/>
      <c r="J235" s="85"/>
      <c r="K235" s="86"/>
      <c r="L235" s="86"/>
      <c r="M235" s="86"/>
      <c r="N235" s="86"/>
      <c r="O235" s="86"/>
      <c r="P235" s="86"/>
      <c r="Q235" s="86"/>
      <c r="R235" s="86"/>
      <c r="S235" s="86"/>
      <c r="T235" s="86"/>
    </row>
    <row r="236" spans="2:20">
      <c r="D236" s="7" t="s">
        <v>8917</v>
      </c>
      <c r="E236" s="11">
        <f>E43+F43</f>
        <v>2200</v>
      </c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</row>
    <row r="237" spans="2:20"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</row>
    <row r="238" spans="2:20">
      <c r="B238" s="49"/>
      <c r="C238" t="s">
        <v>8918</v>
      </c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</row>
    <row r="239" spans="2:20">
      <c r="B239" s="49"/>
      <c r="D239" t="s">
        <v>8242</v>
      </c>
      <c r="J239" s="54" t="s">
        <v>8919</v>
      </c>
      <c r="K239" s="54" t="s">
        <v>8920</v>
      </c>
      <c r="L239" s="54"/>
      <c r="M239" s="54" t="s">
        <v>8921</v>
      </c>
      <c r="N239" s="54" t="s">
        <v>8922</v>
      </c>
      <c r="O239" s="54" t="s">
        <v>8923</v>
      </c>
      <c r="P239" s="54"/>
      <c r="Q239" s="54"/>
      <c r="R239" s="54"/>
      <c r="S239" s="54"/>
      <c r="T239" s="54" t="s">
        <v>8924</v>
      </c>
    </row>
    <row r="240" spans="2:20">
      <c r="D240" t="s">
        <v>8925</v>
      </c>
      <c r="J240" s="54" t="s">
        <v>8926</v>
      </c>
      <c r="K240" s="54"/>
      <c r="L240" s="54"/>
      <c r="M240" s="54"/>
      <c r="N240" s="54" t="s">
        <v>8927</v>
      </c>
      <c r="O240" s="54" t="s">
        <v>8928</v>
      </c>
      <c r="P240" s="54"/>
      <c r="Q240" s="54"/>
      <c r="R240" s="54"/>
      <c r="S240" s="54"/>
      <c r="T240" s="54"/>
    </row>
    <row r="241" spans="4:20">
      <c r="D241" t="s">
        <v>8929</v>
      </c>
      <c r="J241" s="54" t="s">
        <v>8930</v>
      </c>
      <c r="K241" s="54"/>
      <c r="L241" s="54"/>
      <c r="M241" s="54"/>
      <c r="N241" s="54"/>
      <c r="O241" s="54"/>
      <c r="P241" s="54"/>
      <c r="Q241" s="54"/>
      <c r="R241" s="54"/>
      <c r="S241" s="54"/>
      <c r="T241" s="54"/>
    </row>
    <row r="242" spans="4:20">
      <c r="D242" t="s">
        <v>8931</v>
      </c>
      <c r="J242" s="54" t="s">
        <v>8932</v>
      </c>
      <c r="K242" s="54"/>
      <c r="L242" s="54"/>
      <c r="M242" s="54"/>
      <c r="N242" s="54"/>
      <c r="O242" s="54"/>
      <c r="P242" s="54"/>
      <c r="Q242" s="54"/>
      <c r="R242" s="54"/>
      <c r="S242" s="54"/>
      <c r="T242" s="54"/>
    </row>
    <row r="243" spans="4:20">
      <c r="D243" s="87" t="s">
        <v>8250</v>
      </c>
      <c r="J243" s="88" t="s">
        <v>8933</v>
      </c>
      <c r="K243" s="54"/>
      <c r="L243" s="54"/>
      <c r="M243" s="54"/>
      <c r="N243" s="88" t="s">
        <v>8934</v>
      </c>
      <c r="O243" s="54"/>
      <c r="P243" s="54"/>
      <c r="Q243" s="54"/>
      <c r="R243" s="54"/>
      <c r="S243" s="54"/>
      <c r="T243" s="54"/>
    </row>
    <row r="244" spans="4:20">
      <c r="D244" t="s">
        <v>8935</v>
      </c>
      <c r="J244" s="54"/>
      <c r="K244" s="54" t="s">
        <v>8936</v>
      </c>
      <c r="L244" s="54" t="s">
        <v>8937</v>
      </c>
      <c r="M244" s="54"/>
      <c r="N244" s="54"/>
      <c r="O244" s="54"/>
      <c r="P244" s="54"/>
      <c r="Q244" s="54"/>
      <c r="R244" s="54"/>
      <c r="S244" s="54"/>
      <c r="T244" s="54"/>
    </row>
    <row r="245" spans="4:20">
      <c r="D245" t="s">
        <v>8938</v>
      </c>
      <c r="J245" s="54"/>
      <c r="K245" s="54" t="s">
        <v>8939</v>
      </c>
      <c r="L245" s="54"/>
      <c r="M245" s="54"/>
      <c r="N245" s="54"/>
      <c r="O245" s="54"/>
      <c r="P245" s="54"/>
      <c r="Q245" s="54"/>
      <c r="R245" s="54"/>
      <c r="S245" s="54"/>
      <c r="T245" s="54"/>
    </row>
    <row r="246" spans="4:20">
      <c r="D246" t="s">
        <v>8940</v>
      </c>
      <c r="J246" s="54"/>
      <c r="K246" s="54"/>
      <c r="L246" s="54"/>
      <c r="M246" s="54"/>
      <c r="N246" s="54" t="s">
        <v>8941</v>
      </c>
      <c r="O246" s="54"/>
      <c r="P246" s="54"/>
      <c r="Q246" s="54"/>
      <c r="R246" s="54"/>
      <c r="S246" s="54"/>
      <c r="T246" s="54"/>
    </row>
    <row r="247" spans="4:20">
      <c r="D247" s="50" t="s">
        <v>8942</v>
      </c>
      <c r="J247" s="54"/>
      <c r="K247" s="54"/>
      <c r="L247" s="54"/>
      <c r="M247" s="54"/>
      <c r="N247" s="54"/>
      <c r="O247" s="54"/>
      <c r="P247" s="54"/>
      <c r="Q247" s="54" t="s">
        <v>8943</v>
      </c>
      <c r="R247" s="54" t="s">
        <v>8943</v>
      </c>
      <c r="S247" s="54"/>
      <c r="T247" s="54"/>
    </row>
    <row r="248" spans="4:20">
      <c r="D248" s="50" t="s">
        <v>8944</v>
      </c>
      <c r="J248" s="54"/>
      <c r="K248" s="54"/>
      <c r="L248" s="54"/>
      <c r="M248" s="54"/>
      <c r="N248" s="54"/>
      <c r="O248" s="54"/>
      <c r="P248" s="54"/>
      <c r="Q248" s="54" t="s">
        <v>8253</v>
      </c>
      <c r="R248" s="54" t="s">
        <v>8253</v>
      </c>
      <c r="S248" s="54"/>
      <c r="T248" s="54"/>
    </row>
    <row r="249" spans="4:20">
      <c r="D249" s="50" t="s">
        <v>8945</v>
      </c>
      <c r="J249" s="54"/>
      <c r="K249" s="54"/>
      <c r="L249" s="54"/>
      <c r="M249" s="54"/>
      <c r="N249" s="54"/>
      <c r="O249" s="54"/>
      <c r="P249" s="54"/>
      <c r="Q249" s="54" t="s">
        <v>8946</v>
      </c>
      <c r="R249" s="54" t="s">
        <v>8946</v>
      </c>
      <c r="S249" s="54"/>
      <c r="T249" s="54"/>
    </row>
    <row r="250" spans="4:20">
      <c r="D250" s="50" t="s">
        <v>8947</v>
      </c>
      <c r="J250" s="54"/>
      <c r="K250" s="54"/>
      <c r="L250" s="54"/>
      <c r="M250" s="54"/>
      <c r="N250" s="54"/>
      <c r="O250" s="54"/>
      <c r="P250" s="54"/>
      <c r="Q250" s="54" t="s">
        <v>8948</v>
      </c>
      <c r="R250" s="54" t="s">
        <v>8948</v>
      </c>
      <c r="S250" s="54"/>
      <c r="T250" s="54"/>
    </row>
    <row r="251" spans="4:20">
      <c r="D251" s="50" t="s">
        <v>8949</v>
      </c>
      <c r="J251" s="54"/>
      <c r="K251" s="54"/>
      <c r="L251" s="54"/>
      <c r="M251" s="54"/>
      <c r="N251" s="54"/>
      <c r="O251" s="54"/>
      <c r="P251" s="54"/>
      <c r="Q251" s="54" t="s">
        <v>8950</v>
      </c>
      <c r="R251" s="54" t="s">
        <v>8950</v>
      </c>
      <c r="S251" s="54"/>
      <c r="T251" s="54"/>
    </row>
    <row r="252" spans="4:20">
      <c r="D252" s="50" t="s">
        <v>8951</v>
      </c>
      <c r="J252" s="54"/>
      <c r="K252" s="54"/>
      <c r="L252" s="54"/>
      <c r="M252" s="54"/>
      <c r="N252" s="54"/>
      <c r="O252" s="54"/>
      <c r="P252" s="54"/>
      <c r="Q252" s="54"/>
      <c r="R252" s="54" t="s">
        <v>8952</v>
      </c>
      <c r="S252" s="54"/>
      <c r="T252" s="54"/>
    </row>
    <row r="253" spans="4:20">
      <c r="D253" s="50" t="s">
        <v>8953</v>
      </c>
      <c r="J253" s="54"/>
      <c r="K253" s="54"/>
      <c r="L253" s="54"/>
      <c r="M253" s="54"/>
      <c r="N253" s="54"/>
      <c r="O253" s="54"/>
      <c r="P253" s="54"/>
      <c r="Q253" s="54" t="s">
        <v>8954</v>
      </c>
      <c r="R253" s="54" t="s">
        <v>8954</v>
      </c>
      <c r="S253" s="54"/>
      <c r="T253" s="54"/>
    </row>
    <row r="254" spans="4:20">
      <c r="D254" s="50" t="s">
        <v>8955</v>
      </c>
      <c r="J254" s="54"/>
      <c r="K254" s="54"/>
      <c r="L254" s="54"/>
      <c r="M254" s="54"/>
      <c r="N254" s="54"/>
      <c r="O254" s="54"/>
      <c r="P254" s="54"/>
      <c r="Q254" s="54"/>
      <c r="R254" s="54" t="s">
        <v>8956</v>
      </c>
      <c r="S254" s="54"/>
      <c r="T254" s="54"/>
    </row>
    <row r="255" spans="4:20">
      <c r="D255" s="50" t="s">
        <v>8957</v>
      </c>
      <c r="J255" s="54"/>
      <c r="K255" s="54"/>
      <c r="L255" s="54"/>
      <c r="M255" s="54"/>
      <c r="N255" s="54"/>
      <c r="O255" s="54"/>
      <c r="P255" s="54"/>
      <c r="Q255" s="54" t="s">
        <v>8958</v>
      </c>
      <c r="R255" s="54" t="s">
        <v>8958</v>
      </c>
      <c r="S255" s="54"/>
      <c r="T255" s="54"/>
    </row>
    <row r="256" spans="4:20">
      <c r="D256" s="50" t="s">
        <v>8959</v>
      </c>
      <c r="J256" s="54"/>
      <c r="K256" s="54"/>
      <c r="L256" s="54"/>
      <c r="M256" s="54"/>
      <c r="N256" s="54"/>
      <c r="O256" s="54"/>
      <c r="P256" s="54"/>
      <c r="Q256" s="54" t="s">
        <v>8960</v>
      </c>
      <c r="R256" s="54" t="s">
        <v>8960</v>
      </c>
      <c r="S256" s="54"/>
      <c r="T256" s="54"/>
    </row>
    <row r="257" spans="4:20">
      <c r="D257" s="50" t="s">
        <v>8961</v>
      </c>
      <c r="J257" s="54"/>
      <c r="K257" s="54"/>
      <c r="L257" s="54"/>
      <c r="M257" s="54"/>
      <c r="N257" s="54"/>
      <c r="O257" s="54"/>
      <c r="P257" s="54"/>
      <c r="Q257" s="54" t="s">
        <v>8962</v>
      </c>
      <c r="R257" s="54" t="s">
        <v>8962</v>
      </c>
      <c r="S257" s="54"/>
      <c r="T257" s="54"/>
    </row>
    <row r="258" spans="4:20">
      <c r="D258" s="50" t="s">
        <v>8963</v>
      </c>
      <c r="J258" s="54"/>
      <c r="K258" s="54"/>
      <c r="L258" s="54"/>
      <c r="M258" s="54"/>
      <c r="N258" s="54"/>
      <c r="O258" s="54"/>
      <c r="P258" s="54"/>
      <c r="Q258" s="54" t="s">
        <v>8964</v>
      </c>
      <c r="R258" s="54" t="s">
        <v>8964</v>
      </c>
      <c r="S258" s="54"/>
      <c r="T258" s="54"/>
    </row>
    <row r="259" spans="4:20">
      <c r="D259" s="50" t="s">
        <v>8965</v>
      </c>
      <c r="J259" s="54"/>
      <c r="K259" s="54"/>
      <c r="L259" s="54"/>
      <c r="M259" s="54"/>
      <c r="N259" s="54"/>
      <c r="O259" s="54"/>
      <c r="P259" s="54"/>
      <c r="Q259" s="54" t="s">
        <v>8966</v>
      </c>
      <c r="R259" s="54" t="s">
        <v>8966</v>
      </c>
      <c r="S259" s="54"/>
      <c r="T259" s="54"/>
    </row>
    <row r="260" spans="4:20">
      <c r="D260" s="50" t="s">
        <v>8967</v>
      </c>
      <c r="J260" s="54"/>
      <c r="K260" s="54"/>
      <c r="L260" s="54"/>
      <c r="M260" s="54"/>
      <c r="N260" s="54"/>
      <c r="O260" s="54"/>
      <c r="P260" s="54"/>
      <c r="Q260" s="54"/>
      <c r="R260" s="54" t="s">
        <v>8968</v>
      </c>
      <c r="S260" s="54"/>
      <c r="T260" s="54"/>
    </row>
    <row r="261" spans="4:20">
      <c r="D261" s="50" t="s">
        <v>8969</v>
      </c>
      <c r="J261" s="54"/>
      <c r="K261" s="54"/>
      <c r="L261" s="54"/>
      <c r="M261" s="54"/>
      <c r="N261" s="54"/>
      <c r="O261" s="54"/>
      <c r="P261" s="54"/>
      <c r="Q261" s="54"/>
      <c r="R261" s="54" t="s">
        <v>8970</v>
      </c>
      <c r="S261" s="54"/>
      <c r="T261" s="54"/>
    </row>
    <row r="262" spans="4:20">
      <c r="D262" s="50" t="s">
        <v>8971</v>
      </c>
      <c r="J262" s="54"/>
      <c r="K262" s="54"/>
      <c r="L262" s="54"/>
      <c r="M262" s="54"/>
      <c r="N262" s="54"/>
      <c r="O262" s="54"/>
      <c r="P262" s="54"/>
      <c r="Q262" s="54"/>
      <c r="R262" s="54" t="s">
        <v>8972</v>
      </c>
      <c r="S262" s="54"/>
      <c r="T262" s="54"/>
    </row>
    <row r="263" spans="4:20">
      <c r="D263" s="50" t="s">
        <v>8973</v>
      </c>
      <c r="J263" s="54"/>
      <c r="K263" s="54"/>
      <c r="L263" s="54"/>
      <c r="M263" s="54"/>
      <c r="N263" s="54"/>
      <c r="O263" s="54"/>
      <c r="P263" s="54"/>
      <c r="Q263" s="54"/>
      <c r="R263" s="54" t="s">
        <v>8873</v>
      </c>
      <c r="S263" s="54"/>
      <c r="T263" s="54"/>
    </row>
    <row r="264" spans="4:20">
      <c r="D264" s="50" t="s">
        <v>8974</v>
      </c>
      <c r="J264" s="54"/>
      <c r="K264" s="54"/>
      <c r="L264" s="54"/>
      <c r="M264" s="54"/>
      <c r="N264" s="54"/>
      <c r="O264" s="54"/>
      <c r="P264" s="54"/>
      <c r="Q264" s="54"/>
      <c r="R264" s="54" t="s">
        <v>8975</v>
      </c>
      <c r="S264" s="54"/>
      <c r="T264" s="54"/>
    </row>
    <row r="265" spans="4:20">
      <c r="D265" s="50" t="s">
        <v>8976</v>
      </c>
      <c r="J265" s="54"/>
      <c r="K265" s="54"/>
      <c r="L265" s="54"/>
      <c r="M265" s="54"/>
      <c r="N265" s="54"/>
      <c r="O265" s="54"/>
      <c r="P265" s="54"/>
      <c r="Q265" s="54" t="s">
        <v>8977</v>
      </c>
      <c r="R265" s="54" t="s">
        <v>8977</v>
      </c>
      <c r="S265" s="54"/>
      <c r="T265" s="54"/>
    </row>
    <row r="266" spans="4:20">
      <c r="D266" s="50" t="s">
        <v>8978</v>
      </c>
      <c r="J266" s="54"/>
      <c r="K266" s="54"/>
      <c r="L266" s="54"/>
      <c r="M266" s="54"/>
      <c r="N266" s="54"/>
      <c r="O266" s="54"/>
      <c r="P266" s="54"/>
      <c r="Q266" s="54" t="s">
        <v>8979</v>
      </c>
      <c r="R266" s="54" t="s">
        <v>8979</v>
      </c>
      <c r="S266" s="54"/>
      <c r="T266" s="54"/>
    </row>
    <row r="267" spans="4:20">
      <c r="D267" s="50" t="s">
        <v>8980</v>
      </c>
      <c r="J267" s="54"/>
      <c r="K267" s="54"/>
      <c r="L267" s="54"/>
      <c r="M267" s="54"/>
      <c r="N267" s="54"/>
      <c r="O267" s="54"/>
      <c r="P267" s="54"/>
      <c r="Q267" s="54" t="s">
        <v>8981</v>
      </c>
      <c r="R267" s="54" t="s">
        <v>8981</v>
      </c>
      <c r="S267" s="54"/>
      <c r="T267" s="54"/>
    </row>
    <row r="268" spans="4:20">
      <c r="D268" t="s">
        <v>8982</v>
      </c>
      <c r="J268" s="54"/>
      <c r="K268" s="54"/>
      <c r="L268" s="54"/>
      <c r="M268" s="54"/>
      <c r="N268" s="54"/>
      <c r="O268" s="54"/>
      <c r="P268" s="54"/>
      <c r="Q268" s="54"/>
      <c r="R268" s="54"/>
      <c r="S268" s="54" t="s">
        <v>8983</v>
      </c>
      <c r="T268" s="54"/>
    </row>
    <row r="269" spans="4:20">
      <c r="D269" t="s">
        <v>8984</v>
      </c>
      <c r="K269" s="92" t="s">
        <v>8985</v>
      </c>
      <c r="L269" s="92" t="s">
        <v>8986</v>
      </c>
      <c r="M269" s="92" t="s">
        <v>8987</v>
      </c>
    </row>
    <row r="270" spans="4:20">
      <c r="D270" t="s">
        <v>8988</v>
      </c>
      <c r="K270" s="92" t="s">
        <v>8989</v>
      </c>
      <c r="L270" s="92" t="s">
        <v>8990</v>
      </c>
    </row>
    <row r="271" spans="4:20">
      <c r="D271" t="s">
        <v>8991</v>
      </c>
      <c r="K271" s="92" t="s">
        <v>8992</v>
      </c>
      <c r="L271" s="92" t="s">
        <v>8993</v>
      </c>
    </row>
    <row r="272" spans="4:20">
      <c r="D272" t="s">
        <v>8994</v>
      </c>
      <c r="K272" s="92" t="s">
        <v>8995</v>
      </c>
      <c r="L272" s="92" t="s">
        <v>8996</v>
      </c>
    </row>
    <row r="273" spans="4:12">
      <c r="D273" t="s">
        <v>8997</v>
      </c>
      <c r="K273" s="92" t="s">
        <v>8998</v>
      </c>
      <c r="L273" s="92" t="s">
        <v>8999</v>
      </c>
    </row>
    <row r="274" spans="4:12">
      <c r="D274" t="s">
        <v>9000</v>
      </c>
      <c r="K274" s="92" t="s">
        <v>9001</v>
      </c>
      <c r="L274" s="92" t="s">
        <v>9002</v>
      </c>
    </row>
    <row r="275" spans="4:12">
      <c r="D275" t="s">
        <v>9003</v>
      </c>
      <c r="K275" s="92" t="s">
        <v>9004</v>
      </c>
      <c r="L275" s="92" t="s">
        <v>9005</v>
      </c>
    </row>
  </sheetData>
  <pageMargins left="0.23622047244094491" right="0.23622047244094491" top="0.74803149606299213" bottom="0.74803149606299213" header="0.31496062992125984" footer="0.31496062992125984"/>
  <pageSetup paperSize="9" scale="58" fitToWidth="2" fitToHeight="5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"/>
  <sheetViews>
    <sheetView workbookViewId="0">
      <selection activeCell="E25" sqref="E25"/>
    </sheetView>
  </sheetViews>
  <sheetFormatPr defaultRowHeight="14.45"/>
  <cols>
    <col min="1" max="1" width="74.42578125" customWidth="1"/>
    <col min="2" max="2" width="0.7109375" customWidth="1"/>
    <col min="3" max="3" width="45.28515625" customWidth="1"/>
    <col min="4" max="4" width="0.42578125" customWidth="1"/>
    <col min="5" max="5" width="67.5703125" customWidth="1"/>
  </cols>
  <sheetData>
    <row r="1" spans="1:5">
      <c r="A1" s="161" t="s">
        <v>9006</v>
      </c>
    </row>
    <row r="2" spans="1:5">
      <c r="A2" s="163" t="s">
        <v>9007</v>
      </c>
      <c r="B2" s="164"/>
      <c r="C2" s="163" t="s">
        <v>9008</v>
      </c>
      <c r="D2" s="163"/>
      <c r="E2" s="163" t="s">
        <v>9009</v>
      </c>
    </row>
    <row r="3" spans="1:5">
      <c r="A3" s="165" t="s">
        <v>9010</v>
      </c>
      <c r="B3" s="164"/>
      <c r="C3" s="165" t="s">
        <v>9011</v>
      </c>
      <c r="D3" s="165"/>
      <c r="E3" s="165" t="s">
        <v>9012</v>
      </c>
    </row>
    <row r="4" spans="1:5">
      <c r="A4" s="165" t="s">
        <v>9013</v>
      </c>
      <c r="B4" s="164"/>
      <c r="C4" s="165" t="s">
        <v>9014</v>
      </c>
      <c r="D4" s="165"/>
      <c r="E4" s="162" t="s">
        <v>9015</v>
      </c>
    </row>
    <row r="5" spans="1:5">
      <c r="A5" s="165" t="s">
        <v>9016</v>
      </c>
      <c r="B5" s="164"/>
      <c r="C5" s="165" t="s">
        <v>9017</v>
      </c>
      <c r="D5" s="165"/>
      <c r="E5" s="165" t="s">
        <v>9018</v>
      </c>
    </row>
    <row r="6" spans="1:5">
      <c r="A6" s="165" t="s">
        <v>9019</v>
      </c>
      <c r="B6" s="164"/>
      <c r="C6" s="165"/>
      <c r="D6" s="165"/>
      <c r="E6" s="165" t="s">
        <v>9020</v>
      </c>
    </row>
    <row r="7" spans="1:5">
      <c r="A7" s="165" t="s">
        <v>9021</v>
      </c>
      <c r="B7" s="164"/>
      <c r="C7" s="165" t="s">
        <v>9022</v>
      </c>
      <c r="D7" s="165"/>
      <c r="E7" s="166" t="s">
        <v>9023</v>
      </c>
    </row>
    <row r="8" spans="1:5">
      <c r="A8" s="165" t="s">
        <v>9024</v>
      </c>
      <c r="B8" s="164"/>
      <c r="C8" s="165" t="s">
        <v>9025</v>
      </c>
      <c r="D8" s="165"/>
      <c r="E8" s="165" t="s">
        <v>9026</v>
      </c>
    </row>
    <row r="9" spans="1:5">
      <c r="A9" s="165"/>
      <c r="B9" s="164"/>
      <c r="C9" s="165" t="s">
        <v>9027</v>
      </c>
      <c r="D9" s="165"/>
      <c r="E9" s="166" t="s">
        <v>9028</v>
      </c>
    </row>
    <row r="10" spans="1:5">
      <c r="A10" s="165" t="s">
        <v>9029</v>
      </c>
      <c r="B10" s="164"/>
      <c r="C10" s="165" t="s">
        <v>9030</v>
      </c>
      <c r="D10" s="165"/>
      <c r="E10" s="165" t="s">
        <v>9031</v>
      </c>
    </row>
    <row r="11" spans="1:5">
      <c r="A11" s="165" t="s">
        <v>9032</v>
      </c>
      <c r="B11" s="164"/>
      <c r="C11" s="167" t="s">
        <v>9033</v>
      </c>
      <c r="D11" s="167"/>
      <c r="E11" s="166" t="s">
        <v>9034</v>
      </c>
    </row>
    <row r="12" spans="1:5">
      <c r="A12" s="165" t="s">
        <v>9035</v>
      </c>
      <c r="B12" s="164"/>
      <c r="C12" s="168"/>
      <c r="D12" s="168"/>
      <c r="E12" s="165" t="s">
        <v>9036</v>
      </c>
    </row>
    <row r="13" spans="1:5">
      <c r="A13" s="165" t="s">
        <v>9037</v>
      </c>
      <c r="B13" s="164"/>
      <c r="C13" s="168"/>
      <c r="D13" s="168"/>
      <c r="E13" s="166" t="s">
        <v>9038</v>
      </c>
    </row>
    <row r="14" spans="1:5">
      <c r="A14" s="165" t="s">
        <v>9039</v>
      </c>
      <c r="B14" s="164"/>
      <c r="C14" s="168"/>
      <c r="D14" s="168"/>
      <c r="E14" s="165" t="s">
        <v>9040</v>
      </c>
    </row>
    <row r="15" spans="1:5">
      <c r="A15" s="165" t="s">
        <v>9041</v>
      </c>
      <c r="B15" s="164"/>
      <c r="C15" s="168"/>
      <c r="D15" s="168"/>
      <c r="E15" s="165" t="s">
        <v>9042</v>
      </c>
    </row>
    <row r="16" spans="1:5">
      <c r="A16" s="165" t="s">
        <v>9043</v>
      </c>
      <c r="B16" s="164"/>
      <c r="C16" s="168"/>
      <c r="D16" s="168"/>
      <c r="E16" s="165" t="s">
        <v>9044</v>
      </c>
    </row>
    <row r="17" spans="1:5">
      <c r="A17" s="165" t="s">
        <v>9045</v>
      </c>
      <c r="B17" s="164"/>
      <c r="C17" s="168"/>
      <c r="D17" s="168"/>
      <c r="E17" s="168"/>
    </row>
    <row r="18" spans="1:5">
      <c r="A18" s="165" t="s">
        <v>9046</v>
      </c>
      <c r="B18" s="164"/>
      <c r="C18" s="168"/>
      <c r="D18" s="168"/>
      <c r="E18" s="200" t="s">
        <v>9047</v>
      </c>
    </row>
    <row r="19" spans="1:5">
      <c r="A19" s="165" t="s">
        <v>9024</v>
      </c>
      <c r="B19" s="164"/>
      <c r="C19" s="168"/>
      <c r="D19" s="168"/>
      <c r="E19" s="200" t="s">
        <v>9048</v>
      </c>
    </row>
    <row r="20" spans="1:5">
      <c r="A20" s="165"/>
      <c r="B20" s="164"/>
      <c r="C20" s="168"/>
      <c r="D20" s="168"/>
      <c r="E20" s="200" t="s">
        <v>9049</v>
      </c>
    </row>
    <row r="21" spans="1:5">
      <c r="A21" s="165" t="s">
        <v>9050</v>
      </c>
      <c r="B21" s="164"/>
      <c r="C21" s="168"/>
      <c r="D21" s="168"/>
      <c r="E21" s="200" t="s">
        <v>9051</v>
      </c>
    </row>
    <row r="22" spans="1:5">
      <c r="A22" s="165" t="s">
        <v>9052</v>
      </c>
      <c r="B22" s="164"/>
      <c r="C22" s="168"/>
      <c r="D22" s="168"/>
      <c r="E22" s="200" t="s">
        <v>9053</v>
      </c>
    </row>
    <row r="23" spans="1:5">
      <c r="A23" s="165" t="s">
        <v>9054</v>
      </c>
      <c r="B23" s="164"/>
      <c r="C23" s="168"/>
      <c r="D23" s="168"/>
      <c r="E23" s="168"/>
    </row>
    <row r="24" spans="1:5">
      <c r="A24" s="165" t="s">
        <v>9055</v>
      </c>
      <c r="B24" s="164"/>
      <c r="C24" s="168"/>
      <c r="D24" s="168"/>
      <c r="E24" s="168"/>
    </row>
    <row r="25" spans="1:5">
      <c r="A25" s="165" t="s">
        <v>9056</v>
      </c>
      <c r="B25" s="164"/>
      <c r="C25" s="168"/>
      <c r="D25" s="168"/>
      <c r="E25" s="168"/>
    </row>
    <row r="26" spans="1:5">
      <c r="A26" s="170"/>
      <c r="B26" s="164"/>
      <c r="C26" s="170"/>
      <c r="D26" s="170"/>
      <c r="E26" s="170"/>
    </row>
    <row r="27" spans="1:5">
      <c r="A27" s="176" t="s">
        <v>9057</v>
      </c>
    </row>
    <row r="28" spans="1:5">
      <c r="A28" s="177" t="s">
        <v>9058</v>
      </c>
    </row>
    <row r="29" spans="1:5">
      <c r="A29" s="178" t="s">
        <v>9059</v>
      </c>
    </row>
    <row r="30" spans="1:5">
      <c r="A30" s="184" t="s">
        <v>9060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8"/>
  <sheetViews>
    <sheetView workbookViewId="0">
      <selection activeCell="D24" sqref="D24"/>
    </sheetView>
  </sheetViews>
  <sheetFormatPr defaultRowHeight="14.45"/>
  <cols>
    <col min="1" max="1" width="55.42578125" customWidth="1"/>
  </cols>
  <sheetData>
    <row r="1" spans="1:1">
      <c r="A1" s="161"/>
    </row>
    <row r="2" spans="1:1">
      <c r="A2" s="163" t="s">
        <v>9061</v>
      </c>
    </row>
    <row r="3" spans="1:1">
      <c r="A3" s="165" t="s">
        <v>9062</v>
      </c>
    </row>
    <row r="4" spans="1:1">
      <c r="A4" s="165" t="s">
        <v>9063</v>
      </c>
    </row>
    <row r="5" spans="1:1">
      <c r="A5" s="165" t="s">
        <v>9044</v>
      </c>
    </row>
    <row r="6" spans="1:1">
      <c r="A6" s="165"/>
    </row>
    <row r="7" spans="1:1">
      <c r="A7" s="165" t="s">
        <v>9064</v>
      </c>
    </row>
    <row r="8" spans="1:1">
      <c r="A8" s="165" t="s">
        <v>9065</v>
      </c>
    </row>
    <row r="9" spans="1:1">
      <c r="A9" s="165" t="s">
        <v>9066</v>
      </c>
    </row>
    <row r="10" spans="1:1">
      <c r="A10" s="165" t="s">
        <v>9067</v>
      </c>
    </row>
    <row r="11" spans="1:1">
      <c r="A11" s="165"/>
    </row>
    <row r="12" spans="1:1">
      <c r="A12" s="185"/>
    </row>
    <row r="13" spans="1:1">
      <c r="A13" s="165"/>
    </row>
    <row r="14" spans="1:1">
      <c r="A14" s="165"/>
    </row>
    <row r="15" spans="1:1">
      <c r="A15" s="165"/>
    </row>
    <row r="16" spans="1:1">
      <c r="A16" s="165"/>
    </row>
    <row r="17" spans="1:1">
      <c r="A17" s="165"/>
    </row>
    <row r="18" spans="1:1">
      <c r="A18" s="165"/>
    </row>
    <row r="19" spans="1:1">
      <c r="A19" s="165"/>
    </row>
    <row r="20" spans="1:1">
      <c r="A20" s="165"/>
    </row>
    <row r="21" spans="1:1">
      <c r="A21" s="165"/>
    </row>
    <row r="22" spans="1:1">
      <c r="A22" s="165"/>
    </row>
    <row r="23" spans="1:1">
      <c r="A23" s="170"/>
    </row>
    <row r="24" spans="1:1">
      <c r="A24" s="176" t="s">
        <v>9057</v>
      </c>
    </row>
    <row r="25" spans="1:1">
      <c r="A25" s="177" t="s">
        <v>9058</v>
      </c>
    </row>
    <row r="26" spans="1:1">
      <c r="A26" s="178" t="s">
        <v>9059</v>
      </c>
    </row>
    <row r="27" spans="1:1">
      <c r="A27" s="184" t="s">
        <v>9068</v>
      </c>
    </row>
    <row r="28" spans="1:1">
      <c r="A28" s="184" t="s">
        <v>9069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D44"/>
  <sheetViews>
    <sheetView workbookViewId="0">
      <selection activeCell="A15" sqref="A15"/>
    </sheetView>
  </sheetViews>
  <sheetFormatPr defaultRowHeight="14.45"/>
  <cols>
    <col min="1" max="1" width="74.28515625" customWidth="1"/>
    <col min="2" max="2" width="0.5703125" customWidth="1"/>
    <col min="3" max="3" width="77.28515625" customWidth="1"/>
  </cols>
  <sheetData>
    <row r="2" spans="1:4">
      <c r="A2" s="163" t="s">
        <v>9070</v>
      </c>
      <c r="C2" s="163" t="s">
        <v>9071</v>
      </c>
    </row>
    <row r="3" spans="1:4">
      <c r="A3" s="165" t="s">
        <v>9072</v>
      </c>
      <c r="C3" s="165" t="s">
        <v>9073</v>
      </c>
      <c r="D3" t="s">
        <v>9074</v>
      </c>
    </row>
    <row r="4" spans="1:4">
      <c r="A4" s="165" t="s">
        <v>9075</v>
      </c>
      <c r="C4" s="165" t="s">
        <v>9076</v>
      </c>
    </row>
    <row r="5" spans="1:4">
      <c r="A5" s="165" t="s">
        <v>9077</v>
      </c>
      <c r="C5" s="165" t="s">
        <v>9078</v>
      </c>
    </row>
    <row r="6" spans="1:4">
      <c r="A6" s="165" t="s">
        <v>9078</v>
      </c>
      <c r="C6" s="165" t="s">
        <v>9079</v>
      </c>
    </row>
    <row r="7" spans="1:4">
      <c r="A7" s="165" t="s">
        <v>9080</v>
      </c>
      <c r="C7" s="165" t="s">
        <v>9044</v>
      </c>
      <c r="D7" t="s">
        <v>9074</v>
      </c>
    </row>
    <row r="8" spans="1:4">
      <c r="A8" s="165" t="s">
        <v>9044</v>
      </c>
      <c r="C8" s="165"/>
    </row>
    <row r="9" spans="1:4">
      <c r="A9" s="165"/>
      <c r="C9" s="169" t="s">
        <v>9081</v>
      </c>
    </row>
    <row r="10" spans="1:4">
      <c r="A10" s="201" t="s">
        <v>9082</v>
      </c>
      <c r="C10" s="169"/>
    </row>
    <row r="11" spans="1:4">
      <c r="A11" s="165"/>
      <c r="C11" s="200" t="s">
        <v>9083</v>
      </c>
    </row>
    <row r="12" spans="1:4">
      <c r="A12" s="165" t="s">
        <v>9084</v>
      </c>
      <c r="C12" s="200" t="s">
        <v>9085</v>
      </c>
    </row>
    <row r="13" spans="1:4">
      <c r="A13" s="165" t="s">
        <v>9086</v>
      </c>
      <c r="C13" s="200" t="s">
        <v>9044</v>
      </c>
    </row>
    <row r="14" spans="1:4">
      <c r="A14" s="165" t="s">
        <v>9044</v>
      </c>
      <c r="C14" s="169"/>
    </row>
    <row r="15" spans="1:4">
      <c r="A15" s="187" t="s">
        <v>9087</v>
      </c>
      <c r="C15" s="169"/>
    </row>
    <row r="16" spans="1:4">
      <c r="A16" s="165" t="s">
        <v>9088</v>
      </c>
      <c r="C16" s="169"/>
    </row>
    <row r="17" spans="1:4">
      <c r="A17" s="165" t="s">
        <v>9089</v>
      </c>
      <c r="C17" s="169"/>
    </row>
    <row r="18" spans="1:4">
      <c r="A18" s="165" t="s">
        <v>9044</v>
      </c>
      <c r="C18" s="169"/>
    </row>
    <row r="19" spans="1:4">
      <c r="A19" s="165"/>
      <c r="C19" s="169"/>
    </row>
    <row r="20" spans="1:4">
      <c r="A20" s="165"/>
      <c r="C20" s="169"/>
    </row>
    <row r="21" spans="1:4">
      <c r="A21" s="165"/>
      <c r="C21" s="169"/>
    </row>
    <row r="22" spans="1:4">
      <c r="A22" s="165"/>
      <c r="C22" s="169"/>
    </row>
    <row r="23" spans="1:4">
      <c r="A23" s="165"/>
      <c r="C23" s="169"/>
    </row>
    <row r="24" spans="1:4">
      <c r="A24" s="165"/>
      <c r="C24" s="165"/>
      <c r="D24" t="s">
        <v>9074</v>
      </c>
    </row>
    <row r="25" spans="1:4">
      <c r="A25" s="169" t="s">
        <v>9090</v>
      </c>
      <c r="C25" s="169" t="s">
        <v>9090</v>
      </c>
      <c r="D25" t="s">
        <v>9074</v>
      </c>
    </row>
    <row r="26" spans="1:4">
      <c r="A26" s="165" t="s">
        <v>9091</v>
      </c>
      <c r="C26" s="165" t="s">
        <v>9091</v>
      </c>
    </row>
    <row r="27" spans="1:4">
      <c r="A27" s="165" t="s">
        <v>9092</v>
      </c>
      <c r="C27" s="165" t="s">
        <v>9092</v>
      </c>
    </row>
    <row r="28" spans="1:4">
      <c r="A28" s="165" t="s">
        <v>9093</v>
      </c>
      <c r="C28" s="165" t="s">
        <v>9093</v>
      </c>
      <c r="D28" t="s">
        <v>9074</v>
      </c>
    </row>
    <row r="29" spans="1:4">
      <c r="A29" s="165" t="s">
        <v>9094</v>
      </c>
      <c r="C29" s="165" t="s">
        <v>9094</v>
      </c>
    </row>
    <row r="30" spans="1:4">
      <c r="A30" s="165" t="s">
        <v>9095</v>
      </c>
      <c r="C30" s="165" t="s">
        <v>9096</v>
      </c>
    </row>
    <row r="31" spans="1:4">
      <c r="A31" s="165" t="s">
        <v>9097</v>
      </c>
      <c r="C31" s="165" t="s">
        <v>9098</v>
      </c>
    </row>
    <row r="32" spans="1:4">
      <c r="A32" s="165" t="s">
        <v>9096</v>
      </c>
      <c r="C32" s="165" t="s">
        <v>9099</v>
      </c>
    </row>
    <row r="33" spans="1:3">
      <c r="A33" s="165" t="s">
        <v>9098</v>
      </c>
      <c r="C33" s="165" t="s">
        <v>9100</v>
      </c>
    </row>
    <row r="34" spans="1:3">
      <c r="A34" s="165" t="s">
        <v>9099</v>
      </c>
      <c r="C34" s="165" t="s">
        <v>9101</v>
      </c>
    </row>
    <row r="35" spans="1:3">
      <c r="A35" s="165" t="s">
        <v>9100</v>
      </c>
      <c r="C35" s="165" t="s">
        <v>9102</v>
      </c>
    </row>
    <row r="36" spans="1:3">
      <c r="A36" s="165" t="s">
        <v>9101</v>
      </c>
      <c r="C36" s="165" t="s">
        <v>9103</v>
      </c>
    </row>
    <row r="37" spans="1:3">
      <c r="A37" s="165" t="s">
        <v>9102</v>
      </c>
      <c r="C37" s="165"/>
    </row>
    <row r="38" spans="1:3">
      <c r="A38" s="165" t="s">
        <v>9103</v>
      </c>
      <c r="C38" s="185"/>
    </row>
    <row r="39" spans="1:3">
      <c r="A39" s="186"/>
      <c r="C39" s="186"/>
    </row>
    <row r="40" spans="1:3">
      <c r="A40" s="176" t="s">
        <v>9057</v>
      </c>
    </row>
    <row r="41" spans="1:3">
      <c r="A41" s="177" t="s">
        <v>9058</v>
      </c>
    </row>
    <row r="42" spans="1:3">
      <c r="A42" s="178" t="s">
        <v>9059</v>
      </c>
    </row>
    <row r="43" spans="1:3">
      <c r="A43" s="184" t="s">
        <v>9068</v>
      </c>
    </row>
    <row r="44" spans="1:3">
      <c r="A44" s="184" t="s">
        <v>9069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N68"/>
  <sheetViews>
    <sheetView workbookViewId="0">
      <selection activeCell="C62" sqref="C62"/>
    </sheetView>
  </sheetViews>
  <sheetFormatPr defaultRowHeight="14.45"/>
  <cols>
    <col min="1" max="1" width="74.28515625" customWidth="1"/>
    <col min="2" max="2" width="1" customWidth="1"/>
    <col min="3" max="3" width="57.28515625" customWidth="1"/>
  </cols>
  <sheetData>
    <row r="2" spans="1:14">
      <c r="A2" s="163" t="s">
        <v>9104</v>
      </c>
      <c r="C2" s="163" t="s">
        <v>9105</v>
      </c>
    </row>
    <row r="3" spans="1:14">
      <c r="A3" s="165" t="s">
        <v>9106</v>
      </c>
      <c r="C3" s="165" t="s">
        <v>9107</v>
      </c>
    </row>
    <row r="4" spans="1:14">
      <c r="A4" s="165" t="s">
        <v>9108</v>
      </c>
      <c r="B4" t="s">
        <v>9074</v>
      </c>
      <c r="C4" s="165" t="s">
        <v>9109</v>
      </c>
    </row>
    <row r="5" spans="1:14">
      <c r="A5" s="165" t="s">
        <v>9110</v>
      </c>
      <c r="B5" t="s">
        <v>9074</v>
      </c>
      <c r="C5" s="165" t="s">
        <v>9111</v>
      </c>
    </row>
    <row r="6" spans="1:14">
      <c r="A6" s="188" t="s">
        <v>9112</v>
      </c>
      <c r="C6" s="165" t="s">
        <v>9113</v>
      </c>
    </row>
    <row r="7" spans="1:14">
      <c r="A7" s="188" t="s">
        <v>9114</v>
      </c>
      <c r="C7" s="165" t="s">
        <v>9115</v>
      </c>
    </row>
    <row r="8" spans="1:14">
      <c r="A8" s="188" t="s">
        <v>9116</v>
      </c>
      <c r="C8" s="165" t="s">
        <v>9117</v>
      </c>
      <c r="N8" s="49"/>
    </row>
    <row r="9" spans="1:14">
      <c r="A9" s="188" t="s">
        <v>9118</v>
      </c>
      <c r="C9" s="165" t="s">
        <v>9119</v>
      </c>
      <c r="N9" s="49"/>
    </row>
    <row r="10" spans="1:14">
      <c r="A10" s="188" t="s">
        <v>9120</v>
      </c>
      <c r="C10" s="165" t="s">
        <v>9113</v>
      </c>
      <c r="N10" s="49"/>
    </row>
    <row r="11" spans="1:14">
      <c r="A11" s="188" t="s">
        <v>9121</v>
      </c>
      <c r="C11" s="165" t="s">
        <v>9122</v>
      </c>
      <c r="N11" s="49"/>
    </row>
    <row r="12" spans="1:14">
      <c r="A12" s="188" t="s">
        <v>9123</v>
      </c>
      <c r="C12" s="165"/>
      <c r="N12" s="49"/>
    </row>
    <row r="13" spans="1:14">
      <c r="A13" s="188" t="s">
        <v>9124</v>
      </c>
      <c r="C13" s="165" t="s">
        <v>9125</v>
      </c>
      <c r="N13" s="49"/>
    </row>
    <row r="14" spans="1:14">
      <c r="A14" s="188" t="s">
        <v>9126</v>
      </c>
      <c r="C14" s="165" t="s">
        <v>9127</v>
      </c>
      <c r="N14" s="49"/>
    </row>
    <row r="15" spans="1:14">
      <c r="A15" s="188" t="s">
        <v>9128</v>
      </c>
      <c r="C15" s="165" t="s">
        <v>9129</v>
      </c>
      <c r="N15" s="49"/>
    </row>
    <row r="16" spans="1:14">
      <c r="A16" s="188" t="s">
        <v>9120</v>
      </c>
      <c r="C16" s="165" t="s">
        <v>9130</v>
      </c>
      <c r="N16" s="49"/>
    </row>
    <row r="17" spans="1:14">
      <c r="A17" s="188" t="s">
        <v>9131</v>
      </c>
      <c r="C17" s="165" t="s">
        <v>9132</v>
      </c>
      <c r="N17" s="49"/>
    </row>
    <row r="18" spans="1:14">
      <c r="A18" s="188" t="s">
        <v>9133</v>
      </c>
      <c r="C18" s="165" t="s">
        <v>9134</v>
      </c>
      <c r="N18" s="49"/>
    </row>
    <row r="19" spans="1:14">
      <c r="A19" s="188" t="s">
        <v>9135</v>
      </c>
      <c r="C19" s="165" t="s">
        <v>9136</v>
      </c>
      <c r="N19" s="49"/>
    </row>
    <row r="20" spans="1:14">
      <c r="A20" s="188" t="s">
        <v>9137</v>
      </c>
      <c r="C20" s="165" t="s">
        <v>9138</v>
      </c>
      <c r="N20" s="49"/>
    </row>
    <row r="21" spans="1:14">
      <c r="A21" s="188" t="s">
        <v>9139</v>
      </c>
      <c r="C21" s="165" t="s">
        <v>9140</v>
      </c>
      <c r="N21" s="49"/>
    </row>
    <row r="22" spans="1:14">
      <c r="A22" s="188" t="s">
        <v>9141</v>
      </c>
      <c r="C22" s="165" t="s">
        <v>9142</v>
      </c>
      <c r="N22" s="49"/>
    </row>
    <row r="23" spans="1:14">
      <c r="A23" s="188" t="s">
        <v>9143</v>
      </c>
      <c r="C23" s="165" t="s">
        <v>9144</v>
      </c>
      <c r="N23" s="49"/>
    </row>
    <row r="24" spans="1:14">
      <c r="A24" s="188" t="s">
        <v>9145</v>
      </c>
      <c r="C24" s="165" t="s">
        <v>9146</v>
      </c>
      <c r="N24" s="49"/>
    </row>
    <row r="25" spans="1:14">
      <c r="A25" s="188" t="s">
        <v>9147</v>
      </c>
      <c r="C25" s="165" t="s">
        <v>9148</v>
      </c>
      <c r="N25" s="49"/>
    </row>
    <row r="26" spans="1:14">
      <c r="A26" s="188" t="s">
        <v>9149</v>
      </c>
      <c r="C26" s="165" t="s">
        <v>9150</v>
      </c>
    </row>
    <row r="27" spans="1:14">
      <c r="A27" s="188" t="s">
        <v>9151</v>
      </c>
      <c r="C27" s="165" t="s">
        <v>9152</v>
      </c>
    </row>
    <row r="28" spans="1:14">
      <c r="A28" s="188" t="s">
        <v>9141</v>
      </c>
      <c r="C28" s="165" t="s">
        <v>9153</v>
      </c>
    </row>
    <row r="29" spans="1:14">
      <c r="A29" s="188" t="s">
        <v>9121</v>
      </c>
      <c r="C29" s="165" t="s">
        <v>9154</v>
      </c>
    </row>
    <row r="30" spans="1:14">
      <c r="A30" s="188" t="s">
        <v>9155</v>
      </c>
      <c r="C30" s="165" t="s">
        <v>9156</v>
      </c>
    </row>
    <row r="31" spans="1:14">
      <c r="A31" s="185" t="s">
        <v>9157</v>
      </c>
      <c r="C31" s="165" t="s">
        <v>9158</v>
      </c>
    </row>
    <row r="32" spans="1:14">
      <c r="A32" s="165" t="s">
        <v>9159</v>
      </c>
      <c r="C32" s="165" t="s">
        <v>9160</v>
      </c>
    </row>
    <row r="33" spans="1:3">
      <c r="A33" s="165" t="s">
        <v>9161</v>
      </c>
      <c r="C33" s="165" t="s">
        <v>9162</v>
      </c>
    </row>
    <row r="34" spans="1:3">
      <c r="A34" s="165" t="s">
        <v>9163</v>
      </c>
      <c r="C34" s="165" t="s">
        <v>9164</v>
      </c>
    </row>
    <row r="35" spans="1:3">
      <c r="A35" s="165" t="s">
        <v>9123</v>
      </c>
      <c r="C35" s="165" t="s">
        <v>9165</v>
      </c>
    </row>
    <row r="36" spans="1:3">
      <c r="A36" s="165" t="s">
        <v>9166</v>
      </c>
      <c r="C36" s="165" t="s">
        <v>9162</v>
      </c>
    </row>
    <row r="37" spans="1:3">
      <c r="A37" s="165" t="s">
        <v>9167</v>
      </c>
      <c r="C37" s="165" t="s">
        <v>9168</v>
      </c>
    </row>
    <row r="38" spans="1:3">
      <c r="A38" s="165" t="s">
        <v>9155</v>
      </c>
      <c r="C38" s="165" t="s">
        <v>9169</v>
      </c>
    </row>
    <row r="39" spans="1:3">
      <c r="A39" s="165"/>
      <c r="C39" s="165" t="s">
        <v>9170</v>
      </c>
    </row>
    <row r="40" spans="1:3">
      <c r="A40" s="165"/>
      <c r="C40" s="165" t="s">
        <v>9171</v>
      </c>
    </row>
    <row r="41" spans="1:3">
      <c r="A41" s="165"/>
      <c r="C41" s="165" t="s">
        <v>9172</v>
      </c>
    </row>
    <row r="42" spans="1:3">
      <c r="A42" s="186"/>
      <c r="C42" s="165" t="s">
        <v>9173</v>
      </c>
    </row>
    <row r="43" spans="1:3">
      <c r="A43" s="176" t="s">
        <v>9057</v>
      </c>
      <c r="C43" s="165" t="s">
        <v>9174</v>
      </c>
    </row>
    <row r="44" spans="1:3">
      <c r="A44" s="177" t="s">
        <v>9058</v>
      </c>
      <c r="C44" s="165" t="s">
        <v>9175</v>
      </c>
    </row>
    <row r="45" spans="1:3">
      <c r="A45" s="178" t="s">
        <v>9059</v>
      </c>
      <c r="C45" s="165" t="s">
        <v>9173</v>
      </c>
    </row>
    <row r="46" spans="1:3">
      <c r="A46" s="184" t="s">
        <v>9068</v>
      </c>
      <c r="C46" s="165" t="s">
        <v>9176</v>
      </c>
    </row>
    <row r="47" spans="1:3">
      <c r="A47" s="184" t="s">
        <v>9069</v>
      </c>
      <c r="C47" s="165" t="s">
        <v>9177</v>
      </c>
    </row>
    <row r="48" spans="1:3">
      <c r="C48" s="165" t="s">
        <v>9178</v>
      </c>
    </row>
    <row r="49" spans="3:3">
      <c r="C49" s="165" t="s">
        <v>9179</v>
      </c>
    </row>
    <row r="50" spans="3:3">
      <c r="C50" s="165" t="s">
        <v>9180</v>
      </c>
    </row>
    <row r="51" spans="3:3">
      <c r="C51" s="165" t="s">
        <v>9181</v>
      </c>
    </row>
    <row r="52" spans="3:3">
      <c r="C52" s="165" t="s">
        <v>9182</v>
      </c>
    </row>
    <row r="53" spans="3:3">
      <c r="C53" s="165" t="s">
        <v>9146</v>
      </c>
    </row>
    <row r="54" spans="3:3">
      <c r="C54" s="165" t="s">
        <v>9148</v>
      </c>
    </row>
    <row r="55" spans="3:3">
      <c r="C55" s="165" t="s">
        <v>9183</v>
      </c>
    </row>
    <row r="56" spans="3:3">
      <c r="C56" s="165" t="s">
        <v>9152</v>
      </c>
    </row>
    <row r="57" spans="3:3">
      <c r="C57" s="165" t="s">
        <v>9184</v>
      </c>
    </row>
    <row r="58" spans="3:3">
      <c r="C58" s="165" t="s">
        <v>9154</v>
      </c>
    </row>
    <row r="59" spans="3:3">
      <c r="C59" s="165" t="s">
        <v>9184</v>
      </c>
    </row>
    <row r="60" spans="3:3">
      <c r="C60" s="165" t="s">
        <v>9168</v>
      </c>
    </row>
    <row r="61" spans="3:3">
      <c r="C61" s="165" t="s">
        <v>9185</v>
      </c>
    </row>
    <row r="62" spans="3:3">
      <c r="C62" s="165" t="s">
        <v>9186</v>
      </c>
    </row>
    <row r="63" spans="3:3">
      <c r="C63" s="165" t="s">
        <v>9176</v>
      </c>
    </row>
    <row r="64" spans="3:3">
      <c r="C64" s="185"/>
    </row>
    <row r="65" spans="3:3">
      <c r="C65" s="185"/>
    </row>
    <row r="66" spans="3:3">
      <c r="C66" s="185"/>
    </row>
    <row r="67" spans="3:3">
      <c r="C67" s="185"/>
    </row>
    <row r="68" spans="3:3">
      <c r="C68" s="186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5"/>
  <sheetViews>
    <sheetView workbookViewId="0">
      <selection activeCell="C27" sqref="C27"/>
    </sheetView>
  </sheetViews>
  <sheetFormatPr defaultRowHeight="14.45"/>
  <cols>
    <col min="1" max="1" width="62.42578125" bestFit="1" customWidth="1"/>
    <col min="2" max="2" width="0.7109375" customWidth="1"/>
    <col min="3" max="3" width="62.42578125" bestFit="1" customWidth="1"/>
  </cols>
  <sheetData>
    <row r="1" spans="1:3">
      <c r="A1" s="163" t="s">
        <v>9187</v>
      </c>
      <c r="C1" s="163" t="s">
        <v>9188</v>
      </c>
    </row>
    <row r="2" spans="1:3">
      <c r="A2" s="199" t="s">
        <v>9189</v>
      </c>
      <c r="C2" s="199" t="s">
        <v>9190</v>
      </c>
    </row>
    <row r="3" spans="1:3">
      <c r="A3" s="165" t="s">
        <v>9191</v>
      </c>
      <c r="C3" s="165" t="s">
        <v>9192</v>
      </c>
    </row>
    <row r="4" spans="1:3">
      <c r="A4" s="165" t="s">
        <v>9193</v>
      </c>
      <c r="C4" s="165" t="s">
        <v>9194</v>
      </c>
    </row>
    <row r="5" spans="1:3">
      <c r="A5" s="165" t="s">
        <v>9195</v>
      </c>
      <c r="C5" s="165" t="s">
        <v>9196</v>
      </c>
    </row>
    <row r="6" spans="1:3">
      <c r="A6" s="188" t="s">
        <v>9197</v>
      </c>
      <c r="C6" s="188" t="s">
        <v>9078</v>
      </c>
    </row>
    <row r="7" spans="1:3">
      <c r="A7" s="188" t="s">
        <v>9198</v>
      </c>
      <c r="C7" s="188" t="s">
        <v>9199</v>
      </c>
    </row>
    <row r="8" spans="1:3">
      <c r="A8" s="188" t="s">
        <v>9200</v>
      </c>
      <c r="C8" s="188" t="s">
        <v>9044</v>
      </c>
    </row>
    <row r="9" spans="1:3">
      <c r="A9" s="188" t="s">
        <v>9201</v>
      </c>
      <c r="C9" s="188" t="s">
        <v>9202</v>
      </c>
    </row>
    <row r="10" spans="1:3">
      <c r="A10" s="202" t="s">
        <v>9203</v>
      </c>
      <c r="C10" s="188" t="s">
        <v>9204</v>
      </c>
    </row>
    <row r="11" spans="1:3">
      <c r="A11" s="202" t="s">
        <v>9205</v>
      </c>
      <c r="C11" s="188" t="s">
        <v>9206</v>
      </c>
    </row>
    <row r="12" spans="1:3">
      <c r="A12" s="202" t="s">
        <v>9207</v>
      </c>
      <c r="C12" s="188"/>
    </row>
    <row r="13" spans="1:3">
      <c r="A13" s="202" t="s">
        <v>9208</v>
      </c>
      <c r="C13" s="188" t="s">
        <v>9209</v>
      </c>
    </row>
    <row r="14" spans="1:3">
      <c r="A14" s="202" t="s">
        <v>9210</v>
      </c>
      <c r="C14" s="188" t="s">
        <v>9211</v>
      </c>
    </row>
    <row r="15" spans="1:3">
      <c r="A15" s="202" t="s">
        <v>9212</v>
      </c>
      <c r="C15" s="188" t="s">
        <v>9213</v>
      </c>
    </row>
    <row r="16" spans="1:3">
      <c r="A16" s="188"/>
      <c r="C16" s="188" t="s">
        <v>9214</v>
      </c>
    </row>
    <row r="17" spans="1:3">
      <c r="A17" s="188" t="s">
        <v>9215</v>
      </c>
      <c r="C17" s="188" t="s">
        <v>9216</v>
      </c>
    </row>
    <row r="18" spans="1:3">
      <c r="A18" s="188" t="s">
        <v>9217</v>
      </c>
      <c r="C18" s="188" t="s">
        <v>9218</v>
      </c>
    </row>
    <row r="19" spans="1:3">
      <c r="A19" s="188" t="s">
        <v>9219</v>
      </c>
      <c r="C19" s="188" t="s">
        <v>9220</v>
      </c>
    </row>
    <row r="20" spans="1:3">
      <c r="A20" s="188" t="s">
        <v>9221</v>
      </c>
      <c r="C20" s="188" t="s">
        <v>9222</v>
      </c>
    </row>
    <row r="21" spans="1:3">
      <c r="A21" s="188" t="s">
        <v>9223</v>
      </c>
      <c r="C21" s="188" t="s">
        <v>9224</v>
      </c>
    </row>
    <row r="22" spans="1:3">
      <c r="A22" s="188" t="s">
        <v>9225</v>
      </c>
      <c r="C22" s="188" t="s">
        <v>9226</v>
      </c>
    </row>
    <row r="23" spans="1:3">
      <c r="A23" s="188" t="s">
        <v>9227</v>
      </c>
      <c r="C23" s="204"/>
    </row>
    <row r="24" spans="1:3">
      <c r="A24" s="188" t="s">
        <v>9228</v>
      </c>
      <c r="C24" s="203"/>
    </row>
    <row r="25" spans="1:3">
      <c r="A25" s="188" t="s">
        <v>9229</v>
      </c>
      <c r="C25" s="203"/>
    </row>
    <row r="26" spans="1:3">
      <c r="A26" s="188" t="s">
        <v>9230</v>
      </c>
      <c r="C26" s="203"/>
    </row>
    <row r="27" spans="1:3">
      <c r="A27" s="188" t="s">
        <v>9231</v>
      </c>
    </row>
    <row r="28" spans="1:3">
      <c r="A28" s="188" t="s">
        <v>9232</v>
      </c>
    </row>
    <row r="29" spans="1:3">
      <c r="A29" s="188" t="s">
        <v>9233</v>
      </c>
    </row>
    <row r="30" spans="1:3">
      <c r="A30" s="188" t="s">
        <v>9234</v>
      </c>
    </row>
    <row r="31" spans="1:3">
      <c r="A31" s="188" t="s">
        <v>9235</v>
      </c>
    </row>
    <row r="32" spans="1:3">
      <c r="A32" s="188" t="s">
        <v>9231</v>
      </c>
    </row>
    <row r="33" spans="1:1">
      <c r="A33" s="188" t="s">
        <v>9236</v>
      </c>
    </row>
    <row r="34" spans="1:1">
      <c r="A34" s="188" t="s">
        <v>9233</v>
      </c>
    </row>
    <row r="35" spans="1:1">
      <c r="A35" s="188" t="s">
        <v>9234</v>
      </c>
    </row>
    <row r="36" spans="1:1">
      <c r="A36" s="188" t="s">
        <v>9237</v>
      </c>
    </row>
    <row r="37" spans="1:1">
      <c r="A37" s="165" t="s">
        <v>9238</v>
      </c>
    </row>
    <row r="38" spans="1:1">
      <c r="A38" s="165" t="s">
        <v>9239</v>
      </c>
    </row>
    <row r="39" spans="1:1">
      <c r="A39" s="165" t="s">
        <v>9185</v>
      </c>
    </row>
    <row r="40" spans="1:1">
      <c r="A40" s="165" t="s">
        <v>9240</v>
      </c>
    </row>
    <row r="41" spans="1:1">
      <c r="A41" s="165" t="s">
        <v>9241</v>
      </c>
    </row>
    <row r="42" spans="1:1">
      <c r="A42" s="165" t="s">
        <v>9242</v>
      </c>
    </row>
    <row r="43" spans="1:1">
      <c r="A43" s="165" t="s">
        <v>9243</v>
      </c>
    </row>
    <row r="44" spans="1:1">
      <c r="A44" s="165" t="s">
        <v>9142</v>
      </c>
    </row>
    <row r="45" spans="1:1">
      <c r="A45" s="165" t="s">
        <v>9244</v>
      </c>
    </row>
    <row r="46" spans="1:1">
      <c r="A46" s="165" t="s">
        <v>9245</v>
      </c>
    </row>
    <row r="47" spans="1:1">
      <c r="A47" s="165" t="s">
        <v>9246</v>
      </c>
    </row>
    <row r="48" spans="1:1">
      <c r="A48" s="165" t="s">
        <v>9247</v>
      </c>
    </row>
    <row r="49" spans="1:1">
      <c r="A49" s="165" t="s">
        <v>9248</v>
      </c>
    </row>
    <row r="50" spans="1:1">
      <c r="A50" s="165" t="s">
        <v>9238</v>
      </c>
    </row>
    <row r="51" spans="1:1">
      <c r="A51" s="165" t="s">
        <v>9249</v>
      </c>
    </row>
    <row r="52" spans="1:1">
      <c r="A52" s="165" t="s">
        <v>9185</v>
      </c>
    </row>
    <row r="53" spans="1:1">
      <c r="A53" s="165" t="s">
        <v>9240</v>
      </c>
    </row>
    <row r="54" spans="1:1">
      <c r="A54" s="165" t="s">
        <v>9250</v>
      </c>
    </row>
    <row r="55" spans="1:1">
      <c r="A55" s="165" t="s">
        <v>9242</v>
      </c>
    </row>
    <row r="56" spans="1:1">
      <c r="A56" s="165" t="s">
        <v>9243</v>
      </c>
    </row>
    <row r="57" spans="1:1">
      <c r="A57" s="165" t="s">
        <v>9251</v>
      </c>
    </row>
    <row r="58" spans="1:1">
      <c r="A58" s="165" t="s">
        <v>9252</v>
      </c>
    </row>
    <row r="59" spans="1:1">
      <c r="A59" s="165" t="s">
        <v>9253</v>
      </c>
    </row>
    <row r="60" spans="1:1">
      <c r="A60" s="165" t="s">
        <v>9254</v>
      </c>
    </row>
    <row r="61" spans="1:1">
      <c r="A61" s="165" t="s">
        <v>9255</v>
      </c>
    </row>
    <row r="62" spans="1:1">
      <c r="A62" s="165" t="s">
        <v>9256</v>
      </c>
    </row>
    <row r="63" spans="1:1">
      <c r="A63" s="165" t="s">
        <v>9257</v>
      </c>
    </row>
    <row r="64" spans="1:1">
      <c r="A64" s="165" t="s">
        <v>9258</v>
      </c>
    </row>
    <row r="65" spans="1:1">
      <c r="A65" s="165" t="s">
        <v>9259</v>
      </c>
    </row>
    <row r="66" spans="1:1">
      <c r="A66" s="165" t="s">
        <v>9260</v>
      </c>
    </row>
    <row r="67" spans="1:1">
      <c r="A67" s="165" t="s">
        <v>9261</v>
      </c>
    </row>
    <row r="68" spans="1:1">
      <c r="A68" s="165" t="s">
        <v>9262</v>
      </c>
    </row>
    <row r="69" spans="1:1">
      <c r="A69" s="165" t="s">
        <v>9263</v>
      </c>
    </row>
    <row r="70" spans="1:1">
      <c r="A70" s="165" t="s">
        <v>9264</v>
      </c>
    </row>
    <row r="71" spans="1:1">
      <c r="A71" s="165" t="s">
        <v>9265</v>
      </c>
    </row>
    <row r="72" spans="1:1">
      <c r="A72" s="165" t="s">
        <v>9266</v>
      </c>
    </row>
    <row r="73" spans="1:1">
      <c r="A73" s="165" t="s">
        <v>9267</v>
      </c>
    </row>
    <row r="74" spans="1:1">
      <c r="A74" s="165" t="s">
        <v>9268</v>
      </c>
    </row>
    <row r="75" spans="1:1">
      <c r="A75" s="165" t="s">
        <v>9269</v>
      </c>
    </row>
    <row r="76" spans="1:1">
      <c r="A76" s="165" t="s">
        <v>9263</v>
      </c>
    </row>
    <row r="77" spans="1:1">
      <c r="A77" s="165" t="s">
        <v>9270</v>
      </c>
    </row>
    <row r="78" spans="1:1">
      <c r="A78" s="185"/>
    </row>
    <row r="79" spans="1:1">
      <c r="A79" s="165" t="s">
        <v>9271</v>
      </c>
    </row>
    <row r="80" spans="1:1">
      <c r="A80" s="165" t="s">
        <v>9272</v>
      </c>
    </row>
    <row r="81" spans="1:1">
      <c r="A81" s="165" t="s">
        <v>9273</v>
      </c>
    </row>
    <row r="82" spans="1:1">
      <c r="A82" s="165" t="s">
        <v>9274</v>
      </c>
    </row>
    <row r="83" spans="1:1">
      <c r="A83" s="165" t="s">
        <v>9275</v>
      </c>
    </row>
    <row r="84" spans="1:1">
      <c r="A84" s="185"/>
    </row>
    <row r="85" spans="1:1">
      <c r="A85" s="186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242"/>
  <sheetViews>
    <sheetView tabSelected="1" topLeftCell="A187" zoomScale="90" zoomScaleNormal="90" workbookViewId="0">
      <selection activeCell="A225" sqref="A225:XFD225"/>
    </sheetView>
  </sheetViews>
  <sheetFormatPr defaultRowHeight="14.45"/>
  <cols>
    <col min="1" max="1" width="1.7109375" customWidth="1"/>
    <col min="2" max="2" width="88.5703125" customWidth="1"/>
    <col min="3" max="3" width="7.7109375" bestFit="1" customWidth="1"/>
    <col min="4" max="4" width="62.85546875" customWidth="1"/>
    <col min="5" max="5" width="9.140625" customWidth="1"/>
    <col min="6" max="6" width="9.140625" bestFit="1" customWidth="1"/>
    <col min="7" max="7" width="11.7109375" style="144" customWidth="1"/>
    <col min="8" max="8" width="1.7109375" customWidth="1"/>
    <col min="9" max="9" width="20.5703125" bestFit="1" customWidth="1"/>
  </cols>
  <sheetData>
    <row r="1" spans="2:10" ht="9" customHeight="1"/>
    <row r="2" spans="2:10">
      <c r="B2" s="1" t="s">
        <v>8221</v>
      </c>
      <c r="C2" s="1" t="s">
        <v>8222</v>
      </c>
      <c r="D2" s="1" t="s">
        <v>8223</v>
      </c>
      <c r="E2" s="5" t="s">
        <v>8224</v>
      </c>
      <c r="F2" s="5" t="s">
        <v>8225</v>
      </c>
      <c r="G2" s="147" t="s">
        <v>8226</v>
      </c>
      <c r="I2" s="219" t="s">
        <v>9276</v>
      </c>
    </row>
    <row r="3" spans="2:10">
      <c r="B3" s="14" t="s">
        <v>91</v>
      </c>
      <c r="C3" s="15"/>
      <c r="D3" s="16"/>
      <c r="E3" s="17">
        <v>1</v>
      </c>
      <c r="F3" s="17">
        <v>0</v>
      </c>
      <c r="G3" s="148"/>
    </row>
    <row r="4" spans="2:10">
      <c r="B4" s="10" t="s">
        <v>8227</v>
      </c>
      <c r="C4" s="9"/>
      <c r="D4" s="23" t="s">
        <v>8229</v>
      </c>
      <c r="E4" s="6">
        <f>E3+F3</f>
        <v>1</v>
      </c>
      <c r="F4" s="6">
        <v>4</v>
      </c>
      <c r="G4" s="149" t="s">
        <v>8230</v>
      </c>
      <c r="J4">
        <f>E4+33</f>
        <v>34</v>
      </c>
    </row>
    <row r="5" spans="2:10">
      <c r="B5" s="10" t="s">
        <v>8231</v>
      </c>
      <c r="C5" s="9"/>
      <c r="D5" s="23" t="s">
        <v>8232</v>
      </c>
      <c r="E5" s="6"/>
      <c r="F5" s="6"/>
      <c r="G5" s="150"/>
    </row>
    <row r="6" spans="2:10">
      <c r="B6" s="221" t="s">
        <v>8233</v>
      </c>
      <c r="C6" s="222"/>
      <c r="D6" s="223" t="s">
        <v>8234</v>
      </c>
      <c r="E6" s="224"/>
      <c r="F6" s="224"/>
      <c r="G6" s="150"/>
      <c r="I6" s="225" t="s">
        <v>9277</v>
      </c>
    </row>
    <row r="7" spans="2:10">
      <c r="B7" s="10" t="s">
        <v>9278</v>
      </c>
      <c r="C7" s="9"/>
      <c r="D7" s="23" t="s">
        <v>9279</v>
      </c>
      <c r="E7" s="6"/>
      <c r="F7" s="6"/>
      <c r="G7" s="150"/>
    </row>
    <row r="8" spans="2:10">
      <c r="B8" s="10" t="s">
        <v>9280</v>
      </c>
      <c r="C8" s="9"/>
      <c r="D8" s="23" t="s">
        <v>9281</v>
      </c>
      <c r="E8" s="6"/>
      <c r="F8" s="6"/>
      <c r="G8" s="150"/>
    </row>
    <row r="9" spans="2:10">
      <c r="B9" s="10" t="s">
        <v>8235</v>
      </c>
      <c r="C9" s="9"/>
      <c r="D9" s="23" t="s">
        <v>8236</v>
      </c>
      <c r="E9" s="6"/>
      <c r="F9" s="6"/>
      <c r="G9" s="150"/>
    </row>
    <row r="10" spans="2:10">
      <c r="B10" s="10" t="s">
        <v>8237</v>
      </c>
      <c r="C10" s="9"/>
      <c r="D10" s="23" t="s">
        <v>8238</v>
      </c>
      <c r="E10" s="6"/>
      <c r="F10" s="6"/>
      <c r="G10" s="150"/>
    </row>
    <row r="11" spans="2:10">
      <c r="B11" s="10" t="s">
        <v>9282</v>
      </c>
      <c r="C11" s="9"/>
      <c r="D11" s="23" t="s">
        <v>9283</v>
      </c>
      <c r="E11" s="6"/>
      <c r="F11" s="6"/>
      <c r="G11" s="150"/>
    </row>
    <row r="12" spans="2:10">
      <c r="B12" s="10" t="s">
        <v>9284</v>
      </c>
      <c r="C12" s="9"/>
      <c r="D12" s="23" t="s">
        <v>9285</v>
      </c>
      <c r="E12" s="6"/>
      <c r="F12" s="6"/>
      <c r="G12" s="150"/>
    </row>
    <row r="13" spans="2:10">
      <c r="B13" s="10" t="s">
        <v>9286</v>
      </c>
      <c r="C13" s="9"/>
      <c r="D13" s="23" t="s">
        <v>9287</v>
      </c>
      <c r="E13" s="6"/>
      <c r="F13" s="6"/>
      <c r="G13" s="150"/>
    </row>
    <row r="14" spans="2:10">
      <c r="B14" s="10" t="s">
        <v>9288</v>
      </c>
      <c r="C14" s="9"/>
      <c r="D14" s="23" t="s">
        <v>9289</v>
      </c>
      <c r="E14" s="6"/>
      <c r="F14" s="6"/>
      <c r="G14" s="150"/>
    </row>
    <row r="15" spans="2:10">
      <c r="B15" s="10" t="s">
        <v>9290</v>
      </c>
      <c r="C15" s="9"/>
      <c r="D15" s="23" t="s">
        <v>9291</v>
      </c>
      <c r="E15" s="6"/>
      <c r="F15" s="6"/>
      <c r="G15" s="150"/>
    </row>
    <row r="16" spans="2:10">
      <c r="B16" s="10" t="s">
        <v>9292</v>
      </c>
      <c r="C16" s="9"/>
      <c r="D16" s="23" t="s">
        <v>9293</v>
      </c>
      <c r="E16" s="6"/>
      <c r="F16" s="6"/>
      <c r="G16" s="150"/>
    </row>
    <row r="17" spans="2:10">
      <c r="B17" s="10" t="s">
        <v>9294</v>
      </c>
      <c r="C17" s="9"/>
      <c r="D17" s="23" t="s">
        <v>9295</v>
      </c>
      <c r="E17" s="6"/>
      <c r="F17" s="6"/>
      <c r="G17" s="150"/>
    </row>
    <row r="18" spans="2:10">
      <c r="B18" s="10" t="s">
        <v>9296</v>
      </c>
      <c r="C18" s="9"/>
      <c r="D18" s="23" t="s">
        <v>9297</v>
      </c>
      <c r="E18" s="6"/>
      <c r="F18" s="6"/>
      <c r="G18" s="150"/>
    </row>
    <row r="19" spans="2:10">
      <c r="B19" s="10" t="s">
        <v>9298</v>
      </c>
      <c r="C19" s="9"/>
      <c r="D19" s="23" t="s">
        <v>9299</v>
      </c>
      <c r="E19" s="6"/>
      <c r="F19" s="6"/>
      <c r="G19" s="150"/>
    </row>
    <row r="20" spans="2:10">
      <c r="B20" s="10" t="s">
        <v>9300</v>
      </c>
      <c r="C20" s="9"/>
      <c r="D20" s="23" t="s">
        <v>9301</v>
      </c>
      <c r="E20" s="6"/>
      <c r="F20" s="6"/>
      <c r="G20" s="150"/>
    </row>
    <row r="21" spans="2:10">
      <c r="B21" s="10" t="s">
        <v>8241</v>
      </c>
      <c r="C21" s="9"/>
      <c r="D21" s="8" t="s">
        <v>8242</v>
      </c>
      <c r="E21" s="6">
        <f>E4+F4</f>
        <v>5</v>
      </c>
      <c r="F21" s="8">
        <v>1</v>
      </c>
      <c r="G21" s="149" t="s">
        <v>8230</v>
      </c>
      <c r="J21">
        <f t="shared" ref="J21:J62" si="0">E21+33</f>
        <v>38</v>
      </c>
    </row>
    <row r="22" spans="2:10">
      <c r="B22" s="10" t="s">
        <v>8243</v>
      </c>
      <c r="C22" s="9"/>
      <c r="D22" s="8" t="s">
        <v>8244</v>
      </c>
      <c r="E22" s="6"/>
      <c r="F22" s="8"/>
      <c r="G22" s="150"/>
    </row>
    <row r="23" spans="2:10">
      <c r="B23" s="10" t="s">
        <v>8245</v>
      </c>
      <c r="C23" s="9"/>
      <c r="D23" s="8" t="s">
        <v>8246</v>
      </c>
      <c r="E23" s="6"/>
      <c r="F23" s="8"/>
      <c r="G23" s="150"/>
    </row>
    <row r="24" spans="2:10">
      <c r="B24" s="10" t="s">
        <v>8247</v>
      </c>
      <c r="C24" s="9"/>
      <c r="D24" s="8" t="s">
        <v>8248</v>
      </c>
      <c r="E24" s="6"/>
      <c r="F24" s="8"/>
      <c r="G24" s="150"/>
    </row>
    <row r="25" spans="2:10">
      <c r="B25" s="10" t="s">
        <v>8249</v>
      </c>
      <c r="C25" s="9"/>
      <c r="D25" s="23" t="s">
        <v>8250</v>
      </c>
      <c r="E25" s="6">
        <f>E21+F21</f>
        <v>6</v>
      </c>
      <c r="F25" s="6">
        <v>1</v>
      </c>
      <c r="G25" s="149" t="s">
        <v>8230</v>
      </c>
      <c r="J25">
        <f t="shared" si="0"/>
        <v>39</v>
      </c>
    </row>
    <row r="26" spans="2:10">
      <c r="B26" s="10" t="s">
        <v>8258</v>
      </c>
      <c r="C26" s="9"/>
      <c r="D26" s="23" t="s">
        <v>8259</v>
      </c>
      <c r="E26" s="6"/>
      <c r="F26" s="6"/>
      <c r="G26" s="150"/>
    </row>
    <row r="27" spans="2:10">
      <c r="B27" s="10" t="s">
        <v>8260</v>
      </c>
      <c r="C27" s="9"/>
      <c r="D27" s="23" t="s">
        <v>8261</v>
      </c>
      <c r="E27" s="6"/>
      <c r="F27" s="6"/>
      <c r="G27" s="150"/>
    </row>
    <row r="28" spans="2:10">
      <c r="B28" s="10" t="s">
        <v>8262</v>
      </c>
      <c r="C28" s="9"/>
      <c r="D28" s="8" t="s">
        <v>8263</v>
      </c>
      <c r="E28" s="6">
        <f>E25+F25</f>
        <v>7</v>
      </c>
      <c r="F28" s="8">
        <v>8</v>
      </c>
      <c r="G28" s="151" t="s">
        <v>8264</v>
      </c>
      <c r="J28">
        <f t="shared" si="0"/>
        <v>40</v>
      </c>
    </row>
    <row r="29" spans="2:10">
      <c r="B29" s="10" t="s">
        <v>8266</v>
      </c>
      <c r="C29" s="22"/>
      <c r="D29" s="23" t="s">
        <v>8267</v>
      </c>
      <c r="E29" s="6">
        <f>E28+F28</f>
        <v>15</v>
      </c>
      <c r="F29" s="6">
        <v>3</v>
      </c>
      <c r="G29" s="149" t="s">
        <v>8230</v>
      </c>
      <c r="J29">
        <f t="shared" si="0"/>
        <v>48</v>
      </c>
    </row>
    <row r="30" spans="2:10">
      <c r="B30" s="10" t="s">
        <v>8273</v>
      </c>
      <c r="C30" s="22"/>
      <c r="D30" s="23" t="s">
        <v>8274</v>
      </c>
      <c r="E30" s="6"/>
      <c r="F30" s="6"/>
      <c r="G30" s="150"/>
    </row>
    <row r="31" spans="2:10">
      <c r="B31" s="10" t="s">
        <v>8275</v>
      </c>
      <c r="C31" s="22"/>
      <c r="D31" s="23" t="s">
        <v>8276</v>
      </c>
      <c r="E31" s="6"/>
      <c r="F31" s="6"/>
      <c r="G31" s="150"/>
    </row>
    <row r="32" spans="2:10">
      <c r="B32" s="10" t="s">
        <v>8277</v>
      </c>
      <c r="C32" s="22"/>
      <c r="D32" s="23" t="s">
        <v>8278</v>
      </c>
      <c r="E32" s="6"/>
      <c r="F32" s="6"/>
      <c r="G32" s="150"/>
    </row>
    <row r="33" spans="2:10">
      <c r="B33" s="10" t="s">
        <v>8279</v>
      </c>
      <c r="C33" s="9"/>
      <c r="D33" s="23" t="s">
        <v>8280</v>
      </c>
      <c r="E33" s="8"/>
      <c r="F33" s="8"/>
      <c r="G33" s="150"/>
    </row>
    <row r="34" spans="2:10">
      <c r="B34" s="10" t="s">
        <v>8281</v>
      </c>
      <c r="C34" s="9"/>
      <c r="D34" s="23" t="s">
        <v>8282</v>
      </c>
      <c r="E34" s="6">
        <f>E29+F29</f>
        <v>18</v>
      </c>
      <c r="F34" s="8">
        <v>3</v>
      </c>
      <c r="G34" s="149" t="s">
        <v>8230</v>
      </c>
      <c r="J34">
        <f t="shared" si="0"/>
        <v>51</v>
      </c>
    </row>
    <row r="35" spans="2:10">
      <c r="B35" s="10" t="s">
        <v>8292</v>
      </c>
      <c r="C35" s="9"/>
      <c r="D35" s="23" t="s">
        <v>8293</v>
      </c>
      <c r="E35" s="8"/>
      <c r="F35" s="8"/>
      <c r="G35" s="150"/>
    </row>
    <row r="36" spans="2:10">
      <c r="B36" s="10" t="s">
        <v>8294</v>
      </c>
      <c r="C36" s="9"/>
      <c r="D36" s="23" t="s">
        <v>8295</v>
      </c>
      <c r="E36" s="8"/>
      <c r="F36" s="8"/>
      <c r="G36" s="150"/>
    </row>
    <row r="37" spans="2:10">
      <c r="B37" s="10" t="s">
        <v>8296</v>
      </c>
      <c r="C37" s="9"/>
      <c r="D37" s="23" t="s">
        <v>8297</v>
      </c>
      <c r="E37" s="8"/>
      <c r="F37" s="8"/>
      <c r="G37" s="150"/>
    </row>
    <row r="38" spans="2:10">
      <c r="B38" s="10" t="s">
        <v>8298</v>
      </c>
      <c r="C38" s="9"/>
      <c r="D38" s="23" t="s">
        <v>8299</v>
      </c>
      <c r="E38" s="8"/>
      <c r="F38" s="8"/>
      <c r="G38" s="150"/>
    </row>
    <row r="39" spans="2:10">
      <c r="B39" s="10" t="s">
        <v>8300</v>
      </c>
      <c r="C39" s="9"/>
      <c r="D39" s="23" t="s">
        <v>8301</v>
      </c>
      <c r="E39" s="8"/>
      <c r="F39" s="8"/>
      <c r="G39" s="150"/>
    </row>
    <row r="40" spans="2:10">
      <c r="B40" s="10" t="s">
        <v>8302</v>
      </c>
      <c r="C40" s="9"/>
      <c r="D40" s="23" t="s">
        <v>8303</v>
      </c>
      <c r="E40" s="8"/>
      <c r="F40" s="8"/>
      <c r="G40" s="150"/>
    </row>
    <row r="41" spans="2:10">
      <c r="B41" s="10" t="s">
        <v>9302</v>
      </c>
      <c r="C41" s="9"/>
      <c r="D41" s="23" t="s">
        <v>9303</v>
      </c>
      <c r="E41" s="8"/>
      <c r="F41" s="8"/>
      <c r="G41" s="150"/>
    </row>
    <row r="42" spans="2:10">
      <c r="B42" s="10" t="s">
        <v>8304</v>
      </c>
      <c r="C42" s="9"/>
      <c r="D42" s="23"/>
      <c r="E42" s="8">
        <f>E34+F34</f>
        <v>21</v>
      </c>
      <c r="F42" s="8">
        <v>1</v>
      </c>
      <c r="G42" s="152" t="s">
        <v>8305</v>
      </c>
      <c r="J42">
        <f t="shared" si="0"/>
        <v>54</v>
      </c>
    </row>
    <row r="43" spans="2:10" ht="28.9">
      <c r="B43" s="65" t="s">
        <v>8306</v>
      </c>
      <c r="C43" s="66"/>
      <c r="D43" s="28" t="s">
        <v>8307</v>
      </c>
      <c r="E43" s="67"/>
      <c r="F43" s="67"/>
      <c r="G43" s="150"/>
    </row>
    <row r="44" spans="2:10">
      <c r="B44" s="10" t="s">
        <v>8308</v>
      </c>
      <c r="C44" s="9"/>
      <c r="D44" s="8" t="s">
        <v>8309</v>
      </c>
      <c r="E44" s="6">
        <f>E42+F42</f>
        <v>22</v>
      </c>
      <c r="F44" s="8">
        <v>10</v>
      </c>
      <c r="G44" s="150"/>
      <c r="J44">
        <f t="shared" si="0"/>
        <v>55</v>
      </c>
    </row>
    <row r="45" spans="2:10">
      <c r="B45" s="10" t="s">
        <v>8315</v>
      </c>
      <c r="C45" s="9"/>
      <c r="D45" s="8" t="s">
        <v>8316</v>
      </c>
      <c r="E45" s="6">
        <f>E44+F44</f>
        <v>32</v>
      </c>
      <c r="F45" s="8">
        <v>10</v>
      </c>
      <c r="G45" s="149" t="s">
        <v>8230</v>
      </c>
      <c r="J45">
        <f t="shared" si="0"/>
        <v>65</v>
      </c>
    </row>
    <row r="46" spans="2:10">
      <c r="B46" s="10" t="s">
        <v>8325</v>
      </c>
      <c r="C46" s="9"/>
      <c r="D46" s="8" t="s">
        <v>8326</v>
      </c>
      <c r="E46" s="6">
        <f>E45+F45</f>
        <v>42</v>
      </c>
      <c r="F46" s="8">
        <v>16</v>
      </c>
      <c r="G46" s="149" t="s">
        <v>8230</v>
      </c>
      <c r="J46">
        <f t="shared" si="0"/>
        <v>75</v>
      </c>
    </row>
    <row r="47" spans="2:10">
      <c r="B47" s="10" t="s">
        <v>8336</v>
      </c>
      <c r="C47" s="9"/>
      <c r="D47" s="23" t="s">
        <v>8337</v>
      </c>
      <c r="E47" s="6">
        <f>E46+F46</f>
        <v>58</v>
      </c>
      <c r="F47" s="8">
        <v>3</v>
      </c>
      <c r="G47" s="149" t="s">
        <v>8230</v>
      </c>
      <c r="J47">
        <f t="shared" si="0"/>
        <v>91</v>
      </c>
    </row>
    <row r="48" spans="2:10">
      <c r="B48" s="10" t="s">
        <v>8340</v>
      </c>
      <c r="C48" s="9"/>
      <c r="D48" s="8" t="s">
        <v>8341</v>
      </c>
      <c r="E48" s="8"/>
      <c r="F48" s="8"/>
      <c r="G48" s="150"/>
    </row>
    <row r="49" spans="2:10">
      <c r="B49" s="10" t="s">
        <v>8342</v>
      </c>
      <c r="C49" s="9"/>
      <c r="D49" s="8" t="s">
        <v>8343</v>
      </c>
      <c r="E49" s="8"/>
      <c r="F49" s="8"/>
      <c r="G49" s="150"/>
    </row>
    <row r="50" spans="2:10">
      <c r="B50" s="10" t="s">
        <v>8344</v>
      </c>
      <c r="C50" s="9"/>
      <c r="D50" s="8" t="s">
        <v>8345</v>
      </c>
      <c r="E50" s="8"/>
      <c r="F50" s="8"/>
      <c r="G50" s="150"/>
    </row>
    <row r="51" spans="2:10">
      <c r="B51" s="10" t="s">
        <v>8346</v>
      </c>
      <c r="C51" s="9"/>
      <c r="D51" s="8" t="s">
        <v>8347</v>
      </c>
      <c r="E51" s="8"/>
      <c r="F51" s="8"/>
      <c r="G51" s="150"/>
    </row>
    <row r="52" spans="2:10">
      <c r="B52" s="10" t="s">
        <v>8348</v>
      </c>
      <c r="C52" s="9"/>
      <c r="D52" s="8" t="s">
        <v>8349</v>
      </c>
      <c r="E52" s="8"/>
      <c r="F52" s="8"/>
      <c r="G52" s="150"/>
    </row>
    <row r="53" spans="2:10">
      <c r="B53" s="10" t="s">
        <v>9304</v>
      </c>
      <c r="C53" s="9"/>
      <c r="D53" s="8" t="s">
        <v>9305</v>
      </c>
      <c r="E53" s="8"/>
      <c r="F53" s="8"/>
      <c r="G53" s="150"/>
    </row>
    <row r="54" spans="2:10">
      <c r="B54" s="10" t="s">
        <v>9306</v>
      </c>
      <c r="C54" s="9"/>
      <c r="D54" s="8" t="s">
        <v>9307</v>
      </c>
      <c r="E54" s="8"/>
      <c r="F54" s="8"/>
      <c r="G54" s="150"/>
    </row>
    <row r="55" spans="2:10">
      <c r="B55" s="10" t="s">
        <v>9308</v>
      </c>
      <c r="C55" s="9"/>
      <c r="D55" s="8" t="s">
        <v>9309</v>
      </c>
      <c r="E55" s="8"/>
      <c r="F55" s="8"/>
      <c r="G55" s="150"/>
    </row>
    <row r="56" spans="2:10">
      <c r="B56" s="10" t="s">
        <v>9310</v>
      </c>
      <c r="C56" s="9"/>
      <c r="D56" s="8" t="s">
        <v>9311</v>
      </c>
      <c r="E56" s="8"/>
      <c r="F56" s="8"/>
      <c r="G56" s="150"/>
    </row>
    <row r="57" spans="2:10">
      <c r="B57" s="10" t="s">
        <v>8352</v>
      </c>
      <c r="C57" s="9"/>
      <c r="D57" s="8" t="s">
        <v>8353</v>
      </c>
      <c r="E57" s="6">
        <f>E47+F47</f>
        <v>61</v>
      </c>
      <c r="F57" s="8">
        <v>1</v>
      </c>
      <c r="G57" s="152" t="s">
        <v>8305</v>
      </c>
      <c r="J57">
        <f t="shared" si="0"/>
        <v>94</v>
      </c>
    </row>
    <row r="58" spans="2:10">
      <c r="B58" s="14" t="s">
        <v>9312</v>
      </c>
      <c r="C58" s="15"/>
      <c r="D58" s="16"/>
      <c r="E58" s="17">
        <f>E57+F57</f>
        <v>62</v>
      </c>
      <c r="F58" s="17">
        <f>2967-E57</f>
        <v>2906</v>
      </c>
      <c r="G58" s="148"/>
      <c r="J58">
        <f t="shared" si="0"/>
        <v>95</v>
      </c>
    </row>
    <row r="59" spans="2:10">
      <c r="B59" s="14" t="s">
        <v>9313</v>
      </c>
      <c r="C59" s="15"/>
      <c r="D59" s="16"/>
      <c r="E59" s="17"/>
      <c r="F59" s="17">
        <v>0</v>
      </c>
      <c r="G59" s="148"/>
    </row>
    <row r="60" spans="2:10">
      <c r="B60" s="18" t="s">
        <v>8356</v>
      </c>
      <c r="C60" s="19"/>
      <c r="D60" s="20"/>
      <c r="E60" s="21">
        <f>E58</f>
        <v>62</v>
      </c>
      <c r="F60" s="20">
        <v>0</v>
      </c>
      <c r="G60" s="153"/>
      <c r="J60">
        <f t="shared" si="0"/>
        <v>95</v>
      </c>
    </row>
    <row r="61" spans="2:10">
      <c r="B61" s="10" t="s">
        <v>8373</v>
      </c>
      <c r="C61" s="9"/>
      <c r="D61" s="8" t="s">
        <v>8374</v>
      </c>
      <c r="E61" s="6">
        <f>E60+F60</f>
        <v>62</v>
      </c>
      <c r="F61" s="8">
        <v>10</v>
      </c>
      <c r="G61" s="151" t="s">
        <v>8264</v>
      </c>
      <c r="J61">
        <f t="shared" si="0"/>
        <v>95</v>
      </c>
    </row>
    <row r="62" spans="2:10">
      <c r="B62" s="10" t="s">
        <v>8379</v>
      </c>
      <c r="C62" s="9"/>
      <c r="D62" s="8" t="s">
        <v>8380</v>
      </c>
      <c r="E62" s="6">
        <f>E61+F61</f>
        <v>72</v>
      </c>
      <c r="F62" s="8">
        <v>3</v>
      </c>
      <c r="G62" s="151" t="s">
        <v>8264</v>
      </c>
      <c r="J62">
        <f t="shared" si="0"/>
        <v>105</v>
      </c>
    </row>
    <row r="63" spans="2:10" ht="28.9">
      <c r="B63" s="126" t="s">
        <v>8383</v>
      </c>
      <c r="C63" s="66"/>
      <c r="D63" s="67" t="s">
        <v>8384</v>
      </c>
      <c r="E63" s="8"/>
      <c r="F63" s="8"/>
      <c r="G63" s="150"/>
    </row>
    <row r="64" spans="2:10">
      <c r="B64" s="10" t="s">
        <v>8385</v>
      </c>
      <c r="C64" s="9"/>
      <c r="D64" s="8" t="s">
        <v>8386</v>
      </c>
      <c r="E64" s="8"/>
      <c r="F64" s="8"/>
      <c r="G64" s="150"/>
    </row>
    <row r="65" spans="2:10">
      <c r="B65" s="10" t="s">
        <v>8387</v>
      </c>
      <c r="C65" s="9"/>
      <c r="D65" s="8" t="s">
        <v>8388</v>
      </c>
      <c r="E65" s="8"/>
      <c r="F65" s="8"/>
      <c r="G65" s="150"/>
    </row>
    <row r="66" spans="2:10">
      <c r="B66" s="10" t="s">
        <v>8389</v>
      </c>
      <c r="C66" s="9"/>
      <c r="D66" s="8" t="s">
        <v>8390</v>
      </c>
      <c r="E66" s="8"/>
      <c r="F66" s="8"/>
      <c r="G66" s="150"/>
    </row>
    <row r="67" spans="2:10" ht="28.9">
      <c r="B67" s="126" t="s">
        <v>8391</v>
      </c>
      <c r="C67" s="66"/>
      <c r="D67" s="67" t="s">
        <v>8392</v>
      </c>
      <c r="E67" s="8"/>
      <c r="F67" s="8"/>
      <c r="G67" s="150"/>
    </row>
    <row r="68" spans="2:10">
      <c r="B68" s="10" t="s">
        <v>8393</v>
      </c>
      <c r="C68" s="9"/>
      <c r="D68" s="8" t="s">
        <v>8394</v>
      </c>
      <c r="E68" s="8"/>
      <c r="F68" s="8"/>
      <c r="G68" s="150"/>
    </row>
    <row r="69" spans="2:10">
      <c r="B69" s="10" t="s">
        <v>8395</v>
      </c>
      <c r="C69" s="9"/>
      <c r="D69" s="8" t="s">
        <v>8396</v>
      </c>
      <c r="E69" s="8"/>
      <c r="F69" s="8"/>
      <c r="G69" s="150"/>
    </row>
    <row r="70" spans="2:10">
      <c r="B70" s="10" t="s">
        <v>8397</v>
      </c>
      <c r="C70" s="9"/>
      <c r="D70" s="8" t="s">
        <v>8398</v>
      </c>
      <c r="E70" s="8"/>
      <c r="F70" s="8"/>
      <c r="G70" s="150"/>
    </row>
    <row r="71" spans="2:10" ht="28.9">
      <c r="B71" s="126" t="s">
        <v>8399</v>
      </c>
      <c r="C71" s="66"/>
      <c r="D71" s="67" t="s">
        <v>8400</v>
      </c>
      <c r="E71" s="8"/>
      <c r="F71" s="8"/>
      <c r="G71" s="150"/>
    </row>
    <row r="72" spans="2:10">
      <c r="B72" s="10" t="s">
        <v>8401</v>
      </c>
      <c r="C72" s="9"/>
      <c r="D72" s="8" t="s">
        <v>8402</v>
      </c>
      <c r="E72" s="8"/>
      <c r="F72" s="8"/>
      <c r="G72" s="150"/>
    </row>
    <row r="73" spans="2:10">
      <c r="B73" s="10" t="s">
        <v>8403</v>
      </c>
      <c r="C73" s="9"/>
      <c r="D73" s="8" t="s">
        <v>8404</v>
      </c>
      <c r="E73" s="8"/>
      <c r="F73" s="8"/>
      <c r="G73" s="150"/>
    </row>
    <row r="74" spans="2:10">
      <c r="B74" s="10" t="s">
        <v>8405</v>
      </c>
      <c r="C74" s="9"/>
      <c r="D74" s="8" t="s">
        <v>8406</v>
      </c>
      <c r="E74" s="8"/>
      <c r="F74" s="8"/>
      <c r="G74" s="150"/>
    </row>
    <row r="75" spans="2:10">
      <c r="B75" s="10" t="s">
        <v>8407</v>
      </c>
      <c r="C75" s="9"/>
      <c r="D75" s="8" t="s">
        <v>8408</v>
      </c>
      <c r="E75" s="8"/>
      <c r="F75" s="8"/>
      <c r="G75" s="150"/>
    </row>
    <row r="76" spans="2:10">
      <c r="B76" s="10" t="s">
        <v>8409</v>
      </c>
      <c r="C76" s="9"/>
      <c r="D76" s="8" t="s">
        <v>8410</v>
      </c>
      <c r="E76" s="8"/>
      <c r="F76" s="8"/>
      <c r="G76" s="150"/>
    </row>
    <row r="77" spans="2:10">
      <c r="B77" s="10" t="s">
        <v>8411</v>
      </c>
      <c r="C77" s="9"/>
      <c r="D77" s="8" t="s">
        <v>8412</v>
      </c>
      <c r="E77" s="8"/>
      <c r="F77" s="8"/>
      <c r="G77" s="150"/>
    </row>
    <row r="78" spans="2:10">
      <c r="B78" s="10" t="s">
        <v>9314</v>
      </c>
      <c r="C78" s="9"/>
      <c r="D78" s="8" t="s">
        <v>9315</v>
      </c>
      <c r="E78" s="76"/>
      <c r="F78" s="76"/>
      <c r="G78" s="150"/>
    </row>
    <row r="79" spans="2:10">
      <c r="B79" s="74" t="s">
        <v>8413</v>
      </c>
      <c r="C79" s="75"/>
      <c r="D79" s="76" t="s">
        <v>8414</v>
      </c>
      <c r="E79" s="77">
        <f>E62+F62</f>
        <v>75</v>
      </c>
      <c r="F79" s="76">
        <v>3</v>
      </c>
      <c r="G79" s="149" t="s">
        <v>8230</v>
      </c>
      <c r="J79">
        <f t="shared" ref="J79:J132" si="1">E79+33</f>
        <v>108</v>
      </c>
    </row>
    <row r="80" spans="2:10">
      <c r="B80" s="10" t="s">
        <v>8417</v>
      </c>
      <c r="C80" s="9"/>
      <c r="D80" s="8" t="s">
        <v>8418</v>
      </c>
      <c r="E80" s="6">
        <f>E79+F79</f>
        <v>78</v>
      </c>
      <c r="F80" s="8">
        <v>10</v>
      </c>
      <c r="G80" s="149" t="s">
        <v>8230</v>
      </c>
      <c r="J80">
        <f t="shared" si="1"/>
        <v>111</v>
      </c>
    </row>
    <row r="81" spans="2:10">
      <c r="B81" s="10" t="s">
        <v>8426</v>
      </c>
      <c r="C81" s="9"/>
      <c r="D81" s="8" t="s">
        <v>8427</v>
      </c>
      <c r="E81" s="6">
        <f>E80+F80</f>
        <v>88</v>
      </c>
      <c r="F81" s="8">
        <v>10</v>
      </c>
      <c r="G81" s="149" t="s">
        <v>8230</v>
      </c>
      <c r="J81">
        <f t="shared" si="1"/>
        <v>121</v>
      </c>
    </row>
    <row r="82" spans="2:10">
      <c r="B82" s="10" t="s">
        <v>8431</v>
      </c>
      <c r="C82" s="9"/>
      <c r="D82" s="8" t="s">
        <v>8432</v>
      </c>
      <c r="E82" s="6"/>
      <c r="F82" s="8"/>
      <c r="G82" s="150"/>
    </row>
    <row r="83" spans="2:10">
      <c r="B83" s="10" t="s">
        <v>8433</v>
      </c>
      <c r="C83" s="9"/>
      <c r="D83" s="8"/>
      <c r="E83" s="6"/>
      <c r="F83" s="8"/>
      <c r="G83" s="150"/>
    </row>
    <row r="84" spans="2:10">
      <c r="B84" s="10" t="s">
        <v>9316</v>
      </c>
      <c r="C84" s="9"/>
      <c r="D84" s="8"/>
      <c r="E84" s="6"/>
      <c r="F84" s="8"/>
      <c r="G84" s="150"/>
    </row>
    <row r="85" spans="2:10">
      <c r="B85" s="10" t="s">
        <v>9317</v>
      </c>
      <c r="C85" s="9"/>
      <c r="D85" s="8"/>
      <c r="E85" s="6"/>
      <c r="F85" s="8"/>
      <c r="G85" s="150"/>
    </row>
    <row r="86" spans="2:10">
      <c r="B86" s="10" t="s">
        <v>9318</v>
      </c>
      <c r="C86" s="9"/>
      <c r="D86" s="8"/>
      <c r="E86" s="6"/>
      <c r="F86" s="8"/>
      <c r="G86" s="150"/>
    </row>
    <row r="87" spans="2:10">
      <c r="B87" s="10" t="s">
        <v>9319</v>
      </c>
      <c r="C87" s="9"/>
      <c r="D87" s="8"/>
      <c r="E87" s="6"/>
      <c r="F87" s="8"/>
      <c r="G87" s="150"/>
    </row>
    <row r="88" spans="2:10">
      <c r="B88" s="10" t="s">
        <v>9320</v>
      </c>
      <c r="C88" s="9"/>
      <c r="D88" s="8"/>
      <c r="E88" s="6"/>
      <c r="F88" s="8"/>
      <c r="G88" s="150"/>
    </row>
    <row r="89" spans="2:10">
      <c r="B89" s="10" t="s">
        <v>9321</v>
      </c>
      <c r="C89" s="9"/>
      <c r="D89" s="8"/>
      <c r="E89" s="6"/>
      <c r="F89" s="8"/>
      <c r="G89" s="150"/>
    </row>
    <row r="90" spans="2:10">
      <c r="B90" s="10" t="s">
        <v>9322</v>
      </c>
      <c r="C90" s="9"/>
      <c r="D90" s="8"/>
      <c r="E90" s="6"/>
      <c r="F90" s="8"/>
      <c r="G90" s="150"/>
    </row>
    <row r="91" spans="2:10">
      <c r="B91" s="10" t="s">
        <v>9323</v>
      </c>
      <c r="C91" s="9"/>
      <c r="D91" s="8"/>
      <c r="E91" s="6"/>
      <c r="F91" s="8"/>
      <c r="G91" s="150"/>
    </row>
    <row r="92" spans="2:10">
      <c r="B92" s="10" t="s">
        <v>9324</v>
      </c>
      <c r="C92" s="9"/>
      <c r="D92" s="8"/>
      <c r="E92" s="6"/>
      <c r="F92" s="8"/>
      <c r="G92" s="150"/>
    </row>
    <row r="93" spans="2:10">
      <c r="B93" s="10" t="s">
        <v>9325</v>
      </c>
      <c r="C93" s="9"/>
      <c r="D93" s="8"/>
      <c r="E93" s="6"/>
      <c r="F93" s="8"/>
      <c r="G93" s="150"/>
    </row>
    <row r="94" spans="2:10">
      <c r="B94" s="10" t="s">
        <v>9326</v>
      </c>
      <c r="C94" s="9"/>
      <c r="D94" s="8"/>
      <c r="E94" s="6"/>
      <c r="F94" s="8"/>
      <c r="G94" s="150"/>
    </row>
    <row r="95" spans="2:10">
      <c r="B95" s="10" t="s">
        <v>9327</v>
      </c>
      <c r="C95" s="9"/>
      <c r="D95" s="8"/>
      <c r="E95" s="6"/>
      <c r="F95" s="8"/>
      <c r="G95" s="150"/>
    </row>
    <row r="96" spans="2:10">
      <c r="B96" s="10" t="s">
        <v>9328</v>
      </c>
      <c r="C96" s="9"/>
      <c r="D96" s="8"/>
      <c r="E96" s="6"/>
      <c r="F96" s="8"/>
      <c r="G96" s="150"/>
    </row>
    <row r="97" spans="2:10">
      <c r="B97" s="10" t="s">
        <v>9329</v>
      </c>
      <c r="C97" s="9"/>
      <c r="D97" s="8"/>
      <c r="E97" s="6"/>
      <c r="F97" s="8"/>
      <c r="G97" s="150"/>
    </row>
    <row r="98" spans="2:10">
      <c r="B98" s="10" t="s">
        <v>9330</v>
      </c>
      <c r="C98" s="9"/>
      <c r="D98" s="8"/>
      <c r="E98" s="6"/>
      <c r="F98" s="8"/>
      <c r="G98" s="150"/>
    </row>
    <row r="99" spans="2:10">
      <c r="B99" s="220" t="s">
        <v>9331</v>
      </c>
      <c r="C99" s="9"/>
      <c r="D99" s="8" t="s">
        <v>8448</v>
      </c>
      <c r="E99" s="6"/>
      <c r="F99" s="8"/>
      <c r="G99" s="150"/>
    </row>
    <row r="100" spans="2:10">
      <c r="B100" s="10" t="s">
        <v>9332</v>
      </c>
      <c r="C100" s="9"/>
      <c r="D100" s="8"/>
      <c r="E100" s="6"/>
      <c r="F100" s="8"/>
      <c r="G100" s="150"/>
    </row>
    <row r="101" spans="2:10">
      <c r="B101" s="220" t="s">
        <v>9333</v>
      </c>
      <c r="C101" s="9"/>
      <c r="D101" s="8" t="s">
        <v>8451</v>
      </c>
      <c r="E101" s="6"/>
      <c r="F101" s="8"/>
      <c r="G101" s="150"/>
    </row>
    <row r="102" spans="2:10">
      <c r="B102" s="10" t="s">
        <v>8452</v>
      </c>
      <c r="C102" s="9"/>
      <c r="D102" s="8"/>
      <c r="E102" s="6"/>
      <c r="F102" s="8"/>
      <c r="G102" s="150"/>
    </row>
    <row r="103" spans="2:10">
      <c r="B103" s="220" t="s">
        <v>9334</v>
      </c>
      <c r="C103" s="9"/>
      <c r="D103" s="8" t="s">
        <v>9335</v>
      </c>
      <c r="E103" s="6"/>
      <c r="F103" s="8"/>
      <c r="G103" s="150"/>
    </row>
    <row r="104" spans="2:10">
      <c r="B104" s="10" t="s">
        <v>9336</v>
      </c>
      <c r="C104" s="9"/>
      <c r="D104" s="8"/>
      <c r="E104" s="6"/>
      <c r="F104" s="8"/>
      <c r="G104" s="150"/>
    </row>
    <row r="105" spans="2:10" s="33" customFormat="1">
      <c r="B105" s="65" t="s">
        <v>8454</v>
      </c>
      <c r="C105" s="66"/>
      <c r="D105" s="67" t="s">
        <v>8455</v>
      </c>
      <c r="E105" s="81">
        <f>E81+F81</f>
        <v>98</v>
      </c>
      <c r="F105" s="67">
        <v>40</v>
      </c>
      <c r="G105" s="149" t="s">
        <v>8230</v>
      </c>
      <c r="J105">
        <f t="shared" si="1"/>
        <v>131</v>
      </c>
    </row>
    <row r="106" spans="2:10">
      <c r="B106" s="10" t="s">
        <v>8463</v>
      </c>
      <c r="C106" s="9"/>
      <c r="D106" s="8" t="s">
        <v>8464</v>
      </c>
      <c r="E106" s="6">
        <f t="shared" ref="E106:E110" si="2">E105+F105</f>
        <v>138</v>
      </c>
      <c r="F106" s="8">
        <v>2</v>
      </c>
      <c r="G106" s="149" t="s">
        <v>8230</v>
      </c>
      <c r="I106" t="s">
        <v>9337</v>
      </c>
      <c r="J106">
        <f t="shared" si="1"/>
        <v>171</v>
      </c>
    </row>
    <row r="107" spans="2:10">
      <c r="B107" s="10" t="s">
        <v>8475</v>
      </c>
      <c r="C107" s="9"/>
      <c r="D107" s="8"/>
      <c r="E107" s="6">
        <f>E106+F106</f>
        <v>140</v>
      </c>
      <c r="F107" s="8">
        <v>0</v>
      </c>
      <c r="G107" s="150"/>
      <c r="J107">
        <f t="shared" si="1"/>
        <v>173</v>
      </c>
    </row>
    <row r="108" spans="2:10">
      <c r="B108" s="10" t="s">
        <v>8476</v>
      </c>
      <c r="C108" s="9"/>
      <c r="D108" s="8" t="s">
        <v>8477</v>
      </c>
      <c r="E108" s="6">
        <f t="shared" si="2"/>
        <v>140</v>
      </c>
      <c r="F108" s="8">
        <v>60</v>
      </c>
      <c r="G108" s="150"/>
      <c r="J108">
        <f t="shared" si="1"/>
        <v>173</v>
      </c>
    </row>
    <row r="109" spans="2:10">
      <c r="B109" s="10" t="s">
        <v>8478</v>
      </c>
      <c r="C109" s="9"/>
      <c r="D109" s="8" t="s">
        <v>8479</v>
      </c>
      <c r="E109" s="6">
        <f t="shared" si="2"/>
        <v>200</v>
      </c>
      <c r="F109" s="8">
        <v>34</v>
      </c>
      <c r="G109" s="152" t="s">
        <v>8305</v>
      </c>
      <c r="J109">
        <f t="shared" si="1"/>
        <v>233</v>
      </c>
    </row>
    <row r="110" spans="2:10">
      <c r="B110" s="10" t="s">
        <v>8485</v>
      </c>
      <c r="C110" s="9"/>
      <c r="D110" s="8" t="s">
        <v>8486</v>
      </c>
      <c r="E110" s="6">
        <f t="shared" si="2"/>
        <v>234</v>
      </c>
      <c r="F110" s="8">
        <v>11</v>
      </c>
      <c r="G110" s="152" t="s">
        <v>8305</v>
      </c>
      <c r="J110">
        <f t="shared" si="1"/>
        <v>267</v>
      </c>
    </row>
    <row r="111" spans="2:10">
      <c r="B111" s="18" t="s">
        <v>8499</v>
      </c>
      <c r="C111" s="19"/>
      <c r="D111" s="20"/>
      <c r="E111" s="21">
        <f>E110+F110</f>
        <v>245</v>
      </c>
      <c r="F111" s="20">
        <v>0</v>
      </c>
      <c r="G111" s="153"/>
      <c r="J111">
        <f t="shared" si="1"/>
        <v>278</v>
      </c>
    </row>
    <row r="112" spans="2:10">
      <c r="B112" s="10" t="s">
        <v>8500</v>
      </c>
      <c r="C112" s="9"/>
      <c r="D112" s="8" t="s">
        <v>8501</v>
      </c>
      <c r="E112" s="6">
        <f>E111+F111</f>
        <v>245</v>
      </c>
      <c r="F112" s="8">
        <v>40</v>
      </c>
      <c r="G112" s="149" t="s">
        <v>8230</v>
      </c>
      <c r="J112">
        <f t="shared" si="1"/>
        <v>278</v>
      </c>
    </row>
    <row r="113" spans="2:10">
      <c r="B113" s="10" t="s">
        <v>8511</v>
      </c>
      <c r="C113" s="9"/>
      <c r="D113" s="8" t="s">
        <v>8512</v>
      </c>
      <c r="E113" s="6">
        <f t="shared" ref="E113:E123" si="3">E112+F112</f>
        <v>285</v>
      </c>
      <c r="F113" s="8">
        <v>4</v>
      </c>
      <c r="G113" s="149" t="s">
        <v>8230</v>
      </c>
      <c r="J113">
        <f t="shared" si="1"/>
        <v>318</v>
      </c>
    </row>
    <row r="114" spans="2:10">
      <c r="B114" s="10" t="s">
        <v>8513</v>
      </c>
      <c r="C114" s="9"/>
      <c r="D114" s="8" t="s">
        <v>8514</v>
      </c>
      <c r="E114" s="6">
        <f t="shared" si="3"/>
        <v>289</v>
      </c>
      <c r="F114" s="8">
        <v>40</v>
      </c>
      <c r="G114" s="149" t="s">
        <v>8230</v>
      </c>
      <c r="J114">
        <f t="shared" si="1"/>
        <v>322</v>
      </c>
    </row>
    <row r="115" spans="2:10">
      <c r="B115" s="10" t="s">
        <v>8524</v>
      </c>
      <c r="C115" s="9"/>
      <c r="D115" s="8" t="s">
        <v>8525</v>
      </c>
      <c r="E115" s="6">
        <f t="shared" si="3"/>
        <v>329</v>
      </c>
      <c r="F115" s="8">
        <v>40</v>
      </c>
      <c r="G115" s="149" t="s">
        <v>8230</v>
      </c>
      <c r="J115">
        <f t="shared" si="1"/>
        <v>362</v>
      </c>
    </row>
    <row r="116" spans="2:10">
      <c r="B116" s="10" t="s">
        <v>8535</v>
      </c>
      <c r="C116" s="9"/>
      <c r="D116" s="8" t="s">
        <v>8536</v>
      </c>
      <c r="E116" s="6">
        <f t="shared" si="3"/>
        <v>369</v>
      </c>
      <c r="F116" s="8">
        <v>40</v>
      </c>
      <c r="G116" s="149" t="s">
        <v>8230</v>
      </c>
      <c r="J116">
        <f t="shared" si="1"/>
        <v>402</v>
      </c>
    </row>
    <row r="117" spans="2:10">
      <c r="B117" s="10" t="s">
        <v>8546</v>
      </c>
      <c r="C117" s="9"/>
      <c r="D117" s="8" t="s">
        <v>8547</v>
      </c>
      <c r="E117" s="6">
        <f t="shared" si="3"/>
        <v>409</v>
      </c>
      <c r="F117" s="8">
        <v>9</v>
      </c>
      <c r="G117" s="149" t="s">
        <v>8230</v>
      </c>
      <c r="J117">
        <f t="shared" si="1"/>
        <v>442</v>
      </c>
    </row>
    <row r="118" spans="2:10">
      <c r="B118" s="10" t="s">
        <v>8556</v>
      </c>
      <c r="C118" s="9"/>
      <c r="D118" s="8" t="s">
        <v>8557</v>
      </c>
      <c r="E118" s="6">
        <f t="shared" si="3"/>
        <v>418</v>
      </c>
      <c r="F118" s="8">
        <v>40</v>
      </c>
      <c r="G118" s="149" t="s">
        <v>8230</v>
      </c>
      <c r="J118">
        <f t="shared" si="1"/>
        <v>451</v>
      </c>
    </row>
    <row r="119" spans="2:10">
      <c r="B119" s="10" t="s">
        <v>8567</v>
      </c>
      <c r="C119" s="9"/>
      <c r="D119" s="8" t="s">
        <v>8568</v>
      </c>
      <c r="E119" s="6">
        <f t="shared" si="3"/>
        <v>458</v>
      </c>
      <c r="F119" s="8">
        <v>3</v>
      </c>
      <c r="G119" s="149" t="s">
        <v>8230</v>
      </c>
      <c r="J119">
        <f t="shared" si="1"/>
        <v>491</v>
      </c>
    </row>
    <row r="120" spans="2:10">
      <c r="B120" s="10" t="s">
        <v>8569</v>
      </c>
      <c r="C120" s="9"/>
      <c r="D120" s="8" t="s">
        <v>8570</v>
      </c>
      <c r="E120" s="6">
        <f t="shared" si="3"/>
        <v>461</v>
      </c>
      <c r="F120" s="8">
        <v>40</v>
      </c>
      <c r="G120" s="149" t="s">
        <v>8230</v>
      </c>
      <c r="J120">
        <f t="shared" si="1"/>
        <v>494</v>
      </c>
    </row>
    <row r="121" spans="2:10">
      <c r="B121" s="65" t="s">
        <v>8571</v>
      </c>
      <c r="C121" s="66"/>
      <c r="D121" s="67" t="s">
        <v>8572</v>
      </c>
      <c r="E121" s="6">
        <f t="shared" si="3"/>
        <v>501</v>
      </c>
      <c r="F121" s="67">
        <v>4</v>
      </c>
      <c r="G121" s="149" t="s">
        <v>8230</v>
      </c>
      <c r="J121">
        <f t="shared" si="1"/>
        <v>534</v>
      </c>
    </row>
    <row r="122" spans="2:10">
      <c r="B122" s="10" t="s">
        <v>8582</v>
      </c>
      <c r="C122" s="9"/>
      <c r="D122" s="8" t="s">
        <v>8583</v>
      </c>
      <c r="E122" s="6">
        <f t="shared" si="3"/>
        <v>505</v>
      </c>
      <c r="F122" s="8">
        <v>22</v>
      </c>
      <c r="G122" s="150"/>
      <c r="J122">
        <f t="shared" si="1"/>
        <v>538</v>
      </c>
    </row>
    <row r="123" spans="2:10">
      <c r="B123" s="10" t="s">
        <v>8588</v>
      </c>
      <c r="C123" s="9"/>
      <c r="D123" s="8" t="s">
        <v>8589</v>
      </c>
      <c r="E123" s="6">
        <f t="shared" si="3"/>
        <v>527</v>
      </c>
      <c r="F123" s="8">
        <v>1</v>
      </c>
      <c r="G123" s="150"/>
      <c r="J123">
        <f t="shared" si="1"/>
        <v>560</v>
      </c>
    </row>
    <row r="124" spans="2:10">
      <c r="B124" s="10" t="s">
        <v>8590</v>
      </c>
      <c r="C124" s="9"/>
      <c r="D124" s="8" t="s">
        <v>8591</v>
      </c>
      <c r="E124" s="6"/>
      <c r="F124" s="8"/>
      <c r="G124" s="150"/>
    </row>
    <row r="125" spans="2:10">
      <c r="B125" s="10" t="s">
        <v>8592</v>
      </c>
      <c r="C125" s="9"/>
      <c r="D125" s="8" t="s">
        <v>8593</v>
      </c>
      <c r="E125" s="6"/>
      <c r="F125" s="8"/>
      <c r="G125" s="150"/>
    </row>
    <row r="126" spans="2:10">
      <c r="B126" s="18" t="s">
        <v>8594</v>
      </c>
      <c r="C126" s="19"/>
      <c r="D126" s="20"/>
      <c r="E126" s="21">
        <f>E123+F123</f>
        <v>528</v>
      </c>
      <c r="F126" s="20">
        <v>0</v>
      </c>
      <c r="G126" s="153"/>
      <c r="J126">
        <f t="shared" si="1"/>
        <v>561</v>
      </c>
    </row>
    <row r="127" spans="2:10">
      <c r="B127" s="10" t="s">
        <v>8595</v>
      </c>
      <c r="C127" s="9"/>
      <c r="D127" s="8" t="s">
        <v>8596</v>
      </c>
      <c r="E127" s="6">
        <f t="shared" ref="E127:E130" si="4">E126+F126</f>
        <v>528</v>
      </c>
      <c r="F127" s="8">
        <v>8</v>
      </c>
      <c r="G127" s="149" t="s">
        <v>8230</v>
      </c>
      <c r="J127">
        <f t="shared" si="1"/>
        <v>561</v>
      </c>
    </row>
    <row r="128" spans="2:10">
      <c r="B128" s="10" t="s">
        <v>8602</v>
      </c>
      <c r="C128" s="9"/>
      <c r="D128" s="8" t="s">
        <v>8603</v>
      </c>
      <c r="E128" s="6">
        <f t="shared" si="4"/>
        <v>536</v>
      </c>
      <c r="F128" s="8">
        <v>8</v>
      </c>
      <c r="G128" s="149" t="s">
        <v>8230</v>
      </c>
      <c r="J128">
        <f t="shared" si="1"/>
        <v>569</v>
      </c>
    </row>
    <row r="129" spans="2:10">
      <c r="B129" s="10" t="s">
        <v>8609</v>
      </c>
      <c r="C129" s="9"/>
      <c r="D129" s="8" t="s">
        <v>8610</v>
      </c>
      <c r="E129" s="6">
        <f t="shared" si="4"/>
        <v>544</v>
      </c>
      <c r="F129" s="8">
        <v>8</v>
      </c>
      <c r="G129" s="149" t="s">
        <v>8230</v>
      </c>
      <c r="J129">
        <f t="shared" si="1"/>
        <v>577</v>
      </c>
    </row>
    <row r="130" spans="2:10">
      <c r="B130" s="10" t="s">
        <v>8621</v>
      </c>
      <c r="C130" s="9"/>
      <c r="D130" s="8" t="s">
        <v>8622</v>
      </c>
      <c r="E130" s="6">
        <f t="shared" si="4"/>
        <v>552</v>
      </c>
      <c r="F130" s="8">
        <v>8</v>
      </c>
      <c r="G130" s="149" t="s">
        <v>8230</v>
      </c>
      <c r="J130">
        <f t="shared" si="1"/>
        <v>585</v>
      </c>
    </row>
    <row r="131" spans="2:10">
      <c r="B131" s="10" t="s">
        <v>8635</v>
      </c>
      <c r="C131" s="9"/>
      <c r="D131" s="8" t="s">
        <v>8636</v>
      </c>
      <c r="E131" s="6">
        <f>E130+F130</f>
        <v>560</v>
      </c>
      <c r="F131" s="8">
        <v>8</v>
      </c>
      <c r="G131" s="152" t="s">
        <v>8305</v>
      </c>
      <c r="J131">
        <f t="shared" si="1"/>
        <v>593</v>
      </c>
    </row>
    <row r="132" spans="2:10">
      <c r="B132" s="18" t="s">
        <v>9338</v>
      </c>
      <c r="C132" s="19"/>
      <c r="D132" s="20"/>
      <c r="E132" s="21">
        <f>E131+F131</f>
        <v>568</v>
      </c>
      <c r="F132" s="20">
        <v>0</v>
      </c>
      <c r="G132" s="153"/>
      <c r="J132">
        <f t="shared" si="1"/>
        <v>601</v>
      </c>
    </row>
    <row r="133" spans="2:10" ht="28.9">
      <c r="B133" s="126" t="s">
        <v>9339</v>
      </c>
      <c r="C133" s="9"/>
      <c r="D133" s="8" t="s">
        <v>9340</v>
      </c>
      <c r="E133" s="6">
        <f>E132+F132</f>
        <v>568</v>
      </c>
      <c r="F133" s="8">
        <v>15</v>
      </c>
      <c r="G133" s="150"/>
      <c r="J133">
        <f t="shared" ref="J133:J196" si="5">E133+33</f>
        <v>601</v>
      </c>
    </row>
    <row r="134" spans="2:10">
      <c r="B134" s="18" t="s">
        <v>8639</v>
      </c>
      <c r="C134" s="19"/>
      <c r="D134" s="20"/>
      <c r="E134" s="21">
        <f>E133+F133</f>
        <v>583</v>
      </c>
      <c r="F134" s="20">
        <v>0</v>
      </c>
      <c r="G134" s="153"/>
      <c r="J134">
        <f t="shared" si="5"/>
        <v>616</v>
      </c>
    </row>
    <row r="135" spans="2:10">
      <c r="B135" s="10" t="s">
        <v>8640</v>
      </c>
      <c r="C135" s="9"/>
      <c r="D135" s="8"/>
      <c r="E135" s="6">
        <f t="shared" ref="E135:E168" si="6">E134+F134</f>
        <v>583</v>
      </c>
      <c r="F135" s="8">
        <v>0</v>
      </c>
      <c r="G135" s="150"/>
      <c r="J135">
        <f t="shared" si="5"/>
        <v>616</v>
      </c>
    </row>
    <row r="136" spans="2:10">
      <c r="B136" s="10" t="s">
        <v>8641</v>
      </c>
      <c r="C136" s="9"/>
      <c r="D136" s="8" t="s">
        <v>8477</v>
      </c>
      <c r="E136" s="6">
        <f t="shared" si="6"/>
        <v>583</v>
      </c>
      <c r="F136" s="8">
        <v>60</v>
      </c>
      <c r="G136" s="150"/>
      <c r="J136">
        <f t="shared" si="5"/>
        <v>616</v>
      </c>
    </row>
    <row r="137" spans="2:10">
      <c r="B137" s="10" t="s">
        <v>8642</v>
      </c>
      <c r="C137" s="9"/>
      <c r="D137" s="8" t="s">
        <v>8479</v>
      </c>
      <c r="E137" s="6">
        <f t="shared" si="6"/>
        <v>643</v>
      </c>
      <c r="F137" s="8">
        <v>34</v>
      </c>
      <c r="G137" s="150"/>
      <c r="J137">
        <f t="shared" si="5"/>
        <v>676</v>
      </c>
    </row>
    <row r="138" spans="2:10">
      <c r="B138" s="10" t="s">
        <v>8643</v>
      </c>
      <c r="C138" s="9"/>
      <c r="D138" s="8" t="s">
        <v>8486</v>
      </c>
      <c r="E138" s="6">
        <f t="shared" si="6"/>
        <v>677</v>
      </c>
      <c r="F138" s="8">
        <v>11</v>
      </c>
      <c r="G138" s="150"/>
      <c r="J138">
        <f t="shared" si="5"/>
        <v>710</v>
      </c>
    </row>
    <row r="139" spans="2:10">
      <c r="B139" s="10" t="s">
        <v>8644</v>
      </c>
      <c r="C139" s="9"/>
      <c r="D139" s="8"/>
      <c r="E139" s="6">
        <f t="shared" si="6"/>
        <v>688</v>
      </c>
      <c r="F139" s="8">
        <v>0</v>
      </c>
      <c r="G139" s="150"/>
      <c r="J139">
        <f t="shared" si="5"/>
        <v>721</v>
      </c>
    </row>
    <row r="140" spans="2:10">
      <c r="B140" s="10" t="s">
        <v>8645</v>
      </c>
      <c r="C140" s="9"/>
      <c r="D140" s="8" t="s">
        <v>8646</v>
      </c>
      <c r="E140" s="6">
        <f t="shared" si="6"/>
        <v>688</v>
      </c>
      <c r="F140" s="8">
        <v>5</v>
      </c>
      <c r="G140" s="150"/>
      <c r="J140">
        <f t="shared" si="5"/>
        <v>721</v>
      </c>
    </row>
    <row r="141" spans="2:10">
      <c r="B141" s="10" t="s">
        <v>8647</v>
      </c>
      <c r="C141" s="9"/>
      <c r="D141" s="8" t="s">
        <v>8497</v>
      </c>
      <c r="E141" s="6">
        <f t="shared" si="6"/>
        <v>693</v>
      </c>
      <c r="F141" s="8">
        <v>9</v>
      </c>
      <c r="G141" s="150"/>
      <c r="J141">
        <f t="shared" si="5"/>
        <v>726</v>
      </c>
    </row>
    <row r="142" spans="2:10">
      <c r="B142" s="18" t="s">
        <v>914</v>
      </c>
      <c r="C142" s="19"/>
      <c r="D142" s="20"/>
      <c r="E142" s="21">
        <f t="shared" si="6"/>
        <v>702</v>
      </c>
      <c r="F142" s="20">
        <v>0</v>
      </c>
      <c r="G142" s="153"/>
      <c r="J142">
        <f t="shared" si="5"/>
        <v>735</v>
      </c>
    </row>
    <row r="143" spans="2:10">
      <c r="B143" s="10" t="s">
        <v>8648</v>
      </c>
      <c r="C143" s="9"/>
      <c r="D143" s="8" t="s">
        <v>8501</v>
      </c>
      <c r="E143" s="6">
        <f t="shared" si="6"/>
        <v>702</v>
      </c>
      <c r="F143" s="8">
        <v>40</v>
      </c>
      <c r="G143" s="151" t="s">
        <v>8264</v>
      </c>
      <c r="J143">
        <f t="shared" si="5"/>
        <v>735</v>
      </c>
    </row>
    <row r="144" spans="2:10">
      <c r="B144" s="10" t="s">
        <v>8653</v>
      </c>
      <c r="C144" s="9"/>
      <c r="D144" s="8" t="s">
        <v>8512</v>
      </c>
      <c r="E144" s="6">
        <f t="shared" si="6"/>
        <v>742</v>
      </c>
      <c r="F144" s="8">
        <v>4</v>
      </c>
      <c r="G144" s="151" t="s">
        <v>8264</v>
      </c>
      <c r="J144">
        <f t="shared" si="5"/>
        <v>775</v>
      </c>
    </row>
    <row r="145" spans="2:10">
      <c r="B145" s="10" t="s">
        <v>8654</v>
      </c>
      <c r="C145" s="9"/>
      <c r="D145" s="8" t="s">
        <v>8514</v>
      </c>
      <c r="E145" s="6">
        <f t="shared" si="6"/>
        <v>746</v>
      </c>
      <c r="F145" s="8">
        <v>40</v>
      </c>
      <c r="G145" s="151" t="s">
        <v>8264</v>
      </c>
      <c r="J145">
        <f t="shared" si="5"/>
        <v>779</v>
      </c>
    </row>
    <row r="146" spans="2:10">
      <c r="B146" s="10" t="s">
        <v>8659</v>
      </c>
      <c r="C146" s="9"/>
      <c r="D146" s="8" t="s">
        <v>8525</v>
      </c>
      <c r="E146" s="6">
        <f t="shared" si="6"/>
        <v>786</v>
      </c>
      <c r="F146" s="8">
        <v>40</v>
      </c>
      <c r="G146" s="151" t="s">
        <v>8264</v>
      </c>
      <c r="J146">
        <f t="shared" si="5"/>
        <v>819</v>
      </c>
    </row>
    <row r="147" spans="2:10">
      <c r="B147" s="10" t="s">
        <v>8664</v>
      </c>
      <c r="C147" s="9"/>
      <c r="D147" s="8" t="s">
        <v>8536</v>
      </c>
      <c r="E147" s="6">
        <f t="shared" si="6"/>
        <v>826</v>
      </c>
      <c r="F147" s="8">
        <v>40</v>
      </c>
      <c r="G147" s="151" t="s">
        <v>8264</v>
      </c>
      <c r="J147">
        <f t="shared" si="5"/>
        <v>859</v>
      </c>
    </row>
    <row r="148" spans="2:10">
      <c r="B148" s="10" t="s">
        <v>8669</v>
      </c>
      <c r="C148" s="9"/>
      <c r="D148" s="8" t="s">
        <v>8547</v>
      </c>
      <c r="E148" s="6">
        <f t="shared" si="6"/>
        <v>866</v>
      </c>
      <c r="F148" s="8">
        <v>9</v>
      </c>
      <c r="G148" s="151" t="s">
        <v>8264</v>
      </c>
      <c r="J148">
        <f t="shared" si="5"/>
        <v>899</v>
      </c>
    </row>
    <row r="149" spans="2:10">
      <c r="B149" s="10" t="s">
        <v>8675</v>
      </c>
      <c r="C149" s="9"/>
      <c r="D149" s="8" t="s">
        <v>8557</v>
      </c>
      <c r="E149" s="6">
        <f t="shared" si="6"/>
        <v>875</v>
      </c>
      <c r="F149" s="8">
        <v>40</v>
      </c>
      <c r="G149" s="151" t="s">
        <v>8264</v>
      </c>
      <c r="J149">
        <f t="shared" si="5"/>
        <v>908</v>
      </c>
    </row>
    <row r="150" spans="2:10">
      <c r="B150" s="10" t="s">
        <v>8680</v>
      </c>
      <c r="C150" s="9"/>
      <c r="D150" s="8" t="s">
        <v>8568</v>
      </c>
      <c r="E150" s="6">
        <f t="shared" si="6"/>
        <v>915</v>
      </c>
      <c r="F150" s="8">
        <v>3</v>
      </c>
      <c r="G150" s="151" t="s">
        <v>8264</v>
      </c>
      <c r="J150">
        <f t="shared" si="5"/>
        <v>948</v>
      </c>
    </row>
    <row r="151" spans="2:10">
      <c r="B151" s="10" t="s">
        <v>8681</v>
      </c>
      <c r="C151" s="9"/>
      <c r="D151" s="8" t="s">
        <v>8570</v>
      </c>
      <c r="E151" s="6">
        <f t="shared" si="6"/>
        <v>918</v>
      </c>
      <c r="F151" s="8">
        <v>40</v>
      </c>
      <c r="G151" s="151" t="s">
        <v>8264</v>
      </c>
      <c r="J151">
        <f t="shared" si="5"/>
        <v>951</v>
      </c>
    </row>
    <row r="152" spans="2:10">
      <c r="B152" s="65" t="s">
        <v>8682</v>
      </c>
      <c r="C152" s="66"/>
      <c r="D152" s="67" t="s">
        <v>8572</v>
      </c>
      <c r="E152" s="6">
        <f t="shared" si="6"/>
        <v>958</v>
      </c>
      <c r="F152" s="67">
        <v>4</v>
      </c>
      <c r="G152" s="151" t="s">
        <v>8264</v>
      </c>
      <c r="J152">
        <f t="shared" si="5"/>
        <v>991</v>
      </c>
    </row>
    <row r="153" spans="2:10">
      <c r="B153" s="10" t="s">
        <v>8687</v>
      </c>
      <c r="C153" s="9"/>
      <c r="D153" s="8" t="s">
        <v>8688</v>
      </c>
      <c r="E153" s="6">
        <f t="shared" si="6"/>
        <v>962</v>
      </c>
      <c r="F153" s="8">
        <v>16</v>
      </c>
      <c r="G153" s="150"/>
      <c r="J153">
        <f t="shared" si="5"/>
        <v>995</v>
      </c>
    </row>
    <row r="154" spans="2:10">
      <c r="B154" s="10" t="s">
        <v>8689</v>
      </c>
      <c r="C154" s="9"/>
      <c r="D154" s="8" t="s">
        <v>8690</v>
      </c>
      <c r="E154" s="6">
        <f t="shared" si="6"/>
        <v>978</v>
      </c>
      <c r="F154" s="8">
        <v>16</v>
      </c>
      <c r="G154" s="150"/>
      <c r="J154">
        <f t="shared" si="5"/>
        <v>1011</v>
      </c>
    </row>
    <row r="155" spans="2:10">
      <c r="B155" s="10" t="s">
        <v>8691</v>
      </c>
      <c r="C155" s="9"/>
      <c r="D155" s="8" t="s">
        <v>8692</v>
      </c>
      <c r="E155" s="6">
        <f t="shared" si="6"/>
        <v>994</v>
      </c>
      <c r="F155" s="8">
        <v>60</v>
      </c>
      <c r="G155" s="150"/>
      <c r="J155">
        <f t="shared" si="5"/>
        <v>1027</v>
      </c>
    </row>
    <row r="156" spans="2:10">
      <c r="B156" s="18" t="s">
        <v>8693</v>
      </c>
      <c r="C156" s="19"/>
      <c r="D156" s="20"/>
      <c r="E156" s="21">
        <f>E155+F155</f>
        <v>1054</v>
      </c>
      <c r="F156" s="20">
        <v>0</v>
      </c>
      <c r="G156" s="153"/>
      <c r="J156">
        <f t="shared" si="5"/>
        <v>1087</v>
      </c>
    </row>
    <row r="157" spans="2:10">
      <c r="B157" s="10" t="s">
        <v>8694</v>
      </c>
      <c r="C157" s="9"/>
      <c r="D157" s="8" t="s">
        <v>8695</v>
      </c>
      <c r="E157" s="6">
        <f t="shared" si="6"/>
        <v>1054</v>
      </c>
      <c r="F157" s="8">
        <v>5</v>
      </c>
      <c r="G157" s="151" t="s">
        <v>8264</v>
      </c>
      <c r="J157">
        <f t="shared" si="5"/>
        <v>1087</v>
      </c>
    </row>
    <row r="158" spans="2:10">
      <c r="B158" s="10" t="s">
        <v>8696</v>
      </c>
      <c r="C158" s="9"/>
      <c r="D158" s="8" t="s">
        <v>8697</v>
      </c>
      <c r="E158" s="6">
        <f t="shared" si="6"/>
        <v>1059</v>
      </c>
      <c r="F158" s="8">
        <v>10</v>
      </c>
      <c r="G158" s="151" t="s">
        <v>8264</v>
      </c>
      <c r="J158">
        <f t="shared" si="5"/>
        <v>1092</v>
      </c>
    </row>
    <row r="159" spans="2:10">
      <c r="B159" s="10" t="s">
        <v>8699</v>
      </c>
      <c r="C159" s="9"/>
      <c r="D159" s="8" t="s">
        <v>8501</v>
      </c>
      <c r="E159" s="6">
        <f t="shared" si="6"/>
        <v>1069</v>
      </c>
      <c r="F159" s="8">
        <v>40</v>
      </c>
      <c r="G159" s="151" t="s">
        <v>8264</v>
      </c>
      <c r="J159">
        <f t="shared" si="5"/>
        <v>1102</v>
      </c>
    </row>
    <row r="160" spans="2:10">
      <c r="B160" s="10" t="s">
        <v>8703</v>
      </c>
      <c r="C160" s="9"/>
      <c r="D160" s="8" t="s">
        <v>8512</v>
      </c>
      <c r="E160" s="6">
        <f t="shared" si="6"/>
        <v>1109</v>
      </c>
      <c r="F160" s="8">
        <v>4</v>
      </c>
      <c r="G160" s="151" t="s">
        <v>8264</v>
      </c>
      <c r="J160">
        <f t="shared" si="5"/>
        <v>1142</v>
      </c>
    </row>
    <row r="161" spans="2:10">
      <c r="B161" s="10" t="s">
        <v>8704</v>
      </c>
      <c r="C161" s="9"/>
      <c r="D161" s="8" t="s">
        <v>8514</v>
      </c>
      <c r="E161" s="6">
        <f t="shared" si="6"/>
        <v>1113</v>
      </c>
      <c r="F161" s="8">
        <v>40</v>
      </c>
      <c r="G161" s="151" t="s">
        <v>8264</v>
      </c>
      <c r="J161">
        <f t="shared" si="5"/>
        <v>1146</v>
      </c>
    </row>
    <row r="162" spans="2:10">
      <c r="B162" s="10" t="s">
        <v>8708</v>
      </c>
      <c r="C162" s="9"/>
      <c r="D162" s="8" t="s">
        <v>8525</v>
      </c>
      <c r="E162" s="6">
        <f t="shared" si="6"/>
        <v>1153</v>
      </c>
      <c r="F162" s="8">
        <v>40</v>
      </c>
      <c r="G162" s="151" t="s">
        <v>8264</v>
      </c>
      <c r="J162">
        <f t="shared" si="5"/>
        <v>1186</v>
      </c>
    </row>
    <row r="163" spans="2:10">
      <c r="B163" s="10" t="s">
        <v>8712</v>
      </c>
      <c r="C163" s="9"/>
      <c r="D163" s="8" t="s">
        <v>8536</v>
      </c>
      <c r="E163" s="6">
        <f t="shared" si="6"/>
        <v>1193</v>
      </c>
      <c r="F163" s="8">
        <v>40</v>
      </c>
      <c r="G163" s="151" t="s">
        <v>8264</v>
      </c>
      <c r="J163">
        <f t="shared" si="5"/>
        <v>1226</v>
      </c>
    </row>
    <row r="164" spans="2:10">
      <c r="B164" s="10" t="s">
        <v>8716</v>
      </c>
      <c r="C164" s="9"/>
      <c r="D164" s="8" t="s">
        <v>8547</v>
      </c>
      <c r="E164" s="6">
        <f t="shared" si="6"/>
        <v>1233</v>
      </c>
      <c r="F164" s="8">
        <v>9</v>
      </c>
      <c r="G164" s="151" t="s">
        <v>8264</v>
      </c>
      <c r="J164">
        <f t="shared" si="5"/>
        <v>1266</v>
      </c>
    </row>
    <row r="165" spans="2:10">
      <c r="B165" s="10" t="s">
        <v>8720</v>
      </c>
      <c r="C165" s="9"/>
      <c r="D165" s="8" t="s">
        <v>8557</v>
      </c>
      <c r="E165" s="6">
        <f t="shared" si="6"/>
        <v>1242</v>
      </c>
      <c r="F165" s="8">
        <v>40</v>
      </c>
      <c r="G165" s="151" t="s">
        <v>8264</v>
      </c>
      <c r="J165">
        <f t="shared" si="5"/>
        <v>1275</v>
      </c>
    </row>
    <row r="166" spans="2:10">
      <c r="B166" s="10" t="s">
        <v>8724</v>
      </c>
      <c r="C166" s="9"/>
      <c r="D166" s="8" t="s">
        <v>8568</v>
      </c>
      <c r="E166" s="6">
        <f t="shared" si="6"/>
        <v>1282</v>
      </c>
      <c r="F166" s="8">
        <v>3</v>
      </c>
      <c r="G166" s="151" t="s">
        <v>8264</v>
      </c>
      <c r="J166">
        <f t="shared" si="5"/>
        <v>1315</v>
      </c>
    </row>
    <row r="167" spans="2:10">
      <c r="B167" s="10" t="s">
        <v>8725</v>
      </c>
      <c r="C167" s="9"/>
      <c r="D167" s="8" t="s">
        <v>8570</v>
      </c>
      <c r="E167" s="6">
        <f t="shared" si="6"/>
        <v>1285</v>
      </c>
      <c r="F167" s="8">
        <v>40</v>
      </c>
      <c r="G167" s="151" t="s">
        <v>8264</v>
      </c>
      <c r="J167">
        <f t="shared" si="5"/>
        <v>1318</v>
      </c>
    </row>
    <row r="168" spans="2:10">
      <c r="B168" s="65" t="s">
        <v>8726</v>
      </c>
      <c r="C168" s="66"/>
      <c r="D168" s="67" t="s">
        <v>8572</v>
      </c>
      <c r="E168" s="6">
        <f t="shared" si="6"/>
        <v>1325</v>
      </c>
      <c r="F168" s="67">
        <v>4</v>
      </c>
      <c r="G168" s="151" t="s">
        <v>8264</v>
      </c>
      <c r="J168">
        <f t="shared" si="5"/>
        <v>1358</v>
      </c>
    </row>
    <row r="169" spans="2:10">
      <c r="B169" s="18" t="s">
        <v>8730</v>
      </c>
      <c r="C169" s="19"/>
      <c r="D169" s="20"/>
      <c r="E169" s="21">
        <f>E168+F168</f>
        <v>1329</v>
      </c>
      <c r="F169" s="20">
        <v>0</v>
      </c>
      <c r="G169" s="153"/>
      <c r="J169">
        <f t="shared" si="5"/>
        <v>1362</v>
      </c>
    </row>
    <row r="170" spans="2:10">
      <c r="B170" s="10" t="s">
        <v>8731</v>
      </c>
      <c r="C170" s="9"/>
      <c r="D170" s="8" t="s">
        <v>8732</v>
      </c>
      <c r="E170" s="6">
        <f>E169+F169</f>
        <v>1329</v>
      </c>
      <c r="F170" s="8">
        <v>5</v>
      </c>
      <c r="G170" s="149" t="s">
        <v>8230</v>
      </c>
      <c r="J170">
        <f t="shared" si="5"/>
        <v>1362</v>
      </c>
    </row>
    <row r="171" spans="2:10">
      <c r="B171" s="10" t="s">
        <v>8735</v>
      </c>
      <c r="C171" s="9"/>
      <c r="D171" s="8" t="s">
        <v>8736</v>
      </c>
      <c r="E171" s="6">
        <f>E170+F170</f>
        <v>1334</v>
      </c>
      <c r="F171" s="8">
        <v>2</v>
      </c>
      <c r="G171" s="149" t="s">
        <v>8230</v>
      </c>
      <c r="J171">
        <f t="shared" si="5"/>
        <v>1367</v>
      </c>
    </row>
    <row r="172" spans="2:10">
      <c r="B172" s="126" t="s">
        <v>8737</v>
      </c>
      <c r="C172" s="66"/>
      <c r="D172" s="67" t="s">
        <v>8738</v>
      </c>
      <c r="E172" s="81"/>
      <c r="F172" s="67"/>
      <c r="G172" s="150"/>
    </row>
    <row r="173" spans="2:10">
      <c r="B173" s="126" t="s">
        <v>8739</v>
      </c>
      <c r="C173" s="66"/>
      <c r="D173" s="67" t="s">
        <v>8740</v>
      </c>
      <c r="E173" s="81"/>
      <c r="F173" s="67"/>
      <c r="G173" s="150"/>
    </row>
    <row r="174" spans="2:10" ht="28.9">
      <c r="B174" s="126" t="s">
        <v>8741</v>
      </c>
      <c r="C174" s="66"/>
      <c r="D174" s="67" t="s">
        <v>8742</v>
      </c>
      <c r="E174" s="6"/>
      <c r="F174" s="8"/>
      <c r="G174" s="150"/>
    </row>
    <row r="175" spans="2:10">
      <c r="B175" s="10" t="s">
        <v>8743</v>
      </c>
      <c r="C175" s="9"/>
      <c r="D175" s="8" t="s">
        <v>8744</v>
      </c>
      <c r="E175" s="6"/>
      <c r="F175" s="8"/>
      <c r="G175" s="150"/>
    </row>
    <row r="176" spans="2:10">
      <c r="B176" s="10" t="s">
        <v>8745</v>
      </c>
      <c r="C176" s="9"/>
      <c r="D176" s="8" t="s">
        <v>8746</v>
      </c>
      <c r="E176" s="6"/>
      <c r="F176" s="8"/>
      <c r="G176" s="150"/>
    </row>
    <row r="177" spans="2:10">
      <c r="B177" s="10" t="s">
        <v>8747</v>
      </c>
      <c r="C177" s="9"/>
      <c r="D177" s="8" t="s">
        <v>8748</v>
      </c>
      <c r="E177" s="6"/>
      <c r="F177" s="8"/>
      <c r="G177" s="150"/>
    </row>
    <row r="178" spans="2:10">
      <c r="B178" s="126" t="s">
        <v>8749</v>
      </c>
      <c r="C178" s="66"/>
      <c r="D178" s="67" t="s">
        <v>8750</v>
      </c>
      <c r="E178" s="81"/>
      <c r="F178" s="67"/>
      <c r="G178" s="150"/>
    </row>
    <row r="179" spans="2:10">
      <c r="B179" s="126" t="s">
        <v>8751</v>
      </c>
      <c r="C179" s="66"/>
      <c r="D179" s="67" t="s">
        <v>8752</v>
      </c>
      <c r="E179" s="81"/>
      <c r="F179" s="67"/>
      <c r="G179" s="150"/>
    </row>
    <row r="180" spans="2:10">
      <c r="B180" s="24" t="s">
        <v>9341</v>
      </c>
      <c r="C180" s="25"/>
      <c r="D180" s="26"/>
      <c r="E180" s="21">
        <f>E171+F171</f>
        <v>1336</v>
      </c>
      <c r="F180" s="21">
        <v>200</v>
      </c>
      <c r="G180" s="153"/>
      <c r="J180">
        <f t="shared" si="5"/>
        <v>1369</v>
      </c>
    </row>
    <row r="181" spans="2:10">
      <c r="B181" s="18" t="s">
        <v>9342</v>
      </c>
      <c r="C181" s="19"/>
      <c r="D181" s="20"/>
      <c r="E181" s="21">
        <f>E180</f>
        <v>1336</v>
      </c>
      <c r="F181" s="20">
        <v>0</v>
      </c>
      <c r="G181" s="153"/>
      <c r="J181">
        <f t="shared" si="5"/>
        <v>1369</v>
      </c>
    </row>
    <row r="182" spans="2:10">
      <c r="B182" s="10" t="s">
        <v>8755</v>
      </c>
      <c r="C182" s="9"/>
      <c r="D182" s="8" t="s">
        <v>8756</v>
      </c>
      <c r="E182" s="6">
        <f t="shared" ref="E182" si="7">E181+F181</f>
        <v>1336</v>
      </c>
      <c r="F182" s="8">
        <v>65</v>
      </c>
      <c r="G182" s="151" t="s">
        <v>8264</v>
      </c>
      <c r="J182">
        <f t="shared" si="5"/>
        <v>1369</v>
      </c>
    </row>
    <row r="183" spans="2:10">
      <c r="B183" s="10" t="s">
        <v>9343</v>
      </c>
      <c r="C183" s="9"/>
      <c r="D183" s="8"/>
      <c r="E183" s="6">
        <f>E182+F182</f>
        <v>1401</v>
      </c>
      <c r="F183" s="8">
        <v>135</v>
      </c>
      <c r="G183" s="150"/>
      <c r="J183">
        <f t="shared" si="5"/>
        <v>1434</v>
      </c>
    </row>
    <row r="184" spans="2:10">
      <c r="B184" s="18" t="s">
        <v>9344</v>
      </c>
      <c r="C184" s="19"/>
      <c r="D184" s="20"/>
      <c r="E184" s="21">
        <f>E181</f>
        <v>1336</v>
      </c>
      <c r="F184" s="20">
        <v>0</v>
      </c>
      <c r="G184" s="153"/>
      <c r="J184">
        <f t="shared" si="5"/>
        <v>1369</v>
      </c>
    </row>
    <row r="185" spans="2:10">
      <c r="B185" s="10" t="s">
        <v>8765</v>
      </c>
      <c r="C185" s="9"/>
      <c r="D185" s="8" t="s">
        <v>8766</v>
      </c>
      <c r="E185" s="6">
        <f>E184+F184</f>
        <v>1336</v>
      </c>
      <c r="F185" s="8">
        <v>50</v>
      </c>
      <c r="G185" s="151" t="s">
        <v>8264</v>
      </c>
      <c r="J185">
        <f t="shared" si="5"/>
        <v>1369</v>
      </c>
    </row>
    <row r="186" spans="2:10">
      <c r="B186" s="10" t="s">
        <v>8768</v>
      </c>
      <c r="C186" s="9"/>
      <c r="D186" s="8" t="s">
        <v>8769</v>
      </c>
      <c r="E186" s="6">
        <f t="shared" ref="E186:E190" si="8">E185+F185</f>
        <v>1386</v>
      </c>
      <c r="F186" s="8">
        <v>22</v>
      </c>
      <c r="G186" s="151" t="s">
        <v>8264</v>
      </c>
      <c r="J186">
        <f t="shared" si="5"/>
        <v>1419</v>
      </c>
    </row>
    <row r="187" spans="2:10">
      <c r="B187" s="10" t="s">
        <v>8771</v>
      </c>
      <c r="C187" s="9"/>
      <c r="D187" s="8" t="s">
        <v>8772</v>
      </c>
      <c r="E187" s="6">
        <f t="shared" si="8"/>
        <v>1408</v>
      </c>
      <c r="F187" s="8">
        <v>8</v>
      </c>
      <c r="G187" s="151" t="s">
        <v>8264</v>
      </c>
      <c r="J187">
        <f t="shared" si="5"/>
        <v>1441</v>
      </c>
    </row>
    <row r="188" spans="2:10">
      <c r="B188" s="10" t="s">
        <v>8773</v>
      </c>
      <c r="C188" s="9"/>
      <c r="D188" s="8" t="s">
        <v>8774</v>
      </c>
      <c r="E188" s="6">
        <f t="shared" si="8"/>
        <v>1416</v>
      </c>
      <c r="F188" s="8">
        <v>50</v>
      </c>
      <c r="G188" s="151" t="s">
        <v>8264</v>
      </c>
      <c r="J188">
        <f t="shared" si="5"/>
        <v>1449</v>
      </c>
    </row>
    <row r="189" spans="2:10">
      <c r="B189" s="10" t="s">
        <v>8776</v>
      </c>
      <c r="C189" s="9"/>
      <c r="D189" s="8" t="s">
        <v>8777</v>
      </c>
      <c r="E189" s="6">
        <f t="shared" si="8"/>
        <v>1466</v>
      </c>
      <c r="F189" s="8">
        <v>22</v>
      </c>
      <c r="G189" s="151" t="s">
        <v>8264</v>
      </c>
      <c r="J189">
        <f t="shared" si="5"/>
        <v>1499</v>
      </c>
    </row>
    <row r="190" spans="2:10">
      <c r="B190" s="10" t="s">
        <v>8778</v>
      </c>
      <c r="C190" s="9"/>
      <c r="D190" s="8" t="s">
        <v>8779</v>
      </c>
      <c r="E190" s="6">
        <f t="shared" si="8"/>
        <v>1488</v>
      </c>
      <c r="F190" s="8">
        <v>8</v>
      </c>
      <c r="G190" s="151" t="s">
        <v>8264</v>
      </c>
      <c r="J190">
        <f t="shared" si="5"/>
        <v>1521</v>
      </c>
    </row>
    <row r="191" spans="2:10">
      <c r="B191" s="10" t="s">
        <v>9345</v>
      </c>
      <c r="C191" s="9"/>
      <c r="D191" s="8"/>
      <c r="E191" s="6">
        <f>E190+F190</f>
        <v>1496</v>
      </c>
      <c r="F191" s="8">
        <v>40</v>
      </c>
      <c r="G191" s="150"/>
      <c r="J191">
        <f t="shared" si="5"/>
        <v>1529</v>
      </c>
    </row>
    <row r="192" spans="2:10">
      <c r="B192" s="18" t="s">
        <v>9346</v>
      </c>
      <c r="C192" s="19"/>
      <c r="D192" s="20"/>
      <c r="E192" s="21">
        <f>E180</f>
        <v>1336</v>
      </c>
      <c r="F192" s="20">
        <v>0</v>
      </c>
      <c r="G192" s="153"/>
      <c r="J192">
        <f t="shared" si="5"/>
        <v>1369</v>
      </c>
    </row>
    <row r="193" spans="1:10" ht="28.9">
      <c r="A193" s="226"/>
      <c r="B193" s="227" t="s">
        <v>9347</v>
      </c>
      <c r="C193" s="9"/>
      <c r="D193" s="8" t="s">
        <v>9348</v>
      </c>
      <c r="E193" s="6">
        <f>E192+F192</f>
        <v>1336</v>
      </c>
      <c r="F193" s="8">
        <v>15</v>
      </c>
      <c r="G193" s="150"/>
      <c r="J193">
        <f t="shared" si="5"/>
        <v>1369</v>
      </c>
    </row>
    <row r="194" spans="1:10">
      <c r="B194" s="10" t="s">
        <v>8789</v>
      </c>
      <c r="C194" s="9"/>
      <c r="D194" s="8" t="s">
        <v>8766</v>
      </c>
      <c r="E194" s="6">
        <f t="shared" ref="E194:E197" si="9">E193+F193</f>
        <v>1351</v>
      </c>
      <c r="F194" s="8">
        <v>50</v>
      </c>
      <c r="G194" s="150"/>
      <c r="J194">
        <f t="shared" si="5"/>
        <v>1384</v>
      </c>
    </row>
    <row r="195" spans="1:10">
      <c r="B195" s="10" t="s">
        <v>8790</v>
      </c>
      <c r="C195" s="9"/>
      <c r="D195" s="8" t="s">
        <v>9349</v>
      </c>
      <c r="E195" s="6">
        <f t="shared" si="9"/>
        <v>1401</v>
      </c>
      <c r="F195" s="8">
        <v>22</v>
      </c>
      <c r="G195" s="150"/>
      <c r="J195">
        <f t="shared" si="5"/>
        <v>1434</v>
      </c>
    </row>
    <row r="196" spans="1:10">
      <c r="B196" s="10" t="s">
        <v>9350</v>
      </c>
      <c r="C196" s="9"/>
      <c r="D196" s="8" t="s">
        <v>8772</v>
      </c>
      <c r="E196" s="6">
        <f t="shared" si="9"/>
        <v>1423</v>
      </c>
      <c r="F196" s="8">
        <v>8</v>
      </c>
      <c r="G196" s="150"/>
      <c r="J196">
        <f t="shared" si="5"/>
        <v>1456</v>
      </c>
    </row>
    <row r="197" spans="1:10">
      <c r="B197" s="10" t="s">
        <v>9351</v>
      </c>
      <c r="C197" s="9"/>
      <c r="D197" s="8"/>
      <c r="E197" s="6">
        <f t="shared" si="9"/>
        <v>1431</v>
      </c>
      <c r="F197" s="8">
        <v>105</v>
      </c>
      <c r="G197" s="150"/>
      <c r="J197">
        <f t="shared" ref="J197:J241" si="10">E197+33</f>
        <v>1464</v>
      </c>
    </row>
    <row r="198" spans="1:10">
      <c r="B198" s="18" t="s">
        <v>9352</v>
      </c>
      <c r="C198" s="19"/>
      <c r="D198" s="20"/>
      <c r="E198" s="21">
        <f>E180</f>
        <v>1336</v>
      </c>
      <c r="F198" s="20">
        <v>0</v>
      </c>
      <c r="G198" s="153"/>
      <c r="J198">
        <f t="shared" si="10"/>
        <v>1369</v>
      </c>
    </row>
    <row r="199" spans="1:10">
      <c r="B199" s="10" t="s">
        <v>9353</v>
      </c>
      <c r="C199" s="9"/>
      <c r="D199" s="8"/>
      <c r="E199" s="8">
        <f t="shared" ref="E199:E212" si="11">E198+F198</f>
        <v>1336</v>
      </c>
      <c r="F199" s="8">
        <v>200</v>
      </c>
      <c r="G199" s="150"/>
      <c r="J199">
        <f t="shared" si="10"/>
        <v>1369</v>
      </c>
    </row>
    <row r="200" spans="1:10">
      <c r="B200" s="10" t="s">
        <v>9354</v>
      </c>
      <c r="C200" s="9"/>
      <c r="D200" s="8"/>
      <c r="E200" s="8">
        <f>E199</f>
        <v>1336</v>
      </c>
      <c r="F200" s="8">
        <v>0</v>
      </c>
      <c r="G200" s="150"/>
      <c r="J200">
        <f t="shared" si="10"/>
        <v>1369</v>
      </c>
    </row>
    <row r="201" spans="1:10">
      <c r="B201" s="10" t="s">
        <v>8797</v>
      </c>
      <c r="C201" s="9"/>
      <c r="D201" s="8" t="s">
        <v>8798</v>
      </c>
      <c r="E201" s="8">
        <f t="shared" si="11"/>
        <v>1336</v>
      </c>
      <c r="F201" s="8">
        <v>30</v>
      </c>
      <c r="G201" s="151" t="s">
        <v>8264</v>
      </c>
      <c r="J201">
        <f t="shared" si="10"/>
        <v>1369</v>
      </c>
    </row>
    <row r="202" spans="1:10">
      <c r="B202" s="10" t="s">
        <v>8802</v>
      </c>
      <c r="C202" s="9"/>
      <c r="D202" s="8" t="s">
        <v>8803</v>
      </c>
      <c r="E202" s="8">
        <f t="shared" si="11"/>
        <v>1366</v>
      </c>
      <c r="F202" s="8">
        <v>10</v>
      </c>
      <c r="G202" s="151" t="s">
        <v>8264</v>
      </c>
      <c r="J202">
        <f t="shared" si="10"/>
        <v>1399</v>
      </c>
    </row>
    <row r="203" spans="1:10">
      <c r="B203" s="10" t="s">
        <v>8806</v>
      </c>
      <c r="C203" s="9"/>
      <c r="D203" s="8" t="s">
        <v>8807</v>
      </c>
      <c r="E203" s="8">
        <f t="shared" si="11"/>
        <v>1376</v>
      </c>
      <c r="F203" s="8">
        <v>25</v>
      </c>
      <c r="G203" s="151" t="s">
        <v>8264</v>
      </c>
      <c r="J203">
        <f t="shared" si="10"/>
        <v>1409</v>
      </c>
    </row>
    <row r="204" spans="1:10">
      <c r="B204" s="10" t="s">
        <v>8811</v>
      </c>
      <c r="C204" s="9"/>
      <c r="D204" s="8" t="s">
        <v>8812</v>
      </c>
      <c r="E204" s="8">
        <f t="shared" si="11"/>
        <v>1401</v>
      </c>
      <c r="F204" s="8">
        <v>15</v>
      </c>
      <c r="G204" s="151" t="s">
        <v>8264</v>
      </c>
      <c r="J204">
        <f t="shared" si="10"/>
        <v>1434</v>
      </c>
    </row>
    <row r="205" spans="1:10">
      <c r="B205" s="10" t="s">
        <v>9355</v>
      </c>
      <c r="C205" s="9"/>
      <c r="D205" s="8"/>
      <c r="E205" s="8">
        <f t="shared" si="11"/>
        <v>1416</v>
      </c>
      <c r="F205" s="8">
        <v>120</v>
      </c>
      <c r="G205" s="150"/>
      <c r="J205">
        <f t="shared" si="10"/>
        <v>1449</v>
      </c>
    </row>
    <row r="206" spans="1:10">
      <c r="B206" s="10" t="s">
        <v>9356</v>
      </c>
      <c r="C206" s="9"/>
      <c r="D206" s="8"/>
      <c r="E206" s="8">
        <f>E199</f>
        <v>1336</v>
      </c>
      <c r="F206" s="8">
        <v>0</v>
      </c>
      <c r="G206" s="150"/>
      <c r="J206">
        <f t="shared" si="10"/>
        <v>1369</v>
      </c>
    </row>
    <row r="207" spans="1:10">
      <c r="B207" s="10" t="s">
        <v>8818</v>
      </c>
      <c r="C207" s="9"/>
      <c r="D207" s="8" t="s">
        <v>8819</v>
      </c>
      <c r="E207" s="8">
        <f t="shared" si="11"/>
        <v>1336</v>
      </c>
      <c r="F207" s="8">
        <v>25</v>
      </c>
      <c r="G207" s="151" t="s">
        <v>8264</v>
      </c>
      <c r="J207">
        <f t="shared" si="10"/>
        <v>1369</v>
      </c>
    </row>
    <row r="208" spans="1:10">
      <c r="B208" s="10" t="s">
        <v>8824</v>
      </c>
      <c r="C208" s="9"/>
      <c r="D208" s="8" t="s">
        <v>8825</v>
      </c>
      <c r="E208" s="8">
        <f t="shared" si="11"/>
        <v>1361</v>
      </c>
      <c r="F208" s="8">
        <v>40</v>
      </c>
      <c r="G208" s="151" t="s">
        <v>8264</v>
      </c>
      <c r="J208">
        <f t="shared" si="10"/>
        <v>1394</v>
      </c>
    </row>
    <row r="209" spans="2:10">
      <c r="B209" s="10" t="s">
        <v>9357</v>
      </c>
      <c r="C209" s="9"/>
      <c r="D209" s="8"/>
      <c r="E209" s="8">
        <f t="shared" si="11"/>
        <v>1401</v>
      </c>
      <c r="F209" s="8">
        <v>135</v>
      </c>
      <c r="G209" s="150"/>
      <c r="J209">
        <f t="shared" si="10"/>
        <v>1434</v>
      </c>
    </row>
    <row r="210" spans="2:10">
      <c r="B210" s="10" t="s">
        <v>9358</v>
      </c>
      <c r="C210" s="9"/>
      <c r="D210" s="8"/>
      <c r="E210" s="8">
        <f>E199</f>
        <v>1336</v>
      </c>
      <c r="F210" s="8">
        <v>0</v>
      </c>
      <c r="G210" s="150"/>
      <c r="J210">
        <f t="shared" si="10"/>
        <v>1369</v>
      </c>
    </row>
    <row r="211" spans="2:10">
      <c r="B211" s="10" t="s">
        <v>8828</v>
      </c>
      <c r="C211" s="9"/>
      <c r="D211" s="8" t="s">
        <v>8831</v>
      </c>
      <c r="E211" s="8">
        <f t="shared" si="11"/>
        <v>1336</v>
      </c>
      <c r="F211" s="8">
        <v>65</v>
      </c>
      <c r="G211" s="151" t="s">
        <v>8264</v>
      </c>
      <c r="J211">
        <f t="shared" si="10"/>
        <v>1369</v>
      </c>
    </row>
    <row r="212" spans="2:10">
      <c r="B212" s="10" t="s">
        <v>9357</v>
      </c>
      <c r="C212" s="9"/>
      <c r="D212" s="8"/>
      <c r="E212" s="6">
        <f t="shared" si="11"/>
        <v>1401</v>
      </c>
      <c r="F212" s="8">
        <v>135</v>
      </c>
      <c r="G212" s="150"/>
      <c r="J212">
        <f t="shared" si="10"/>
        <v>1434</v>
      </c>
    </row>
    <row r="213" spans="2:10">
      <c r="B213" s="18" t="s">
        <v>9359</v>
      </c>
      <c r="C213" s="19"/>
      <c r="D213" s="20"/>
      <c r="E213" s="21">
        <f>E180</f>
        <v>1336</v>
      </c>
      <c r="F213" s="20">
        <v>0</v>
      </c>
      <c r="G213" s="153"/>
      <c r="J213">
        <f t="shared" si="10"/>
        <v>1369</v>
      </c>
    </row>
    <row r="214" spans="2:10">
      <c r="B214" s="10" t="s">
        <v>9360</v>
      </c>
      <c r="C214" s="9"/>
      <c r="D214" s="8" t="s">
        <v>8831</v>
      </c>
      <c r="E214" s="6">
        <f>E213+F213</f>
        <v>1336</v>
      </c>
      <c r="F214" s="8">
        <v>10</v>
      </c>
      <c r="G214" s="151" t="s">
        <v>8264</v>
      </c>
      <c r="J214">
        <f t="shared" si="10"/>
        <v>1369</v>
      </c>
    </row>
    <row r="215" spans="2:10">
      <c r="B215" s="10" t="s">
        <v>8832</v>
      </c>
      <c r="C215" s="9"/>
      <c r="D215" s="8" t="s">
        <v>8514</v>
      </c>
      <c r="E215" s="6">
        <f>E214+F214</f>
        <v>1346</v>
      </c>
      <c r="F215" s="8">
        <v>40</v>
      </c>
      <c r="G215" s="151" t="s">
        <v>8264</v>
      </c>
      <c r="J215">
        <f t="shared" si="10"/>
        <v>1379</v>
      </c>
    </row>
    <row r="216" spans="2:10">
      <c r="B216" s="10" t="s">
        <v>8833</v>
      </c>
      <c r="C216" s="9"/>
      <c r="D216" s="8" t="s">
        <v>8525</v>
      </c>
      <c r="E216" s="6">
        <f t="shared" ref="E216:E219" si="12">E215+F215</f>
        <v>1386</v>
      </c>
      <c r="F216" s="8">
        <v>40</v>
      </c>
      <c r="G216" s="151" t="s">
        <v>8264</v>
      </c>
      <c r="J216">
        <f t="shared" si="10"/>
        <v>1419</v>
      </c>
    </row>
    <row r="217" spans="2:10">
      <c r="B217" s="10" t="s">
        <v>8834</v>
      </c>
      <c r="C217" s="9"/>
      <c r="D217" s="8" t="s">
        <v>8536</v>
      </c>
      <c r="E217" s="6">
        <f t="shared" si="12"/>
        <v>1426</v>
      </c>
      <c r="F217" s="8">
        <v>40</v>
      </c>
      <c r="G217" s="151" t="s">
        <v>8264</v>
      </c>
      <c r="J217">
        <f t="shared" si="10"/>
        <v>1459</v>
      </c>
    </row>
    <row r="218" spans="2:10">
      <c r="B218" s="10" t="s">
        <v>8835</v>
      </c>
      <c r="C218" s="9"/>
      <c r="D218" s="8" t="s">
        <v>8547</v>
      </c>
      <c r="E218" s="6">
        <f t="shared" si="12"/>
        <v>1466</v>
      </c>
      <c r="F218" s="8">
        <v>9</v>
      </c>
      <c r="G218" s="151" t="s">
        <v>8264</v>
      </c>
      <c r="J218">
        <f t="shared" si="10"/>
        <v>1499</v>
      </c>
    </row>
    <row r="219" spans="2:10">
      <c r="B219" s="10" t="s">
        <v>8836</v>
      </c>
      <c r="C219" s="9"/>
      <c r="D219" s="8" t="s">
        <v>8557</v>
      </c>
      <c r="E219" s="6">
        <f t="shared" si="12"/>
        <v>1475</v>
      </c>
      <c r="F219" s="8">
        <v>40</v>
      </c>
      <c r="G219" s="151" t="s">
        <v>8264</v>
      </c>
      <c r="J219">
        <f t="shared" si="10"/>
        <v>1508</v>
      </c>
    </row>
    <row r="220" spans="2:10">
      <c r="B220" s="10" t="s">
        <v>9361</v>
      </c>
      <c r="C220" s="9"/>
      <c r="D220" s="8"/>
      <c r="E220" s="6">
        <f>E219+F219</f>
        <v>1515</v>
      </c>
      <c r="F220" s="8">
        <v>21</v>
      </c>
      <c r="G220" s="150"/>
      <c r="J220">
        <f t="shared" si="10"/>
        <v>1548</v>
      </c>
    </row>
    <row r="221" spans="2:10">
      <c r="B221" s="18" t="s">
        <v>9362</v>
      </c>
      <c r="C221" s="19"/>
      <c r="D221" s="20"/>
      <c r="E221" s="21">
        <f>E180</f>
        <v>1336</v>
      </c>
      <c r="F221" s="20">
        <v>0</v>
      </c>
      <c r="G221" s="153"/>
      <c r="J221">
        <f t="shared" si="10"/>
        <v>1369</v>
      </c>
    </row>
    <row r="222" spans="2:10">
      <c r="B222" s="10" t="s">
        <v>8839</v>
      </c>
      <c r="C222" s="9"/>
      <c r="D222" s="8" t="s">
        <v>8831</v>
      </c>
      <c r="E222" s="6">
        <f>E221+F221</f>
        <v>1336</v>
      </c>
      <c r="F222" s="8">
        <v>65</v>
      </c>
      <c r="G222" s="151" t="s">
        <v>8264</v>
      </c>
      <c r="J222">
        <f t="shared" si="10"/>
        <v>1369</v>
      </c>
    </row>
    <row r="223" spans="2:10">
      <c r="B223" s="10" t="s">
        <v>9343</v>
      </c>
      <c r="C223" s="9"/>
      <c r="D223" s="8"/>
      <c r="E223" s="6">
        <f>E222+F222</f>
        <v>1401</v>
      </c>
      <c r="F223" s="8">
        <v>135</v>
      </c>
      <c r="G223" s="150"/>
      <c r="J223">
        <f t="shared" si="10"/>
        <v>1434</v>
      </c>
    </row>
    <row r="224" spans="2:10">
      <c r="B224" s="18" t="s">
        <v>9363</v>
      </c>
      <c r="C224" s="19"/>
      <c r="D224" s="20"/>
      <c r="E224" s="21">
        <f>E183+F223</f>
        <v>1536</v>
      </c>
      <c r="F224" s="20">
        <v>0</v>
      </c>
      <c r="G224" s="153"/>
      <c r="J224">
        <f t="shared" si="10"/>
        <v>1569</v>
      </c>
    </row>
    <row r="225" spans="1:10">
      <c r="A225" s="226"/>
      <c r="B225" s="10" t="s">
        <v>9364</v>
      </c>
      <c r="C225" s="9"/>
      <c r="D225" s="8" t="s">
        <v>9365</v>
      </c>
      <c r="E225" s="6">
        <f>E224+F224</f>
        <v>1536</v>
      </c>
      <c r="F225" s="8">
        <v>30</v>
      </c>
      <c r="G225" s="150"/>
      <c r="J225">
        <f t="shared" si="10"/>
        <v>1569</v>
      </c>
    </row>
    <row r="226" spans="1:10">
      <c r="A226" s="226"/>
      <c r="B226" s="10" t="s">
        <v>9366</v>
      </c>
      <c r="C226" s="9"/>
      <c r="D226" s="8" t="s">
        <v>9092</v>
      </c>
      <c r="E226" s="6">
        <f t="shared" ref="E226:E228" si="13">E225+F225</f>
        <v>1566</v>
      </c>
      <c r="F226" s="8">
        <v>8</v>
      </c>
      <c r="G226" s="150"/>
      <c r="J226">
        <f t="shared" si="10"/>
        <v>1599</v>
      </c>
    </row>
    <row r="227" spans="1:10">
      <c r="A227" s="226"/>
      <c r="B227" s="10" t="s">
        <v>9367</v>
      </c>
      <c r="C227" s="9"/>
      <c r="D227" s="8" t="s">
        <v>9368</v>
      </c>
      <c r="E227" s="6">
        <f t="shared" si="13"/>
        <v>1574</v>
      </c>
      <c r="F227" s="8">
        <v>8</v>
      </c>
      <c r="G227" s="150"/>
      <c r="J227">
        <f t="shared" si="10"/>
        <v>1607</v>
      </c>
    </row>
    <row r="228" spans="1:10">
      <c r="A228" s="226"/>
      <c r="B228" s="10" t="s">
        <v>9369</v>
      </c>
      <c r="C228" s="9"/>
      <c r="D228" s="8" t="s">
        <v>9370</v>
      </c>
      <c r="E228" s="6">
        <f t="shared" si="13"/>
        <v>1582</v>
      </c>
      <c r="F228" s="8">
        <v>40</v>
      </c>
      <c r="G228" s="150"/>
      <c r="J228">
        <f t="shared" si="10"/>
        <v>1615</v>
      </c>
    </row>
    <row r="229" spans="1:10">
      <c r="B229" s="18" t="s">
        <v>9371</v>
      </c>
      <c r="C229" s="19"/>
      <c r="D229" s="20"/>
      <c r="E229" s="20">
        <f>E180+F180</f>
        <v>1536</v>
      </c>
      <c r="F229" s="20">
        <f>E242-E229+1</f>
        <v>1432</v>
      </c>
      <c r="G229" s="153"/>
      <c r="J229">
        <f t="shared" si="10"/>
        <v>1569</v>
      </c>
    </row>
    <row r="230" spans="1:10">
      <c r="B230" s="14" t="s">
        <v>9313</v>
      </c>
      <c r="C230" s="15"/>
      <c r="D230" s="80" t="s">
        <v>8841</v>
      </c>
      <c r="E230" s="17">
        <f>E57+F57</f>
        <v>62</v>
      </c>
      <c r="F230" s="17">
        <v>0</v>
      </c>
      <c r="G230" s="148"/>
      <c r="J230">
        <f t="shared" si="10"/>
        <v>95</v>
      </c>
    </row>
    <row r="231" spans="1:10">
      <c r="B231" s="18" t="s">
        <v>8842</v>
      </c>
      <c r="C231" s="19"/>
      <c r="D231" s="20" t="s">
        <v>8843</v>
      </c>
      <c r="E231" s="21">
        <f t="shared" ref="E231:E236" si="14">E230+F230</f>
        <v>62</v>
      </c>
      <c r="F231" s="20">
        <v>0</v>
      </c>
      <c r="G231" s="153"/>
      <c r="J231">
        <f t="shared" si="10"/>
        <v>95</v>
      </c>
    </row>
    <row r="232" spans="1:10">
      <c r="B232" s="65" t="s">
        <v>8844</v>
      </c>
      <c r="C232" s="66"/>
      <c r="D232" s="67" t="s">
        <v>8845</v>
      </c>
      <c r="E232" s="81">
        <f t="shared" si="14"/>
        <v>62</v>
      </c>
      <c r="F232" s="67">
        <v>16</v>
      </c>
      <c r="G232" s="150"/>
      <c r="J232">
        <f t="shared" si="10"/>
        <v>95</v>
      </c>
    </row>
    <row r="233" spans="1:10">
      <c r="B233" s="65" t="s">
        <v>8853</v>
      </c>
      <c r="C233" s="66"/>
      <c r="D233" s="67" t="s">
        <v>8854</v>
      </c>
      <c r="E233" s="81">
        <f t="shared" si="14"/>
        <v>78</v>
      </c>
      <c r="F233" s="67">
        <v>8</v>
      </c>
      <c r="G233" s="150"/>
      <c r="J233">
        <f t="shared" si="10"/>
        <v>111</v>
      </c>
    </row>
    <row r="234" spans="1:10">
      <c r="B234" s="65" t="s">
        <v>8862</v>
      </c>
      <c r="C234" s="66"/>
      <c r="D234" s="67" t="s">
        <v>8863</v>
      </c>
      <c r="E234" s="81">
        <f t="shared" si="14"/>
        <v>86</v>
      </c>
      <c r="F234" s="67">
        <v>8</v>
      </c>
      <c r="G234" s="150"/>
      <c r="J234">
        <f t="shared" si="10"/>
        <v>119</v>
      </c>
    </row>
    <row r="235" spans="1:10">
      <c r="B235" s="65" t="s">
        <v>8871</v>
      </c>
      <c r="C235" s="66"/>
      <c r="D235" s="67" t="s">
        <v>8872</v>
      </c>
      <c r="E235" s="81">
        <f t="shared" si="14"/>
        <v>94</v>
      </c>
      <c r="F235" s="67">
        <v>8</v>
      </c>
      <c r="G235" s="150"/>
      <c r="J235">
        <f t="shared" si="10"/>
        <v>127</v>
      </c>
    </row>
    <row r="236" spans="1:10" s="33" customFormat="1" ht="28.9">
      <c r="B236" s="126" t="s">
        <v>9372</v>
      </c>
      <c r="C236" s="66"/>
      <c r="D236" s="67" t="s">
        <v>8879</v>
      </c>
      <c r="E236" s="81">
        <f t="shared" si="14"/>
        <v>102</v>
      </c>
      <c r="F236" s="67">
        <v>15</v>
      </c>
      <c r="G236" s="150"/>
      <c r="J236">
        <f t="shared" si="10"/>
        <v>135</v>
      </c>
    </row>
    <row r="237" spans="1:10">
      <c r="B237" s="18" t="s">
        <v>9373</v>
      </c>
      <c r="C237" s="19"/>
      <c r="D237" s="20"/>
      <c r="E237" s="21">
        <f>E236+F236</f>
        <v>117</v>
      </c>
      <c r="F237" s="21">
        <f>E242-E237+1</f>
        <v>2851</v>
      </c>
      <c r="G237" s="153"/>
      <c r="J237">
        <f t="shared" si="10"/>
        <v>150</v>
      </c>
    </row>
    <row r="238" spans="1:10">
      <c r="B238" s="14" t="s">
        <v>9313</v>
      </c>
      <c r="C238" s="15"/>
      <c r="D238" s="16"/>
      <c r="E238" s="17">
        <f>E57+F57</f>
        <v>62</v>
      </c>
      <c r="F238" s="17">
        <v>0</v>
      </c>
      <c r="G238" s="148"/>
      <c r="J238">
        <f t="shared" si="10"/>
        <v>95</v>
      </c>
    </row>
    <row r="239" spans="1:10">
      <c r="B239" s="18" t="s">
        <v>8906</v>
      </c>
      <c r="C239" s="19"/>
      <c r="D239" s="20" t="s">
        <v>8907</v>
      </c>
      <c r="E239" s="21">
        <f t="shared" ref="E239:E240" si="15">E238+F238</f>
        <v>62</v>
      </c>
      <c r="F239" s="20">
        <v>0</v>
      </c>
      <c r="G239" s="153"/>
      <c r="J239">
        <f t="shared" si="10"/>
        <v>95</v>
      </c>
    </row>
    <row r="240" spans="1:10" s="33" customFormat="1" ht="28.9">
      <c r="B240" s="126" t="s">
        <v>9374</v>
      </c>
      <c r="C240" s="66"/>
      <c r="D240" s="67" t="s">
        <v>8909</v>
      </c>
      <c r="E240" s="81">
        <f t="shared" si="15"/>
        <v>62</v>
      </c>
      <c r="F240" s="67">
        <v>15</v>
      </c>
      <c r="G240" s="150"/>
      <c r="J240">
        <f t="shared" si="10"/>
        <v>95</v>
      </c>
    </row>
    <row r="241" spans="2:10">
      <c r="B241" s="18" t="s">
        <v>9375</v>
      </c>
      <c r="C241" s="19"/>
      <c r="D241" s="20"/>
      <c r="E241" s="21">
        <f>E240+F240</f>
        <v>77</v>
      </c>
      <c r="F241" s="20">
        <f>E242-E241+1</f>
        <v>2891</v>
      </c>
      <c r="G241" s="153"/>
      <c r="J241">
        <f t="shared" si="10"/>
        <v>110</v>
      </c>
    </row>
    <row r="242" spans="2:10">
      <c r="D242" s="7" t="s">
        <v>8917</v>
      </c>
      <c r="E242" s="11">
        <f>E57+F58</f>
        <v>2967</v>
      </c>
    </row>
  </sheetData>
  <pageMargins left="0.70866141732283472" right="0.70866141732283472" top="0.74803149606299213" bottom="0.74803149606299213" header="0.31496062992125984" footer="0.31496062992125984"/>
  <pageSetup paperSize="9" scale="64" fitToHeight="5" orientation="landscape" r:id="rId1"/>
  <ignoredErrors>
    <ignoredError sqref="E198:E221 E238 E182:E192 E224" formula="1"/>
  </ignoredErrors>
  <legacyDrawing r:id="rId2"/>
</worksheet>
</file>

<file path=docMetadata/LabelInfo.xml><?xml version="1.0" encoding="utf-8"?>
<clbl:labelList xmlns:clbl="http://schemas.microsoft.com/office/2020/mipLabelMetadata">
  <clbl:label id="{b0391acc-8330-42a2-8f91-859034ac3aa4}" enabled="1" method="Standard" siteId="{b27f00d3-6ccb-4240-b5d0-56729544887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Fidelidade Mundial, S.A.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Paulo Jorge Santos Graça [EE] (DSI)</dc:creator>
  <cp:keywords/>
  <dc:description/>
  <cp:lastModifiedBy>João Carlos Carapinha Oliveira [EE] (ITD)</cp:lastModifiedBy>
  <cp:revision/>
  <dcterms:created xsi:type="dcterms:W3CDTF">2015-07-28T09:44:45Z</dcterms:created>
  <dcterms:modified xsi:type="dcterms:W3CDTF">2026-05-12T17:53:22Z</dcterms:modified>
  <cp:category/>
  <cp:contentStatus/>
</cp:coreProperties>
</file>