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F005473\AppData\Local\Temp\OneNote\16.0\Exported\{6AD1F6C6-C430-4A69-8950-907F4A0C6138}\NT\0\"/>
    </mc:Choice>
  </mc:AlternateContent>
  <xr:revisionPtr revIDLastSave="0" documentId="13_ncr:1_{A173BF11-36DC-4329-AF73-243CBBB42D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ayout FSC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E7" i="3" s="1"/>
  <c r="E13" i="3" s="1"/>
  <c r="E17" i="3" s="1"/>
  <c r="E18" i="3" s="1"/>
  <c r="E23" i="3" s="1"/>
  <c r="E31" i="3" s="1"/>
  <c r="E33" i="3" s="1"/>
  <c r="E34" i="3" s="1"/>
  <c r="E35" i="3" s="1"/>
  <c r="E36" i="3" s="1"/>
  <c r="E46" i="3" s="1"/>
  <c r="E352" i="3" l="1"/>
  <c r="E353" i="3" s="1"/>
  <c r="E354" i="3" s="1"/>
  <c r="E355" i="3" s="1"/>
  <c r="E356" i="3" s="1"/>
  <c r="E357" i="3" s="1"/>
  <c r="E382" i="3"/>
  <c r="E383" i="3" s="1"/>
  <c r="F47" i="3"/>
  <c r="E408" i="3" s="1"/>
  <c r="E47" i="3"/>
  <c r="E49" i="3" s="1"/>
  <c r="E50" i="3" s="1"/>
  <c r="E54" i="3" s="1"/>
  <c r="E57" i="3" s="1"/>
  <c r="E61" i="3" s="1"/>
  <c r="E62" i="3" s="1"/>
  <c r="E84" i="3" s="1"/>
  <c r="E90" i="3" s="1"/>
  <c r="E95" i="3" s="1"/>
  <c r="E96" i="3" s="1"/>
  <c r="E97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348" i="3"/>
  <c r="E349" i="3" s="1"/>
  <c r="E350" i="3" s="1"/>
  <c r="I350" i="3" s="1"/>
  <c r="E340" i="3"/>
  <c r="E341" i="3" s="1"/>
  <c r="E342" i="3" s="1"/>
  <c r="E343" i="3" s="1"/>
  <c r="E344" i="3" s="1"/>
  <c r="E345" i="3" s="1"/>
  <c r="E346" i="3" s="1"/>
  <c r="I4" i="3"/>
  <c r="I357" i="3" l="1"/>
  <c r="E358" i="3"/>
  <c r="E161" i="3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29" i="3" s="1"/>
  <c r="E264" i="3" s="1"/>
  <c r="E265" i="3" s="1"/>
  <c r="E266" i="3" s="1"/>
  <c r="E267" i="3" s="1"/>
  <c r="E268" i="3" s="1"/>
  <c r="E269" i="3" s="1"/>
  <c r="E270" i="3" s="1"/>
  <c r="E271" i="3" s="1"/>
  <c r="I353" i="3"/>
  <c r="I354" i="3"/>
  <c r="I355" i="3"/>
  <c r="F346" i="3"/>
  <c r="F350" i="3"/>
  <c r="I7" i="3"/>
  <c r="E272" i="3" l="1"/>
  <c r="E273" i="3" s="1"/>
  <c r="E274" i="3" s="1"/>
  <c r="E249" i="3"/>
  <c r="E250" i="3" s="1"/>
  <c r="E251" i="3" s="1"/>
  <c r="E252" i="3" s="1"/>
  <c r="E253" i="3" s="1"/>
  <c r="E254" i="3" s="1"/>
  <c r="E255" i="3" s="1"/>
  <c r="E256" i="3" s="1"/>
  <c r="E230" i="3"/>
  <c r="E233" i="3" s="1"/>
  <c r="E234" i="3" s="1"/>
  <c r="E235" i="3" s="1"/>
  <c r="E236" i="3" s="1"/>
  <c r="E237" i="3" s="1"/>
  <c r="E238" i="3" s="1"/>
  <c r="E239" i="3" s="1"/>
  <c r="E240" i="3" s="1"/>
  <c r="E241" i="3" s="1"/>
  <c r="E275" i="3"/>
  <c r="E276" i="3" s="1"/>
  <c r="E277" i="3" s="1"/>
  <c r="E281" i="3" s="1"/>
  <c r="E282" i="3" s="1"/>
  <c r="E384" i="3"/>
  <c r="I383" i="3"/>
  <c r="I13" i="3"/>
  <c r="E257" i="3" l="1"/>
  <c r="E258" i="3" s="1"/>
  <c r="E259" i="3" s="1"/>
  <c r="E260" i="3" s="1"/>
  <c r="I384" i="3"/>
  <c r="E385" i="3"/>
  <c r="E293" i="3"/>
  <c r="E294" i="3" s="1"/>
  <c r="E295" i="3" s="1"/>
  <c r="E296" i="3" s="1"/>
  <c r="E283" i="3"/>
  <c r="E284" i="3" s="1"/>
  <c r="E285" i="3" s="1"/>
  <c r="E231" i="3"/>
  <c r="E232" i="3" s="1"/>
  <c r="E286" i="3"/>
  <c r="E287" i="3" s="1"/>
  <c r="E288" i="3" s="1"/>
  <c r="E289" i="3" s="1"/>
  <c r="E290" i="3" s="1"/>
  <c r="E291" i="3" s="1"/>
  <c r="E292" i="3" s="1"/>
  <c r="E297" i="3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I319" i="3" s="1"/>
  <c r="E242" i="3"/>
  <c r="I17" i="3"/>
  <c r="E261" i="3" l="1"/>
  <c r="E262" i="3" s="1"/>
  <c r="E263" i="3" s="1"/>
  <c r="I385" i="3"/>
  <c r="E386" i="3"/>
  <c r="E320" i="3"/>
  <c r="I318" i="3"/>
  <c r="E248" i="3"/>
  <c r="I242" i="3"/>
  <c r="I18" i="3"/>
  <c r="E387" i="3" l="1"/>
  <c r="I386" i="3"/>
  <c r="I320" i="3"/>
  <c r="E321" i="3"/>
  <c r="I23" i="3"/>
  <c r="I387" i="3" l="1"/>
  <c r="E388" i="3"/>
  <c r="I356" i="3"/>
  <c r="I321" i="3"/>
  <c r="E322" i="3"/>
  <c r="I31" i="3"/>
  <c r="I388" i="3" l="1"/>
  <c r="E389" i="3"/>
  <c r="I358" i="3"/>
  <c r="E359" i="3"/>
  <c r="E323" i="3"/>
  <c r="I322" i="3"/>
  <c r="I33" i="3"/>
  <c r="I389" i="3" l="1"/>
  <c r="E390" i="3"/>
  <c r="E360" i="3"/>
  <c r="I359" i="3"/>
  <c r="I323" i="3"/>
  <c r="E324" i="3"/>
  <c r="I34" i="3"/>
  <c r="E391" i="3" l="1"/>
  <c r="I390" i="3"/>
  <c r="I360" i="3"/>
  <c r="E361" i="3"/>
  <c r="E325" i="3"/>
  <c r="I324" i="3"/>
  <c r="I35" i="3"/>
  <c r="E392" i="3" l="1"/>
  <c r="I391" i="3"/>
  <c r="I361" i="3"/>
  <c r="E362" i="3"/>
  <c r="I325" i="3"/>
  <c r="E326" i="3"/>
  <c r="I36" i="3"/>
  <c r="E393" i="3" l="1"/>
  <c r="I392" i="3"/>
  <c r="E363" i="3"/>
  <c r="I362" i="3"/>
  <c r="E327" i="3"/>
  <c r="I326" i="3"/>
  <c r="I46" i="3"/>
  <c r="I393" i="3" l="1"/>
  <c r="E394" i="3"/>
  <c r="I363" i="3"/>
  <c r="E364" i="3"/>
  <c r="I327" i="3"/>
  <c r="E328" i="3"/>
  <c r="I50" i="3"/>
  <c r="I349" i="3"/>
  <c r="E395" i="3" l="1"/>
  <c r="I394" i="3"/>
  <c r="E365" i="3"/>
  <c r="I364" i="3"/>
  <c r="E329" i="3"/>
  <c r="E330" i="3" s="1"/>
  <c r="I328" i="3"/>
  <c r="I341" i="3"/>
  <c r="I54" i="3"/>
  <c r="E331" i="3" l="1"/>
  <c r="E333" i="3" s="1"/>
  <c r="E396" i="3"/>
  <c r="I395" i="3"/>
  <c r="I365" i="3"/>
  <c r="E366" i="3"/>
  <c r="I329" i="3"/>
  <c r="I57" i="3"/>
  <c r="I342" i="3"/>
  <c r="I333" i="3" l="1"/>
  <c r="E334" i="3"/>
  <c r="E335" i="3" s="1"/>
  <c r="E336" i="3" s="1"/>
  <c r="E337" i="3" s="1"/>
  <c r="I331" i="3"/>
  <c r="E397" i="3"/>
  <c r="I396" i="3"/>
  <c r="E367" i="3"/>
  <c r="I366" i="3"/>
  <c r="I343" i="3"/>
  <c r="I61" i="3"/>
  <c r="I336" i="3" l="1"/>
  <c r="I334" i="3"/>
  <c r="I397" i="3"/>
  <c r="E398" i="3"/>
  <c r="E368" i="3"/>
  <c r="I367" i="3"/>
  <c r="I62" i="3"/>
  <c r="I344" i="3"/>
  <c r="E399" i="3" l="1"/>
  <c r="I398" i="3"/>
  <c r="I368" i="3"/>
  <c r="E369" i="3"/>
  <c r="I345" i="3"/>
  <c r="I84" i="3"/>
  <c r="I337" i="3" l="1"/>
  <c r="E338" i="3"/>
  <c r="E400" i="3"/>
  <c r="I399" i="3"/>
  <c r="I369" i="3"/>
  <c r="E370" i="3"/>
  <c r="I90" i="3"/>
  <c r="I346" i="3"/>
  <c r="E401" i="3" l="1"/>
  <c r="I400" i="3"/>
  <c r="E371" i="3"/>
  <c r="I370" i="3"/>
  <c r="I95" i="3"/>
  <c r="I401" i="3" l="1"/>
  <c r="E402" i="3"/>
  <c r="E372" i="3"/>
  <c r="I371" i="3"/>
  <c r="I96" i="3"/>
  <c r="E403" i="3" l="1"/>
  <c r="I402" i="3"/>
  <c r="E373" i="3"/>
  <c r="I372" i="3"/>
  <c r="I97" i="3"/>
  <c r="E404" i="3" l="1"/>
  <c r="E405" i="3" s="1"/>
  <c r="I403" i="3"/>
  <c r="I373" i="3"/>
  <c r="E374" i="3"/>
  <c r="I121" i="3"/>
  <c r="E406" i="3" l="1"/>
  <c r="I405" i="3"/>
  <c r="I404" i="3"/>
  <c r="E375" i="3"/>
  <c r="I374" i="3"/>
  <c r="I122" i="3"/>
  <c r="I406" i="3" l="1"/>
  <c r="E407" i="3"/>
  <c r="I407" i="3" s="1"/>
  <c r="I375" i="3"/>
  <c r="E376" i="3"/>
  <c r="I123" i="3"/>
  <c r="F407" i="3" l="1"/>
  <c r="E377" i="3"/>
  <c r="E378" i="3" s="1"/>
  <c r="I376" i="3"/>
  <c r="I124" i="3"/>
  <c r="I378" i="3" l="1"/>
  <c r="E379" i="3"/>
  <c r="I377" i="3"/>
  <c r="I125" i="3"/>
  <c r="I379" i="3" l="1"/>
  <c r="E380" i="3"/>
  <c r="F380" i="3" s="1"/>
  <c r="I126" i="3"/>
  <c r="I380" i="3" l="1"/>
  <c r="I127" i="3"/>
  <c r="I128" i="3" l="1"/>
  <c r="I129" i="3" l="1"/>
  <c r="I130" i="3" l="1"/>
  <c r="I131" i="3" l="1"/>
  <c r="I132" i="3" l="1"/>
  <c r="I133" i="3" l="1"/>
  <c r="I134" i="3" l="1"/>
  <c r="I137" i="3" l="1"/>
  <c r="I138" i="3" l="1"/>
  <c r="I139" i="3" l="1"/>
  <c r="I140" i="3" l="1"/>
  <c r="I141" i="3" l="1"/>
  <c r="I142" i="3" l="1"/>
  <c r="I143" i="3" l="1"/>
  <c r="I144" i="3" l="1"/>
  <c r="I145" i="3" l="1"/>
  <c r="I146" i="3" l="1"/>
  <c r="I147" i="3" l="1"/>
  <c r="I148" i="3" l="1"/>
  <c r="I149" i="3" l="1"/>
  <c r="I150" i="3" l="1"/>
  <c r="I151" i="3" l="1"/>
  <c r="I152" i="3" l="1"/>
  <c r="I153" i="3" l="1"/>
  <c r="I154" i="3" l="1"/>
  <c r="I155" i="3" l="1"/>
  <c r="I156" i="3" l="1"/>
  <c r="I157" i="3" l="1"/>
  <c r="I158" i="3" l="1"/>
  <c r="I159" i="3" l="1"/>
  <c r="I160" i="3" l="1"/>
  <c r="I161" i="3" l="1"/>
  <c r="I162" i="3" l="1"/>
  <c r="I163" i="3" l="1"/>
  <c r="I166" i="3" l="1"/>
  <c r="I167" i="3" l="1"/>
  <c r="I168" i="3" l="1"/>
  <c r="I169" i="3" l="1"/>
  <c r="I170" i="3" l="1"/>
  <c r="I172" i="3" l="1"/>
  <c r="I173" i="3" l="1"/>
  <c r="I175" i="3" l="1"/>
  <c r="I176" i="3" l="1"/>
  <c r="I178" i="3" l="1"/>
  <c r="I180" i="3" l="1"/>
  <c r="I182" i="3" l="1"/>
  <c r="I183" i="3" l="1"/>
  <c r="I184" i="3" l="1"/>
  <c r="I185" i="3" l="1"/>
  <c r="I186" i="3" l="1"/>
  <c r="I187" i="3" l="1"/>
  <c r="I188" i="3" l="1"/>
  <c r="I189" i="3" l="1"/>
  <c r="I190" i="3" l="1"/>
  <c r="I191" i="3" l="1"/>
  <c r="I192" i="3" l="1"/>
  <c r="I193" i="3" l="1"/>
  <c r="I194" i="3" l="1"/>
  <c r="I195" i="3" l="1"/>
  <c r="I196" i="3" l="1"/>
  <c r="I197" i="3" l="1"/>
  <c r="I198" i="3" l="1"/>
  <c r="I199" i="3" l="1"/>
  <c r="I200" i="3" l="1"/>
  <c r="I201" i="3" l="1"/>
  <c r="I202" i="3" l="1"/>
  <c r="I204" i="3" l="1"/>
  <c r="I205" i="3" l="1"/>
  <c r="I206" i="3" l="1"/>
  <c r="I207" i="3" l="1"/>
  <c r="I208" i="3" l="1"/>
  <c r="I209" i="3" l="1"/>
  <c r="I210" i="3" l="1"/>
  <c r="I211" i="3" l="1"/>
  <c r="I212" i="3" l="1"/>
  <c r="I213" i="3" l="1"/>
  <c r="I214" i="3" l="1"/>
  <c r="I215" i="3" l="1"/>
  <c r="I217" i="3" l="1"/>
  <c r="I218" i="3" l="1"/>
  <c r="I265" i="3" l="1"/>
  <c r="I274" i="3"/>
  <c r="I273" i="3"/>
  <c r="I232" i="3" l="1"/>
  <c r="I231" i="3"/>
  <c r="I298" i="3"/>
  <c r="I277" i="3"/>
  <c r="I294" i="3"/>
  <c r="I250" i="3"/>
  <c r="I234" i="3"/>
  <c r="I287" i="3"/>
  <c r="I285" i="3"/>
  <c r="I284" i="3"/>
  <c r="I266" i="3"/>
  <c r="I281" i="3" l="1"/>
  <c r="I299" i="3"/>
  <c r="I258" i="3"/>
  <c r="I288" i="3"/>
  <c r="I235" i="3"/>
  <c r="I267" i="3"/>
  <c r="I252" i="3"/>
  <c r="I296" i="3"/>
  <c r="I295" i="3"/>
  <c r="I263" i="3"/>
  <c r="I262" i="3"/>
  <c r="I253" i="3" l="1"/>
  <c r="I300" i="3"/>
  <c r="I268" i="3"/>
  <c r="I289" i="3"/>
  <c r="I260" i="3"/>
  <c r="I259" i="3"/>
  <c r="I236" i="3"/>
  <c r="I240" i="3" l="1"/>
  <c r="I290" i="3"/>
  <c r="I269" i="3"/>
  <c r="I301" i="3"/>
  <c r="I237" i="3"/>
  <c r="I254" i="3"/>
  <c r="I241" i="3" l="1"/>
  <c r="I282" i="3"/>
  <c r="I303" i="3"/>
  <c r="I255" i="3"/>
  <c r="I256" i="3"/>
  <c r="I271" i="3"/>
  <c r="I270" i="3"/>
  <c r="I238" i="3"/>
  <c r="I292" i="3"/>
  <c r="I291" i="3"/>
  <c r="I248" i="3" l="1"/>
  <c r="I239" i="3"/>
  <c r="I304" i="3"/>
  <c r="I305" i="3" l="1"/>
  <c r="I306" i="3" l="1"/>
  <c r="I307" i="3" l="1"/>
  <c r="I308" i="3" l="1"/>
  <c r="I309" i="3" l="1"/>
  <c r="I310" i="3" l="1"/>
  <c r="I311" i="3" l="1"/>
  <c r="I312" i="3" l="1"/>
  <c r="I314" i="3" l="1"/>
  <c r="I316" i="3" l="1"/>
  <c r="F338" i="3" l="1"/>
  <c r="I335" i="3"/>
  <c r="I33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Jorge Santos Graça [EE] (DSI)</author>
    <author>Nuno Jorge Sousa Fernandes [EE] (FIT)</author>
  </authors>
  <commentList>
    <comment ref="D7" authorId="0" shapeId="0" xr:uid="{E0C794E0-3853-42A5-9267-1A529969B8D4}">
      <text>
        <r>
          <rPr>
            <b/>
            <sz val="8"/>
            <color indexed="81"/>
            <rFont val="Tahoma"/>
            <family val="2"/>
          </rPr>
          <t>Quando Aviso-Recibo sem extrato, só vem o tipo "1"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7" authorId="0" shapeId="0" xr:uid="{92A669B2-6468-4658-ADE2-0A02D04E5E55}">
      <text>
        <r>
          <rPr>
            <b/>
            <sz val="9"/>
            <color indexed="81"/>
            <rFont val="Tahoma"/>
            <family val="2"/>
          </rPr>
          <t>Obrigatório, quando se trata de uma impressão Online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" authorId="0" shapeId="0" xr:uid="{9BF3A404-6D4E-487D-99BA-4EC5D6AD2908}">
      <text>
        <r>
          <rPr>
            <b/>
            <sz val="9"/>
            <color indexed="81"/>
            <rFont val="Tahoma"/>
            <family val="2"/>
          </rPr>
          <t>Não é suposto receber ViaDirecta… deve ser enviado ficheiro para eles directamente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3" authorId="0" shapeId="0" xr:uid="{1A77DC55-D6B2-4A2D-85F7-30A4C1C478CE}">
      <text>
        <r>
          <rPr>
            <b/>
            <sz val="9"/>
            <color indexed="81"/>
            <rFont val="Tahoma"/>
            <family val="2"/>
          </rPr>
          <t>Não é suposto recebermos OK Teleseguro ou Continente. Deve ser enviado ficheiro para a ViaDirecta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1" authorId="0" shapeId="0" xr:uid="{0E91D2DA-D2EC-4AA7-A59F-27EF72073973}">
      <text>
        <r>
          <rPr>
            <b/>
            <sz val="9"/>
            <color indexed="81"/>
            <rFont val="Tahoma"/>
            <family val="2"/>
          </rPr>
          <t>Apenas para casos em que a marca é FM ou IB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3" authorId="0" shapeId="0" xr:uid="{7B2DE8E9-12EA-47CF-A796-F08AD00B1BBE}">
      <text>
        <r>
          <rPr>
            <b/>
            <sz val="9"/>
            <color indexed="81"/>
            <rFont val="Tahoma"/>
            <family val="2"/>
          </rPr>
          <t>Obrigatório para lote, ou cobranca por agente</t>
        </r>
      </text>
    </comment>
    <comment ref="G34" authorId="0" shapeId="0" xr:uid="{C221C6E9-4225-4336-979A-A577F860AA07}">
      <text>
        <r>
          <rPr>
            <b/>
            <sz val="9"/>
            <color indexed="81"/>
            <rFont val="Tahoma"/>
            <family val="2"/>
          </rPr>
          <t xml:space="preserve">Obrigatorio, excepto para lote
</t>
        </r>
      </text>
    </comment>
    <comment ref="G54" authorId="0" shapeId="0" xr:uid="{84980075-C154-41E3-AF23-BFE7DD24A128}">
      <text>
        <r>
          <rPr>
            <b/>
            <sz val="9"/>
            <color indexed="81"/>
            <rFont val="Tahoma"/>
            <family val="2"/>
          </rPr>
          <t>Obrigatório, desde que tipo de documento diferente de lote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7" authorId="0" shapeId="0" xr:uid="{66E10FBC-CE89-4EFE-9C63-388F4BB64F6C}">
      <text>
        <r>
          <rPr>
            <b/>
            <sz val="9"/>
            <color indexed="81"/>
            <rFont val="Tahoma"/>
            <family val="2"/>
          </rPr>
          <t>Obrigatório, desde que tipo de documento diferente de lote
Recibo apenas com cobrança por agente</t>
        </r>
      </text>
    </comment>
    <comment ref="D63" authorId="0" shapeId="0" xr:uid="{8EC7386B-38E6-4C68-8596-C2626F52D55A}">
      <text>
        <r>
          <rPr>
            <b/>
            <sz val="8"/>
            <color indexed="81"/>
            <rFont val="Tahoma"/>
            <family val="2"/>
          </rPr>
          <t>Seguro Novo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23" authorId="0" shapeId="0" xr:uid="{4DE3D9B9-13BA-447D-A4E8-240CADF86BBE}">
      <text>
        <r>
          <rPr>
            <b/>
            <sz val="9"/>
            <color indexed="81"/>
            <rFont val="Tahoma"/>
            <family val="2"/>
          </rPr>
          <t>Numero de cliente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4" authorId="0" shapeId="0" xr:uid="{22DBE5F5-EEEB-4508-AE6C-37FB8A4DD131}">
      <text>
        <r>
          <rPr>
            <b/>
            <sz val="9"/>
            <color indexed="81"/>
            <rFont val="Tahoma"/>
            <family val="2"/>
          </rPr>
          <t>Numero de cliente</t>
        </r>
      </text>
    </comment>
    <comment ref="G125" authorId="0" shapeId="0" xr:uid="{FFF3DB18-61F6-497C-85FA-BF0209AF3ABA}">
      <text>
        <r>
          <rPr>
            <b/>
            <sz val="9"/>
            <color indexed="81"/>
            <rFont val="Tahoma"/>
            <family val="2"/>
          </rPr>
          <t>Numero de cliente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8" authorId="0" shapeId="0" xr:uid="{BA240944-EE8A-4B77-A1B3-813BFB76463A}">
      <text>
        <r>
          <rPr>
            <b/>
            <sz val="9"/>
            <color indexed="81"/>
            <rFont val="Tahoma"/>
            <family val="2"/>
          </rPr>
          <t>Numero de cliente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9" authorId="0" shapeId="0" xr:uid="{0890E892-C9AE-445A-8E6B-A612FF530A62}">
      <text>
        <r>
          <rPr>
            <b/>
            <sz val="9"/>
            <color indexed="81"/>
            <rFont val="Tahoma"/>
            <family val="2"/>
          </rPr>
          <t>Numero de cliente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0" authorId="0" shapeId="0" xr:uid="{F901553B-B16F-4B02-83C4-924382F630A9}">
      <text>
        <r>
          <rPr>
            <b/>
            <sz val="9"/>
            <color indexed="81"/>
            <rFont val="Tahoma"/>
            <family val="2"/>
          </rPr>
          <t>Numero de cliente</t>
        </r>
      </text>
    </comment>
    <comment ref="G131" authorId="0" shapeId="0" xr:uid="{55A0B4FF-4027-4DBE-B53A-603CC70ABD29}">
      <text>
        <r>
          <rPr>
            <b/>
            <sz val="9"/>
            <color indexed="81"/>
            <rFont val="Tahoma"/>
            <family val="2"/>
          </rPr>
          <t>Numero de cliente</t>
        </r>
      </text>
    </comment>
    <comment ref="G132" authorId="0" shapeId="0" xr:uid="{4AE07DD6-E537-4A4A-8ADC-14AFAC91FE73}">
      <text>
        <r>
          <rPr>
            <b/>
            <sz val="9"/>
            <color indexed="81"/>
            <rFont val="Tahoma"/>
            <family val="2"/>
          </rPr>
          <t>Numero de cliente</t>
        </r>
      </text>
    </comment>
    <comment ref="G133" authorId="0" shapeId="0" xr:uid="{3F71F260-981D-4B94-8F71-220C15D157DC}">
      <text>
        <r>
          <rPr>
            <b/>
            <sz val="9"/>
            <color indexed="81"/>
            <rFont val="Tahoma"/>
            <family val="2"/>
          </rPr>
          <t>Numero de cliente</t>
        </r>
      </text>
    </comment>
    <comment ref="G134" authorId="0" shapeId="0" xr:uid="{1D9F5B30-241E-47A7-8106-5D8945FD82BA}">
      <text>
        <r>
          <rPr>
            <b/>
            <sz val="9"/>
            <color indexed="81"/>
            <rFont val="Tahoma"/>
            <family val="2"/>
          </rPr>
          <t>Numero de cliente</t>
        </r>
      </text>
    </comment>
    <comment ref="D141" authorId="0" shapeId="0" xr:uid="{F6DF8DE2-2079-44CB-9768-FD1CB0E38E8D}">
      <text>
        <r>
          <rPr>
            <b/>
            <sz val="8"/>
            <color indexed="81"/>
            <rFont val="Tahoma"/>
            <family val="2"/>
          </rPr>
          <t xml:space="preserve">Resgate Programado até:
(Para casos Poupança Auto)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42" authorId="0" shapeId="0" xr:uid="{68A1BF38-AA6E-4FB4-8B10-91F9DF293A53}">
      <text>
        <r>
          <rPr>
            <b/>
            <sz val="9"/>
            <color indexed="81"/>
            <rFont val="Tahoma"/>
            <family val="2"/>
          </rPr>
          <t>Obrigatório para premio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3" authorId="0" shapeId="0" xr:uid="{678DC090-BDC9-44DC-BCF7-256BD85CA28E}">
      <text>
        <r>
          <rPr>
            <b/>
            <sz val="9"/>
            <color indexed="81"/>
            <rFont val="Tahoma"/>
            <family val="2"/>
          </rPr>
          <t>Obrigatório para premio</t>
        </r>
      </text>
    </comment>
    <comment ref="D145" authorId="0" shapeId="0" xr:uid="{40274F00-494A-467A-9D00-FE2D8724FC11}">
      <text>
        <r>
          <rPr>
            <b/>
            <sz val="8"/>
            <color indexed="81"/>
            <rFont val="Tahoma"/>
            <family val="2"/>
          </rPr>
          <t xml:space="preserve">C33:
Apenas para uma unidade em risco ("vários" não tem capital)
VIDA:
Valor do "Capital entregue" nas Apólices com TIPO-APOLICE:
Vida Capitalização (CI/CG) 
Vida Misto Capitalização (XI/XG)
</t>
        </r>
      </text>
    </comment>
    <comment ref="G145" authorId="0" shapeId="0" xr:uid="{87308E65-A2F4-40F9-96DE-A4529DB90D18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6" authorId="1" shapeId="0" xr:uid="{664BDBD2-DB45-40B4-B173-CBD39633E86D}">
      <text>
        <r>
          <rPr>
            <b/>
            <sz val="9"/>
            <color indexed="81"/>
            <rFont val="Tahoma"/>
            <family val="2"/>
          </rPr>
          <t>VIDA:
Valor do "Prémio Risco" nas Apólices com TIPO-APOLICE:
Vida Misto Puro (MI/MG) 
Vida Misto Capitalização (XI/XG)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6" authorId="0" shapeId="0" xr:uid="{2855B0FB-E601-4E5A-9C53-F0417CD8D0CA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7" authorId="0" shapeId="0" xr:uid="{72850CB1-23AC-4D23-A1A2-FB0518F668B0}">
      <text>
        <r>
          <rPr>
            <b/>
            <sz val="9"/>
            <color indexed="81"/>
            <rFont val="Tahoma"/>
            <family val="2"/>
          </rPr>
          <t>BONIF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7" authorId="0" shapeId="0" xr:uid="{76EE6F59-0469-45A6-B8E0-D91746AE487D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8" authorId="0" shapeId="0" xr:uid="{F83B5B38-526C-48EF-9DF6-CD4ACDE51E70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9" authorId="0" shapeId="0" xr:uid="{3D916E67-D051-4AE1-9DC9-4FF99C92046D}">
      <text>
        <r>
          <rPr>
            <b/>
            <sz val="9"/>
            <color indexed="81"/>
            <rFont val="Tahoma"/>
            <family val="2"/>
          </rPr>
          <t>VAFRC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9" authorId="0" shapeId="0" xr:uid="{A4FEC9D9-409D-43E8-90EE-7E5E7C03353C}">
      <text>
        <r>
          <rPr>
            <b/>
            <sz val="8"/>
            <color indexed="81"/>
            <rFont val="Tahoma"/>
            <family val="2"/>
          </rPr>
          <t>Para casos FGS e RVI:
RU-O-VIDA-GRUPO OR RU-O-VIDA-IND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49" authorId="0" shapeId="0" xr:uid="{984028EA-75BA-468D-AD6A-C46F3BE0323C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0" authorId="0" shapeId="0" xr:uid="{86A42E42-89A6-47EF-8232-1B7BE83C6830}">
      <text>
        <r>
          <rPr>
            <b/>
            <sz val="9"/>
            <color indexed="81"/>
            <rFont val="Tahoma"/>
            <family val="2"/>
          </rPr>
          <t>VAFAT</t>
        </r>
      </text>
    </comment>
    <comment ref="D150" authorId="0" shapeId="0" xr:uid="{E4C7F12A-310A-4F12-8581-BBF520F8433F}">
      <text>
        <r>
          <rPr>
            <b/>
            <sz val="8"/>
            <color indexed="81"/>
            <rFont val="Tahoma"/>
            <family val="2"/>
          </rPr>
          <t>No Output, aparecem juntos:
RU-CARTA-VERDE + RU-SNB + RU-FUNDAP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50" authorId="0" shapeId="0" xr:uid="{90BAA5FB-2C57-425A-A4FE-1990FA5C4D95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1" authorId="0" shapeId="0" xr:uid="{3F824BA0-F698-4208-AD4A-0F876FB51E05}">
      <text>
        <r>
          <rPr>
            <b/>
            <sz val="9"/>
            <color indexed="81"/>
            <rFont val="Tahoma"/>
            <family val="2"/>
          </rPr>
          <t>VAFGR</t>
        </r>
      </text>
    </comment>
    <comment ref="D151" authorId="0" shapeId="0" xr:uid="{9717B3D6-B65D-4B25-8B26-A7F6E8FC2BD0}">
      <text>
        <r>
          <rPr>
            <b/>
            <sz val="8"/>
            <color indexed="81"/>
            <rFont val="Tahoma"/>
            <family val="2"/>
          </rPr>
          <t>No Output, aparecem juntos:
RU-FUND-CALAM + RU-FGA-ANTIGO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51" authorId="0" shapeId="0" xr:uid="{56361C05-3EFA-45E2-9D81-5CF80E759396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2" authorId="0" shapeId="0" xr:uid="{13348051-4957-47C3-90B5-C4C29ED21699}">
      <text>
        <r>
          <rPr>
            <b/>
            <sz val="9"/>
            <color indexed="81"/>
            <rFont val="Tahoma"/>
            <family val="2"/>
          </rPr>
          <t>VASNB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2" authorId="0" shapeId="0" xr:uid="{AA1E3226-7A2D-48AA-A94C-F47BCAFD6597}">
      <text>
        <r>
          <rPr>
            <b/>
            <sz val="8"/>
            <color indexed="81"/>
            <rFont val="Tahoma"/>
            <family val="2"/>
          </rPr>
          <t>No Output, aparecem juntos:
RU-CARTA-VERDE + RU-SNB + RU-FUNDAP
excepto quando não há valor de CV e FAT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52" authorId="0" shapeId="0" xr:uid="{0864CEA5-1182-4C61-963F-40CDBCB18963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3" authorId="0" shapeId="0" xr:uid="{6B6BBCDC-1314-4FDE-8959-5D4665F9089D}">
      <text>
        <r>
          <rPr>
            <b/>
            <sz val="9"/>
            <color indexed="81"/>
            <rFont val="Tahoma"/>
            <family val="2"/>
          </rPr>
          <t>VINEM</t>
        </r>
      </text>
    </comment>
    <comment ref="G153" authorId="0" shapeId="0" xr:uid="{224F1021-C8ED-468B-A9DC-73721B825D87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4" authorId="0" shapeId="0" xr:uid="{79644907-5EE1-4E2B-AC8B-61853872A2CB}">
      <text>
        <r>
          <rPr>
            <b/>
            <sz val="9"/>
            <color indexed="81"/>
            <rFont val="Tahoma"/>
            <family val="2"/>
          </rPr>
          <t>VACVD</t>
        </r>
      </text>
    </comment>
    <comment ref="D154" authorId="0" shapeId="0" xr:uid="{2981F2C8-3CA4-47C7-B421-D30A03B17D42}">
      <text>
        <r>
          <rPr>
            <b/>
            <sz val="8"/>
            <color indexed="81"/>
            <rFont val="Tahoma"/>
            <family val="2"/>
          </rPr>
          <t>No Output, aparecem juntos:
RU-CARTA-VERDE + RU-SNB + RU-FUNDAP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54" authorId="0" shapeId="0" xr:uid="{F912FA42-7F07-4799-81F0-FBA9FFFE19E2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5" authorId="0" shapeId="0" xr:uid="{CC8BAE27-7C5C-4BBF-BB90-181383EC0583}">
      <text>
        <r>
          <rPr>
            <b/>
            <sz val="9"/>
            <color indexed="81"/>
            <rFont val="Tahoma"/>
            <family val="2"/>
          </rPr>
          <t>VASEL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5" authorId="0" shapeId="0" xr:uid="{D7B7D5E5-2E85-4DAB-9718-545CB45CD94A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6" authorId="0" shapeId="0" xr:uid="{CA790663-FB2D-4F30-8038-C099714D1C28}">
      <text>
        <r>
          <rPr>
            <b/>
            <sz val="9"/>
            <color indexed="81"/>
            <rFont val="Tahoma"/>
            <family val="2"/>
          </rPr>
          <t>VACTA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6" authorId="0" shapeId="0" xr:uid="{F671679C-B3B8-4AEE-BCB4-63C738EAC483}">
      <text>
        <r>
          <rPr>
            <b/>
            <sz val="8"/>
            <color indexed="81"/>
            <rFont val="Tahoma"/>
            <family val="2"/>
          </rPr>
          <t>Para casos FGS e RVI:
RU-O-VIDA-GRUPO OR RU-O-VIDA-IND
Descritivo: "CUSTO CERTIFICADO"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56" authorId="0" shapeId="0" xr:uid="{72A849BC-F6ED-4B4C-8400-13CDD6F5E8FA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7" authorId="0" shapeId="0" xr:uid="{A66513FD-EB5F-48EB-84C3-C8EF3A4CFC22}">
      <text>
        <r>
          <rPr>
            <b/>
            <sz val="9"/>
            <color indexed="81"/>
            <rFont val="Tahoma"/>
            <family val="2"/>
          </rPr>
          <t>VIMSL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7" authorId="0" shapeId="0" xr:uid="{837A9D7D-3B99-4E19-A927-0FF92B02DDC9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8" authorId="0" shapeId="0" xr:uid="{961A2C57-74CC-49B6-9F0C-F347358FB609}">
      <text>
        <r>
          <rPr>
            <b/>
            <sz val="9"/>
            <color indexed="81"/>
            <rFont val="Tahoma"/>
            <family val="2"/>
          </rPr>
          <t>CALAM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8" authorId="0" shapeId="0" xr:uid="{E6A4E56D-D27D-48C9-9A9B-54615A23E0BC}">
      <text>
        <r>
          <rPr>
            <b/>
            <sz val="8"/>
            <color indexed="81"/>
            <rFont val="Tahoma"/>
            <family val="2"/>
          </rPr>
          <t>No Output, aparecem juntos:
RU-FUND-CALAM + RU-FGA-ANTIGO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58" authorId="0" shapeId="0" xr:uid="{D6A3FD87-26C1-47A6-B0CD-C406BBAEF500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9" authorId="0" shapeId="0" xr:uid="{C51F8B90-0D3F-4394-9CEC-7A6BD82CA834}">
      <text>
        <r>
          <rPr>
            <b/>
            <sz val="9"/>
            <color indexed="81"/>
            <rFont val="Tahoma"/>
            <family val="2"/>
          </rPr>
          <t>VAFGA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9" authorId="0" shapeId="0" xr:uid="{712A09E1-B7A2-46A2-A548-5F0BE1F1B252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0" authorId="0" shapeId="0" xr:uid="{344C2287-F1C7-4A87-AF42-592A14FC7AEF}">
      <text>
        <r>
          <rPr>
            <b/>
            <sz val="9"/>
            <color indexed="81"/>
            <rFont val="Tahoma"/>
            <family val="2"/>
          </rPr>
          <t>VAFGP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0" authorId="0" shapeId="0" xr:uid="{09D391BD-31A1-48AA-9C88-E28432DA0D38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1" authorId="0" shapeId="0" xr:uid="{1CA14B43-111F-42E9-A093-E9026DDD192C}">
      <text>
        <r>
          <rPr>
            <b/>
            <sz val="9"/>
            <color indexed="81"/>
            <rFont val="Tahoma"/>
            <family val="2"/>
          </rPr>
          <t>BONUS</t>
        </r>
      </text>
    </comment>
    <comment ref="D161" authorId="0" shapeId="0" xr:uid="{E1F8363B-ED99-4201-A7B2-F563986F4927}">
      <text>
        <r>
          <rPr>
            <b/>
            <sz val="8"/>
            <color indexed="81"/>
            <rFont val="Tahoma"/>
            <family val="2"/>
          </rPr>
          <t>Bonificação para casos de colheitas (RU-BONIFICACAO)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61" authorId="0" shapeId="0" xr:uid="{FD8EAE66-E589-4A39-893A-F9F73156ED60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2" authorId="0" shapeId="0" xr:uid="{DB2EEE36-0E6A-4189-96F9-94800FD7F8C9}">
      <text>
        <r>
          <rPr>
            <b/>
            <sz val="9"/>
            <color indexed="81"/>
            <rFont val="Tahoma"/>
            <family val="2"/>
          </rPr>
          <t>VAPRS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2" authorId="0" shapeId="0" xr:uid="{2A8D4527-940D-4902-9C4A-ED8D406461C7}">
      <text>
        <r>
          <rPr>
            <b/>
            <sz val="8"/>
            <color indexed="81"/>
            <rFont val="Tahoma"/>
            <family val="2"/>
          </rPr>
          <t>Prémio comercial = Prémio Simples + Bonus + Custo Fracionamento (RU-PR-SIMPLES + RU-BONUS + RU-CUSTO-FRACC)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62" authorId="0" shapeId="0" xr:uid="{54589826-3AE7-4C9F-9016-235CE32DF4F5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3" authorId="0" shapeId="0" xr:uid="{BF6C9984-304B-4843-9B1F-5BC77C4D4182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6" authorId="0" shapeId="0" xr:uid="{18E7C088-E34B-4E05-AABE-64027761D9D2}">
      <text>
        <r>
          <rPr>
            <b/>
            <sz val="9"/>
            <color indexed="81"/>
            <rFont val="Tahoma"/>
            <family val="2"/>
          </rPr>
          <t>Pagamento bancário e IBAN Português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7" authorId="0" shapeId="0" xr:uid="{9E9A587D-135E-4E53-B4CC-3DE388B8AFA4}">
      <text>
        <r>
          <rPr>
            <b/>
            <sz val="9"/>
            <color indexed="81"/>
            <rFont val="Tahoma"/>
            <family val="2"/>
          </rPr>
          <t>Cobrança bancária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8" authorId="0" shapeId="0" xr:uid="{C273E6D9-A690-4CEB-9D8C-03824477446F}">
      <text>
        <r>
          <rPr>
            <b/>
            <sz val="9"/>
            <color indexed="81"/>
            <rFont val="Tahoma"/>
            <family val="2"/>
          </rPr>
          <t>Cobrança bancária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9" authorId="0" shapeId="0" xr:uid="{C4117EB4-EC76-49E6-BA69-68726F2E44F4}">
      <text>
        <r>
          <rPr>
            <b/>
            <sz val="9"/>
            <color indexed="81"/>
            <rFont val="Tahoma"/>
            <family val="2"/>
          </rPr>
          <t>Cobrança bancária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0" authorId="0" shapeId="0" xr:uid="{25FBE459-8969-47CB-A8D2-8D5426E2E6F2}">
      <text>
        <r>
          <rPr>
            <b/>
            <sz val="8"/>
            <color indexed="81"/>
            <rFont val="Tahoma"/>
            <family val="2"/>
          </rPr>
          <t>O número da ADD na Autorização de Débito Sepa, tem um tamanho de 33?!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70" authorId="0" shapeId="0" xr:uid="{231B1335-1437-4FDA-A398-659D90CEF200}">
      <text>
        <r>
          <rPr>
            <b/>
            <sz val="9"/>
            <color indexed="81"/>
            <rFont val="Tahoma"/>
            <family val="2"/>
          </rPr>
          <t>Cobrança bancária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2" authorId="0" shapeId="0" xr:uid="{BA6BCB8B-CB1D-470A-BD9E-196D21B67533}">
      <text>
        <r>
          <rPr>
            <b/>
            <sz val="9"/>
            <color indexed="81"/>
            <rFont val="Tahoma"/>
            <family val="2"/>
          </rPr>
          <t>Obrigatório para cobrança por agente ou cobranca directa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3" authorId="0" shapeId="0" xr:uid="{36D1130F-2C76-4742-A9F4-68B01CB3513C}">
      <text>
        <r>
          <rPr>
            <b/>
            <sz val="9"/>
            <color indexed="81"/>
            <rFont val="Tahoma"/>
            <family val="2"/>
          </rPr>
          <t>Obrigatório para cobrança por agente ou cobranca directa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5" authorId="0" shapeId="0" xr:uid="{9FE6964A-C682-4DCC-A9DE-A9170E1AD280}">
      <text>
        <r>
          <rPr>
            <b/>
            <sz val="9"/>
            <color indexed="81"/>
            <rFont val="Tahoma"/>
            <family val="2"/>
          </rPr>
          <t>Obrigatório para cobranca directa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6" authorId="0" shapeId="0" xr:uid="{AF8E7C7E-F58C-40E1-A7AD-57AE57062E29}">
      <text>
        <r>
          <rPr>
            <b/>
            <sz val="9"/>
            <color indexed="81"/>
            <rFont val="Tahoma"/>
            <family val="2"/>
          </rPr>
          <t>Obrigatório para cobranca directa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2" authorId="0" shapeId="0" xr:uid="{5605E84D-6BEE-49A9-A4B1-8D95FD763320}">
      <text>
        <r>
          <rPr>
            <b/>
            <sz val="9"/>
            <color indexed="81"/>
            <rFont val="Tahoma"/>
            <family val="2"/>
          </rPr>
          <t>Nr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3" authorId="0" shapeId="0" xr:uid="{34321B9A-DAF4-427B-8378-3882D1A99252}">
      <text>
        <r>
          <rPr>
            <b/>
            <sz val="9"/>
            <color indexed="81"/>
            <rFont val="Tahoma"/>
            <family val="2"/>
          </rPr>
          <t>Nr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4" authorId="0" shapeId="0" xr:uid="{C30F94F8-D07F-42EF-80FC-2D3C6BA1EABC}">
      <text>
        <r>
          <rPr>
            <b/>
            <sz val="9"/>
            <color indexed="81"/>
            <rFont val="Tahoma"/>
            <family val="2"/>
          </rPr>
          <t>Nr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7" authorId="0" shapeId="0" xr:uid="{9BEECC21-3713-41D3-B022-6C2D5ABE40AF}">
      <text>
        <r>
          <rPr>
            <b/>
            <sz val="9"/>
            <color indexed="81"/>
            <rFont val="Tahoma"/>
            <family val="2"/>
          </rPr>
          <t>Nr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8" authorId="0" shapeId="0" xr:uid="{B621BE02-205B-4B7A-96FF-DE1B5256203C}">
      <text>
        <r>
          <rPr>
            <b/>
            <sz val="9"/>
            <color indexed="81"/>
            <rFont val="Tahoma"/>
            <family val="2"/>
          </rPr>
          <t>Nr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9" authorId="0" shapeId="0" xr:uid="{050D4E2A-1DE2-418F-B858-62269CB504A0}">
      <text>
        <r>
          <rPr>
            <b/>
            <sz val="9"/>
            <color indexed="81"/>
            <rFont val="Tahoma"/>
            <family val="2"/>
          </rPr>
          <t>Nr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0" authorId="0" shapeId="0" xr:uid="{7B5284F4-35E9-4D17-875A-F5B65FE4F70D}">
      <text>
        <r>
          <rPr>
            <b/>
            <sz val="9"/>
            <color indexed="81"/>
            <rFont val="Tahoma"/>
            <family val="2"/>
          </rPr>
          <t>Nr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1" authorId="0" shapeId="0" xr:uid="{2EFC36CF-8FEC-4174-A934-13CABFAF5D34}">
      <text>
        <r>
          <rPr>
            <b/>
            <sz val="9"/>
            <color indexed="81"/>
            <rFont val="Tahoma"/>
            <family val="2"/>
          </rPr>
          <t>Nr Agente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6" authorId="0" shapeId="0" xr:uid="{E3CFCD17-7312-484C-B7DE-D267D555690B}">
      <text>
        <r>
          <rPr>
            <b/>
            <sz val="9"/>
            <color indexed="81"/>
            <rFont val="Tahoma"/>
            <family val="2"/>
          </rPr>
          <t>VCCOA</t>
        </r>
      </text>
    </comment>
    <comment ref="G196" authorId="0" shapeId="0" xr:uid="{8240C87D-C096-49E3-83CA-4C81ABF791CB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8" authorId="0" shapeId="0" xr:uid="{898647F7-AEAE-414F-BBF0-AEC970497CC7}">
      <text>
        <r>
          <rPr>
            <b/>
            <sz val="9"/>
            <color indexed="81"/>
            <rFont val="Tahoma"/>
            <family val="2"/>
          </rPr>
          <t>VCCOC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8" authorId="0" shapeId="0" xr:uid="{F6081BFA-DB7D-4E4A-A3C9-12EE27F0635D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0" authorId="0" shapeId="0" xr:uid="{FB6611AE-5FEE-4002-AB89-87AAFAD1AEA1}">
      <text>
        <r>
          <rPr>
            <b/>
            <sz val="9"/>
            <color indexed="81"/>
            <rFont val="Tahoma"/>
            <family val="2"/>
          </rPr>
          <t>VCCOO</t>
        </r>
      </text>
    </comment>
    <comment ref="G200" authorId="0" shapeId="0" xr:uid="{7AB05114-AE1F-42B0-9ED1-D7529D677B71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2" authorId="0" shapeId="0" xr:uid="{6E8A4D5C-AA7B-438D-8EB5-854D73C35243}">
      <text>
        <r>
          <rPr>
            <b/>
            <sz val="9"/>
            <color indexed="81"/>
            <rFont val="Tahoma"/>
            <family val="2"/>
          </rPr>
          <t>VRCOM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2" authorId="0" shapeId="0" xr:uid="{B75DF901-1F0C-4B30-8DC0-05410F71F4AD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5" authorId="0" shapeId="0" xr:uid="{642874B0-E725-409D-BE1E-A4BAF1213F70}">
      <text>
        <r>
          <rPr>
            <b/>
            <sz val="9"/>
            <color indexed="81"/>
            <rFont val="Tahoma"/>
            <family val="2"/>
          </rPr>
          <t>Quantidade de credores igual a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6" authorId="0" shapeId="0" xr:uid="{938B99CE-ADE7-4977-AC28-2630665D3CB3}">
      <text>
        <r>
          <rPr>
            <b/>
            <sz val="9"/>
            <color indexed="81"/>
            <rFont val="Tahoma"/>
            <family val="2"/>
          </rPr>
          <t>Quantidade de credores igual a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7" authorId="0" shapeId="0" xr:uid="{639DA4E5-01E5-495B-83A8-6CAE9C2672B2}">
      <text>
        <r>
          <rPr>
            <b/>
            <sz val="9"/>
            <color indexed="81"/>
            <rFont val="Tahoma"/>
            <family val="2"/>
          </rPr>
          <t>Quantidade de credores igual a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8" authorId="0" shapeId="0" xr:uid="{5DC600C7-93E6-47B7-A306-A6217DB66383}">
      <text>
        <r>
          <rPr>
            <b/>
            <sz val="9"/>
            <color indexed="81"/>
            <rFont val="Tahoma"/>
            <family val="2"/>
          </rPr>
          <t>Quantidade de credores igual a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11" authorId="0" shapeId="0" xr:uid="{F4AAE887-894A-4FA6-A700-55F6B1B8CC66}">
      <text>
        <r>
          <rPr>
            <b/>
            <sz val="9"/>
            <color indexed="81"/>
            <rFont val="Tahoma"/>
            <family val="2"/>
          </rPr>
          <t>Quantidade de credores igual a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12" authorId="0" shapeId="0" xr:uid="{16B7E55E-DEBE-4E5D-AD0A-319C64824767}">
      <text>
        <r>
          <rPr>
            <b/>
            <sz val="9"/>
            <color indexed="81"/>
            <rFont val="Tahoma"/>
            <family val="2"/>
          </rPr>
          <t>Quantidade de credores igual a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13" authorId="0" shapeId="0" xr:uid="{9924FFC9-89C6-40ED-9971-4325E12CFAEF}">
      <text>
        <r>
          <rPr>
            <b/>
            <sz val="9"/>
            <color indexed="81"/>
            <rFont val="Tahoma"/>
            <family val="2"/>
          </rPr>
          <t>Quantidade de credores igual a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14" authorId="0" shapeId="0" xr:uid="{EE27EFFB-F569-499F-B948-C8258E02CF62}">
      <text>
        <r>
          <rPr>
            <b/>
            <sz val="9"/>
            <color indexed="81"/>
            <rFont val="Tahoma"/>
            <family val="2"/>
          </rPr>
          <t>Quantidade de credores igual a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15" authorId="0" shapeId="0" xr:uid="{8CD8E014-966F-4D80-AE90-AA4D8AE1D4C0}">
      <text>
        <r>
          <rPr>
            <b/>
            <sz val="9"/>
            <color indexed="81"/>
            <rFont val="Tahoma"/>
            <family val="2"/>
          </rPr>
          <t>Quantidade de credores igual a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18" authorId="0" shapeId="0" xr:uid="{42F2BADF-30CA-464E-9844-5D7490A05EB8}">
      <text>
        <r>
          <rPr>
            <b/>
            <sz val="9"/>
            <color indexed="81"/>
            <rFont val="Tahoma"/>
            <family val="2"/>
          </rPr>
          <t>Deve ser sempre informado o tipo de detalhe que está nos 400bytes seguintes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31" authorId="0" shapeId="0" xr:uid="{F13E2EFB-577F-403C-925E-2FA7F3FC7B9B}">
      <text>
        <r>
          <rPr>
            <b/>
            <sz val="8"/>
            <color indexed="81"/>
            <rFont val="Tahoma"/>
            <family val="2"/>
          </rPr>
          <t>A utilizar em casos que não tem detalhe especifico por ramo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31" authorId="0" shapeId="0" xr:uid="{FC05AA30-7BF9-4EEA-8170-62A3C2E8ADA0}">
      <text>
        <r>
          <rPr>
            <b/>
            <sz val="9"/>
            <color indexed="81"/>
            <rFont val="Tahoma"/>
            <family val="2"/>
          </rPr>
          <t>UR-TIPO = GR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34" authorId="0" shapeId="0" xr:uid="{E8947336-5259-4DE5-B5EC-EC7CEE1F628F}">
      <text>
        <r>
          <rPr>
            <b/>
            <sz val="9"/>
            <color indexed="81"/>
            <rFont val="Tahoma"/>
            <family val="2"/>
          </rPr>
          <t>UR-TIPO = VI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40" authorId="0" shapeId="0" xr:uid="{4ED575A4-DEC9-488F-AD87-96AB466208EE}">
      <text>
        <r>
          <rPr>
            <b/>
            <sz val="9"/>
            <color indexed="81"/>
            <rFont val="Tahoma"/>
            <family val="2"/>
          </rPr>
          <t xml:space="preserve">Obrigatório para A/R e FATURAS VIDA com VI-TIPO-APOLICE:
Vida Capitalização 
Vida Misto Puro 
Vida Misto Capitalização 
</t>
        </r>
      </text>
    </comment>
    <comment ref="G241" authorId="1" shapeId="0" xr:uid="{A7818ED5-AEFD-47EA-8786-98D855B97234}">
      <text>
        <r>
          <rPr>
            <b/>
            <sz val="9"/>
            <color indexed="81"/>
            <rFont val="Tahoma"/>
            <family val="2"/>
          </rPr>
          <t>Obrigatório para Faturas de Indemnizações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2" authorId="0" shapeId="0" xr:uid="{6A4AB8F0-2324-46DA-8002-6B1824DE36DC}">
      <text>
        <r>
          <rPr>
            <b/>
            <sz val="9"/>
            <color indexed="81"/>
            <rFont val="Tahoma"/>
            <family val="2"/>
          </rPr>
          <t>UR-TIPO = VH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4" authorId="0" shapeId="0" xr:uid="{2AB2E458-571E-4ECF-8B07-26DB84F5606E}">
      <text>
        <r>
          <rPr>
            <b/>
            <sz val="9"/>
            <color indexed="81"/>
            <rFont val="Tahoma"/>
            <family val="2"/>
          </rPr>
          <t>UR-TIPO = VH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5" authorId="0" shapeId="0" xr:uid="{14EB10F5-E66B-43FC-8AF0-6FECB535E981}">
      <text>
        <r>
          <rPr>
            <b/>
            <sz val="9"/>
            <color indexed="81"/>
            <rFont val="Tahoma"/>
            <family val="2"/>
          </rPr>
          <t>UR-TIPO = VH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8" authorId="0" shapeId="0" xr:uid="{3C537D49-2EC0-4940-8568-E5B0F8E8F762}">
      <text>
        <r>
          <rPr>
            <b/>
            <sz val="9"/>
            <color indexed="81"/>
            <rFont val="Tahoma"/>
            <family val="2"/>
          </rPr>
          <t>Especifico para Garagista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8" authorId="0" shapeId="0" xr:uid="{283B078A-07FF-4F7C-AC07-C77D311AEB82}">
      <text>
        <r>
          <rPr>
            <b/>
            <sz val="9"/>
            <color indexed="81"/>
            <rFont val="Tahoma"/>
            <family val="2"/>
          </rPr>
          <t>UR-TIPO = VG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9" authorId="0" shapeId="0" xr:uid="{1C6D8D04-E817-4F3B-B088-570E32190C2C}">
      <text>
        <r>
          <rPr>
            <b/>
            <sz val="9"/>
            <color indexed="81"/>
            <rFont val="Tahoma"/>
            <family val="2"/>
          </rPr>
          <t>Especifico para Garagista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2" authorId="0" shapeId="0" xr:uid="{6655CDF9-B03C-4759-A5A9-0FA9F7F51019}">
      <text>
        <r>
          <rPr>
            <b/>
            <sz val="9"/>
            <color indexed="81"/>
            <rFont val="Tahoma"/>
            <family val="2"/>
          </rPr>
          <t>UR-TIPO = VO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5" authorId="0" shapeId="0" xr:uid="{2844ACE1-EE7A-4A0F-A466-4DB91BD99083}">
      <text>
        <r>
          <rPr>
            <b/>
            <sz val="9"/>
            <color indexed="81"/>
            <rFont val="Tahoma"/>
            <family val="2"/>
          </rPr>
          <t>UR-TIPO = MR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73" authorId="0" shapeId="0" xr:uid="{DDC4B156-CB54-4227-9D0A-6599FD6B2936}">
      <text>
        <r>
          <rPr>
            <b/>
            <sz val="9"/>
            <color indexed="81"/>
            <rFont val="Tahoma"/>
            <family val="2"/>
          </rPr>
          <t>UR-TIPO = 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84" authorId="0" shapeId="0" xr:uid="{954E5F5E-2344-4C73-9022-023C6DE3B64F}">
      <text>
        <r>
          <rPr>
            <b/>
            <sz val="9"/>
            <color indexed="81"/>
            <rFont val="Tahoma"/>
            <family val="2"/>
          </rPr>
          <t>UR-TIPO = "LT"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89" authorId="0" shapeId="0" xr:uid="{75E33141-5D7A-43C0-B88D-536DBD274D2E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98" authorId="0" shapeId="0" xr:uid="{D8E1D7E8-FF02-45A8-9DB0-749C17626DF1}">
      <text>
        <r>
          <rPr>
            <b/>
            <sz val="9"/>
            <color indexed="81"/>
            <rFont val="Tahoma"/>
            <family val="2"/>
          </rPr>
          <t>Obrigatório sempre que código de documento 'EXTR' (Extrato)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99" authorId="0" shapeId="0" xr:uid="{E4A19F79-E8C1-42CE-846B-EBC8B765B393}">
      <text>
        <r>
          <rPr>
            <b/>
            <sz val="9"/>
            <color indexed="81"/>
            <rFont val="Tahoma"/>
            <family val="2"/>
          </rPr>
          <t>Obrigatório sempre que código de documento 'EXTR' (Extrato)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00" authorId="0" shapeId="0" xr:uid="{3B9000E6-C788-4437-826C-708D0E7EC4EF}">
      <text>
        <r>
          <rPr>
            <b/>
            <sz val="9"/>
            <color indexed="81"/>
            <rFont val="Tahoma"/>
            <family val="2"/>
          </rPr>
          <t>Obrigatório sempre que código de documento 'EXTR' (Extrato)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01" authorId="0" shapeId="0" xr:uid="{9F3496C8-C5E9-4716-A54B-2AE2C22DBCF8}">
      <text>
        <r>
          <rPr>
            <b/>
            <sz val="9"/>
            <color indexed="81"/>
            <rFont val="Tahoma"/>
            <family val="2"/>
          </rPr>
          <t>Obrigatório sempre que código de documento 'EXTR' (Extrato)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03" authorId="0" shapeId="0" xr:uid="{D10520EF-7EB8-4773-A167-3E690EB6D994}">
      <text>
        <r>
          <rPr>
            <b/>
            <sz val="9"/>
            <color indexed="81"/>
            <rFont val="Tahoma"/>
            <family val="2"/>
          </rPr>
          <t>Obrigatório sempre que 
o Nº Certificado do Aviso estiver preenchido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05" authorId="0" shapeId="0" xr:uid="{A877595B-4337-4C7C-BBE7-D7A2BB1A597D}">
      <text>
        <r>
          <rPr>
            <b/>
            <sz val="9"/>
            <color indexed="81"/>
            <rFont val="Tahoma"/>
            <family val="2"/>
          </rPr>
          <t>Obrigatório sempre que 
o Nº Certificado do Aviso estiver preenchido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06" authorId="0" shapeId="0" xr:uid="{709F5C15-A9D8-4057-A04A-A4CE55DF3CB7}">
      <text>
        <r>
          <rPr>
            <b/>
            <sz val="9"/>
            <color indexed="81"/>
            <rFont val="Tahoma"/>
            <family val="2"/>
          </rPr>
          <t>Obrigatório sempre que 
o Nº Certificado do Aviso estiver preenchido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07" authorId="0" shapeId="0" xr:uid="{2DC954AC-55BA-44BA-A53D-A0771D0AF18C}">
      <text>
        <r>
          <rPr>
            <b/>
            <sz val="9"/>
            <color indexed="81"/>
            <rFont val="Tahoma"/>
            <family val="2"/>
          </rPr>
          <t>Obrigatório sempre que 
o Nº Certificado do Aviso estiver preenchido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09" authorId="0" shapeId="0" xr:uid="{1B1D7456-5BD8-4F63-B13E-9069F5D2DB7A}">
      <text>
        <r>
          <rPr>
            <b/>
            <sz val="9"/>
            <color indexed="81"/>
            <rFont val="Tahoma"/>
            <family val="2"/>
          </rPr>
          <t>Obrigatório sempre que 
o Nº Certificado do Aviso estiver preenchido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10" authorId="0" shapeId="0" xr:uid="{9EB81230-CC24-4DEB-97B6-C748442D8A10}">
      <text>
        <r>
          <rPr>
            <b/>
            <sz val="9"/>
            <color indexed="81"/>
            <rFont val="Tahoma"/>
            <family val="2"/>
          </rPr>
          <t>Obrigatório sempre que 
o Nº Certificado do Aviso estiver preenchido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11" authorId="0" shapeId="0" xr:uid="{F5B079DB-310C-481A-B2C0-CACEB2C229C5}">
      <text>
        <r>
          <rPr>
            <b/>
            <sz val="9"/>
            <color indexed="81"/>
            <rFont val="Tahoma"/>
            <family val="2"/>
          </rPr>
          <t>Obrigatório sempre que 
o Nº Certificado do Aviso estiver preenchido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34" authorId="0" shapeId="0" xr:uid="{4000299B-F1C2-4BDA-BE99-244F2D73BF1C}">
      <text>
        <r>
          <rPr>
            <b/>
            <sz val="9"/>
            <color indexed="81"/>
            <rFont val="Tahoma"/>
            <family val="2"/>
          </rPr>
          <t>Quando preenchido, o campo :PREFIX:-PI-VLR-IMPOSTO também tem de estar preenchido</t>
        </r>
      </text>
    </comment>
    <comment ref="G335" authorId="0" shapeId="0" xr:uid="{A80CEB02-A2B0-4382-831A-05284FBB740A}">
      <text>
        <r>
          <rPr>
            <b/>
            <sz val="9"/>
            <color indexed="81"/>
            <rFont val="Tahoma"/>
            <family val="2"/>
          </rPr>
          <t>Obrigatório se o campo :PREFIX:-PI-POLICY-BUS-COUNTRY estiver preenchido</t>
        </r>
      </text>
    </comment>
    <comment ref="G349" authorId="0" shapeId="0" xr:uid="{2F096A7B-2186-4C3C-AF64-C4692F476E55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55" authorId="0" shapeId="0" xr:uid="{C49E45B3-4E48-4E90-A2CA-5F03226F2AE3}">
      <text>
        <r>
          <rPr>
            <b/>
            <sz val="9"/>
            <color indexed="81"/>
            <rFont val="Tahoma"/>
            <family val="2"/>
          </rPr>
          <t>Se o COD-PRODUTO não vier preenchido</t>
        </r>
      </text>
    </comment>
    <comment ref="D359" authorId="0" shapeId="0" xr:uid="{AA9D9B58-AA17-4C8F-A47C-D831275F29FD}">
      <text>
        <r>
          <rPr>
            <b/>
            <sz val="8"/>
            <color indexed="81"/>
            <rFont val="Tahoma"/>
            <family val="2"/>
          </rPr>
          <t xml:space="preserve">C33:
Apenas para uma unidade em risco ("vários" não tem capital)
VIDA:
Valor do "Capital entregue" nas Apólices com TIPO-APOLICE:
Vida Capitalização (CI/CG) 
Vida Misto Capitalização (XI/XG)
</t>
        </r>
      </text>
    </comment>
    <comment ref="G359" authorId="0" shapeId="0" xr:uid="{42568D08-C0B6-4EA2-A4EA-B3D42F0A06E5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0" authorId="1" shapeId="0" xr:uid="{7CAA51A0-E8B8-48E7-9859-296B0A6D39C9}">
      <text>
        <r>
          <rPr>
            <b/>
            <sz val="9"/>
            <color indexed="81"/>
            <rFont val="Tahoma"/>
            <family val="2"/>
          </rPr>
          <t>VIDA:
Valor do "Prémio Risco" nas Apólices com TIPO-APOLICE:
Vida Misto Puro (MI/MG) 
Vida Misto Capitalização (XI/XG)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60" authorId="0" shapeId="0" xr:uid="{D4E48D78-5CEF-46FF-83E5-7BAD0666AF5A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1" authorId="0" shapeId="0" xr:uid="{CBDCF4AD-FC27-49BB-B646-9E6DEEA4902E}">
      <text>
        <r>
          <rPr>
            <b/>
            <sz val="9"/>
            <color indexed="81"/>
            <rFont val="Tahoma"/>
            <family val="2"/>
          </rPr>
          <t>BONIF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61" authorId="0" shapeId="0" xr:uid="{FB69060E-7F72-4CCB-9E7B-899CB88630BD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62" authorId="0" shapeId="0" xr:uid="{27FE825D-9E37-467A-9BED-229B22ADCB0B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3" authorId="0" shapeId="0" xr:uid="{A6EDC517-049A-47BE-A181-F2B283C613B3}">
      <text>
        <r>
          <rPr>
            <b/>
            <sz val="9"/>
            <color indexed="81"/>
            <rFont val="Tahoma"/>
            <family val="2"/>
          </rPr>
          <t>VAFRC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3" authorId="0" shapeId="0" xr:uid="{1C2BFEF4-10CA-4B48-AA76-55FEDEEAF5A3}">
      <text>
        <r>
          <rPr>
            <b/>
            <sz val="8"/>
            <color indexed="81"/>
            <rFont val="Tahoma"/>
            <family val="2"/>
          </rPr>
          <t>Para casos FGS e RVI:
RU-O-VIDA-GRUPO OR RU-O-VIDA-IND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63" authorId="0" shapeId="0" xr:uid="{03BD4AC7-E235-458C-B48D-D62A86650A70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4" authorId="0" shapeId="0" xr:uid="{9C435B7B-3D08-4EF1-8C8F-EA1D9417F262}">
      <text>
        <r>
          <rPr>
            <b/>
            <sz val="9"/>
            <color indexed="81"/>
            <rFont val="Tahoma"/>
            <family val="2"/>
          </rPr>
          <t>VAFAT</t>
        </r>
      </text>
    </comment>
    <comment ref="D364" authorId="0" shapeId="0" xr:uid="{87A951A3-F562-47A9-B09D-6C9B89F12373}">
      <text>
        <r>
          <rPr>
            <b/>
            <sz val="8"/>
            <color indexed="81"/>
            <rFont val="Tahoma"/>
            <family val="2"/>
          </rPr>
          <t>No Output, aparecem juntos:
RU-CARTA-VERDE + RU-SNB + RU-FUNDAP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64" authorId="0" shapeId="0" xr:uid="{699D5F04-53B6-4899-9B03-9F6A84123487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5" authorId="0" shapeId="0" xr:uid="{6178F68C-D2EF-4BE7-B815-7C8363791576}">
      <text>
        <r>
          <rPr>
            <b/>
            <sz val="9"/>
            <color indexed="81"/>
            <rFont val="Tahoma"/>
            <family val="2"/>
          </rPr>
          <t>VAFGR</t>
        </r>
      </text>
    </comment>
    <comment ref="D365" authorId="0" shapeId="0" xr:uid="{C56D0611-32DA-4EDC-B260-59F1C8E4BFB9}">
      <text>
        <r>
          <rPr>
            <b/>
            <sz val="8"/>
            <color indexed="81"/>
            <rFont val="Tahoma"/>
            <family val="2"/>
          </rPr>
          <t>No Output, aparecem juntos:
RU-FUND-CALAM + RU-FGA-ANTIGO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65" authorId="0" shapeId="0" xr:uid="{FF2B11FF-47FA-4FF0-AE24-7339E0C9DB82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6" authorId="0" shapeId="0" xr:uid="{5B2CA293-667F-49FB-B603-545EAE90E867}">
      <text>
        <r>
          <rPr>
            <b/>
            <sz val="9"/>
            <color indexed="81"/>
            <rFont val="Tahoma"/>
            <family val="2"/>
          </rPr>
          <t>VASNB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6" authorId="0" shapeId="0" xr:uid="{D46C0CD8-4412-4261-BDEF-24AD0CE2825F}">
      <text>
        <r>
          <rPr>
            <b/>
            <sz val="8"/>
            <color indexed="81"/>
            <rFont val="Tahoma"/>
            <family val="2"/>
          </rPr>
          <t>No Output, aparecem juntos:
RU-CARTA-VERDE + RU-SNB + RU-FUNDAP
excepto quando não há valor de CV e FAT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66" authorId="0" shapeId="0" xr:uid="{A7900DC4-E3F3-41B8-969A-0FA79CFB4B2F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7" authorId="0" shapeId="0" xr:uid="{52CA74D9-B971-488E-839F-440EF44C0B6C}">
      <text>
        <r>
          <rPr>
            <b/>
            <sz val="9"/>
            <color indexed="81"/>
            <rFont val="Tahoma"/>
            <family val="2"/>
          </rPr>
          <t>VINEM</t>
        </r>
      </text>
    </comment>
    <comment ref="G367" authorId="0" shapeId="0" xr:uid="{8BBEC5D1-33F0-488C-A13B-3DFE59A7C06B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8" authorId="0" shapeId="0" xr:uid="{B96A64EE-1666-49E5-838E-E6A7997C4BAE}">
      <text>
        <r>
          <rPr>
            <b/>
            <sz val="9"/>
            <color indexed="81"/>
            <rFont val="Tahoma"/>
            <family val="2"/>
          </rPr>
          <t>VACVD</t>
        </r>
      </text>
    </comment>
    <comment ref="D368" authorId="0" shapeId="0" xr:uid="{78B83492-8A20-4E47-B91A-54F285827B63}">
      <text>
        <r>
          <rPr>
            <b/>
            <sz val="8"/>
            <color indexed="81"/>
            <rFont val="Tahoma"/>
            <family val="2"/>
          </rPr>
          <t>No Output, aparecem juntos:
RU-CARTA-VERDE + RU-SNB + RU-FUNDAP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68" authorId="0" shapeId="0" xr:uid="{809ACE33-04E6-4DD8-8F1C-657D375A3D3C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9" authorId="0" shapeId="0" xr:uid="{4D47F2D6-8CF4-44ED-808E-9B281EB389E0}">
      <text>
        <r>
          <rPr>
            <b/>
            <sz val="9"/>
            <color indexed="81"/>
            <rFont val="Tahoma"/>
            <family val="2"/>
          </rPr>
          <t>VASEL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69" authorId="0" shapeId="0" xr:uid="{E2C8A5F1-AFAC-4C77-ACF0-24F5FF07066A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0" authorId="0" shapeId="0" xr:uid="{6219AE53-A3E6-43D2-B289-B62091E6F295}">
      <text>
        <r>
          <rPr>
            <b/>
            <sz val="9"/>
            <color indexed="81"/>
            <rFont val="Tahoma"/>
            <family val="2"/>
          </rPr>
          <t>VACTA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70" authorId="0" shapeId="0" xr:uid="{7F71EA7E-33BF-4790-AF3B-7B7AF22D9CE7}">
      <text>
        <r>
          <rPr>
            <b/>
            <sz val="8"/>
            <color indexed="81"/>
            <rFont val="Tahoma"/>
            <family val="2"/>
          </rPr>
          <t>Para casos FGS e RVI:
RU-O-VIDA-GRUPO OR RU-O-VIDA-IND
Descritivo: "CUSTO CERTIFICADO"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70" authorId="0" shapeId="0" xr:uid="{E00B6A60-CE4B-4493-BCA7-52A5FD74CAD3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1" authorId="0" shapeId="0" xr:uid="{937B7671-672D-4C6D-8FB5-8C4A54644E54}">
      <text>
        <r>
          <rPr>
            <b/>
            <sz val="9"/>
            <color indexed="81"/>
            <rFont val="Tahoma"/>
            <family val="2"/>
          </rPr>
          <t>VIMSL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1" authorId="0" shapeId="0" xr:uid="{2B5D8217-C6F7-4DED-B4F2-2AB885320329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2" authorId="0" shapeId="0" xr:uid="{2C6F0D5A-9E42-42EF-A8B9-82A23AE4B79C}">
      <text>
        <r>
          <rPr>
            <b/>
            <sz val="9"/>
            <color indexed="81"/>
            <rFont val="Tahoma"/>
            <family val="2"/>
          </rPr>
          <t>CALAM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72" authorId="0" shapeId="0" xr:uid="{6B1DA4E5-23CE-4D66-834F-1C44095CC1F5}">
      <text>
        <r>
          <rPr>
            <b/>
            <sz val="8"/>
            <color indexed="81"/>
            <rFont val="Tahoma"/>
            <family val="2"/>
          </rPr>
          <t>No Output, aparecem juntos:
RU-FUND-CALAM + RU-FGA-ANTIGO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72" authorId="0" shapeId="0" xr:uid="{D0ABE858-403C-4A37-A529-81E15F8B8C70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3" authorId="0" shapeId="0" xr:uid="{9D441EE8-1B12-413D-856F-49DD1D2E27FA}">
      <text>
        <r>
          <rPr>
            <b/>
            <sz val="9"/>
            <color indexed="81"/>
            <rFont val="Tahoma"/>
            <family val="2"/>
          </rPr>
          <t>VAFGA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3" authorId="0" shapeId="0" xr:uid="{C7CB66D2-64CE-426D-BF75-0298BD8E7B1D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4" authorId="0" shapeId="0" xr:uid="{781428E4-C580-4AA9-BEEB-5020B454A3A8}">
      <text>
        <r>
          <rPr>
            <b/>
            <sz val="9"/>
            <color indexed="81"/>
            <rFont val="Tahoma"/>
            <family val="2"/>
          </rPr>
          <t>VAFGP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4" authorId="0" shapeId="0" xr:uid="{17065E89-66E6-440B-8EE5-596151FD8598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5" authorId="0" shapeId="0" xr:uid="{25F98DC9-2AFE-4711-8278-A551BEEF3769}">
      <text>
        <r>
          <rPr>
            <b/>
            <sz val="9"/>
            <color indexed="81"/>
            <rFont val="Tahoma"/>
            <family val="2"/>
          </rPr>
          <t>BONUS</t>
        </r>
      </text>
    </comment>
    <comment ref="D375" authorId="0" shapeId="0" xr:uid="{9AE6074E-471D-4495-B10B-55441A722DEE}">
      <text>
        <r>
          <rPr>
            <b/>
            <sz val="8"/>
            <color indexed="81"/>
            <rFont val="Tahoma"/>
            <family val="2"/>
          </rPr>
          <t>Bonificação para casos de colheitas (RU-BONIFICACAO)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75" authorId="0" shapeId="0" xr:uid="{3A6D1026-4145-4C8C-991D-890395022BBC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6" authorId="0" shapeId="0" xr:uid="{AAC765F1-127C-44E5-B4DA-EF2790C8A637}">
      <text>
        <r>
          <rPr>
            <b/>
            <sz val="9"/>
            <color indexed="81"/>
            <rFont val="Tahoma"/>
            <family val="2"/>
          </rPr>
          <t>VAPRS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76" authorId="0" shapeId="0" xr:uid="{8E9259A7-757A-4EDB-98C2-95F7E14044BC}">
      <text>
        <r>
          <rPr>
            <b/>
            <sz val="8"/>
            <color indexed="81"/>
            <rFont val="Tahoma"/>
            <family val="2"/>
          </rPr>
          <t>Prémio comercial = Prémio Simples + Bonus + Custo Fracionamento (RU-PR-SIMPLES + RU-BONUS + RU-CUSTO-FRACC)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76" authorId="0" shapeId="0" xr:uid="{B07FEB33-7769-4A9E-BBB4-F0E4F20A0DA3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7" authorId="0" shapeId="0" xr:uid="{0685EAAA-5AA2-4C5E-A321-5E9D220D73AE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8" authorId="0" shapeId="0" xr:uid="{2CE6011D-85B9-4BA1-AAA8-EA4CAE337AB4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9" authorId="0" shapeId="0" xr:uid="{F9D0141B-5D47-4066-A471-865BEA06ADB4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6" authorId="0" shapeId="0" xr:uid="{5CE55063-AF4A-45B3-8CAC-1F5FBF435673}">
      <text>
        <r>
          <rPr>
            <b/>
            <sz val="8"/>
            <color indexed="81"/>
            <rFont val="Tahoma"/>
            <family val="2"/>
          </rPr>
          <t xml:space="preserve">C33:
Apenas para uma unidade em risco ("vários" não tem capital)
VIDA:
Valor do "Capital entregue" nas Apólices com TIPO-APOLICE:
Vida Capitalização (CI/CG) 
Vida Misto Capitalização (XI/XG)
</t>
        </r>
      </text>
    </comment>
    <comment ref="G386" authorId="0" shapeId="0" xr:uid="{82A1A22A-DD25-4C97-BA5E-1E7151433EB6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7" authorId="1" shapeId="0" xr:uid="{71C8560B-F807-45C1-9082-36B16B7D1B69}">
      <text>
        <r>
          <rPr>
            <b/>
            <sz val="9"/>
            <color indexed="81"/>
            <rFont val="Tahoma"/>
            <family val="2"/>
          </rPr>
          <t>VIDA:
Valor do "Prémio Risco" nas Apólices com TIPO-APOLICE:
Vida Misto Puro (MI/MG) 
Vida Misto Capitalização (XI/XG)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87" authorId="0" shapeId="0" xr:uid="{7E8E6AA0-5CA4-46C9-83DB-97F19C145024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88" authorId="0" shapeId="0" xr:uid="{0340A24B-9671-4141-A7F6-19258933C366}">
      <text>
        <r>
          <rPr>
            <b/>
            <sz val="9"/>
            <color indexed="81"/>
            <rFont val="Tahoma"/>
            <family val="2"/>
          </rPr>
          <t>BONIF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88" authorId="0" shapeId="0" xr:uid="{E724DBC1-6301-4B43-B806-FB8D423720C1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89" authorId="0" shapeId="0" xr:uid="{FD19D675-35BC-4F4F-98C2-45684AE1342B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0" authorId="0" shapeId="0" xr:uid="{942456B6-F31C-4F17-9412-0066D3F9A656}">
      <text>
        <r>
          <rPr>
            <b/>
            <sz val="9"/>
            <color indexed="81"/>
            <rFont val="Tahoma"/>
            <family val="2"/>
          </rPr>
          <t>VAFRC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90" authorId="0" shapeId="0" xr:uid="{5FCBB756-7A0A-498D-9990-A5141B4A3FB4}">
      <text>
        <r>
          <rPr>
            <b/>
            <sz val="8"/>
            <color indexed="81"/>
            <rFont val="Tahoma"/>
            <family val="2"/>
          </rPr>
          <t>Para casos FGS e RVI:
RU-O-VIDA-GRUPO OR RU-O-VIDA-IND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90" authorId="0" shapeId="0" xr:uid="{C85CCF06-D858-48B8-AAED-E2E73BAFBB17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1" authorId="0" shapeId="0" xr:uid="{1A7847D6-5ADC-476C-BA25-744A00AE6114}">
      <text>
        <r>
          <rPr>
            <b/>
            <sz val="9"/>
            <color indexed="81"/>
            <rFont val="Tahoma"/>
            <family val="2"/>
          </rPr>
          <t>VAFAT</t>
        </r>
      </text>
    </comment>
    <comment ref="D391" authorId="0" shapeId="0" xr:uid="{8C29C7BD-3AE7-427D-8BC5-EB6618489054}">
      <text>
        <r>
          <rPr>
            <b/>
            <sz val="8"/>
            <color indexed="81"/>
            <rFont val="Tahoma"/>
            <family val="2"/>
          </rPr>
          <t>No Output, aparecem juntos:
RU-CARTA-VERDE + RU-SNB + RU-FUNDAP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91" authorId="0" shapeId="0" xr:uid="{C9FACA7A-5DA5-4BE4-ABF1-5359E8433C14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2" authorId="0" shapeId="0" xr:uid="{BDF1F91E-2479-4D71-A647-9191AF749D34}">
      <text>
        <r>
          <rPr>
            <b/>
            <sz val="9"/>
            <color indexed="81"/>
            <rFont val="Tahoma"/>
            <family val="2"/>
          </rPr>
          <t>VAFGR</t>
        </r>
      </text>
    </comment>
    <comment ref="D392" authorId="0" shapeId="0" xr:uid="{38307306-5C11-4C8E-9D1C-5A3895B89CCC}">
      <text>
        <r>
          <rPr>
            <b/>
            <sz val="8"/>
            <color indexed="81"/>
            <rFont val="Tahoma"/>
            <family val="2"/>
          </rPr>
          <t>No Output, aparecem juntos:
RU-FUND-CALAM + RU-FGA-ANTIGO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92" authorId="0" shapeId="0" xr:uid="{0B15BC5D-0176-4E02-89F4-52F60D9F6965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3" authorId="0" shapeId="0" xr:uid="{1068F752-E940-4171-8F1C-39C857808AB1}">
      <text>
        <r>
          <rPr>
            <b/>
            <sz val="9"/>
            <color indexed="81"/>
            <rFont val="Tahoma"/>
            <family val="2"/>
          </rPr>
          <t>VASNB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93" authorId="0" shapeId="0" xr:uid="{C3473330-0C95-4321-A7D9-BAD632FA0155}">
      <text>
        <r>
          <rPr>
            <b/>
            <sz val="8"/>
            <color indexed="81"/>
            <rFont val="Tahoma"/>
            <family val="2"/>
          </rPr>
          <t>No Output, aparecem juntos:
RU-CARTA-VERDE + RU-SNB + RU-FUNDAP
excepto quando não há valor de CV e FAT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93" authorId="0" shapeId="0" xr:uid="{4ADC79ED-CBF3-4A60-8396-3B863F31545E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4" authorId="0" shapeId="0" xr:uid="{305D6698-67F6-47C0-8AD9-ABDC685DBF31}">
      <text>
        <r>
          <rPr>
            <b/>
            <sz val="9"/>
            <color indexed="81"/>
            <rFont val="Tahoma"/>
            <family val="2"/>
          </rPr>
          <t>VINEM</t>
        </r>
      </text>
    </comment>
    <comment ref="G394" authorId="0" shapeId="0" xr:uid="{10C39D31-6E4B-4EEA-A2C3-5056480881DD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5" authorId="0" shapeId="0" xr:uid="{56526F6C-BE55-4EB5-A20C-6EECC316D8DB}">
      <text>
        <r>
          <rPr>
            <b/>
            <sz val="9"/>
            <color indexed="81"/>
            <rFont val="Tahoma"/>
            <family val="2"/>
          </rPr>
          <t>VACVD</t>
        </r>
      </text>
    </comment>
    <comment ref="D395" authorId="0" shapeId="0" xr:uid="{35EC4BA7-876E-458A-ABEB-7DB554F53C87}">
      <text>
        <r>
          <rPr>
            <b/>
            <sz val="8"/>
            <color indexed="81"/>
            <rFont val="Tahoma"/>
            <family val="2"/>
          </rPr>
          <t>No Output, aparecem juntos:
RU-CARTA-VERDE + RU-SNB + RU-FUNDAP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95" authorId="0" shapeId="0" xr:uid="{C4AA0ECE-838E-4D68-8FC3-4F219460060B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6" authorId="0" shapeId="0" xr:uid="{523B9461-4289-4027-ACD1-685371412642}">
      <text>
        <r>
          <rPr>
            <b/>
            <sz val="9"/>
            <color indexed="81"/>
            <rFont val="Tahoma"/>
            <family val="2"/>
          </rPr>
          <t>VASEL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96" authorId="0" shapeId="0" xr:uid="{0FF61A18-E9A7-408A-A5D3-C8338FD8FC09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7" authorId="0" shapeId="0" xr:uid="{756578B2-7BEE-4037-93C2-9E6CA500A536}">
      <text>
        <r>
          <rPr>
            <b/>
            <sz val="9"/>
            <color indexed="81"/>
            <rFont val="Tahoma"/>
            <family val="2"/>
          </rPr>
          <t>VACTA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97" authorId="0" shapeId="0" xr:uid="{71BA8C25-47CC-4A68-B7D9-53A62AB2461F}">
      <text>
        <r>
          <rPr>
            <b/>
            <sz val="8"/>
            <color indexed="81"/>
            <rFont val="Tahoma"/>
            <family val="2"/>
          </rPr>
          <t>Para casos FGS e RVI:
RU-O-VIDA-GRUPO OR RU-O-VIDA-IND
Descritivo: "CUSTO CERTIFICADO"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97" authorId="0" shapeId="0" xr:uid="{FA19D96F-35C6-4BFB-93EA-D7CB51EAA066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8" authorId="0" shapeId="0" xr:uid="{07C4533A-9F49-432B-A7F8-59CF37D0FBC5}">
      <text>
        <r>
          <rPr>
            <b/>
            <sz val="9"/>
            <color indexed="81"/>
            <rFont val="Tahoma"/>
            <family val="2"/>
          </rPr>
          <t>VIMSL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98" authorId="0" shapeId="0" xr:uid="{CC1FB647-15ED-48EF-B4C9-2FA3ED60E166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9" authorId="0" shapeId="0" xr:uid="{5506C9B1-4143-49FC-942B-5B6E57E08F9B}">
      <text>
        <r>
          <rPr>
            <b/>
            <sz val="9"/>
            <color indexed="81"/>
            <rFont val="Tahoma"/>
            <family val="2"/>
          </rPr>
          <t>CALAM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99" authorId="0" shapeId="0" xr:uid="{A9EB2224-B9B9-4672-ADBC-E04F89DE8264}">
      <text>
        <r>
          <rPr>
            <b/>
            <sz val="8"/>
            <color indexed="81"/>
            <rFont val="Tahoma"/>
            <family val="2"/>
          </rPr>
          <t>No Output, aparecem juntos:
RU-FUND-CALAM + RU-FGA-ANTIGO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99" authorId="0" shapeId="0" xr:uid="{E6B81D34-3AB0-481B-B723-2EC6E2E033C5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00" authorId="0" shapeId="0" xr:uid="{5B96CA79-8C86-4F5E-8A3A-0D576C06C3E4}">
      <text>
        <r>
          <rPr>
            <b/>
            <sz val="9"/>
            <color indexed="81"/>
            <rFont val="Tahoma"/>
            <family val="2"/>
          </rPr>
          <t>VAFGA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00" authorId="0" shapeId="0" xr:uid="{4AB3917E-A8A9-448D-848A-A5794A2ED81A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01" authorId="0" shapeId="0" xr:uid="{07159434-CE98-4CBD-97DD-29BA1811C38C}">
      <text>
        <r>
          <rPr>
            <b/>
            <sz val="9"/>
            <color indexed="81"/>
            <rFont val="Tahoma"/>
            <family val="2"/>
          </rPr>
          <t>VAFGP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01" authorId="0" shapeId="0" xr:uid="{9CDBF130-8D6A-42DC-897E-D1CB12216659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02" authorId="0" shapeId="0" xr:uid="{774A0D01-A486-4350-AEB0-EB0FA829FF1B}">
      <text>
        <r>
          <rPr>
            <b/>
            <sz val="9"/>
            <color indexed="81"/>
            <rFont val="Tahoma"/>
            <family val="2"/>
          </rPr>
          <t>BONUS</t>
        </r>
      </text>
    </comment>
    <comment ref="D402" authorId="0" shapeId="0" xr:uid="{AA5EF273-65FF-4AF1-A521-656960140242}">
      <text>
        <r>
          <rPr>
            <b/>
            <sz val="8"/>
            <color indexed="81"/>
            <rFont val="Tahoma"/>
            <family val="2"/>
          </rPr>
          <t>Bonificação para casos de colheitas (RU-BONIFICACAO)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402" authorId="0" shapeId="0" xr:uid="{35B72599-59CB-4E6C-B532-5C72490BE439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03" authorId="0" shapeId="0" xr:uid="{11F8975E-72E8-4C1A-94FC-7473A76D7C4A}">
      <text>
        <r>
          <rPr>
            <b/>
            <sz val="9"/>
            <color indexed="81"/>
            <rFont val="Tahoma"/>
            <family val="2"/>
          </rPr>
          <t>VAPRS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03" authorId="0" shapeId="0" xr:uid="{55EF9EA5-4314-4192-B9BD-6AF80289116F}">
      <text>
        <r>
          <rPr>
            <b/>
            <sz val="8"/>
            <color indexed="81"/>
            <rFont val="Tahoma"/>
            <family val="2"/>
          </rPr>
          <t>Prémio comercial = Prémio Simples + Bonus + Custo Fracionamento (RU-PR-SIMPLES + RU-BONUS + RU-CUSTO-FRACC)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403" authorId="0" shapeId="0" xr:uid="{5E2B37E2-4DA2-4A16-8D8E-D963C8078E5E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04" authorId="0" shapeId="0" xr:uid="{2354F358-968B-4DE7-8A17-DCF3A456810D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05" authorId="0" shapeId="0" xr:uid="{AC22D519-A798-41BB-8D41-E035110B50A3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06" authorId="0" shapeId="0" xr:uid="{E3A2E724-3725-4CD6-8244-0E1FC2B5060B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<sst xmlns="http://schemas.openxmlformats.org/spreadsheetml/2006/main" count="966" uniqueCount="654">
  <si>
    <t>Posição</t>
  </si>
  <si>
    <t>Tamanho</t>
  </si>
  <si>
    <t>Copybook</t>
  </si>
  <si>
    <t>Código de identificação da Companhia</t>
  </si>
  <si>
    <t>Código de identificação da Marca</t>
  </si>
  <si>
    <t>Código de identificação do Sistema Origem</t>
  </si>
  <si>
    <t>Número do Mediador</t>
  </si>
  <si>
    <t>Número do Cliente</t>
  </si>
  <si>
    <t>Número da Apólice</t>
  </si>
  <si>
    <t>Nome</t>
  </si>
  <si>
    <t>Dados de morada 1</t>
  </si>
  <si>
    <t>Dados de morada 2</t>
  </si>
  <si>
    <t>Localidade</t>
  </si>
  <si>
    <t>Descritivo do código postal</t>
  </si>
  <si>
    <t>Nome do banco</t>
  </si>
  <si>
    <t>Entidade</t>
  </si>
  <si>
    <t>Referência</t>
  </si>
  <si>
    <t>Cliente CTT</t>
  </si>
  <si>
    <t>Referência CTT</t>
  </si>
  <si>
    <t>Conta Mediação</t>
  </si>
  <si>
    <t>Comissão de Mediação</t>
  </si>
  <si>
    <t>Conta Cobrança</t>
  </si>
  <si>
    <t>Comissão de Cobrança</t>
  </si>
  <si>
    <t>Conta Especial</t>
  </si>
  <si>
    <t>Comissão Especial</t>
  </si>
  <si>
    <t>Nome Pessoa segura 1</t>
  </si>
  <si>
    <t>Nome Pessoa segura 2</t>
  </si>
  <si>
    <t>05  :PREFIX:-DADOS-REGISTO.</t>
  </si>
  <si>
    <t>Código de documento</t>
  </si>
  <si>
    <t xml:space="preserve">     '111' - Via Directa</t>
  </si>
  <si>
    <t xml:space="preserve">     '148' - Multicare</t>
  </si>
  <si>
    <t xml:space="preserve">     '001' - OK Teleseguro</t>
  </si>
  <si>
    <t xml:space="preserve">     '006' - Multicare</t>
  </si>
  <si>
    <t xml:space="preserve">     '005' - Continente</t>
  </si>
  <si>
    <t xml:space="preserve">     'GIS' - GIS</t>
  </si>
  <si>
    <t xml:space="preserve">     'MHS' - Multicare</t>
  </si>
  <si>
    <t>IBAN (SEPA)</t>
  </si>
  <si>
    <t>SWIFT (SEPA)</t>
  </si>
  <si>
    <t>Entidade Credora (SEPA)</t>
  </si>
  <si>
    <t>Código de barras TAG</t>
  </si>
  <si>
    <t>Total:</t>
  </si>
  <si>
    <t>e-mail</t>
  </si>
  <si>
    <t>Número da ADD</t>
  </si>
  <si>
    <t>Marca</t>
  </si>
  <si>
    <t>Modelo</t>
  </si>
  <si>
    <t>Matrícula</t>
  </si>
  <si>
    <t>Novo</t>
  </si>
  <si>
    <t>Indicador de inclusão de Flyer (ex: "V" - Cobertura PVC)</t>
  </si>
  <si>
    <t>Descrição / Valores Possiveis / [Formato]</t>
  </si>
  <si>
    <t>Código de moeda (ex: EUR)</t>
  </si>
  <si>
    <t>Referência da morada</t>
  </si>
  <si>
    <t>Código postal (Se estrangeiro deverá vir a zeros) [9999-999]</t>
  </si>
  <si>
    <t>Número de telefone</t>
  </si>
  <si>
    <t>Número de telemóvel</t>
  </si>
  <si>
    <t>Tipo de Recibo</t>
  </si>
  <si>
    <t xml:space="preserve">     '128' - Fidelidade</t>
  </si>
  <si>
    <t>Tipo Entidade</t>
  </si>
  <si>
    <t>Tipo de impressão</t>
  </si>
  <si>
    <t xml:space="preserve">     'I' - Impressão OnLine (Immediate)</t>
  </si>
  <si>
    <t xml:space="preserve">     'O' - Impressão via batch (Overnight)</t>
  </si>
  <si>
    <t>Número de fracção (Valores de 001 a 012, e 999)</t>
  </si>
  <si>
    <t>Valor do movimento</t>
  </si>
  <si>
    <t>Valor total</t>
  </si>
  <si>
    <t>Descritivo: 'SELO de GARANTIA'</t>
  </si>
  <si>
    <t>Imposto de Selo - Descritivo: 'SELO'</t>
  </si>
  <si>
    <t>Tipo de Documento</t>
  </si>
  <si>
    <t xml:space="preserve">     'A' - Documento para agente (Recibo)</t>
  </si>
  <si>
    <t xml:space="preserve">     'C' - Documento para cliente (Aviso-Recibo)</t>
  </si>
  <si>
    <t>Tipo de Cobrança</t>
  </si>
  <si>
    <t>Inclusão de texto na frente do Aviso</t>
  </si>
  <si>
    <t>Descritivo: 'CAPITAL IMÓVEL'</t>
  </si>
  <si>
    <t>Tipo de atualização tarifária (ex: "CA" - Convencionada, "IA" - Indexada, "SA" - Sem actualização, "VA" - Vários)</t>
  </si>
  <si>
    <t>Número de unidades em risco</t>
  </si>
  <si>
    <t xml:space="preserve">  07  :PREFIX:-COD-DOCUMENTO            PIC X(04).</t>
  </si>
  <si>
    <t xml:space="preserve">      88  :PREFIX:-DOC-AR                   VALUE 'AVSO'.</t>
  </si>
  <si>
    <t>Tipo de registo</t>
  </si>
  <si>
    <t xml:space="preserve">  07  :PREFIX:-TIPO-IMPRESSAO           PIC X(01).</t>
  </si>
  <si>
    <t xml:space="preserve">      88  :PREFIX:-IMP-ONLINE               VALUE 'I'.</t>
  </si>
  <si>
    <t xml:space="preserve">      88  :PREFIX:-IMP-BATCH                VALUE 'O'.</t>
  </si>
  <si>
    <t xml:space="preserve">  07  :PREFIX:-COD-COMPANHIA            PIC X(03).</t>
  </si>
  <si>
    <t xml:space="preserve">      88  :PREFIX:-COM-VIADIRECTA           VALUE '111'.</t>
  </si>
  <si>
    <t xml:space="preserve">      88  :PREFIX:-COM-FIDELIDADE           VALUE '128'.</t>
  </si>
  <si>
    <t xml:space="preserve">      88  :PREFIX:-COM-MULTICARE            VALUE '148'.</t>
  </si>
  <si>
    <t xml:space="preserve">  07  :PREFIX:-COD-MARCA                PIC X(03).</t>
  </si>
  <si>
    <t xml:space="preserve">      88  :PREFIX:-MAR-OKTELESEGURO         VALUE '001'.</t>
  </si>
  <si>
    <t xml:space="preserve">      88  :PREFIX:-MAR-SONAE                VALUE '005'.</t>
  </si>
  <si>
    <t xml:space="preserve">      88  :PREFIX:-MAR-MULTICARE            VALUE '006'.</t>
  </si>
  <si>
    <t xml:space="preserve">  07  :PREFIX:-TIPO-REGISTO             PIC X(01).</t>
  </si>
  <si>
    <t xml:space="preserve">      88  :PREFIX:-REG-TIPO1                VALUE '1'.</t>
  </si>
  <si>
    <t xml:space="preserve">      88  :PREFIX:-REG-TIPO2                VALUE '2'.</t>
  </si>
  <si>
    <t xml:space="preserve">      88  :PREFIX:-REG-TIPO3                VALUE '3'.</t>
  </si>
  <si>
    <t xml:space="preserve">  07  :PREFIX:-NR-AGENTE                PIC X(10).</t>
  </si>
  <si>
    <t xml:space="preserve">  07  :PREFIX:-NR-CLIENTE               PIC X(10).</t>
  </si>
  <si>
    <t xml:space="preserve">  07  :PREFIX:-NR-APOLICE               PIC X(16).</t>
  </si>
  <si>
    <t xml:space="preserve">  07  :PREFIX:-COD-ORIGEM               PIC X(03).</t>
  </si>
  <si>
    <t xml:space="preserve">      88  :PREFIX:-ORI-GIS                  VALUE 'GIS'.</t>
  </si>
  <si>
    <t xml:space="preserve">      88  :PREFIX:-ORI-COLHEITAS            VALUE 'CLH'.</t>
  </si>
  <si>
    <t xml:space="preserve">      88  :PREFIX:-ORI-MULTICARE            VALUE 'MHS'.</t>
  </si>
  <si>
    <t xml:space="preserve">  07  :PREFIX:-IND-FLYER                PIC X(01).</t>
  </si>
  <si>
    <t xml:space="preserve">  07  :PREFIX:-DETALHE-EXTRATO.</t>
  </si>
  <si>
    <t xml:space="preserve">  07  :PREFIX:-FOOTER-EXTRATO.</t>
  </si>
  <si>
    <t xml:space="preserve">  07  :PREFIX:-DADOS-AVISO.</t>
  </si>
  <si>
    <t xml:space="preserve">        88  :PREFIX:-DOC-AGENTE             VALUE 'A'.</t>
  </si>
  <si>
    <t xml:space="preserve">        88  :PREFIX:-DOC-CLIENTE            VALUE 'C'.</t>
  </si>
  <si>
    <t xml:space="preserve">    09  :PREFIX:-TIPO-DOCUMENTO         PIC X(01).</t>
  </si>
  <si>
    <t xml:space="preserve">    09  :PREFIX:-COD-MOEDA              PIC X(03).</t>
  </si>
  <si>
    <t xml:space="preserve">  07  :PREFIX:-DADOS-CLIENTE.</t>
  </si>
  <si>
    <t xml:space="preserve">    09  :PREFIX:-CL-NOME                PIC X(40).</t>
  </si>
  <si>
    <t xml:space="preserve">    09  :PREFIX:-CL-LOCATION-REF        PIC X(04).</t>
  </si>
  <si>
    <t xml:space="preserve">    09  :PREFIX:-CL-MORADA1             PIC X(40).</t>
  </si>
  <si>
    <t xml:space="preserve">    09  :PREFIX:-CL-MORADA2             PIC X(40).</t>
  </si>
  <si>
    <t xml:space="preserve">    09  :PREFIX:-CL-LOCALIDADE          PIC X(40).</t>
  </si>
  <si>
    <t xml:space="preserve">    09  :PREFIX:-CL-CPOSTAL             PIC X(09).</t>
  </si>
  <si>
    <t xml:space="preserve">    09  :PREFIX:-CL-CPOSTAL-DESC        PIC X(40).</t>
  </si>
  <si>
    <t xml:space="preserve">    09  :PREFIX:-CL-TIPO-ENTIDADE       PIC X(01).</t>
  </si>
  <si>
    <t xml:space="preserve">  07  :PREFIX:-DADOS-DATA.</t>
  </si>
  <si>
    <t xml:space="preserve">  07  :PREFIX:-DADOS-VALOR.</t>
  </si>
  <si>
    <t xml:space="preserve">  07  :PREFIX:-DADOS-PAGAMENTO.</t>
  </si>
  <si>
    <t xml:space="preserve">    09  :PREFIX:-PG-DEBITO.</t>
  </si>
  <si>
    <t xml:space="preserve">      11  :PREFIX:-DEB-IBAN             PIC X(34).</t>
  </si>
  <si>
    <t xml:space="preserve">      11  :PREFIX:-DEB-SWIFT            PIC X(11).</t>
  </si>
  <si>
    <t xml:space="preserve">      11  :PREFIX:-DEB-ID-CREDOR        PIC X(35).</t>
  </si>
  <si>
    <t xml:space="preserve">      11  :PREFIX:-DEB-ADD              PIC X(11).</t>
  </si>
  <si>
    <t xml:space="preserve">    09  :PREFIX:-PG-ATM.</t>
  </si>
  <si>
    <t xml:space="preserve">      11  :PREFIX:-ATM-ENTIDADE         PIC X(05).</t>
  </si>
  <si>
    <t xml:space="preserve">      11  :PREFIX:-ATM-REF              PIC X(09).</t>
  </si>
  <si>
    <t xml:space="preserve">    09  :PREFIX:-PG-CTT.</t>
  </si>
  <si>
    <t xml:space="preserve">      11  :PREFIX:-CTT-CLIENTE          PIC X(03).</t>
  </si>
  <si>
    <t xml:space="preserve">      11  :PREFIX:-CTT-REF              PIC X(36).</t>
  </si>
  <si>
    <t xml:space="preserve">    09  :PREFIX:-BARCODE-AGENTE.</t>
  </si>
  <si>
    <t xml:space="preserve">      11  :PREFIX:-NUMEROS-AGENTE       PIC X(20).</t>
  </si>
  <si>
    <t xml:space="preserve">      11  :PREFIX:-POU-APOLICE          PIC X(16).</t>
  </si>
  <si>
    <t xml:space="preserve">  07  :PREFIX:-DADOS-AGENTE.</t>
  </si>
  <si>
    <t xml:space="preserve">    09  :PREFIX:-AG-NOME                PIC X(40).</t>
  </si>
  <si>
    <t xml:space="preserve">    09  :PREFIX:-AG-LOCATION-REF        PIC X(04).</t>
  </si>
  <si>
    <t xml:space="preserve">    09  :PREFIX:-AG-MORADA1             PIC X(40).</t>
  </si>
  <si>
    <t xml:space="preserve">    09  :PREFIX:-AG-MORADA2             PIC X(40).</t>
  </si>
  <si>
    <t xml:space="preserve">    09  :PREFIX:-AG-LOCALIDADE          PIC X(40).</t>
  </si>
  <si>
    <t xml:space="preserve">    09  :PREFIX:-AG-CPOSTAL-DESC        PIC X(40).</t>
  </si>
  <si>
    <t xml:space="preserve">    09  :PREFIX:-AG-TELEFONE            PIC X(16).</t>
  </si>
  <si>
    <t xml:space="preserve">    09  :PREFIX:-AG-TELEMOVEL           PIC X(16).</t>
  </si>
  <si>
    <t xml:space="preserve">    09  :PREFIX:-AG-EMAIL               PIC X(60).</t>
  </si>
  <si>
    <t xml:space="preserve">    09  :PREFIX:-AG-NR-CNT-VENDA        PIC X(10).</t>
  </si>
  <si>
    <t xml:space="preserve">    09  :PREFIX:-AG-NR-CNT-COBRA        PIC X(10).</t>
  </si>
  <si>
    <t xml:space="preserve">    09  :PREFIX:-AG-NR-CNT-ESPEC        PIC X(10).</t>
  </si>
  <si>
    <t xml:space="preserve">  07  :PREFIX:-DADOS-CREDORHIP.</t>
  </si>
  <si>
    <t xml:space="preserve">    09  :PREFIX:-CH-NOME                PIC X(40).</t>
  </si>
  <si>
    <t xml:space="preserve">    09  :PREFIX:-CH-LOCATION-REF        PIC X(04).</t>
  </si>
  <si>
    <t xml:space="preserve">    09  :PREFIX:-CH-MORADA1             PIC X(40).</t>
  </si>
  <si>
    <t xml:space="preserve">    09  :PREFIX:-CH-MORADA2             PIC X(40).</t>
  </si>
  <si>
    <t xml:space="preserve">    09  :PREFIX:-CH-LOCALIDADE          PIC X(40).</t>
  </si>
  <si>
    <t xml:space="preserve">    09  :PREFIX:-CH-CPOSTAL             PIC X(09).</t>
  </si>
  <si>
    <t xml:space="preserve">    09  :PREFIX:-CH-CPOSTAL-DESC        PIC X(40).</t>
  </si>
  <si>
    <t xml:space="preserve">    09  :PREFIX:-EXT1-TIPO-LAYOUT       PIC X(01).</t>
  </si>
  <si>
    <t xml:space="preserve">    09  :PREFIX:-MR-TEXT-FRENT          PIC X(60).</t>
  </si>
  <si>
    <t xml:space="preserve">    09  :PREFIX:-MR-TIPO-ACTZ           PIC X(02).</t>
  </si>
  <si>
    <t>Descritivo da unidade em risco (Objeto seguro)</t>
  </si>
  <si>
    <t xml:space="preserve">  07  :PREFIX:-USERID                   PIC X(08).</t>
  </si>
  <si>
    <t>User Id da impressão OnLine</t>
  </si>
  <si>
    <t>Carta de Condução</t>
  </si>
  <si>
    <t>Categoria (ex: Garagista até 3500Kg)</t>
  </si>
  <si>
    <t xml:space="preserve">    09  :PREFIX:-MR-MORADA1             PIC X(40).</t>
  </si>
  <si>
    <t xml:space="preserve">    09  :PREFIX:-MR-MORADA2             PIC X(40).</t>
  </si>
  <si>
    <t xml:space="preserve">    09  :PREFIX:-MR-LOCALIDADE          PIC X(40).</t>
  </si>
  <si>
    <t xml:space="preserve">    09  :PREFIX:-MR-CPOSTAL             PIC X(09).</t>
  </si>
  <si>
    <t xml:space="preserve">    09  :PREFIX:-MR-CPOSTAL-DESC        PIC X(40).</t>
  </si>
  <si>
    <t>Objeto</t>
  </si>
  <si>
    <t xml:space="preserve">     'M' - Fraccionamento Mensal</t>
  </si>
  <si>
    <t xml:space="preserve">     'S' - Fraccionamento Semestral</t>
  </si>
  <si>
    <t xml:space="preserve">     'T' - Fraccionamento Trimestral</t>
  </si>
  <si>
    <t xml:space="preserve">     'A' - Fraccionamento Anual</t>
  </si>
  <si>
    <t>Custo de Fraccionamento - Descritivo: 'CUSTO FRACCIONAMENTO'</t>
  </si>
  <si>
    <t>Imposto INEM - Descritivo: 'INEM'</t>
  </si>
  <si>
    <t>Custo da Carta Verde - Descritivo: 'CV / SNB / FAT'</t>
  </si>
  <si>
    <t>Imposto Serviço Nacional de Bombeiros - Descritivo: 'SNB' | 'CV / SNB / FAT'</t>
  </si>
  <si>
    <t>Bonificação (Colheitas) - Descritivo: 'BONIFICAÇÃO'</t>
  </si>
  <si>
    <t>Bónus - Descritivo: 'BONUS'</t>
  </si>
  <si>
    <t>Fundo de calamidades - Descritivo: 'F.CALAM / FGA'</t>
  </si>
  <si>
    <t xml:space="preserve">    09  :PREFIX:-PG-POUPANCA.</t>
  </si>
  <si>
    <t xml:space="preserve">  07  :PREFIX:-AUX-MARCA                PIC X(01).</t>
  </si>
  <si>
    <t xml:space="preserve">      88  :PREFIX:-MAR-LEVE                 VALUE 'L'.</t>
  </si>
  <si>
    <t xml:space="preserve">    09  :PREFIX:-UR-QUANT               PIC 9(05).</t>
  </si>
  <si>
    <t>Custo da Acta/Apólice - Descritivo: 'APÓLICE / ACTA' | 'CUSTO CERTIFICADO'</t>
  </si>
  <si>
    <t>FGA, Responsabilidade Civil do Ramo Contabilistico - Descritivo: 'FGA (*)'</t>
  </si>
  <si>
    <t>FGA, Outras Coberturas do Ramo Contabilistico - Descritivo: 'FGA-PR (*)'</t>
  </si>
  <si>
    <t>Fundo de Garantia Automóvel - Descritivo: 'F.CALAM / FGA'</t>
  </si>
  <si>
    <t>Fundo de Garantia de Acidentes de Trabalho - Descritivo: 'CV / SNB / FAT'</t>
  </si>
  <si>
    <t>Conta Parceria</t>
  </si>
  <si>
    <t>Comissão Parceria</t>
  </si>
  <si>
    <t xml:space="preserve">    09  :PREFIX:-AG-NR-CNT-PARCE        PIC X(10).</t>
  </si>
  <si>
    <t xml:space="preserve">        88  :PREFIX:-CL-ENT-PARTICUL        VALUE '1'.</t>
  </si>
  <si>
    <t xml:space="preserve">        88  :PREFIX:-CL-ENT-COLETIVA        VALUE '2'.</t>
  </si>
  <si>
    <t xml:space="preserve">     '1' - Pessoa / Particular</t>
  </si>
  <si>
    <t xml:space="preserve">     '2' - Colectivo/Conta Interna</t>
  </si>
  <si>
    <t xml:space="preserve">     'PR' - Prémio</t>
  </si>
  <si>
    <t xml:space="preserve">     'ES' - Estorno</t>
  </si>
  <si>
    <t xml:space="preserve">    09  :PREFIX:-TIPO-RECIBO            PIC X(02).</t>
  </si>
  <si>
    <t xml:space="preserve">        88  :PREFIX:-REC-PREMIO             VALUE 'PR'.</t>
  </si>
  <si>
    <t xml:space="preserve">        88  :PREFIX:-REC-ESTORNO            VALUE 'ES'.</t>
  </si>
  <si>
    <t xml:space="preserve">     'CN' - Cancelamento</t>
  </si>
  <si>
    <t xml:space="preserve">    09  :PREFIX:-NR-RECIBO              PIC X(16).</t>
  </si>
  <si>
    <t xml:space="preserve">      88  :PREFIX:-ORI-COGEN22              VALUE 'CG2'.</t>
  </si>
  <si>
    <t xml:space="preserve">     'CG2' - Cogen 22</t>
  </si>
  <si>
    <t xml:space="preserve">      88  :PREFIX:-ORI-COGEN33              VALUE 'CGN'.</t>
  </si>
  <si>
    <t xml:space="preserve">     'CGN' - Cogen 33</t>
  </si>
  <si>
    <t xml:space="preserve">     'CLH' - Colheitas (GIC)</t>
  </si>
  <si>
    <t xml:space="preserve">    09  :PREFIX:-AG-CPAIS               PIC X(03).</t>
  </si>
  <si>
    <t>Código do País (Se estrangeiro, diferente de 620)</t>
  </si>
  <si>
    <t xml:space="preserve">    09  :PREFIX:-CH-CPAIS               PIC X(03).</t>
  </si>
  <si>
    <t xml:space="preserve">    09  :PREFIX:-CL-CPAIS               PIC X(03).</t>
  </si>
  <si>
    <t>Periodo do recibo - inicio [aaaammdd]</t>
  </si>
  <si>
    <t>Periodo do recibo - fim [aaaammdd]</t>
  </si>
  <si>
    <t>Emissão do recibo [aaaammdd]</t>
  </si>
  <si>
    <t>[aaaammdd]</t>
  </si>
  <si>
    <t xml:space="preserve">    09  :PREFIX:-DT-INI-RECI            PIC X(08).</t>
  </si>
  <si>
    <t xml:space="preserve">    09  :PREFIX:-DT-FIM-RECI            PIC X(08).</t>
  </si>
  <si>
    <t xml:space="preserve">    09  :PREFIX:-DT-CRI-RECI            PIC X(08).</t>
  </si>
  <si>
    <t xml:space="preserve">    09  :PREFIX:-DT-LIM-PAG             PIC X(08).</t>
  </si>
  <si>
    <t xml:space="preserve">    09  :PREFIX:-DT-LIM-DEVOL           PIC X(08).</t>
  </si>
  <si>
    <t xml:space="preserve">    09  :PREFIX:-DT-CESSACAO            PIC X(08).</t>
  </si>
  <si>
    <t xml:space="preserve">     'AC' - Acerto AC</t>
  </si>
  <si>
    <t xml:space="preserve">     'RC' - Acerto RC</t>
  </si>
  <si>
    <t>Data inicio [aaaammdd]</t>
  </si>
  <si>
    <t>Data fim [aaaammdd]</t>
  </si>
  <si>
    <t xml:space="preserve">     'L' - Leve (Substitui 'L02' - FM Leve / 'L03' - IB Leve, apenas para marca 002 ou 003)</t>
  </si>
  <si>
    <t xml:space="preserve">  07  :PREFIX:-DADOS-OBJSEGURO.</t>
  </si>
  <si>
    <t xml:space="preserve">    09  :PREFIX:-CH-QUANT               PIC 9(05).</t>
  </si>
  <si>
    <t>Número de Credores Hipotecários (Só preenche abaixo se for 1)</t>
  </si>
  <si>
    <t xml:space="preserve">    09  :PREFIX:-GR-DETAIL              PIC X(65).</t>
  </si>
  <si>
    <t>Tipo de Unidade em risco</t>
  </si>
  <si>
    <t xml:space="preserve">  07  :PREFIX:-DADOS-EXTRATO.</t>
  </si>
  <si>
    <t xml:space="preserve">    09  :PREFIX:-CL-CPAIS-DESC          PIC X(40).</t>
  </si>
  <si>
    <t>Descritivo do País</t>
  </si>
  <si>
    <t xml:space="preserve">    09  :PREFIX:-CL-IDP                 PIC X(04).</t>
  </si>
  <si>
    <t>Identificação da Porta (no CBC)</t>
  </si>
  <si>
    <t xml:space="preserve">    09  :PREFIX:-CH-CPAIS-DESC          PIC X(40).</t>
  </si>
  <si>
    <t xml:space="preserve">    09  :PREFIX:-CH-IDP                 PIC X(04).</t>
  </si>
  <si>
    <t xml:space="preserve">    09  :PREFIX:-AG-CPAIS-DESC          PIC X(40).</t>
  </si>
  <si>
    <t xml:space="preserve">    09  :PREFIX:-AG-IDP                 PIC X(04).</t>
  </si>
  <si>
    <t xml:space="preserve">     '002' - Fidelidade</t>
  </si>
  <si>
    <t xml:space="preserve">      88  :PREFIX:-MAR-FIDELIDADE           VALUE '002'.</t>
  </si>
  <si>
    <t xml:space="preserve">     'U' - Pagamento Único</t>
  </si>
  <si>
    <t xml:space="preserve">    09  :PREFIX:-TIPO-RENOVACAO         PIC X(01).</t>
  </si>
  <si>
    <t>Modo de Renovação</t>
  </si>
  <si>
    <t xml:space="preserve">     'A' - Automático</t>
  </si>
  <si>
    <t xml:space="preserve">     'M' - Manual</t>
  </si>
  <si>
    <t xml:space="preserve">        88  :PREFIX:-REN-NAORENOVAVEL       VALUE 'N'.</t>
  </si>
  <si>
    <t xml:space="preserve">        88  :PREFIX:-REN-MANUAL             VALUE 'M'.</t>
  </si>
  <si>
    <t xml:space="preserve">        88  :PREFIX:-REN-AUTOMATICO         VALUE 'A'.</t>
  </si>
  <si>
    <t>Prémio total recibo - Descritivo: 'VALOR A PAGAR' | 'VALOR A RECEBER' | 'TOTAL DE PRÉMIOS'</t>
  </si>
  <si>
    <t xml:space="preserve">    09  :PREFIX:-UR-TIPO                PIC X(02).</t>
  </si>
  <si>
    <t>Tipo de layout (ex: "N" - Novo, "A" - Alteração) ["N" inclui alterações ao Tipo Pagamento para EFT]</t>
  </si>
  <si>
    <t xml:space="preserve">        88  :PREFIX:-DOC-LOTE               VALUE 'L'.</t>
  </si>
  <si>
    <t xml:space="preserve">     'L' - Resumo de Recibos de Prémio (Lote)</t>
  </si>
  <si>
    <t>Actualização do Prémio Anual</t>
  </si>
  <si>
    <t xml:space="preserve">        88  :PREFIX:-RAM-NVIDA              VALUE '0201  '</t>
  </si>
  <si>
    <t xml:space="preserve">              '0205  ' '0210  ' '0301  ' '0305  ' '0310  '</t>
  </si>
  <si>
    <t xml:space="preserve">              '3109  '.</t>
  </si>
  <si>
    <t>Ramos não vida</t>
  </si>
  <si>
    <t>Ramos não vida: Colheitas</t>
  </si>
  <si>
    <t>Ramos não vida: Saúde</t>
  </si>
  <si>
    <t xml:space="preserve">    09  :PREFIX:-TIPO-COBRANCA          PIC X(02).</t>
  </si>
  <si>
    <t xml:space="preserve">        88  :PREFIX:-COB-AGENTE             VALUE 'A '.</t>
  </si>
  <si>
    <t xml:space="preserve">        88  :PREFIX:-COB-BANCO              VALUE 'B '.</t>
  </si>
  <si>
    <t xml:space="preserve">     'B ' - Cobrança Bancária (EFT)</t>
  </si>
  <si>
    <t xml:space="preserve">     'A ' - Cobrança Agente</t>
  </si>
  <si>
    <t xml:space="preserve">        88  :PREFIX:-COB-DIRETO             VALUE 'D '.</t>
  </si>
  <si>
    <t xml:space="preserve">     'D ' - Cobrança Directa (CTT)</t>
  </si>
  <si>
    <t>Espécie de Recibo</t>
  </si>
  <si>
    <t xml:space="preserve">    09  :PREFIX:-TIPO-EMISSAO           PIC X(03).</t>
  </si>
  <si>
    <t xml:space="preserve">     'NB0' - Novo negócio: Anual</t>
  </si>
  <si>
    <t xml:space="preserve">     'NB1' - Novo negócio: 1ª Prestação</t>
  </si>
  <si>
    <t xml:space="preserve">     'NBS' - Novo negócio: Prestações Seguintes</t>
  </si>
  <si>
    <t xml:space="preserve">     'NB0', 'NB1', 'NBS' - Novo negócio</t>
  </si>
  <si>
    <t xml:space="preserve">        88  :PREFIX:-EMI-NB-ANUAL           VALUE 'NB0'.</t>
  </si>
  <si>
    <t xml:space="preserve">        88  :PREFIX:-EMI-NB-1PREST          VALUE 'NB1'.</t>
  </si>
  <si>
    <t xml:space="preserve">        88  :PREFIX:-EMI-NB-SEGUINTES       VALUE 'NBS'.</t>
  </si>
  <si>
    <t xml:space="preserve">        88  :PREFIX:-EMI-ACERTO-AC          VALUE 'AC0'.</t>
  </si>
  <si>
    <t xml:space="preserve">        88  :PREFIX:-EMI-ACERTO-RC          VALUE 'RC0'.</t>
  </si>
  <si>
    <t xml:space="preserve">        88  :PREFIX:-EMI-CANCELAMENTO       VALUE 'CN0'.</t>
  </si>
  <si>
    <t xml:space="preserve">     'RN0' - Renovação: Anual</t>
  </si>
  <si>
    <t xml:space="preserve">     'RN1' - Renovação: 1ª Prestação</t>
  </si>
  <si>
    <t xml:space="preserve">     'RNS' - Renovação: Prestações Seguintes</t>
  </si>
  <si>
    <t xml:space="preserve">        88  :PREFIX:-EMI-RN-1PREST          VALUE 'RN1'.</t>
  </si>
  <si>
    <t xml:space="preserve">        88  :PREFIX:-EMI-RN-ANUAL           VALUE 'RN0'.</t>
  </si>
  <si>
    <t xml:space="preserve">        88  :PREFIX:-EMI-RN-SEGUINTES       VALUE 'RNS'.</t>
  </si>
  <si>
    <t xml:space="preserve">     'RN0', 'RN1', 'RNS' - Renovação / Continuado</t>
  </si>
  <si>
    <t xml:space="preserve">     'EN0', 'EN1', 'ENS' - Alteração</t>
  </si>
  <si>
    <t xml:space="preserve">     'EN1' - Alteração: 1ª Termo</t>
  </si>
  <si>
    <t xml:space="preserve">     'ENS' - Alteração: Seguintes</t>
  </si>
  <si>
    <t xml:space="preserve">     'EN0' - Alteração</t>
  </si>
  <si>
    <t xml:space="preserve">        88  :PREFIX:-EMI-EN-1TERMO          VALUE 'EN1'.</t>
  </si>
  <si>
    <t xml:space="preserve">        88  :PREFIX:-EMI-EN                 VALUE 'EN0'.</t>
  </si>
  <si>
    <t xml:space="preserve">        88  :PREFIX:-EMI-EN-SEGUINTES       VALUE 'ENS'.</t>
  </si>
  <si>
    <t xml:space="preserve">    09  :PREFIX:-TIPO-FRACCIONA         PIC X(02).</t>
  </si>
  <si>
    <t xml:space="preserve">        88  :PREFIX:-FRAC-MENSAL            VALUE 'M '.</t>
  </si>
  <si>
    <t xml:space="preserve">        88  :PREFIX:-FRAC-TRIMESTRAL        VALUE 'T '.</t>
  </si>
  <si>
    <t xml:space="preserve">        88  :PREFIX:-FRAC-SEMESTRAL         VALUE 'S '.</t>
  </si>
  <si>
    <t xml:space="preserve">        88  :PREFIX:-FRAC-ANUAL             VALUE 'A '.</t>
  </si>
  <si>
    <t xml:space="preserve">        88  :PREFIX:-FRAC-UNICO             VALUE 'U '.</t>
  </si>
  <si>
    <t>Periocidade de Pagamento / Frequência de pagamento</t>
  </si>
  <si>
    <t xml:space="preserve">        88  :PREFIX:-REN-TEMPORARIA         VALUE 'T'.</t>
  </si>
  <si>
    <t xml:space="preserve">     'T' - Temporária</t>
  </si>
  <si>
    <t xml:space="preserve">     'N' - Não Renovável</t>
  </si>
  <si>
    <r>
      <t xml:space="preserve">Código de Produto </t>
    </r>
    <r>
      <rPr>
        <sz val="11"/>
        <color rgb="FFFF0000"/>
        <rFont val="Calibri"/>
        <family val="2"/>
        <scheme val="minor"/>
      </rPr>
      <t>[Garantir que no máximo vem 6 posições]</t>
    </r>
  </si>
  <si>
    <r>
      <t xml:space="preserve">Código do Ramo SO </t>
    </r>
    <r>
      <rPr>
        <sz val="11"/>
        <color rgb="FFFF0000"/>
        <rFont val="Calibri"/>
        <family val="2"/>
        <scheme val="minor"/>
      </rPr>
      <t>[Garantir que no máximo vem 6 posições]</t>
    </r>
  </si>
  <si>
    <t xml:space="preserve">    09  :PREFIX:-COD-PRODUTO            PIC X(10).</t>
  </si>
  <si>
    <t xml:space="preserve">    09  :PREFIX:-COD-RAMO               PIC X(10).</t>
  </si>
  <si>
    <t>Número de identificação fiscal (No caso de Portugal será PT999999999)</t>
  </si>
  <si>
    <t xml:space="preserve">    09  :PREFIX:-CL-NIF                 PIC X(22).</t>
  </si>
  <si>
    <t xml:space="preserve">      11  :PREFIX:-DEB-NOME-BANCO       PIC X(60).</t>
  </si>
  <si>
    <t xml:space="preserve">    09  :PREFIX:-AG-CPOSTAL             PIC X(09).</t>
  </si>
  <si>
    <t>Número de Cliente do Credor Hipotecário</t>
  </si>
  <si>
    <t xml:space="preserve">    09  :PREFIX:-CH-NUMBER              PIC X(10).</t>
  </si>
  <si>
    <t xml:space="preserve">     'VG' - Garagista</t>
  </si>
  <si>
    <t xml:space="preserve">     'VH' - Veículo</t>
  </si>
  <si>
    <t>Indicador de inclusão de texto no verso do Aviso (ex: "1" - Riscos Simples e "2" - Riscos Industriais)</t>
  </si>
  <si>
    <t xml:space="preserve">        88  :PREFIX:-EMI-NOVO-NEGOCIO       VALUE 'NB0'
                                            'NB1' 'NBS'.</t>
  </si>
  <si>
    <t xml:space="preserve">        88  :PREFIX:-EMI-ALTERACAO          VALUE 'EN0'
                                            'EN1' 'ENS'.</t>
  </si>
  <si>
    <t xml:space="preserve">        88  :PREFIX:-EMI-RENOVACAO          VALUE 'RN0'
                                            'RN1' 'RNS'.</t>
  </si>
  <si>
    <t xml:space="preserve">        88  :PREFIX:-RAM-NVIDA-MHS          VALUE '3102  '</t>
  </si>
  <si>
    <t xml:space="preserve">        88  :PREFIX:-RAM-NVIDA-CLH          VALUE '22000 '</t>
  </si>
  <si>
    <t>NIF Pessoa segura 1  (No caso de Portugal será PT999999999)</t>
  </si>
  <si>
    <t>NIF Pessoa segura 2  (No caso de Portugal será PT999999999)</t>
  </si>
  <si>
    <t xml:space="preserve">     'VG', 'VH', 'VO' - Detalhe de Automóvel</t>
  </si>
  <si>
    <t xml:space="preserve">        88  :PREFIX:-UR-TIP-AUTOMOVEL       VALUE 'VG'
                                             'VH' 'VO'.</t>
  </si>
  <si>
    <t xml:space="preserve">     'VO' - Outros veículos</t>
  </si>
  <si>
    <t xml:space="preserve">        88  :PREFIX:-UR-TIP-AU-GARAGISTA    VALUE 'VG'.</t>
  </si>
  <si>
    <t xml:space="preserve">        88  :PREFIX:-UR-TIP-AU-VEICULO      VALUE 'VH'.</t>
  </si>
  <si>
    <t xml:space="preserve">        88  :PREFIX:-UR-TIP-AU-OUTROS       VALUE 'VO'.</t>
  </si>
  <si>
    <t>Versão</t>
  </si>
  <si>
    <t xml:space="preserve">      11  :PREFIX:-VH-MATRICULA         PIC X(15).</t>
  </si>
  <si>
    <t xml:space="preserve">      11  :PREFIX:-VG-CARTA-COND        PIC X(25).</t>
  </si>
  <si>
    <t xml:space="preserve">      11  :PREFIX:-VG-CATEGORIA         PIC X(40).</t>
  </si>
  <si>
    <t>Indicador de inclusão de texto no Aviso (ex: "A" - AT Portaria e "T" - AT Tarif)</t>
  </si>
  <si>
    <t xml:space="preserve">    09  :PREFIX:-AT-IND-TEXT-FRENT      PIC X(01).</t>
  </si>
  <si>
    <t xml:space="preserve">    09  :PREFIX:-MR-IND-TEXT-FRENT      PIC X(01).</t>
  </si>
  <si>
    <t xml:space="preserve">    09  :PREFIX:-MR-IND-TEXT-VERSO      PIC X(02).</t>
  </si>
  <si>
    <t>Indicador de inclusão de texto no Aviso (ex: "S" - MR Hab)</t>
  </si>
  <si>
    <t xml:space="preserve">    09  :PREFIX:-AT-OBJETO              PIC X(65).</t>
  </si>
  <si>
    <t xml:space="preserve">    09  :PREFIX:-MR-OBJETO              PIC X(10).</t>
  </si>
  <si>
    <t xml:space="preserve">     '138' - Império</t>
  </si>
  <si>
    <t xml:space="preserve">      88  :PREFIX:-COM-IMPERIO              VALUE '138'.</t>
  </si>
  <si>
    <t xml:space="preserve">      88  :PREFIX:-MAR-IMPERIO              VALUE '003'.</t>
  </si>
  <si>
    <t xml:space="preserve">     '003' - Império</t>
  </si>
  <si>
    <t xml:space="preserve">      88  :PREFIX:-MAR-ICI                  VALUE '004'.</t>
  </si>
  <si>
    <t xml:space="preserve">     '004' - ICI</t>
  </si>
  <si>
    <t>Descritivo do Ramo / Produto (Para apresentação no A-R)</t>
  </si>
  <si>
    <t xml:space="preserve">    09  :PREFIX:-DESCR-RAMO-PROD        PIC X(40).</t>
  </si>
  <si>
    <t>Prémio Simples - Descritivo: 'PRÉMIO COMERCIAL'</t>
  </si>
  <si>
    <t xml:space="preserve">        88  :PREFIX:-UR-TIP-GERAL           VALUE 'GR'.</t>
  </si>
  <si>
    <t xml:space="preserve">     'GR' - Detalhe Geral</t>
  </si>
  <si>
    <t xml:space="preserve">        88  :PREFIX:-UR-TIP-MULTIRISCO      VALUE 'MR'.</t>
  </si>
  <si>
    <t xml:space="preserve">     'MR' - Detalhe Multiriscos</t>
  </si>
  <si>
    <t xml:space="preserve">        88  :PREFIX:-UR-TIP-AT              VALUE 'AT'.</t>
  </si>
  <si>
    <t xml:space="preserve">     'AT' - Detalhe de Acidentes Trabalho</t>
  </si>
  <si>
    <t xml:space="preserve">      11  :PREFIX:-VO-OBJETO            PIC X(65).</t>
  </si>
  <si>
    <t xml:space="preserve">    09  :PREFIX:-AT-TEXT-FRENT          PIC X(60).</t>
  </si>
  <si>
    <t>Opcional</t>
  </si>
  <si>
    <t>Condicional</t>
  </si>
  <si>
    <t>Obrigatório</t>
  </si>
  <si>
    <t>Observações</t>
  </si>
  <si>
    <t xml:space="preserve">      11  :PREFIX:-VH-MARCA             PIC X(30).</t>
  </si>
  <si>
    <t xml:space="preserve">      11  :PREFIX:-VH-VERSAO            PIC X(25).</t>
  </si>
  <si>
    <t xml:space="preserve">      11  :PREFIX:-VH-MODELO            PIC X(10).</t>
  </si>
  <si>
    <t>Data de Nascimento Pessoa segura 1 [aaaammdd]</t>
  </si>
  <si>
    <t>Data de Nascimento Pessoa segura 2 [aaaammdd]</t>
  </si>
  <si>
    <r>
      <t xml:space="preserve">Número do Recibo </t>
    </r>
    <r>
      <rPr>
        <sz val="11"/>
        <color rgb="FFFF0000"/>
        <rFont val="Calibri"/>
        <family val="2"/>
        <scheme val="minor"/>
      </rPr>
      <t>[Garantir que no máximo vem 11 posições Vida / 10 posições nos restantes]</t>
    </r>
  </si>
  <si>
    <t xml:space="preserve">     'EXTR' - Extrato</t>
  </si>
  <si>
    <t xml:space="preserve">     'AVSO' - Aviso-Recibo</t>
  </si>
  <si>
    <t xml:space="preserve">      88  :PREFIX:-DOC-EXTR                 VALUE 'EXTR'.</t>
  </si>
  <si>
    <t xml:space="preserve">     '2' - Detalhe do extrato</t>
  </si>
  <si>
    <t xml:space="preserve">     '3' - Footer do extrato</t>
  </si>
  <si>
    <t>Footer do extrato (Registo do tipo 3)</t>
  </si>
  <si>
    <t>Detalhe do extrato (Registo do tipo 2)</t>
  </si>
  <si>
    <t xml:space="preserve">    09  :PREFIX:-EXT1-DT-INI-ANUI       PIC X(08).</t>
  </si>
  <si>
    <t xml:space="preserve">    09  :PREFIX:-EXT1-DT-FIM-ANUI       PIC X(08).</t>
  </si>
  <si>
    <t>Periodo da anuidade - inicio [aaaammdd]</t>
  </si>
  <si>
    <t>Periodo da anuidade - fim [aaaammdd]</t>
  </si>
  <si>
    <t>Valor Total da Anuidade já pago</t>
  </si>
  <si>
    <t>Data vencimento [aaaammdd]</t>
  </si>
  <si>
    <t xml:space="preserve">    09  :PREFIX:-EXT2-INSTALMENT-NR     PIC X(03).</t>
  </si>
  <si>
    <t xml:space="preserve">    09  :PREFIX:-EXT2-DT-INI-REC        PIC X(08).</t>
  </si>
  <si>
    <t xml:space="preserve">    09  :PREFIX:-EXT2-DT-FIM-REC        PIC X(08).</t>
  </si>
  <si>
    <t xml:space="preserve">    09  :PREFIX:-EXT2-DT-VENCIM         PIC X(08).</t>
  </si>
  <si>
    <t xml:space="preserve">  07  :PREFIX:-DADOS-UR                 PIC X(200).</t>
  </si>
  <si>
    <t xml:space="preserve">    09  FILLER                          PIC X(135).</t>
  </si>
  <si>
    <t xml:space="preserve">    09  :PREFIX:-AU-AREA                PIC X(200).</t>
  </si>
  <si>
    <t xml:space="preserve">      11  FILLER                        PIC X(120).</t>
  </si>
  <si>
    <t xml:space="preserve">      11  FILLER                        PIC X(135).</t>
  </si>
  <si>
    <t xml:space="preserve">    09  FILLER                          PIC X(21).</t>
  </si>
  <si>
    <t xml:space="preserve">  07  :PREFIX:-DADOS-OUT                PIC X(150).</t>
  </si>
  <si>
    <t xml:space="preserve">    09  FILLER                          PIC X(70).</t>
  </si>
  <si>
    <t xml:space="preserve">    09  FILLER                          PIC X(89).</t>
  </si>
  <si>
    <t xml:space="preserve">        88  :PREFIX:-RAM-VIDA               VALUE '11    '</t>
  </si>
  <si>
    <t xml:space="preserve">              '13    ' '14    '.</t>
  </si>
  <si>
    <t xml:space="preserve">     'FGS' - FGS</t>
  </si>
  <si>
    <t xml:space="preserve">      88  :PREFIX:-ORI-SGF-GR               VALUE 'SPG'.</t>
  </si>
  <si>
    <t xml:space="preserve">     'SPG' - SGF Grupo (Paxus)</t>
  </si>
  <si>
    <t>Número de Aderente - 'PES. SEGURA' (Obs: Preenchido, significa que o nr de apólice é composto)</t>
  </si>
  <si>
    <t xml:space="preserve">     'VRG' - Vida Risco Grupo</t>
  </si>
  <si>
    <t xml:space="preserve">     'VRI' - Vida Risco Individual</t>
  </si>
  <si>
    <t xml:space="preserve">     'CAP' - Vida Capitalização</t>
  </si>
  <si>
    <t>Tipo de apólice Vida</t>
  </si>
  <si>
    <t>Ramos Vida</t>
  </si>
  <si>
    <t xml:space="preserve">      88  :PREFIX:-ORI-FGS                  VALUE 'FGS'.</t>
  </si>
  <si>
    <t xml:space="preserve">      88  :PREFIX:-ORI-SGF-IN               VALUE 'SPA'.</t>
  </si>
  <si>
    <t xml:space="preserve">     'SPA' - SGF Individual (Paxus)</t>
  </si>
  <si>
    <t xml:space="preserve">        88  :PREFIX:-UR-TIP-VIDA            VALUE 'PS'.</t>
  </si>
  <si>
    <t xml:space="preserve">     'PS' - Detalhe Vida</t>
  </si>
  <si>
    <t xml:space="preserve">        88  :PREFIX:-UR-TIP-LOTE            VALUE 'LT'.</t>
  </si>
  <si>
    <t xml:space="preserve">     'LT' - Detalhe Lote</t>
  </si>
  <si>
    <t xml:space="preserve">    09  :PREFIX:-PS-TIPO                PIC X(03).</t>
  </si>
  <si>
    <t xml:space="preserve">        88  :PREFIX:-PS-RISCO-GR            VALUE 'VRG'.</t>
  </si>
  <si>
    <t xml:space="preserve">        88  :PREFIX:-PS-RISCO-IN            VALUE 'VRI'.</t>
  </si>
  <si>
    <t xml:space="preserve">        88  :PREFIX:-PS-CAPITALI            VALUE 'CAP'.</t>
  </si>
  <si>
    <t xml:space="preserve">    09  :PREFIX:-PS-ADERENTE            PIC X(08).</t>
  </si>
  <si>
    <t xml:space="preserve">    09  :PREFIX:-LT-QT-RECIBOS          PIC 9(05).</t>
  </si>
  <si>
    <t>Quantidade de recibos no lote</t>
  </si>
  <si>
    <t xml:space="preserve">    09  FILLER                          PIC X(145).</t>
  </si>
  <si>
    <t xml:space="preserve"> </t>
  </si>
  <si>
    <t xml:space="preserve">      88  :PREFIX:-ORI-FCS                  VALUE 'FCS'.</t>
  </si>
  <si>
    <t xml:space="preserve">     'FCS' - FCS</t>
  </si>
  <si>
    <t xml:space="preserve">        88  :PREFIX:-UR-TIP-VIDA-NCTR       VALUE 'NC'.</t>
  </si>
  <si>
    <t xml:space="preserve">     'NC' - Detalhe Vida</t>
  </si>
  <si>
    <t xml:space="preserve">      88  :PREFIX:-MAR-EUROBIC              VALUE '028'.</t>
  </si>
  <si>
    <t xml:space="preserve">     '028' - EuroBic</t>
  </si>
  <si>
    <t>TIPO-REGISTO 1: AVISO-RECIBO + HEADER EXTRACTO</t>
  </si>
  <si>
    <t xml:space="preserve">              '22002 ' '22003 '.</t>
  </si>
  <si>
    <t xml:space="preserve">              '0350  ' '0351  ' '0352  ' '0353  ' '0354  '</t>
  </si>
  <si>
    <t xml:space="preserve">              '0355  ' '0356  ' '0357  ' '0358  ' '0359  '</t>
  </si>
  <si>
    <t xml:space="preserve">              '0360  ' '0370  ' '0380  ' '0390  ' '0395  '</t>
  </si>
  <si>
    <t xml:space="preserve">              '0401  ' '0405  ' '0501  ' '0510  ' '0515  '</t>
  </si>
  <si>
    <t xml:space="preserve">              '0520  ' '0525  ' '0601  ' '0701  ' '0705  '</t>
  </si>
  <si>
    <t xml:space="preserve">              '0750  ' '0905  ' '2001  ' '2010  ' '2101  '</t>
  </si>
  <si>
    <t xml:space="preserve">              '22000 ' '22002 ' '22003 ' '2201  ' '2210  '</t>
  </si>
  <si>
    <t xml:space="preserve">              '2211  ' '2215  ' '2220  ' '2250  ' '2301  '</t>
  </si>
  <si>
    <t xml:space="preserve">              '2401  ' '2402  ' '2501  ' '2601  ' '2605  '</t>
  </si>
  <si>
    <t xml:space="preserve">              '2705  ' '2801  ' '3102  ' '3109  ' '3150  '</t>
  </si>
  <si>
    <t xml:space="preserve">              '3201  ' '3205  ' '3210  ' '3215  ' '3301  '</t>
  </si>
  <si>
    <t xml:space="preserve">              '3401  ' '3405  ' '3410  ' '3420  ' '3425  '</t>
  </si>
  <si>
    <t xml:space="preserve">              '3430  ' '3501  ' '3505  ' '3601  ' '3605  '</t>
  </si>
  <si>
    <t xml:space="preserve">  07  :PREFIX:-DADOS-CERTIFICACAO.</t>
  </si>
  <si>
    <t xml:space="preserve">    09  :PREFIX:-CF-ATCUD               PIC X(70).</t>
  </si>
  <si>
    <t xml:space="preserve">    09  :PREFIX:-CF-HASH                PIC X(04).</t>
  </si>
  <si>
    <t xml:space="preserve">    09  :PREFIX:-CF-NUM-COMPROMISSO     PIC X(20).</t>
  </si>
  <si>
    <t xml:space="preserve">  07  :PREFIX:-DADOS-MENSAGEM.</t>
  </si>
  <si>
    <t xml:space="preserve">    09  :PREFIX:-MS-INDIC-MENSAGENS     PIC X(01).</t>
  </si>
  <si>
    <t xml:space="preserve">    09  :PREFIX:-CF-NUM-CERTIF-FATURA   PIC X(60).</t>
  </si>
  <si>
    <t xml:space="preserve">    09  :PREFIX:-CF-NIF-EMITENTE        PIC 9(09).</t>
  </si>
  <si>
    <t xml:space="preserve">    09  :PREFIX:-CF-NUM-PROG-CERTIF     PIC 9(04).</t>
  </si>
  <si>
    <t xml:space="preserve">    09  :PREFIX:-CF-ESTADO-DOCUMENTO    PIC X(01).</t>
  </si>
  <si>
    <t xml:space="preserve">    09  :PREFIX:-CF-ESPACO-FISCAL-IVA   PIC X(05).</t>
  </si>
  <si>
    <t xml:space="preserve">    09  :PREFIX:-CF-NUM-CERTIF-AVISO    PIC X(60).</t>
  </si>
  <si>
    <t xml:space="preserve">  07  :PREFIX:-REFERENCIA-ARQUIVO.</t>
  </si>
  <si>
    <t xml:space="preserve">    09  :PREFIX:-RA-GUID                PIC X(36).</t>
  </si>
  <si>
    <t xml:space="preserve">  07  :PREFIX:-OUT-LOTE           REDEFINES :PREFIX:-DADOS-OUT.</t>
  </si>
  <si>
    <t xml:space="preserve">  07  :PREFIX:-OUT-MULTIRISCO     REDEFINES :PREFIX:-DADOS-OUT.</t>
  </si>
  <si>
    <t>05  FILLER                        REDEFINES :PREFIX:-DADOS-DOCUMENTO.</t>
  </si>
  <si>
    <t xml:space="preserve">    09  :PREFIX:-EXT2-VLR-MOV           PIC S9(12)V9(02)
                                            SIGN LEADING SEPARATE.</t>
  </si>
  <si>
    <t xml:space="preserve">    09  :PREFIX:-EXT5-VLR-TOTAL         PIC S9(12)V9(02)
                                            SIGN LEADING SEPARATE.</t>
  </si>
  <si>
    <t xml:space="preserve">    09  :PREFIX:-CF-BASE-TRIBUTAVEL     PIC S9(12)V9(02)
                                            SIGN LEADING SEPARATE.</t>
  </si>
  <si>
    <t xml:space="preserve">    09  :PREFIX:-EXT1-VLR-TOT-PAGO      PIC S9(12)V9(02)
                                            SIGN LEADING SEPARATE.</t>
  </si>
  <si>
    <t xml:space="preserve">  07  :PREFIX:-OUT-AT             REDEFINES :PREFIX:-DADOS-OUT.</t>
  </si>
  <si>
    <t xml:space="preserve">    09  :PREFIX:-MR-CAP-IMOV            PIC S9(12)V9(02)
                                            SIGN LEADING SEPARATE.</t>
  </si>
  <si>
    <t xml:space="preserve">  07  :PREFIX:-OUT-VIDA           REDEFINES :PREFIX:-DADOS-OUT.</t>
  </si>
  <si>
    <t xml:space="preserve">  07  :PREFIX:-UR-AT              REDEFINES :PREFIX:-DADOS-UR.</t>
  </si>
  <si>
    <t xml:space="preserve">  07  :PREFIX:-UR-MULTIRISCO      REDEFINES :PREFIX:-DADOS-UR.</t>
  </si>
  <si>
    <t xml:space="preserve">    09  :PREFIX:-AU-VO            REDEFINES :PREFIX:-AU-AREA.</t>
  </si>
  <si>
    <t xml:space="preserve">    09  :PREFIX:-AU-VG            REDEFINES :PREFIX:-AU-AREA.</t>
  </si>
  <si>
    <t xml:space="preserve">    09  :PREFIX:-AU-VH            REDEFINES :PREFIX:-AU-AREA.</t>
  </si>
  <si>
    <t xml:space="preserve">  07  :PREFIX:-UR-AUTOMOVEL       REDEFINES :PREFIX:-DADOS-UR.</t>
  </si>
  <si>
    <t xml:space="preserve">  07  :PREFIX:-UR-VIDA            REDEFINES :PREFIX:-DADOS-UR.</t>
  </si>
  <si>
    <t xml:space="preserve">  07  :PREFIX:-UR-GERAL           REDEFINES :PREFIX:-DADOS-UR.</t>
  </si>
  <si>
    <t xml:space="preserve">    09  :PREFIX:-AG-VLR-CNT-PARCE       PIC S9(12)V9(02)
                                            SIGN LEADING SEPARATE.</t>
  </si>
  <si>
    <t xml:space="preserve">    09  :PREFIX:-AG-VLR-CNT-ESPEC       PIC S9(12)V9(02)
                                            SIGN LEADING SEPARATE.</t>
  </si>
  <si>
    <t xml:space="preserve">    09  :PREFIX:-AG-VLR-CNT-COBRA       PIC S9(12)V9(02)
                                            SIGN LEADING SEPARATE.</t>
  </si>
  <si>
    <t xml:space="preserve">    09  :PREFIX:-AG-VLR-CNT-VENDA       PIC S9(12)V9(02)
                                            SIGN LEADING SEPARATE.</t>
  </si>
  <si>
    <t xml:space="preserve">    09  :PREFIX:-VLR-PR-ANUAL           PIC S9(12)V9(02)
                                            SIGN LEADING SEPARATE.</t>
  </si>
  <si>
    <t xml:space="preserve">    09  :PREFIX:-VLR-PR-SIMPLES         PIC S9(12)V9(02)
                                            SIGN LEADING SEPARATE.</t>
  </si>
  <si>
    <t xml:space="preserve">    09  :PREFIX:-VLR-BONUS              PIC S9(12)V9(02)
                                            SIGN LEADING SEPARATE.</t>
  </si>
  <si>
    <t xml:space="preserve">    09  :PREFIX:-VLR-FGA-RCIVIL         PIC S9(12)V9(02)
                                            SIGN LEADING SEPARATE.</t>
  </si>
  <si>
    <t xml:space="preserve">    09  :PREFIX:-VLR-FGA-OCOBERT        PIC S9(12)V9(02)
                                            SIGN LEADING SEPARATE.</t>
  </si>
  <si>
    <t xml:space="preserve">    09  :PREFIX:-VLR-FUND-CALAM         PIC S9(12)V9(02)
                                            SIGN LEADING SEPARATE.</t>
  </si>
  <si>
    <t xml:space="preserve">    09  :PREFIX:-VLR-IMP-SELO           PIC S9(12)V9(02)
                                            SIGN LEADING SEPARATE.</t>
  </si>
  <si>
    <t xml:space="preserve">    09  :PREFIX:-VLR-ACTA               PIC S9(12)V9(02)
                                            SIGN LEADING SEPARATE.</t>
  </si>
  <si>
    <t xml:space="preserve">    09  :PREFIX:-VLR-SELOS              PIC S9(12)V9(02)
                                            SIGN LEADING SEPARATE.</t>
  </si>
  <si>
    <t xml:space="preserve">    09  :PREFIX:-VLR-CVERDE             PIC S9(12)V9(02)
                                            SIGN LEADING SEPARATE.</t>
  </si>
  <si>
    <t xml:space="preserve">    09  :PREFIX:-VLR-INEM               PIC S9(12)V9(02)
                                            SIGN LEADING SEPARATE.</t>
  </si>
  <si>
    <t xml:space="preserve">    09  :PREFIX:-VLR-SNB                PIC S9(12)V9(02)
                                            SIGN LEADING SEPARATE.</t>
  </si>
  <si>
    <t xml:space="preserve">    09  :PREFIX:-VLR-FGA                PIC S9(12)V9(02)
                                            SIGN LEADING SEPARATE.</t>
  </si>
  <si>
    <t xml:space="preserve">    09  :PREFIX:-VLR-FAT                PIC S9(12)V9(02)
                                            SIGN LEADING SEPARATE.</t>
  </si>
  <si>
    <t xml:space="preserve">    09  :PREFIX:-VLR-FRACC              PIC S9(12)V9(02)
                                            SIGN LEADING SEPARATE.</t>
  </si>
  <si>
    <t xml:space="preserve">    09  :PREFIX:-VLR-TOTAL-RECIBO       PIC S9(12)V9(02)
                                            SIGN LEADING SEPARATE.</t>
  </si>
  <si>
    <t xml:space="preserve">    09  :PREFIX:-VLR-BONIFICACAO        PIC S9(12)V9(02)
                                            SIGN LEADING SEPARATE.</t>
  </si>
  <si>
    <t xml:space="preserve">    09  :PREFIX:-VLR-CAPITAL-RECIBO     PIC S9(12)V9(02)
                                            SIGN LEADING SEPARATE.</t>
  </si>
  <si>
    <t>Valor dos encargos Aquisição - componente da parcela com Descritivo: 'ENCARGOS'</t>
  </si>
  <si>
    <t xml:space="preserve">    09  FILLER                          PIC X(139).</t>
  </si>
  <si>
    <t xml:space="preserve">    09  FILLER                          PIC X(08).</t>
  </si>
  <si>
    <t xml:space="preserve">    09  :PREFIX:-VI-ENCAR-AQUISICAO     PIC S9(12)V9(02)
                                            SIGN LEADING SEPARATE.</t>
  </si>
  <si>
    <t xml:space="preserve">    09  :PREFIX:-VI-ENCAR-PENALIZA      PIC S9(12)V9(02)
                                            SIGN LEADING SEPARATE.</t>
  </si>
  <si>
    <t xml:space="preserve">    09  :PREFIX:-VI-TIPO-APOLICE        PIC X(02).</t>
  </si>
  <si>
    <t xml:space="preserve">Valor dos encargos Penalização - Parcela das Faturas de Indemnizações com Descritivo: ENCARGOS/COMISSÕES </t>
  </si>
  <si>
    <t xml:space="preserve">    09  :PREFIX:-PS-1-NIF               PIC X(22).</t>
  </si>
  <si>
    <t xml:space="preserve">    09  :PREFIX:-PS-1-NOME              PIC X(50).</t>
  </si>
  <si>
    <t xml:space="preserve">    09  :PREFIX:-PS-1-DT-NASC           PIC X(08).</t>
  </si>
  <si>
    <t xml:space="preserve">    09  :PREFIX:-PS-2-NOME              PIC X(50).</t>
  </si>
  <si>
    <t xml:space="preserve">    09  :PREFIX:-PS-2-NIF               PIC X(22).</t>
  </si>
  <si>
    <t xml:space="preserve">    09  :PREFIX:-PS-2-DT-NASC           PIC X(08).</t>
  </si>
  <si>
    <t>Valor do capital / valor da entrega - Descritivo: 'CAPITAL' | 'PREMIO INVEST' |'CAPITAL ENTREGUE'</t>
  </si>
  <si>
    <t xml:space="preserve">    09  :PREFIX:-VLR-PREMIO-RISCO       PIC S9(12)V9(02)
                                            SIGN LEADING SEPARATE.</t>
  </si>
  <si>
    <t>Valor de Prémio de Risco - Descritivo: 'PRÉMIO RISCO'</t>
  </si>
  <si>
    <t xml:space="preserve">        88  :PREFIX:-VI-CAPITALIZA          VALUE 'CI' 'CG'.</t>
  </si>
  <si>
    <t xml:space="preserve">        88  :PREFIX:-VI-RISCO               VALUE 'MI' 'MG'.</t>
  </si>
  <si>
    <t xml:space="preserve">        88  :PREFIX:-VI-MISTO               VALUE 'XI' 'XG'.</t>
  </si>
  <si>
    <t>Tipo de Apólice Vida</t>
  </si>
  <si>
    <t xml:space="preserve">     'CI' / 'CG' - Capitalização	</t>
  </si>
  <si>
    <t xml:space="preserve">     'MI' / 'MG' - Misto Puro (Risco)</t>
  </si>
  <si>
    <t xml:space="preserve">     'XI' / 'XG' - Misto Capitalização (Risco / Capitalização)</t>
  </si>
  <si>
    <t xml:space="preserve">  07  :PREFIX:-DADOS-ASF.</t>
  </si>
  <si>
    <t xml:space="preserve">    09  :PREFIX:-ASF-PREMIO.</t>
  </si>
  <si>
    <t xml:space="preserve">    09  :PREFIX:-ASF-FATORES.</t>
  </si>
  <si>
    <t xml:space="preserve">      11  :PREFIX:-AP-PR-TOT-ANO        PIC S9(12)V9(02)
                                            SIGN LEADING SEPARATE.</t>
  </si>
  <si>
    <t xml:space="preserve">      11  :PREFIX:-AP-PR-TOT-ANO-ANT    PIC S9(12)V9(02)
                                            SIGN LEADING SEPARATE.</t>
  </si>
  <si>
    <t xml:space="preserve">      11  :PREFIX:-AF-VAR-PREMIO-TOT    PIC S9(3)V9(02)
                                            SIGN LEADING SEPARATE.</t>
  </si>
  <si>
    <t xml:space="preserve">      11  :PREFIX:-AF-FAT-FISCALIDADE   PIC S9(3)V9(02)
                                            SIGN LEADING SEPARATE.</t>
  </si>
  <si>
    <t xml:space="preserve">  07  FILLER                            PIC X(2891).</t>
  </si>
  <si>
    <t xml:space="preserve">  07  FILLER                            PIC X(2864).</t>
  </si>
  <si>
    <t>Valor do Prémio Total da Anuidade</t>
  </si>
  <si>
    <t>Valor do Prémio Total da Anuidade anterior</t>
  </si>
  <si>
    <t>Percentagem da variação do Prémio Total</t>
  </si>
  <si>
    <t xml:space="preserve">      11  :PREFIX:-AF-FAT-SINISTROS     PIC S9(3)V9(02)
                                            SIGN LEADING SEPARATE.</t>
  </si>
  <si>
    <t>Percentagem da variação do Prémio atribuída ao Fator Fiscalidade</t>
  </si>
  <si>
    <t>Percentagem da variação do Prémio atribuída ao Fator Sinistralidade</t>
  </si>
  <si>
    <t>Percentagem da variação do Prémio atribuída ao Fator Inflação</t>
  </si>
  <si>
    <t>Percentagem da variação do Prémio atribuída ao Fator variação de Capitais</t>
  </si>
  <si>
    <t>Percentagem da variação do Prémio atribuída ao Fator Vitality ( só para Saúde)</t>
  </si>
  <si>
    <t>Percentagem da variação do Prémio atribuída ao Fator Idade ( só para Saúde)</t>
  </si>
  <si>
    <t>Percentagem da variação do Prémio atribuída a outros Fatores</t>
  </si>
  <si>
    <t xml:space="preserve">      11  :PREFIX:-AF-FAT-INFLACAO      PIC S9(3)V9(02)
                                            SIGN LEADING SEPARATE.</t>
  </si>
  <si>
    <t xml:space="preserve">      11  :PREFIX:-AF-FAT-VITALITY      PIC S9(3)V9(02)
                                            SIGN LEADING SEPARATE.</t>
  </si>
  <si>
    <t xml:space="preserve">      11  :PREFIX:-AF-FAT-VAR-CAPITAIS  PIC S9(3)V9(02)
                                            SIGN LEADING SEPARATE.</t>
  </si>
  <si>
    <t xml:space="preserve">      11  :PREFIX:-AF-FAT-IDADE         PIC S9(3)V9(02)
                                            SIGN LEADING SEPARATE.</t>
  </si>
  <si>
    <t xml:space="preserve">      11  :PREFIX:-AF-FAT-OUTROS        PIC S9(3)V9(02)
                                            SIGN LEADING SEPARATE.</t>
  </si>
  <si>
    <t>05  :PREFIX:-DADOS-DOCUMENTO            PIC X(2906).</t>
  </si>
  <si>
    <t xml:space="preserve">    09  :PREFIX:-TA-NR-APOLICE          PIC X(16).</t>
  </si>
  <si>
    <t xml:space="preserve">    09  :PREFIX:-TA-COD-RAMO            PIC X(10).</t>
  </si>
  <si>
    <t xml:space="preserve">    09  :PREFIX:-TA-COD-PRODUTO         PIC X(10).</t>
  </si>
  <si>
    <t xml:space="preserve">    09  :PREFIX:-TA-DESCR-RAMO-PROD     PIC X(40).</t>
  </si>
  <si>
    <t>Código de Produto [Garantir que no máximo vem 6 posições]</t>
  </si>
  <si>
    <t>Código do Ramo SO [Garantir que no máximo vem 6 posições]</t>
  </si>
  <si>
    <t xml:space="preserve">  07  :PREFIX:-DETALHE-TAILOR.</t>
  </si>
  <si>
    <t xml:space="preserve">  07  :PREFIX:-FOOTER-TAILOR.</t>
  </si>
  <si>
    <t xml:space="preserve">    09  :PREFIX:-DET-VALORES-TAILOR.</t>
  </si>
  <si>
    <t xml:space="preserve">    09  :PREFIX:-FT-TOT-REGISTOS        PIC 9(05).</t>
  </si>
  <si>
    <t xml:space="preserve">    09  :PREFIX:-TA-VI-TIPO-APOLICE     PIC X(02).</t>
  </si>
  <si>
    <t xml:space="preserve">  07  FILLER                            PIC X(2513).</t>
  </si>
  <si>
    <t>ESPAÇOS</t>
  </si>
  <si>
    <t xml:space="preserve">    09  FILLER                          PIC X(73).</t>
  </si>
  <si>
    <t xml:space="preserve">    09  :PREFIX:-FT-VALORES-TAILOR.</t>
  </si>
  <si>
    <t xml:space="preserve">      11  :PREFIX:-DT-VLR-CAPITAL-RECIBO PIC S9(12)V9(02)
                                             SIGN LEADING SEPARATE.</t>
  </si>
  <si>
    <t xml:space="preserve">      11  :PREFIX:-DT-VLR-PREMIO-RISCO   PIC S9(12)V9(02)
                                             SIGN LEADING SEPARATE.</t>
  </si>
  <si>
    <t xml:space="preserve">      11  :PREFIX:-DT-VLR-BONIFICACAO    PIC S9(12)V9(02)
                                             SIGN LEADING SEPARATE.</t>
  </si>
  <si>
    <t xml:space="preserve">      11  :PREFIX:-DT-VLR-TOTAL-RECIBO   PIC S9(12)V9(02)
                                             SIGN LEADING SEPARATE.</t>
  </si>
  <si>
    <t xml:space="preserve">      11  :PREFIX:-DT-VLR-FRACC          PIC S9(12)V9(02)
                                             SIGN LEADING SEPARATE.</t>
  </si>
  <si>
    <t xml:space="preserve">      11  :PREFIX:-DT-VLR-FAT            PIC S9(12)V9(02)
                                             SIGN LEADING SEPARATE.</t>
  </si>
  <si>
    <t xml:space="preserve">      11  :PREFIX:-DT-VLR-FGA            PIC S9(12)V9(02)
                                             SIGN LEADING SEPARATE.</t>
  </si>
  <si>
    <t xml:space="preserve">      11  :PREFIX:-DT-VLR-SNB            PIC S9(12)V9(02)
                                             SIGN LEADING SEPARATE.</t>
  </si>
  <si>
    <t xml:space="preserve">      11  :PREFIX:-DT-VLR-INEM           PIC S9(12)V9(02)
                                             SIGN LEADING SEPARATE.</t>
  </si>
  <si>
    <t xml:space="preserve">      11  :PREFIX:-DT-VLR-CVERDE         PIC S9(12)V9(02)
                                             SIGN LEADING SEPARATE.</t>
  </si>
  <si>
    <t xml:space="preserve">      11  :PREFIX:-DT-VLR-SELOS          PIC S9(12)V9(02)
                                             SIGN LEADING SEPARATE.</t>
  </si>
  <si>
    <t xml:space="preserve">      11  :PREFIX:-DT-VLR-ACTA           PIC S9(12)V9(02)
                                             SIGN LEADING SEPARATE.</t>
  </si>
  <si>
    <t xml:space="preserve">      11  :PREFIX:-DT-VLR-IMP-SELO       PIC S9(12)V9(02)
                                             SIGN LEADING SEPARATE.</t>
  </si>
  <si>
    <t xml:space="preserve">      11  :PREFIX:-DT-VLR-FUND-CALAM     PIC S9(12)V9(02)
                                             SIGN LEADING SEPARATE.</t>
  </si>
  <si>
    <t xml:space="preserve">      11  :PREFIX:-DT-VLR-FGA-OCOBERT    PIC S9(12)V9(02)
                                             SIGN LEADING SEPARATE.</t>
  </si>
  <si>
    <t xml:space="preserve">      11  :PREFIX:-DT-VLR-FGA-RCIVIL     PIC S9(12)V9(02)
                                             SIGN LEADING SEPARATE.</t>
  </si>
  <si>
    <t xml:space="preserve">      11  :PREFIX:-DT-VLR-BONUS          PIC S9(12)V9(02)
                                             SIGN LEADING SEPARATE.</t>
  </si>
  <si>
    <t xml:space="preserve">      11  :PREFIX:-DT-VLR-PR-SIMPLES     PIC S9(12)V9(02)
                                             SIGN LEADING SEPARATE.</t>
  </si>
  <si>
    <t xml:space="preserve">      11  :PREFIX:-DT-VLR-PR-ANUAL       PIC S9(12)V9(02)
                                             SIGN LEADING SEPARATE.</t>
  </si>
  <si>
    <t xml:space="preserve">      11  :PREFIX:-DT-VLR-ENC-AQUIS      PIC S9(12)V9(02)
                                             SIGN LEADING SEPARATE.</t>
  </si>
  <si>
    <t xml:space="preserve">      11  :PREFIX:-DT-VLR-ENC-PENAL      PIC S9(12)V9(02)
                                             SIGN LEADING SEPARATE.</t>
  </si>
  <si>
    <t xml:space="preserve">      11  :PREFIX:-FT-VLR-CAPITAL-RECIBO PIC S9(12)V9(02)
                                             SIGN LEADING SEPARATE.</t>
  </si>
  <si>
    <t xml:space="preserve">      11  :PREFIX:-FT-VLR-PREMIO-RISCO   PIC S9(12)V9(02)
                                             SIGN LEADING SEPARATE.</t>
  </si>
  <si>
    <t xml:space="preserve">      11  :PREFIX:-FT-VLR-BONIFICACAO    PIC S9(12)V9(02)
                                             SIGN LEADING SEPARATE.</t>
  </si>
  <si>
    <t xml:space="preserve">      11  :PREFIX:-FT-VLR-TOTAL-RECIBO   PIC S9(12)V9(02)
                                             SIGN LEADING SEPARATE.</t>
  </si>
  <si>
    <t xml:space="preserve">      11  :PREFIX:-FT-VLR-FRACC          PIC S9(12)V9(02)
                                             SIGN LEADING SEPARATE.</t>
  </si>
  <si>
    <t xml:space="preserve">      11  :PREFIX:-FT-VLR-FAT            PIC S9(12)V9(02)
                                             SIGN LEADING SEPARATE.</t>
  </si>
  <si>
    <t xml:space="preserve">      11  :PREFIX:-FT-VLR-FGA            PIC S9(12)V9(02)
                                             SIGN LEADING SEPARATE.</t>
  </si>
  <si>
    <t xml:space="preserve">      11  :PREFIX:-FT-VLR-SNB            PIC S9(12)V9(02)
                                             SIGN LEADING SEPARATE.</t>
  </si>
  <si>
    <t xml:space="preserve">      11  :PREFIX:-FT-VLR-INEM           PIC S9(12)V9(02)
                                             SIGN LEADING SEPARATE.</t>
  </si>
  <si>
    <t xml:space="preserve">      11  :PREFIX:-FT-VLR-CVERDE         PIC S9(12)V9(02)
                                             SIGN LEADING SEPARATE.</t>
  </si>
  <si>
    <t xml:space="preserve">      11  :PREFIX:-FT-VLR-SELOS          PIC S9(12)V9(02)
                                             SIGN LEADING SEPARATE.</t>
  </si>
  <si>
    <t xml:space="preserve">      11  :PREFIX:-FT-VLR-ACTA           PIC S9(12)V9(02)
                                             SIGN LEADING SEPARATE.</t>
  </si>
  <si>
    <t xml:space="preserve">      11  :PREFIX:-FT-VLR-IMP-SELO       PIC S9(12)V9(02)
                                             SIGN LEADING SEPARATE.</t>
  </si>
  <si>
    <t xml:space="preserve">      11  :PREFIX:-FT-VLR-FUND-CALAM     PIC S9(12)V9(02)
                                             SIGN LEADING SEPARATE.</t>
  </si>
  <si>
    <t xml:space="preserve">      11  :PREFIX:-FT-VLR-FGA-OCOBERT    PIC S9(12)V9(02)
                                             SIGN LEADING SEPARATE.</t>
  </si>
  <si>
    <t xml:space="preserve">      11  :PREFIX:-FT-VLR-FGA-RCIVIL     PIC S9(12)V9(02)
                                             SIGN LEADING SEPARATE.</t>
  </si>
  <si>
    <t xml:space="preserve">      11  :PREFIX:-FT-VLR-BONUS          PIC S9(12)V9(02)
                                             SIGN LEADING SEPARATE.</t>
  </si>
  <si>
    <t xml:space="preserve">      11  :PREFIX:-FT-VLR-PR-SIMPLES     PIC S9(12)V9(02)
                                             SIGN LEADING SEPARATE.</t>
  </si>
  <si>
    <t xml:space="preserve">      11  :PREFIX:-FT-VLR-PR-ANUAL       PIC S9(12)V9(02)
                                             SIGN LEADING SEPARATE.</t>
  </si>
  <si>
    <t xml:space="preserve">      11  :PREFIX:-FT-VLR-ENC-AQUIS      PIC S9(12)V9(02)
                                             SIGN LEADING SEPARATE.</t>
  </si>
  <si>
    <t xml:space="preserve">      11  :PREFIX:-FT-VLR-ENC-PENAL      PIC S9(12)V9(02)
                                             SIGN LEADING SEPARATE.</t>
  </si>
  <si>
    <t xml:space="preserve">     '4' - Detalhe do Tailor</t>
  </si>
  <si>
    <t xml:space="preserve">     '5' - Footer do Tailor</t>
  </si>
  <si>
    <t xml:space="preserve">     '1' - Aviso-Recibo / Fatura / NotaCrédito</t>
  </si>
  <si>
    <t xml:space="preserve">      88  :PREFIX:-REG-TIPO4                VALUE '4'.</t>
  </si>
  <si>
    <t xml:space="preserve">      88  :PREFIX:-REG-TIPO5                VALUE '5'.</t>
  </si>
  <si>
    <t xml:space="preserve">  07  :PREFIX:-DADOS-TAILOR.</t>
  </si>
  <si>
    <t xml:space="preserve">        88  :PREFIX:-DT-APOL-TAILOR         VALUE 'S'.</t>
  </si>
  <si>
    <t xml:space="preserve">    09  :PREFIX:-DT-IND-APOL-AGREGADA   PIC X(01).</t>
  </si>
  <si>
    <t xml:space="preserve">     'S' - Apólice Tailor</t>
  </si>
  <si>
    <t>Indicador de Apólice Agregada (S/N)</t>
  </si>
  <si>
    <t xml:space="preserve">  07  :PREFIX:-DADOS-PROGS-INTERNAC.</t>
  </si>
  <si>
    <t xml:space="preserve">    09  :PREFIX:-PI-VLR-IMPOSTO         PIC S9(12)V9(02)
                                            SIGN LEADING SEPARATE.</t>
  </si>
  <si>
    <t>País do negócio da Apólice</t>
  </si>
  <si>
    <t>Valor de Impostos para Apólices de programas Internacionais:
 somatório de impostos fiscais(VFISC), parafiscais(VPFIS) e consórcios(VCONS)</t>
  </si>
  <si>
    <t xml:space="preserve">    09  :PREFIX:-PI-POLICY-BUS-COUNTRY  PIC X(03).</t>
  </si>
  <si>
    <t xml:space="preserve">      88  :PREFIX:-IMP-ARQ-IMED             VALUE 'E'.</t>
  </si>
  <si>
    <t xml:space="preserve">     'E' - Só Aqrquivo</t>
  </si>
  <si>
    <t xml:space="preserve">              '3803  ' '3901  '.</t>
  </si>
  <si>
    <t xml:space="preserve">              '3625  ' '3701  ' '3702  ' '3801  ' '3802  '</t>
  </si>
  <si>
    <t xml:space="preserve">        88  :PREFIX:-VI-TP-VALID            VALUE 'CI' 'CG' 'MI' 'MG' 'XI'                                                           'XG' '  '.</t>
  </si>
  <si>
    <t xml:space="preserve">        88  :PREFIX:-VI-TP-AP-PROCESS       VALUE 'CI' 'CG' 'MI' 'MG' 'XI' 'XG'.</t>
  </si>
  <si>
    <t>Número da Apólice Poupança Auto</t>
  </si>
  <si>
    <t>Código Único do Documento</t>
  </si>
  <si>
    <t>Número do Compromisso</t>
  </si>
  <si>
    <t>Número de Certificação do Aviso</t>
  </si>
  <si>
    <t>Número de Certificação da Fatura</t>
  </si>
  <si>
    <t>Chave Única do documento</t>
  </si>
  <si>
    <t>Indicador de mensagem temporária</t>
  </si>
  <si>
    <t>Número de Identificação do Emitente</t>
  </si>
  <si>
    <t>Número do Programa de Certificação</t>
  </si>
  <si>
    <t>Número do HASH</t>
  </si>
  <si>
    <t>Valor Base Tributável</t>
  </si>
  <si>
    <t>Quantidade de Apólices</t>
  </si>
  <si>
    <t>Estado do Documento</t>
  </si>
  <si>
    <t>Espaço Fiscal</t>
  </si>
  <si>
    <t xml:space="preserve">    Tipo de Produto/Apólice Vida valido para processar</t>
  </si>
  <si>
    <t xml:space="preserve">  07  :PREFIX:-DADOS-NOTA-ADICIONAL.</t>
  </si>
  <si>
    <t xml:space="preserve">    09  :PREFIX:-NC-IND-NOTA-ADIC       PIC X(01).</t>
  </si>
  <si>
    <t xml:space="preserve">  07  FILLER                            PIC X(445).</t>
  </si>
  <si>
    <t>Indicador de existência de nota Adicional do Recibo de Acerto</t>
  </si>
  <si>
    <t xml:space="preserve">     'EX' - Entrega Extraordinária</t>
  </si>
  <si>
    <t xml:space="preserve">        88  :PREFIX:-EMI-ENTREGA-EXTR       VALUE 'EX0'
                                            'EX1' 'EX2'
                                            'EX3' 'EX4'</t>
  </si>
  <si>
    <t xml:space="preserve">        88  :PREFIX:-EMI-ENT-EXTR-EX0       VALUE 'EX0'. </t>
  </si>
  <si>
    <t xml:space="preserve">        88  :PREFIX:-EMI-ENT-EXTR-EX4       VALUE 'EX4'. </t>
  </si>
  <si>
    <t xml:space="preserve">        88  :PREFIX:-EMI-ENT-EXTR-EX1       VALUE 'EX1'. </t>
  </si>
  <si>
    <t xml:space="preserve">        88  :PREFIX:-EMI-ENT-EXTR-EX2       VALUE 'EX2'. </t>
  </si>
  <si>
    <t xml:space="preserve">        88  :PREFIX:-EMI-ENT-EXTR-EX3       VALUE 'EX3'. </t>
  </si>
  <si>
    <t xml:space="preserve">     'EX0' - Entrega Extraordinária</t>
  </si>
  <si>
    <t xml:space="preserve">     'EX2' - Entregas extraordinárias não programadas</t>
  </si>
  <si>
    <t xml:space="preserve">     'EX1' - Entregas extraordinárias programadas</t>
  </si>
  <si>
    <t xml:space="preserve">     'EX3' - Estornos das entregas extraordinárias programadas</t>
  </si>
  <si>
    <t xml:space="preserve">     'EX4' - Estornos das entregas extraordinárias não programadas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</si>
</sst>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8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4" fillId="0" borderId="1" xfId="0" applyFont="1" applyBorder="1"/>
    <xf numFmtId="0" fontId="1" fillId="2" borderId="3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" fontId="0" fillId="0" borderId="0" xfId="0" applyNumberFormat="1"/>
    <xf numFmtId="4" fontId="0" fillId="0" borderId="0" xfId="1" applyNumberFormat="1" applyFont="1"/>
    <xf numFmtId="4" fontId="0" fillId="0" borderId="0" xfId="1" applyNumberFormat="1" applyFont="1" applyFill="1"/>
    <xf numFmtId="0" fontId="3" fillId="4" borderId="1" xfId="0" applyFont="1" applyFill="1" applyBorder="1"/>
    <xf numFmtId="0" fontId="4" fillId="4" borderId="1" xfId="0" applyFont="1" applyFill="1" applyBorder="1"/>
    <xf numFmtId="0" fontId="0" fillId="4" borderId="1" xfId="0" applyFill="1" applyBorder="1" applyAlignment="1">
      <alignment horizontal="right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2" xfId="0" applyBorder="1"/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3" fillId="0" borderId="2" xfId="0" applyFont="1" applyBorder="1"/>
    <xf numFmtId="0" fontId="4" fillId="0" borderId="2" xfId="0" applyFont="1" applyBorder="1"/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4" fillId="0" borderId="4" xfId="0" applyFont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2" fillId="0" borderId="1" xfId="0" applyFont="1" applyBorder="1"/>
    <xf numFmtId="0" fontId="0" fillId="3" borderId="1" xfId="0" applyFill="1" applyBorder="1" applyAlignment="1">
      <alignment vertical="top"/>
    </xf>
    <xf numFmtId="0" fontId="12" fillId="3" borderId="1" xfId="0" applyFont="1" applyFill="1" applyBorder="1"/>
    <xf numFmtId="0" fontId="0" fillId="6" borderId="5" xfId="0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right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0" fillId="5" borderId="0" xfId="0" applyFill="1"/>
    <xf numFmtId="0" fontId="2" fillId="0" borderId="0" xfId="0" applyFont="1"/>
    <xf numFmtId="49" fontId="0" fillId="0" borderId="0" xfId="0" applyNumberFormat="1"/>
    <xf numFmtId="49" fontId="0" fillId="5" borderId="0" xfId="0" applyNumberFormat="1" applyFill="1"/>
    <xf numFmtId="0" fontId="0" fillId="6" borderId="2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Comma" xfId="1" builtinId="3"/>
    <cellStyle name="Comma 2" xfId="2" xr:uid="{33CD0864-EBEB-47C3-9117-245DECF68245}"/>
    <cellStyle name="Normal" xfId="0" builtinId="0"/>
  </cellStyles>
  <dxfs count="0"/>
  <tableStyles count="0" defaultTableStyle="TableStyleMedium2" defaultPivotStyle="PivotStyleLight16"/>
  <colors>
    <mruColors>
      <color rgb="FF02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08"/>
  <sheetViews>
    <sheetView tabSelected="1" topLeftCell="A43" zoomScale="75" zoomScaleNormal="75" workbookViewId="0">
      <selection activeCell="K73" sqref="K73"/>
    </sheetView>
  </sheetViews>
  <sheetFormatPr defaultRowHeight="14.4" x14ac:dyDescent="0.3"/>
  <cols>
    <col min="1" max="1" width="1.88671875" customWidth="1"/>
    <col min="2" max="2" width="94" bestFit="1" customWidth="1"/>
    <col min="3" max="3" width="7.88671875" bestFit="1" customWidth="1"/>
    <col min="4" max="4" width="90.88671875" customWidth="1"/>
    <col min="5" max="5" width="9.109375" customWidth="1"/>
    <col min="6" max="6" width="11.44140625" customWidth="1"/>
    <col min="7" max="7" width="12.109375" style="15" customWidth="1"/>
    <col min="8" max="8" width="1.88671875" customWidth="1"/>
    <col min="11" max="11" width="8.88671875" style="18"/>
    <col min="12" max="12" width="17.33203125" style="70" customWidth="1"/>
    <col min="13" max="13" width="47.88671875" style="17" customWidth="1"/>
    <col min="14" max="14" width="3.44140625" style="17" bestFit="1" customWidth="1"/>
    <col min="15" max="15" width="13.5546875" style="17" bestFit="1" customWidth="1"/>
    <col min="16" max="24" width="8.88671875" style="17"/>
  </cols>
  <sheetData>
    <row r="1" spans="2:9" ht="9" customHeight="1" x14ac:dyDescent="0.3"/>
    <row r="2" spans="2:9" x14ac:dyDescent="0.3">
      <c r="B2" s="1" t="s">
        <v>2</v>
      </c>
      <c r="C2" s="1" t="s">
        <v>46</v>
      </c>
      <c r="D2" s="1" t="s">
        <v>48</v>
      </c>
      <c r="E2" s="2" t="s">
        <v>0</v>
      </c>
      <c r="F2" s="2" t="s">
        <v>1</v>
      </c>
      <c r="G2" s="14" t="s">
        <v>361</v>
      </c>
    </row>
    <row r="3" spans="2:9" x14ac:dyDescent="0.3">
      <c r="B3" s="6" t="s">
        <v>27</v>
      </c>
      <c r="C3" s="7"/>
      <c r="D3" s="8"/>
      <c r="E3" s="22">
        <v>1</v>
      </c>
      <c r="F3" s="22"/>
      <c r="G3" s="16"/>
    </row>
    <row r="4" spans="2:9" x14ac:dyDescent="0.3">
      <c r="B4" s="25" t="s">
        <v>73</v>
      </c>
      <c r="C4" s="4"/>
      <c r="D4" s="26" t="s">
        <v>28</v>
      </c>
      <c r="E4" s="27">
        <f>E3+F3</f>
        <v>1</v>
      </c>
      <c r="F4" s="27">
        <v>4</v>
      </c>
      <c r="G4" s="72" t="s">
        <v>360</v>
      </c>
      <c r="I4">
        <f>E4+33</f>
        <v>34</v>
      </c>
    </row>
    <row r="5" spans="2:9" x14ac:dyDescent="0.3">
      <c r="B5" s="25" t="s">
        <v>74</v>
      </c>
      <c r="C5" s="4"/>
      <c r="D5" s="26" t="s">
        <v>369</v>
      </c>
      <c r="E5" s="27"/>
      <c r="F5" s="27"/>
      <c r="G5" s="73"/>
    </row>
    <row r="6" spans="2:9" x14ac:dyDescent="0.3">
      <c r="B6" s="25" t="s">
        <v>370</v>
      </c>
      <c r="C6" s="4"/>
      <c r="D6" s="26" t="s">
        <v>368</v>
      </c>
      <c r="E6" s="27"/>
      <c r="F6" s="27"/>
      <c r="G6" s="74"/>
    </row>
    <row r="7" spans="2:9" x14ac:dyDescent="0.3">
      <c r="B7" s="25" t="s">
        <v>87</v>
      </c>
      <c r="C7" s="4"/>
      <c r="D7" s="28" t="s">
        <v>75</v>
      </c>
      <c r="E7" s="27">
        <f>E4+F4</f>
        <v>5</v>
      </c>
      <c r="F7" s="29">
        <v>1</v>
      </c>
      <c r="G7" s="72" t="s">
        <v>360</v>
      </c>
      <c r="I7">
        <f t="shared" ref="I7:I62" si="0">E7+33</f>
        <v>38</v>
      </c>
    </row>
    <row r="8" spans="2:9" x14ac:dyDescent="0.3">
      <c r="B8" s="25" t="s">
        <v>88</v>
      </c>
      <c r="C8" s="4"/>
      <c r="D8" s="28" t="s">
        <v>604</v>
      </c>
      <c r="E8" s="27"/>
      <c r="F8" s="29"/>
      <c r="G8" s="73"/>
    </row>
    <row r="9" spans="2:9" x14ac:dyDescent="0.3">
      <c r="B9" s="25" t="s">
        <v>89</v>
      </c>
      <c r="C9" s="4"/>
      <c r="D9" s="28" t="s">
        <v>371</v>
      </c>
      <c r="E9" s="27"/>
      <c r="F9" s="29"/>
      <c r="G9" s="73"/>
    </row>
    <row r="10" spans="2:9" x14ac:dyDescent="0.3">
      <c r="B10" s="25" t="s">
        <v>90</v>
      </c>
      <c r="C10" s="4"/>
      <c r="D10" s="28" t="s">
        <v>372</v>
      </c>
      <c r="E10" s="27"/>
      <c r="F10" s="29"/>
      <c r="G10" s="73"/>
    </row>
    <row r="11" spans="2:9" x14ac:dyDescent="0.3">
      <c r="B11" s="25" t="s">
        <v>605</v>
      </c>
      <c r="C11" s="4"/>
      <c r="D11" s="28" t="s">
        <v>602</v>
      </c>
      <c r="E11" s="27"/>
      <c r="F11" s="29"/>
      <c r="G11" s="56"/>
    </row>
    <row r="12" spans="2:9" x14ac:dyDescent="0.3">
      <c r="B12" s="25" t="s">
        <v>606</v>
      </c>
      <c r="C12" s="4"/>
      <c r="D12" s="28" t="s">
        <v>603</v>
      </c>
      <c r="E12" s="27"/>
      <c r="F12" s="29"/>
      <c r="G12" s="56"/>
    </row>
    <row r="13" spans="2:9" x14ac:dyDescent="0.3">
      <c r="B13" s="25" t="s">
        <v>76</v>
      </c>
      <c r="C13" s="4"/>
      <c r="D13" s="26" t="s">
        <v>57</v>
      </c>
      <c r="E13" s="27">
        <f>E7+F7</f>
        <v>6</v>
      </c>
      <c r="F13" s="27">
        <v>1</v>
      </c>
      <c r="G13" s="72" t="s">
        <v>360</v>
      </c>
      <c r="I13">
        <f t="shared" si="0"/>
        <v>39</v>
      </c>
    </row>
    <row r="14" spans="2:9" x14ac:dyDescent="0.3">
      <c r="B14" s="25" t="s">
        <v>617</v>
      </c>
      <c r="C14" s="4"/>
      <c r="D14" s="26" t="s">
        <v>618</v>
      </c>
      <c r="E14" s="27"/>
      <c r="F14" s="27"/>
      <c r="G14" s="73"/>
    </row>
    <row r="15" spans="2:9" x14ac:dyDescent="0.3">
      <c r="B15" s="25" t="s">
        <v>77</v>
      </c>
      <c r="C15" s="4"/>
      <c r="D15" s="26" t="s">
        <v>58</v>
      </c>
      <c r="E15" s="27"/>
      <c r="F15" s="27"/>
      <c r="G15" s="73"/>
    </row>
    <row r="16" spans="2:9" x14ac:dyDescent="0.3">
      <c r="B16" s="25" t="s">
        <v>78</v>
      </c>
      <c r="C16" s="4"/>
      <c r="D16" s="26" t="s">
        <v>59</v>
      </c>
      <c r="E16" s="27"/>
      <c r="F16" s="27"/>
      <c r="G16" s="74"/>
    </row>
    <row r="17" spans="2:9" x14ac:dyDescent="0.3">
      <c r="B17" s="25" t="s">
        <v>157</v>
      </c>
      <c r="C17" s="4"/>
      <c r="D17" s="28" t="s">
        <v>158</v>
      </c>
      <c r="E17" s="27">
        <f>E13+F13</f>
        <v>7</v>
      </c>
      <c r="F17" s="29">
        <v>8</v>
      </c>
      <c r="G17" s="30" t="s">
        <v>359</v>
      </c>
      <c r="I17">
        <f t="shared" si="0"/>
        <v>40</v>
      </c>
    </row>
    <row r="18" spans="2:9" x14ac:dyDescent="0.3">
      <c r="B18" s="25" t="s">
        <v>79</v>
      </c>
      <c r="C18" s="31"/>
      <c r="D18" s="26" t="s">
        <v>3</v>
      </c>
      <c r="E18" s="27">
        <f>E17+F17</f>
        <v>15</v>
      </c>
      <c r="F18" s="27">
        <v>3</v>
      </c>
      <c r="G18" s="72" t="s">
        <v>360</v>
      </c>
      <c r="I18">
        <f t="shared" si="0"/>
        <v>48</v>
      </c>
    </row>
    <row r="19" spans="2:9" x14ac:dyDescent="0.3">
      <c r="B19" s="25" t="s">
        <v>80</v>
      </c>
      <c r="C19" s="31"/>
      <c r="D19" s="26" t="s">
        <v>29</v>
      </c>
      <c r="E19" s="27"/>
      <c r="F19" s="27"/>
      <c r="G19" s="73"/>
    </row>
    <row r="20" spans="2:9" x14ac:dyDescent="0.3">
      <c r="B20" s="25" t="s">
        <v>81</v>
      </c>
      <c r="C20" s="31"/>
      <c r="D20" s="26" t="s">
        <v>55</v>
      </c>
      <c r="E20" s="27"/>
      <c r="F20" s="27"/>
      <c r="G20" s="73"/>
    </row>
    <row r="21" spans="2:9" x14ac:dyDescent="0.3">
      <c r="B21" s="25" t="s">
        <v>342</v>
      </c>
      <c r="C21" s="31"/>
      <c r="D21" s="26" t="s">
        <v>341</v>
      </c>
      <c r="E21" s="27"/>
      <c r="F21" s="27"/>
      <c r="G21" s="73"/>
    </row>
    <row r="22" spans="2:9" x14ac:dyDescent="0.3">
      <c r="B22" s="25" t="s">
        <v>82</v>
      </c>
      <c r="C22" s="4"/>
      <c r="D22" s="26" t="s">
        <v>30</v>
      </c>
      <c r="E22" s="29"/>
      <c r="F22" s="29"/>
      <c r="G22" s="74"/>
    </row>
    <row r="23" spans="2:9" x14ac:dyDescent="0.3">
      <c r="B23" s="25" t="s">
        <v>83</v>
      </c>
      <c r="C23" s="4"/>
      <c r="D23" s="26" t="s">
        <v>4</v>
      </c>
      <c r="E23" s="27">
        <f>E18+F18</f>
        <v>18</v>
      </c>
      <c r="F23" s="29">
        <v>3</v>
      </c>
      <c r="G23" s="72" t="s">
        <v>360</v>
      </c>
      <c r="I23">
        <f t="shared" si="0"/>
        <v>51</v>
      </c>
    </row>
    <row r="24" spans="2:9" x14ac:dyDescent="0.3">
      <c r="B24" s="25" t="s">
        <v>84</v>
      </c>
      <c r="C24" s="4"/>
      <c r="D24" s="26" t="s">
        <v>31</v>
      </c>
      <c r="E24" s="29"/>
      <c r="F24" s="29"/>
      <c r="G24" s="73"/>
    </row>
    <row r="25" spans="2:9" x14ac:dyDescent="0.3">
      <c r="B25" s="25" t="s">
        <v>240</v>
      </c>
      <c r="C25" s="4"/>
      <c r="D25" s="26" t="s">
        <v>239</v>
      </c>
      <c r="E25" s="29"/>
      <c r="F25" s="29"/>
      <c r="G25" s="73"/>
    </row>
    <row r="26" spans="2:9" x14ac:dyDescent="0.3">
      <c r="B26" s="25" t="s">
        <v>343</v>
      </c>
      <c r="C26" s="4"/>
      <c r="D26" s="26" t="s">
        <v>344</v>
      </c>
      <c r="E26" s="29"/>
      <c r="F26" s="29"/>
      <c r="G26" s="73"/>
    </row>
    <row r="27" spans="2:9" x14ac:dyDescent="0.3">
      <c r="B27" s="25" t="s">
        <v>345</v>
      </c>
      <c r="C27" s="4"/>
      <c r="D27" s="26" t="s">
        <v>346</v>
      </c>
      <c r="E27" s="29"/>
      <c r="F27" s="29"/>
      <c r="G27" s="73"/>
    </row>
    <row r="28" spans="2:9" x14ac:dyDescent="0.3">
      <c r="B28" s="25" t="s">
        <v>85</v>
      </c>
      <c r="C28" s="4"/>
      <c r="D28" s="26" t="s">
        <v>33</v>
      </c>
      <c r="E28" s="29"/>
      <c r="F28" s="29"/>
      <c r="G28" s="73"/>
    </row>
    <row r="29" spans="2:9" x14ac:dyDescent="0.3">
      <c r="B29" s="25" t="s">
        <v>86</v>
      </c>
      <c r="C29" s="4"/>
      <c r="D29" s="26" t="s">
        <v>32</v>
      </c>
      <c r="E29" s="29"/>
      <c r="F29" s="29"/>
      <c r="G29" s="73"/>
    </row>
    <row r="30" spans="2:9" x14ac:dyDescent="0.3">
      <c r="B30" s="25" t="s">
        <v>425</v>
      </c>
      <c r="C30" s="4"/>
      <c r="D30" s="26" t="s">
        <v>426</v>
      </c>
      <c r="E30" s="29"/>
      <c r="F30" s="29"/>
      <c r="G30" s="74"/>
    </row>
    <row r="31" spans="2:9" x14ac:dyDescent="0.3">
      <c r="B31" s="25" t="s">
        <v>179</v>
      </c>
      <c r="C31" s="4"/>
      <c r="D31" s="26"/>
      <c r="E31" s="29">
        <f>E23+F23</f>
        <v>21</v>
      </c>
      <c r="F31" s="29">
        <v>1</v>
      </c>
      <c r="G31" s="78" t="s">
        <v>358</v>
      </c>
      <c r="I31">
        <f t="shared" si="0"/>
        <v>54</v>
      </c>
    </row>
    <row r="32" spans="2:9" x14ac:dyDescent="0.3">
      <c r="B32" s="25" t="s">
        <v>180</v>
      </c>
      <c r="C32" s="4"/>
      <c r="D32" s="26" t="s">
        <v>224</v>
      </c>
      <c r="E32" s="29"/>
      <c r="F32" s="29"/>
      <c r="G32" s="79"/>
    </row>
    <row r="33" spans="2:11" x14ac:dyDescent="0.3">
      <c r="B33" s="25" t="s">
        <v>91</v>
      </c>
      <c r="C33" s="4"/>
      <c r="D33" s="28" t="s">
        <v>6</v>
      </c>
      <c r="E33" s="27">
        <f>E31+F31</f>
        <v>22</v>
      </c>
      <c r="F33" s="29">
        <v>10</v>
      </c>
      <c r="G33" s="30" t="s">
        <v>359</v>
      </c>
      <c r="I33">
        <f t="shared" si="0"/>
        <v>55</v>
      </c>
    </row>
    <row r="34" spans="2:11" x14ac:dyDescent="0.3">
      <c r="B34" s="25" t="s">
        <v>92</v>
      </c>
      <c r="C34" s="4"/>
      <c r="D34" s="28" t="s">
        <v>7</v>
      </c>
      <c r="E34" s="27">
        <f>E33+F33</f>
        <v>32</v>
      </c>
      <c r="F34" s="29">
        <v>10</v>
      </c>
      <c r="G34" s="30" t="s">
        <v>359</v>
      </c>
      <c r="I34">
        <f t="shared" si="0"/>
        <v>65</v>
      </c>
    </row>
    <row r="35" spans="2:11" x14ac:dyDescent="0.3">
      <c r="B35" s="25" t="s">
        <v>93</v>
      </c>
      <c r="C35" s="4"/>
      <c r="D35" s="28" t="s">
        <v>8</v>
      </c>
      <c r="E35" s="27">
        <f>E34+F34</f>
        <v>42</v>
      </c>
      <c r="F35" s="29">
        <v>16</v>
      </c>
      <c r="G35" s="32" t="s">
        <v>360</v>
      </c>
      <c r="I35">
        <f t="shared" si="0"/>
        <v>75</v>
      </c>
    </row>
    <row r="36" spans="2:11" x14ac:dyDescent="0.3">
      <c r="B36" s="25" t="s">
        <v>94</v>
      </c>
      <c r="C36" s="4"/>
      <c r="D36" s="26" t="s">
        <v>5</v>
      </c>
      <c r="E36" s="27">
        <f>E35+F35</f>
        <v>58</v>
      </c>
      <c r="F36" s="29">
        <v>3</v>
      </c>
      <c r="G36" s="72" t="s">
        <v>360</v>
      </c>
      <c r="I36">
        <f t="shared" si="0"/>
        <v>91</v>
      </c>
    </row>
    <row r="37" spans="2:11" x14ac:dyDescent="0.3">
      <c r="B37" s="25" t="s">
        <v>201</v>
      </c>
      <c r="C37" s="4"/>
      <c r="D37" s="28" t="s">
        <v>202</v>
      </c>
      <c r="E37" s="29"/>
      <c r="F37" s="29"/>
      <c r="G37" s="73"/>
    </row>
    <row r="38" spans="2:11" x14ac:dyDescent="0.3">
      <c r="B38" s="25" t="s">
        <v>203</v>
      </c>
      <c r="C38" s="4"/>
      <c r="D38" s="28" t="s">
        <v>204</v>
      </c>
      <c r="E38" s="29"/>
      <c r="F38" s="29"/>
      <c r="G38" s="73"/>
    </row>
    <row r="39" spans="2:11" x14ac:dyDescent="0.3">
      <c r="B39" s="25" t="s">
        <v>95</v>
      </c>
      <c r="C39" s="4"/>
      <c r="D39" s="28" t="s">
        <v>34</v>
      </c>
      <c r="E39" s="29"/>
      <c r="F39" s="29"/>
      <c r="G39" s="73"/>
    </row>
    <row r="40" spans="2:11" x14ac:dyDescent="0.3">
      <c r="B40" s="25" t="s">
        <v>96</v>
      </c>
      <c r="C40" s="4"/>
      <c r="D40" s="28" t="s">
        <v>205</v>
      </c>
      <c r="E40" s="29"/>
      <c r="F40" s="29"/>
      <c r="G40" s="73"/>
    </row>
    <row r="41" spans="2:11" x14ac:dyDescent="0.3">
      <c r="B41" s="25" t="s">
        <v>97</v>
      </c>
      <c r="C41" s="4"/>
      <c r="D41" s="28" t="s">
        <v>35</v>
      </c>
      <c r="E41" s="29"/>
      <c r="F41" s="29"/>
      <c r="G41" s="73"/>
    </row>
    <row r="42" spans="2:11" x14ac:dyDescent="0.3">
      <c r="B42" s="25" t="s">
        <v>397</v>
      </c>
      <c r="C42" s="4" t="s">
        <v>420</v>
      </c>
      <c r="D42" s="28" t="s">
        <v>398</v>
      </c>
      <c r="E42" s="29"/>
      <c r="F42" s="29"/>
      <c r="G42" s="73"/>
      <c r="K42" s="19"/>
    </row>
    <row r="43" spans="2:11" x14ac:dyDescent="0.3">
      <c r="B43" s="25" t="s">
        <v>406</v>
      </c>
      <c r="C43" s="4" t="s">
        <v>420</v>
      </c>
      <c r="D43" s="28" t="s">
        <v>407</v>
      </c>
      <c r="E43" s="29"/>
      <c r="F43" s="29"/>
      <c r="G43" s="73"/>
      <c r="K43" s="19"/>
    </row>
    <row r="44" spans="2:11" x14ac:dyDescent="0.3">
      <c r="B44" s="25" t="s">
        <v>405</v>
      </c>
      <c r="C44" s="4" t="s">
        <v>420</v>
      </c>
      <c r="D44" s="28" t="s">
        <v>396</v>
      </c>
      <c r="E44" s="29"/>
      <c r="F44" s="29"/>
      <c r="G44" s="73"/>
      <c r="K44" s="19"/>
    </row>
    <row r="45" spans="2:11" x14ac:dyDescent="0.3">
      <c r="B45" s="25" t="s">
        <v>421</v>
      </c>
      <c r="C45" s="4" t="s">
        <v>420</v>
      </c>
      <c r="D45" s="28" t="s">
        <v>422</v>
      </c>
      <c r="E45" s="29"/>
      <c r="F45" s="29"/>
      <c r="G45" s="80"/>
      <c r="K45" s="19"/>
    </row>
    <row r="46" spans="2:11" x14ac:dyDescent="0.3">
      <c r="B46" s="25" t="s">
        <v>98</v>
      </c>
      <c r="C46" s="4"/>
      <c r="D46" s="28" t="s">
        <v>47</v>
      </c>
      <c r="E46" s="27">
        <f>E36+F36</f>
        <v>61</v>
      </c>
      <c r="F46" s="29">
        <v>1</v>
      </c>
      <c r="G46" s="33" t="s">
        <v>358</v>
      </c>
      <c r="I46">
        <f t="shared" si="0"/>
        <v>94</v>
      </c>
    </row>
    <row r="47" spans="2:11" x14ac:dyDescent="0.3">
      <c r="B47" s="6" t="s">
        <v>544</v>
      </c>
      <c r="C47" s="7"/>
      <c r="D47" s="8"/>
      <c r="E47" s="22">
        <f>E46+F46</f>
        <v>62</v>
      </c>
      <c r="F47" s="22">
        <f>2967-E46</f>
        <v>2906</v>
      </c>
      <c r="G47" s="16"/>
    </row>
    <row r="48" spans="2:11" x14ac:dyDescent="0.3">
      <c r="B48" s="6" t="s">
        <v>458</v>
      </c>
      <c r="C48" s="7"/>
      <c r="D48" s="8" t="s">
        <v>427</v>
      </c>
      <c r="E48" s="22"/>
      <c r="F48" s="22"/>
      <c r="G48" s="16"/>
    </row>
    <row r="49" spans="2:9" x14ac:dyDescent="0.3">
      <c r="B49" s="9" t="s">
        <v>101</v>
      </c>
      <c r="C49" s="10"/>
      <c r="D49" s="34"/>
      <c r="E49" s="35">
        <f>E47</f>
        <v>62</v>
      </c>
      <c r="F49" s="36"/>
      <c r="G49" s="37"/>
    </row>
    <row r="50" spans="2:9" x14ac:dyDescent="0.3">
      <c r="B50" s="25" t="s">
        <v>104</v>
      </c>
      <c r="C50" s="4"/>
      <c r="D50" s="28" t="s">
        <v>65</v>
      </c>
      <c r="E50" s="29">
        <f>E49</f>
        <v>62</v>
      </c>
      <c r="F50" s="29">
        <v>1</v>
      </c>
      <c r="G50" s="72" t="s">
        <v>360</v>
      </c>
      <c r="I50">
        <f t="shared" si="0"/>
        <v>95</v>
      </c>
    </row>
    <row r="51" spans="2:9" x14ac:dyDescent="0.3">
      <c r="B51" s="25" t="s">
        <v>102</v>
      </c>
      <c r="C51" s="4"/>
      <c r="D51" s="28" t="s">
        <v>66</v>
      </c>
      <c r="E51" s="29"/>
      <c r="F51" s="29"/>
      <c r="G51" s="73"/>
    </row>
    <row r="52" spans="2:9" x14ac:dyDescent="0.3">
      <c r="B52" s="25" t="s">
        <v>103</v>
      </c>
      <c r="C52" s="4"/>
      <c r="D52" s="28" t="s">
        <v>67</v>
      </c>
      <c r="E52" s="29"/>
      <c r="F52" s="29"/>
      <c r="G52" s="73"/>
    </row>
    <row r="53" spans="2:9" x14ac:dyDescent="0.3">
      <c r="B53" s="25" t="s">
        <v>252</v>
      </c>
      <c r="C53" s="4"/>
      <c r="D53" s="28" t="s">
        <v>253</v>
      </c>
      <c r="E53" s="29"/>
      <c r="F53" s="29"/>
      <c r="G53" s="74"/>
    </row>
    <row r="54" spans="2:9" x14ac:dyDescent="0.3">
      <c r="B54" s="25" t="s">
        <v>196</v>
      </c>
      <c r="C54" s="4"/>
      <c r="D54" s="28" t="s">
        <v>54</v>
      </c>
      <c r="E54" s="29">
        <f>E50+F50</f>
        <v>63</v>
      </c>
      <c r="F54" s="29">
        <v>2</v>
      </c>
      <c r="G54" s="75" t="s">
        <v>359</v>
      </c>
      <c r="I54">
        <f t="shared" si="0"/>
        <v>96</v>
      </c>
    </row>
    <row r="55" spans="2:9" x14ac:dyDescent="0.3">
      <c r="B55" s="25" t="s">
        <v>197</v>
      </c>
      <c r="C55" s="4"/>
      <c r="D55" s="28" t="s">
        <v>194</v>
      </c>
      <c r="E55" s="29"/>
      <c r="F55" s="29"/>
      <c r="G55" s="76"/>
    </row>
    <row r="56" spans="2:9" x14ac:dyDescent="0.3">
      <c r="B56" s="25" t="s">
        <v>198</v>
      </c>
      <c r="C56" s="4"/>
      <c r="D56" s="28" t="s">
        <v>195</v>
      </c>
      <c r="E56" s="29"/>
      <c r="F56" s="29"/>
      <c r="G56" s="77"/>
    </row>
    <row r="57" spans="2:9" x14ac:dyDescent="0.3">
      <c r="B57" s="25" t="s">
        <v>261</v>
      </c>
      <c r="C57" s="4"/>
      <c r="D57" s="28" t="s">
        <v>68</v>
      </c>
      <c r="E57" s="29">
        <f>E54+F54</f>
        <v>65</v>
      </c>
      <c r="F57" s="29">
        <v>2</v>
      </c>
      <c r="G57" s="75" t="s">
        <v>359</v>
      </c>
      <c r="I57">
        <f t="shared" si="0"/>
        <v>98</v>
      </c>
    </row>
    <row r="58" spans="2:9" x14ac:dyDescent="0.3">
      <c r="B58" s="25" t="s">
        <v>262</v>
      </c>
      <c r="C58" s="4"/>
      <c r="D58" s="28" t="s">
        <v>265</v>
      </c>
      <c r="E58" s="29"/>
      <c r="F58" s="29"/>
      <c r="G58" s="76"/>
    </row>
    <row r="59" spans="2:9" x14ac:dyDescent="0.3">
      <c r="B59" s="25" t="s">
        <v>263</v>
      </c>
      <c r="C59" s="4"/>
      <c r="D59" s="28" t="s">
        <v>264</v>
      </c>
      <c r="E59" s="29"/>
      <c r="F59" s="29"/>
      <c r="G59" s="76"/>
    </row>
    <row r="60" spans="2:9" x14ac:dyDescent="0.3">
      <c r="B60" s="25" t="s">
        <v>266</v>
      </c>
      <c r="C60" s="4"/>
      <c r="D60" s="28" t="s">
        <v>267</v>
      </c>
      <c r="E60" s="29"/>
      <c r="F60" s="29"/>
      <c r="G60" s="77"/>
    </row>
    <row r="61" spans="2:9" x14ac:dyDescent="0.3">
      <c r="B61" s="25" t="s">
        <v>200</v>
      </c>
      <c r="C61" s="4"/>
      <c r="D61" s="28" t="s">
        <v>367</v>
      </c>
      <c r="E61" s="27">
        <f>E57+F57</f>
        <v>67</v>
      </c>
      <c r="F61" s="29">
        <v>16</v>
      </c>
      <c r="G61" s="32" t="s">
        <v>360</v>
      </c>
      <c r="I61">
        <f t="shared" si="0"/>
        <v>100</v>
      </c>
    </row>
    <row r="62" spans="2:9" x14ac:dyDescent="0.3">
      <c r="B62" s="25" t="s">
        <v>269</v>
      </c>
      <c r="C62" s="4"/>
      <c r="D62" s="28" t="s">
        <v>268</v>
      </c>
      <c r="E62" s="27">
        <f>E61+F61</f>
        <v>83</v>
      </c>
      <c r="F62" s="29">
        <v>3</v>
      </c>
      <c r="G62" s="72" t="s">
        <v>360</v>
      </c>
      <c r="I62">
        <f t="shared" si="0"/>
        <v>116</v>
      </c>
    </row>
    <row r="63" spans="2:9" ht="28.8" x14ac:dyDescent="0.3">
      <c r="B63" s="11" t="s">
        <v>317</v>
      </c>
      <c r="C63" s="12"/>
      <c r="D63" s="38" t="s">
        <v>273</v>
      </c>
      <c r="E63" s="29"/>
      <c r="F63" s="29"/>
      <c r="G63" s="73"/>
      <c r="H63" s="13"/>
    </row>
    <row r="64" spans="2:9" x14ac:dyDescent="0.3">
      <c r="B64" s="25" t="s">
        <v>274</v>
      </c>
      <c r="C64" s="4"/>
      <c r="D64" s="28" t="s">
        <v>270</v>
      </c>
      <c r="E64" s="29"/>
      <c r="F64" s="29"/>
      <c r="G64" s="73"/>
    </row>
    <row r="65" spans="2:8" x14ac:dyDescent="0.3">
      <c r="B65" s="25" t="s">
        <v>275</v>
      </c>
      <c r="C65" s="4"/>
      <c r="D65" s="28" t="s">
        <v>271</v>
      </c>
      <c r="E65" s="29"/>
      <c r="F65" s="29"/>
      <c r="G65" s="73"/>
    </row>
    <row r="66" spans="2:8" x14ac:dyDescent="0.3">
      <c r="B66" s="25" t="s">
        <v>276</v>
      </c>
      <c r="C66" s="4"/>
      <c r="D66" s="28" t="s">
        <v>272</v>
      </c>
      <c r="E66" s="29"/>
      <c r="F66" s="29"/>
      <c r="G66" s="73"/>
    </row>
    <row r="67" spans="2:8" ht="28.8" x14ac:dyDescent="0.3">
      <c r="B67" s="11" t="s">
        <v>318</v>
      </c>
      <c r="C67" s="12"/>
      <c r="D67" s="38" t="s">
        <v>287</v>
      </c>
      <c r="E67" s="29"/>
      <c r="F67" s="29"/>
      <c r="G67" s="73"/>
      <c r="H67" s="13"/>
    </row>
    <row r="68" spans="2:8" x14ac:dyDescent="0.3">
      <c r="B68" s="25" t="s">
        <v>292</v>
      </c>
      <c r="C68" s="4"/>
      <c r="D68" s="28" t="s">
        <v>290</v>
      </c>
      <c r="E68" s="29"/>
      <c r="F68" s="29"/>
      <c r="G68" s="73"/>
    </row>
    <row r="69" spans="2:8" x14ac:dyDescent="0.3">
      <c r="B69" s="25" t="s">
        <v>291</v>
      </c>
      <c r="C69" s="4"/>
      <c r="D69" s="28" t="s">
        <v>288</v>
      </c>
      <c r="E69" s="29"/>
      <c r="F69" s="29"/>
      <c r="G69" s="73"/>
    </row>
    <row r="70" spans="2:8" x14ac:dyDescent="0.3">
      <c r="B70" s="25" t="s">
        <v>293</v>
      </c>
      <c r="C70" s="4"/>
      <c r="D70" s="28" t="s">
        <v>289</v>
      </c>
      <c r="E70" s="29"/>
      <c r="F70" s="29"/>
      <c r="G70" s="73"/>
    </row>
    <row r="71" spans="2:8" ht="28.8" x14ac:dyDescent="0.3">
      <c r="B71" s="11" t="s">
        <v>319</v>
      </c>
      <c r="C71" s="12"/>
      <c r="D71" s="38" t="s">
        <v>286</v>
      </c>
      <c r="E71" s="29"/>
      <c r="F71" s="29"/>
      <c r="G71" s="73"/>
      <c r="H71" s="13"/>
    </row>
    <row r="72" spans="2:8" x14ac:dyDescent="0.3">
      <c r="B72" s="25" t="s">
        <v>284</v>
      </c>
      <c r="C72" s="4"/>
      <c r="D72" s="28" t="s">
        <v>280</v>
      </c>
      <c r="E72" s="29"/>
      <c r="F72" s="29"/>
      <c r="G72" s="73"/>
    </row>
    <row r="73" spans="2:8" x14ac:dyDescent="0.3">
      <c r="B73" s="25" t="s">
        <v>283</v>
      </c>
      <c r="C73" s="4"/>
      <c r="D73" s="28" t="s">
        <v>281</v>
      </c>
      <c r="E73" s="29"/>
      <c r="F73" s="29"/>
      <c r="G73" s="73"/>
    </row>
    <row r="74" spans="2:8" x14ac:dyDescent="0.3">
      <c r="B74" s="25" t="s">
        <v>285</v>
      </c>
      <c r="C74" s="4"/>
      <c r="D74" s="28" t="s">
        <v>282</v>
      </c>
      <c r="E74" s="29"/>
      <c r="F74" s="29"/>
      <c r="G74" s="73"/>
    </row>
    <row r="75" spans="2:8" x14ac:dyDescent="0.3">
      <c r="B75" s="25" t="s">
        <v>277</v>
      </c>
      <c r="C75" s="4"/>
      <c r="D75" s="28" t="s">
        <v>220</v>
      </c>
      <c r="E75" s="29"/>
      <c r="F75" s="29"/>
      <c r="G75" s="73"/>
    </row>
    <row r="76" spans="2:8" x14ac:dyDescent="0.3">
      <c r="B76" s="25" t="s">
        <v>278</v>
      </c>
      <c r="C76" s="4"/>
      <c r="D76" s="28" t="s">
        <v>221</v>
      </c>
      <c r="E76" s="29"/>
      <c r="F76" s="29"/>
      <c r="G76" s="73"/>
    </row>
    <row r="77" spans="2:8" x14ac:dyDescent="0.3">
      <c r="B77" s="25" t="s">
        <v>279</v>
      </c>
      <c r="C77" s="4"/>
      <c r="D77" s="28" t="s">
        <v>199</v>
      </c>
      <c r="E77" s="29"/>
      <c r="F77" s="29"/>
      <c r="G77" s="73"/>
    </row>
    <row r="78" spans="2:8" ht="43.2" x14ac:dyDescent="0.3">
      <c r="B78" s="23" t="s">
        <v>643</v>
      </c>
      <c r="C78" s="4"/>
      <c r="D78" s="38" t="s">
        <v>642</v>
      </c>
      <c r="E78" s="29"/>
      <c r="F78" s="29"/>
      <c r="G78" s="73"/>
    </row>
    <row r="79" spans="2:8" x14ac:dyDescent="0.3">
      <c r="B79" s="25" t="s">
        <v>644</v>
      </c>
      <c r="C79" s="4"/>
      <c r="D79" s="28" t="s">
        <v>649</v>
      </c>
      <c r="E79" s="29"/>
      <c r="F79" s="29"/>
      <c r="G79" s="73"/>
    </row>
    <row r="80" spans="2:8" x14ac:dyDescent="0.3">
      <c r="B80" s="25" t="s">
        <v>646</v>
      </c>
      <c r="C80" s="4"/>
      <c r="D80" s="28" t="s">
        <v>651</v>
      </c>
      <c r="E80" s="29"/>
      <c r="F80" s="29"/>
      <c r="G80" s="73"/>
    </row>
    <row r="81" spans="2:9" x14ac:dyDescent="0.3">
      <c r="B81" s="25" t="s">
        <v>647</v>
      </c>
      <c r="C81" s="4"/>
      <c r="D81" s="28" t="s">
        <v>650</v>
      </c>
      <c r="E81" s="29"/>
      <c r="F81" s="29"/>
      <c r="G81" s="73"/>
    </row>
    <row r="82" spans="2:9" x14ac:dyDescent="0.3">
      <c r="B82" s="25" t="s">
        <v>648</v>
      </c>
      <c r="C82" s="4"/>
      <c r="D82" s="28" t="s">
        <v>652</v>
      </c>
      <c r="E82" s="29"/>
      <c r="F82" s="29"/>
      <c r="G82" s="73"/>
    </row>
    <row r="83" spans="2:9" x14ac:dyDescent="0.3">
      <c r="B83" s="25" t="s">
        <v>645</v>
      </c>
      <c r="C83" s="4"/>
      <c r="D83" s="28" t="s">
        <v>653</v>
      </c>
      <c r="E83" s="29"/>
      <c r="F83" s="29"/>
      <c r="G83" s="74"/>
    </row>
    <row r="84" spans="2:9" x14ac:dyDescent="0.3">
      <c r="B84" s="25" t="s">
        <v>294</v>
      </c>
      <c r="C84" s="4"/>
      <c r="D84" s="28" t="s">
        <v>300</v>
      </c>
      <c r="E84" s="27">
        <f>E62+F62</f>
        <v>86</v>
      </c>
      <c r="F84" s="29">
        <v>2</v>
      </c>
      <c r="G84" s="72" t="s">
        <v>360</v>
      </c>
      <c r="I84">
        <f t="shared" ref="I84:I123" si="1">E84+33</f>
        <v>119</v>
      </c>
    </row>
    <row r="85" spans="2:9" x14ac:dyDescent="0.3">
      <c r="B85" s="25" t="s">
        <v>298</v>
      </c>
      <c r="C85" s="4"/>
      <c r="D85" s="28" t="s">
        <v>170</v>
      </c>
      <c r="E85" s="27"/>
      <c r="F85" s="29"/>
      <c r="G85" s="73"/>
    </row>
    <row r="86" spans="2:9" x14ac:dyDescent="0.3">
      <c r="B86" s="25" t="s">
        <v>295</v>
      </c>
      <c r="C86" s="4"/>
      <c r="D86" s="28" t="s">
        <v>167</v>
      </c>
      <c r="E86" s="27"/>
      <c r="F86" s="29"/>
      <c r="G86" s="73"/>
    </row>
    <row r="87" spans="2:9" x14ac:dyDescent="0.3">
      <c r="B87" s="25" t="s">
        <v>297</v>
      </c>
      <c r="C87" s="4"/>
      <c r="D87" s="28" t="s">
        <v>168</v>
      </c>
      <c r="E87" s="27"/>
      <c r="F87" s="29"/>
      <c r="G87" s="73"/>
    </row>
    <row r="88" spans="2:9" x14ac:dyDescent="0.3">
      <c r="B88" s="25" t="s">
        <v>296</v>
      </c>
      <c r="C88" s="4"/>
      <c r="D88" s="28" t="s">
        <v>169</v>
      </c>
      <c r="E88" s="27"/>
      <c r="F88" s="29"/>
      <c r="G88" s="73"/>
    </row>
    <row r="89" spans="2:9" x14ac:dyDescent="0.3">
      <c r="B89" s="25" t="s">
        <v>299</v>
      </c>
      <c r="C89" s="4"/>
      <c r="D89" s="28" t="s">
        <v>241</v>
      </c>
      <c r="E89" s="27"/>
      <c r="F89" s="29"/>
      <c r="G89" s="74"/>
    </row>
    <row r="90" spans="2:9" x14ac:dyDescent="0.3">
      <c r="B90" s="25" t="s">
        <v>242</v>
      </c>
      <c r="C90" s="4"/>
      <c r="D90" s="39" t="s">
        <v>243</v>
      </c>
      <c r="E90" s="40">
        <f>E84+F84</f>
        <v>88</v>
      </c>
      <c r="F90" s="41">
        <v>1</v>
      </c>
      <c r="G90" s="72" t="s">
        <v>360</v>
      </c>
      <c r="I90">
        <f t="shared" si="1"/>
        <v>121</v>
      </c>
    </row>
    <row r="91" spans="2:9" x14ac:dyDescent="0.3">
      <c r="B91" s="25" t="s">
        <v>248</v>
      </c>
      <c r="C91" s="4"/>
      <c r="D91" s="28" t="s">
        <v>244</v>
      </c>
      <c r="E91" s="40"/>
      <c r="F91" s="41"/>
      <c r="G91" s="73"/>
    </row>
    <row r="92" spans="2:9" x14ac:dyDescent="0.3">
      <c r="B92" s="25" t="s">
        <v>247</v>
      </c>
      <c r="C92" s="4"/>
      <c r="D92" s="28" t="s">
        <v>245</v>
      </c>
      <c r="E92" s="40"/>
      <c r="F92" s="41"/>
      <c r="G92" s="73"/>
    </row>
    <row r="93" spans="2:9" x14ac:dyDescent="0.3">
      <c r="B93" s="25" t="s">
        <v>246</v>
      </c>
      <c r="C93" s="4"/>
      <c r="D93" s="28" t="s">
        <v>303</v>
      </c>
      <c r="E93" s="40"/>
      <c r="F93" s="41"/>
      <c r="G93" s="73"/>
    </row>
    <row r="94" spans="2:9" x14ac:dyDescent="0.3">
      <c r="B94" s="25" t="s">
        <v>301</v>
      </c>
      <c r="C94" s="4"/>
      <c r="D94" s="28" t="s">
        <v>302</v>
      </c>
      <c r="E94" s="40"/>
      <c r="F94" s="41"/>
      <c r="G94" s="74"/>
    </row>
    <row r="95" spans="2:9" x14ac:dyDescent="0.3">
      <c r="B95" s="42" t="s">
        <v>105</v>
      </c>
      <c r="C95" s="43"/>
      <c r="D95" s="39" t="s">
        <v>49</v>
      </c>
      <c r="E95" s="40">
        <f>E90+F90</f>
        <v>89</v>
      </c>
      <c r="F95" s="41">
        <v>3</v>
      </c>
      <c r="G95" s="32" t="s">
        <v>360</v>
      </c>
      <c r="I95">
        <f t="shared" si="1"/>
        <v>122</v>
      </c>
    </row>
    <row r="96" spans="2:9" x14ac:dyDescent="0.3">
      <c r="B96" s="25" t="s">
        <v>306</v>
      </c>
      <c r="C96" s="4"/>
      <c r="D96" s="28" t="s">
        <v>304</v>
      </c>
      <c r="E96" s="27">
        <f t="shared" ref="E96" si="2">E95+F95</f>
        <v>92</v>
      </c>
      <c r="F96" s="29">
        <v>10</v>
      </c>
      <c r="G96" s="32" t="s">
        <v>360</v>
      </c>
      <c r="I96">
        <f t="shared" si="1"/>
        <v>125</v>
      </c>
    </row>
    <row r="97" spans="2:9" x14ac:dyDescent="0.3">
      <c r="B97" s="53" t="s">
        <v>307</v>
      </c>
      <c r="C97" s="4"/>
      <c r="D97" s="28" t="s">
        <v>305</v>
      </c>
      <c r="E97" s="27">
        <f>E96+F96</f>
        <v>102</v>
      </c>
      <c r="F97" s="29">
        <v>10</v>
      </c>
      <c r="G97" s="72" t="s">
        <v>360</v>
      </c>
      <c r="I97">
        <f t="shared" si="1"/>
        <v>135</v>
      </c>
    </row>
    <row r="98" spans="2:9" x14ac:dyDescent="0.3">
      <c r="B98" s="25" t="s">
        <v>255</v>
      </c>
      <c r="C98" s="4"/>
      <c r="D98" s="28" t="s">
        <v>258</v>
      </c>
      <c r="E98" s="27"/>
      <c r="F98" s="29"/>
      <c r="G98" s="73"/>
    </row>
    <row r="99" spans="2:9" x14ac:dyDescent="0.3">
      <c r="B99" s="25" t="s">
        <v>256</v>
      </c>
      <c r="C99" s="4"/>
      <c r="D99" s="28"/>
      <c r="E99" s="27"/>
      <c r="F99" s="29"/>
      <c r="G99" s="73"/>
    </row>
    <row r="100" spans="2:9" x14ac:dyDescent="0.3">
      <c r="B100" s="25" t="s">
        <v>429</v>
      </c>
      <c r="C100" s="4"/>
      <c r="D100" s="28"/>
      <c r="E100" s="27"/>
      <c r="F100" s="29"/>
      <c r="G100" s="73"/>
    </row>
    <row r="101" spans="2:9" x14ac:dyDescent="0.3">
      <c r="B101" s="25" t="s">
        <v>430</v>
      </c>
      <c r="C101" s="4"/>
      <c r="D101" s="28"/>
      <c r="E101" s="27"/>
      <c r="F101" s="29"/>
      <c r="G101" s="73"/>
    </row>
    <row r="102" spans="2:9" x14ac:dyDescent="0.3">
      <c r="B102" s="25" t="s">
        <v>431</v>
      </c>
      <c r="C102" s="4"/>
      <c r="D102" s="28"/>
      <c r="E102" s="27"/>
      <c r="F102" s="29"/>
      <c r="G102" s="73"/>
    </row>
    <row r="103" spans="2:9" x14ac:dyDescent="0.3">
      <c r="B103" s="25" t="s">
        <v>432</v>
      </c>
      <c r="C103" s="4"/>
      <c r="D103" s="28"/>
      <c r="E103" s="27"/>
      <c r="F103" s="29"/>
      <c r="G103" s="73"/>
    </row>
    <row r="104" spans="2:9" x14ac:dyDescent="0.3">
      <c r="B104" s="25" t="s">
        <v>433</v>
      </c>
      <c r="C104" s="4"/>
      <c r="D104" s="28"/>
      <c r="E104" s="27"/>
      <c r="F104" s="29"/>
      <c r="G104" s="73"/>
    </row>
    <row r="105" spans="2:9" x14ac:dyDescent="0.3">
      <c r="B105" s="25" t="s">
        <v>434</v>
      </c>
      <c r="C105" s="4"/>
      <c r="D105" s="28"/>
      <c r="E105" s="27"/>
      <c r="F105" s="29"/>
      <c r="G105" s="73"/>
    </row>
    <row r="106" spans="2:9" x14ac:dyDescent="0.3">
      <c r="B106" s="25" t="s">
        <v>435</v>
      </c>
      <c r="C106" s="4"/>
      <c r="D106" s="28"/>
      <c r="E106" s="27"/>
      <c r="F106" s="29"/>
      <c r="G106" s="73"/>
    </row>
    <row r="107" spans="2:9" x14ac:dyDescent="0.3">
      <c r="B107" s="25" t="s">
        <v>436</v>
      </c>
      <c r="C107" s="4"/>
      <c r="D107" s="28"/>
      <c r="E107" s="27"/>
      <c r="F107" s="29"/>
      <c r="G107" s="73"/>
    </row>
    <row r="108" spans="2:9" x14ac:dyDescent="0.3">
      <c r="B108" s="25" t="s">
        <v>437</v>
      </c>
      <c r="C108" s="4"/>
      <c r="D108" s="28"/>
      <c r="E108" s="27"/>
      <c r="F108" s="29"/>
      <c r="G108" s="73"/>
    </row>
    <row r="109" spans="2:9" x14ac:dyDescent="0.3">
      <c r="B109" s="25" t="s">
        <v>438</v>
      </c>
      <c r="C109" s="4"/>
      <c r="D109" s="28"/>
      <c r="E109" s="27"/>
      <c r="F109" s="29"/>
      <c r="G109" s="73"/>
    </row>
    <row r="110" spans="2:9" x14ac:dyDescent="0.3">
      <c r="B110" s="25" t="s">
        <v>439</v>
      </c>
      <c r="C110" s="4"/>
      <c r="D110" s="28"/>
      <c r="E110" s="27"/>
      <c r="F110" s="29"/>
      <c r="G110" s="73"/>
    </row>
    <row r="111" spans="2:9" x14ac:dyDescent="0.3">
      <c r="B111" s="25" t="s">
        <v>440</v>
      </c>
      <c r="C111" s="4"/>
      <c r="D111" s="28"/>
      <c r="E111" s="27"/>
      <c r="F111" s="29"/>
      <c r="G111" s="73"/>
    </row>
    <row r="112" spans="2:9" x14ac:dyDescent="0.3">
      <c r="B112" s="25" t="s">
        <v>441</v>
      </c>
      <c r="C112" s="4"/>
      <c r="D112" s="28"/>
      <c r="E112" s="27"/>
      <c r="F112" s="29"/>
      <c r="G112" s="73"/>
    </row>
    <row r="113" spans="1:11" x14ac:dyDescent="0.3">
      <c r="B113" s="25" t="s">
        <v>620</v>
      </c>
      <c r="C113" s="4"/>
      <c r="D113" s="28"/>
      <c r="E113" s="27"/>
      <c r="F113" s="29"/>
      <c r="G113" s="73"/>
    </row>
    <row r="114" spans="1:11" x14ac:dyDescent="0.3">
      <c r="B114" s="25" t="s">
        <v>619</v>
      </c>
      <c r="C114" s="4"/>
      <c r="D114" s="28"/>
      <c r="E114" s="27"/>
      <c r="F114" s="29"/>
      <c r="G114" s="73"/>
    </row>
    <row r="115" spans="1:11" x14ac:dyDescent="0.3">
      <c r="B115" s="25" t="s">
        <v>321</v>
      </c>
      <c r="C115" s="4"/>
      <c r="D115" s="28" t="s">
        <v>259</v>
      </c>
      <c r="E115" s="27"/>
      <c r="F115" s="29"/>
      <c r="G115" s="73"/>
    </row>
    <row r="116" spans="1:11" x14ac:dyDescent="0.3">
      <c r="B116" s="25" t="s">
        <v>428</v>
      </c>
      <c r="C116" s="4"/>
      <c r="D116" s="28"/>
      <c r="E116" s="27"/>
      <c r="F116" s="29"/>
      <c r="G116" s="73"/>
    </row>
    <row r="117" spans="1:11" x14ac:dyDescent="0.3">
      <c r="B117" s="25" t="s">
        <v>320</v>
      </c>
      <c r="C117" s="4"/>
      <c r="D117" s="28" t="s">
        <v>260</v>
      </c>
      <c r="E117" s="27"/>
      <c r="F117" s="29"/>
      <c r="G117" s="73"/>
    </row>
    <row r="118" spans="1:11" x14ac:dyDescent="0.3">
      <c r="B118" s="25" t="s">
        <v>257</v>
      </c>
      <c r="C118" s="4"/>
      <c r="D118" s="28"/>
      <c r="E118" s="27"/>
      <c r="F118" s="29"/>
      <c r="G118" s="73"/>
    </row>
    <row r="119" spans="1:11" x14ac:dyDescent="0.3">
      <c r="B119" s="25" t="s">
        <v>394</v>
      </c>
      <c r="C119" s="4"/>
      <c r="D119" s="28" t="s">
        <v>404</v>
      </c>
      <c r="E119" s="27"/>
      <c r="F119" s="29"/>
      <c r="G119" s="73"/>
      <c r="K119" s="19"/>
    </row>
    <row r="120" spans="1:11" x14ac:dyDescent="0.3">
      <c r="B120" s="25" t="s">
        <v>395</v>
      </c>
      <c r="C120" s="4"/>
      <c r="D120" s="28"/>
      <c r="E120" s="27"/>
      <c r="F120" s="29"/>
      <c r="G120" s="73"/>
      <c r="K120" s="19"/>
    </row>
    <row r="121" spans="1:11" x14ac:dyDescent="0.3">
      <c r="A121" s="13"/>
      <c r="B121" s="44" t="s">
        <v>348</v>
      </c>
      <c r="C121" s="12"/>
      <c r="D121" s="38" t="s">
        <v>347</v>
      </c>
      <c r="E121" s="27">
        <f>E97+F97</f>
        <v>112</v>
      </c>
      <c r="F121" s="29">
        <v>40</v>
      </c>
      <c r="G121" s="32" t="s">
        <v>360</v>
      </c>
      <c r="I121">
        <f t="shared" si="1"/>
        <v>145</v>
      </c>
    </row>
    <row r="122" spans="1:11" x14ac:dyDescent="0.3">
      <c r="B122" s="9" t="s">
        <v>106</v>
      </c>
      <c r="C122" s="10"/>
      <c r="D122" s="34"/>
      <c r="E122" s="35">
        <f>E121+F121</f>
        <v>152</v>
      </c>
      <c r="F122" s="36"/>
      <c r="G122" s="37"/>
      <c r="I122">
        <f t="shared" si="1"/>
        <v>185</v>
      </c>
    </row>
    <row r="123" spans="1:11" x14ac:dyDescent="0.3">
      <c r="B123" s="25" t="s">
        <v>107</v>
      </c>
      <c r="C123" s="4"/>
      <c r="D123" s="28" t="s">
        <v>9</v>
      </c>
      <c r="E123" s="27">
        <f t="shared" ref="E123:E134" si="3">E122+F122</f>
        <v>152</v>
      </c>
      <c r="F123" s="29">
        <v>40</v>
      </c>
      <c r="G123" s="30" t="s">
        <v>359</v>
      </c>
      <c r="I123">
        <f t="shared" si="1"/>
        <v>185</v>
      </c>
    </row>
    <row r="124" spans="1:11" x14ac:dyDescent="0.3">
      <c r="B124" s="25" t="s">
        <v>108</v>
      </c>
      <c r="C124" s="4"/>
      <c r="D124" s="28" t="s">
        <v>50</v>
      </c>
      <c r="E124" s="27">
        <f t="shared" si="3"/>
        <v>192</v>
      </c>
      <c r="F124" s="29">
        <v>4</v>
      </c>
      <c r="G124" s="30" t="s">
        <v>359</v>
      </c>
      <c r="I124">
        <f t="shared" ref="I124:I132" si="4">E124+33</f>
        <v>225</v>
      </c>
    </row>
    <row r="125" spans="1:11" x14ac:dyDescent="0.3">
      <c r="B125" s="25" t="s">
        <v>109</v>
      </c>
      <c r="C125" s="4"/>
      <c r="D125" s="28" t="s">
        <v>10</v>
      </c>
      <c r="E125" s="27">
        <f t="shared" si="3"/>
        <v>196</v>
      </c>
      <c r="F125" s="29">
        <v>40</v>
      </c>
      <c r="G125" s="30" t="s">
        <v>359</v>
      </c>
      <c r="I125">
        <f t="shared" si="4"/>
        <v>229</v>
      </c>
    </row>
    <row r="126" spans="1:11" x14ac:dyDescent="0.3">
      <c r="B126" s="25" t="s">
        <v>110</v>
      </c>
      <c r="C126" s="4"/>
      <c r="D126" s="28" t="s">
        <v>11</v>
      </c>
      <c r="E126" s="27">
        <f t="shared" si="3"/>
        <v>236</v>
      </c>
      <c r="F126" s="29">
        <v>40</v>
      </c>
      <c r="G126" s="33" t="s">
        <v>358</v>
      </c>
      <c r="I126">
        <f t="shared" si="4"/>
        <v>269</v>
      </c>
    </row>
    <row r="127" spans="1:11" x14ac:dyDescent="0.3">
      <c r="B127" s="25" t="s">
        <v>111</v>
      </c>
      <c r="C127" s="4"/>
      <c r="D127" s="28" t="s">
        <v>12</v>
      </c>
      <c r="E127" s="27">
        <f t="shared" si="3"/>
        <v>276</v>
      </c>
      <c r="F127" s="29">
        <v>40</v>
      </c>
      <c r="G127" s="33" t="s">
        <v>358</v>
      </c>
      <c r="I127">
        <f t="shared" si="4"/>
        <v>309</v>
      </c>
    </row>
    <row r="128" spans="1:11" x14ac:dyDescent="0.3">
      <c r="B128" s="25" t="s">
        <v>112</v>
      </c>
      <c r="C128" s="4"/>
      <c r="D128" s="28" t="s">
        <v>51</v>
      </c>
      <c r="E128" s="27">
        <f t="shared" si="3"/>
        <v>316</v>
      </c>
      <c r="F128" s="29">
        <v>9</v>
      </c>
      <c r="G128" s="30" t="s">
        <v>359</v>
      </c>
      <c r="I128">
        <f t="shared" si="4"/>
        <v>349</v>
      </c>
    </row>
    <row r="129" spans="2:24" x14ac:dyDescent="0.3">
      <c r="B129" s="25" t="s">
        <v>113</v>
      </c>
      <c r="C129" s="4"/>
      <c r="D129" s="28" t="s">
        <v>13</v>
      </c>
      <c r="E129" s="27">
        <f t="shared" si="3"/>
        <v>325</v>
      </c>
      <c r="F129" s="29">
        <v>40</v>
      </c>
      <c r="G129" s="30" t="s">
        <v>359</v>
      </c>
      <c r="I129">
        <f t="shared" si="4"/>
        <v>358</v>
      </c>
    </row>
    <row r="130" spans="2:24" x14ac:dyDescent="0.3">
      <c r="B130" s="25" t="s">
        <v>209</v>
      </c>
      <c r="C130" s="4"/>
      <c r="D130" s="28" t="s">
        <v>207</v>
      </c>
      <c r="E130" s="27">
        <f>E129+F129</f>
        <v>365</v>
      </c>
      <c r="F130" s="29">
        <v>3</v>
      </c>
      <c r="G130" s="30" t="s">
        <v>359</v>
      </c>
      <c r="I130">
        <f t="shared" si="4"/>
        <v>398</v>
      </c>
    </row>
    <row r="131" spans="2:24" x14ac:dyDescent="0.3">
      <c r="B131" s="25" t="s">
        <v>231</v>
      </c>
      <c r="C131" s="4"/>
      <c r="D131" s="28" t="s">
        <v>232</v>
      </c>
      <c r="E131" s="27">
        <f>E130+F130</f>
        <v>368</v>
      </c>
      <c r="F131" s="29">
        <v>40</v>
      </c>
      <c r="G131" s="30" t="s">
        <v>359</v>
      </c>
      <c r="I131">
        <f t="shared" si="4"/>
        <v>401</v>
      </c>
    </row>
    <row r="132" spans="2:24" x14ac:dyDescent="0.3">
      <c r="B132" s="25" t="s">
        <v>233</v>
      </c>
      <c r="C132" s="4"/>
      <c r="D132" s="28" t="s">
        <v>234</v>
      </c>
      <c r="E132" s="27">
        <f t="shared" si="3"/>
        <v>408</v>
      </c>
      <c r="F132" s="29">
        <v>4</v>
      </c>
      <c r="G132" s="30" t="s">
        <v>359</v>
      </c>
      <c r="I132">
        <f t="shared" si="4"/>
        <v>441</v>
      </c>
    </row>
    <row r="133" spans="2:24" x14ac:dyDescent="0.3">
      <c r="B133" s="25" t="s">
        <v>309</v>
      </c>
      <c r="C133" s="4"/>
      <c r="D133" s="28" t="s">
        <v>308</v>
      </c>
      <c r="E133" s="27">
        <f t="shared" si="3"/>
        <v>412</v>
      </c>
      <c r="F133" s="29">
        <v>22</v>
      </c>
      <c r="G133" s="30" t="s">
        <v>359</v>
      </c>
      <c r="I133">
        <f>E133+33</f>
        <v>445</v>
      </c>
    </row>
    <row r="134" spans="2:24" x14ac:dyDescent="0.3">
      <c r="B134" s="25" t="s">
        <v>114</v>
      </c>
      <c r="C134" s="4"/>
      <c r="D134" s="28" t="s">
        <v>56</v>
      </c>
      <c r="E134" s="27">
        <f t="shared" si="3"/>
        <v>434</v>
      </c>
      <c r="F134" s="29">
        <v>1</v>
      </c>
      <c r="G134" s="75" t="s">
        <v>359</v>
      </c>
      <c r="I134">
        <f t="shared" ref="I134:I197" si="5">E134+33</f>
        <v>467</v>
      </c>
    </row>
    <row r="135" spans="2:24" x14ac:dyDescent="0.3">
      <c r="B135" s="25" t="s">
        <v>190</v>
      </c>
      <c r="C135" s="4"/>
      <c r="D135" s="28" t="s">
        <v>192</v>
      </c>
      <c r="E135" s="27"/>
      <c r="F135" s="29"/>
      <c r="G135" s="76"/>
    </row>
    <row r="136" spans="2:24" x14ac:dyDescent="0.3">
      <c r="B136" s="25" t="s">
        <v>191</v>
      </c>
      <c r="C136" s="4"/>
      <c r="D136" s="28" t="s">
        <v>193</v>
      </c>
      <c r="E136" s="27"/>
      <c r="F136" s="29"/>
      <c r="G136" s="77"/>
    </row>
    <row r="137" spans="2:24" x14ac:dyDescent="0.3">
      <c r="B137" s="9" t="s">
        <v>115</v>
      </c>
      <c r="C137" s="10"/>
      <c r="D137" s="34"/>
      <c r="E137" s="35">
        <f>E134+F134</f>
        <v>435</v>
      </c>
      <c r="F137" s="36"/>
      <c r="G137" s="37"/>
      <c r="I137">
        <f t="shared" si="5"/>
        <v>468</v>
      </c>
    </row>
    <row r="138" spans="2:24" x14ac:dyDescent="0.3">
      <c r="B138" s="25" t="s">
        <v>214</v>
      </c>
      <c r="C138" s="4"/>
      <c r="D138" s="28" t="s">
        <v>210</v>
      </c>
      <c r="E138" s="27">
        <f>E137+F137</f>
        <v>435</v>
      </c>
      <c r="F138" s="29">
        <v>8</v>
      </c>
      <c r="G138" s="32" t="s">
        <v>360</v>
      </c>
      <c r="I138">
        <f t="shared" si="5"/>
        <v>468</v>
      </c>
    </row>
    <row r="139" spans="2:24" x14ac:dyDescent="0.3">
      <c r="B139" s="25" t="s">
        <v>215</v>
      </c>
      <c r="C139" s="4"/>
      <c r="D139" s="28" t="s">
        <v>211</v>
      </c>
      <c r="E139" s="27">
        <f t="shared" ref="E139:E148" si="6">E138+F138</f>
        <v>443</v>
      </c>
      <c r="F139" s="29">
        <v>8</v>
      </c>
      <c r="G139" s="32" t="s">
        <v>360</v>
      </c>
      <c r="I139">
        <f t="shared" si="5"/>
        <v>476</v>
      </c>
    </row>
    <row r="140" spans="2:24" x14ac:dyDescent="0.3">
      <c r="B140" s="25" t="s">
        <v>216</v>
      </c>
      <c r="C140" s="4"/>
      <c r="D140" s="28" t="s">
        <v>212</v>
      </c>
      <c r="E140" s="27">
        <f t="shared" si="6"/>
        <v>451</v>
      </c>
      <c r="F140" s="29">
        <v>8</v>
      </c>
      <c r="G140" s="32" t="s">
        <v>360</v>
      </c>
      <c r="I140">
        <f t="shared" si="5"/>
        <v>484</v>
      </c>
    </row>
    <row r="141" spans="2:24" x14ac:dyDescent="0.3">
      <c r="B141" s="25" t="s">
        <v>217</v>
      </c>
      <c r="C141" s="4"/>
      <c r="D141" s="28" t="s">
        <v>213</v>
      </c>
      <c r="E141" s="27">
        <f t="shared" si="6"/>
        <v>459</v>
      </c>
      <c r="F141" s="29">
        <v>8</v>
      </c>
      <c r="G141" s="32" t="s">
        <v>360</v>
      </c>
      <c r="I141">
        <f t="shared" si="5"/>
        <v>492</v>
      </c>
    </row>
    <row r="142" spans="2:24" x14ac:dyDescent="0.3">
      <c r="B142" s="25" t="s">
        <v>218</v>
      </c>
      <c r="C142" s="4"/>
      <c r="D142" s="28" t="s">
        <v>213</v>
      </c>
      <c r="E142" s="27">
        <f t="shared" si="6"/>
        <v>467</v>
      </c>
      <c r="F142" s="29">
        <v>8</v>
      </c>
      <c r="G142" s="30" t="s">
        <v>359</v>
      </c>
      <c r="I142">
        <f t="shared" si="5"/>
        <v>500</v>
      </c>
    </row>
    <row r="143" spans="2:24" x14ac:dyDescent="0.3">
      <c r="B143" s="25" t="s">
        <v>219</v>
      </c>
      <c r="C143" s="4"/>
      <c r="D143" s="28" t="s">
        <v>213</v>
      </c>
      <c r="E143" s="27">
        <f t="shared" si="6"/>
        <v>475</v>
      </c>
      <c r="F143" s="29">
        <v>8</v>
      </c>
      <c r="G143" s="30" t="s">
        <v>359</v>
      </c>
      <c r="I143">
        <f t="shared" si="5"/>
        <v>508</v>
      </c>
      <c r="K143" s="17"/>
      <c r="Q143"/>
      <c r="R143"/>
      <c r="S143"/>
      <c r="T143"/>
      <c r="U143"/>
      <c r="V143"/>
      <c r="W143"/>
      <c r="X143"/>
    </row>
    <row r="144" spans="2:24" x14ac:dyDescent="0.3">
      <c r="B144" s="9" t="s">
        <v>116</v>
      </c>
      <c r="C144" s="10"/>
      <c r="D144" s="34"/>
      <c r="E144" s="35">
        <f t="shared" si="6"/>
        <v>483</v>
      </c>
      <c r="F144" s="36"/>
      <c r="G144" s="37"/>
      <c r="I144">
        <f t="shared" si="5"/>
        <v>516</v>
      </c>
      <c r="K144" s="17"/>
      <c r="Q144"/>
      <c r="R144"/>
      <c r="S144"/>
      <c r="T144"/>
      <c r="U144"/>
      <c r="V144"/>
      <c r="W144"/>
      <c r="X144"/>
    </row>
    <row r="145" spans="2:24" ht="28.8" x14ac:dyDescent="0.3">
      <c r="B145" s="11" t="s">
        <v>495</v>
      </c>
      <c r="C145" s="12"/>
      <c r="D145" s="52" t="s">
        <v>509</v>
      </c>
      <c r="E145" s="27">
        <f t="shared" si="6"/>
        <v>483</v>
      </c>
      <c r="F145" s="29">
        <v>15</v>
      </c>
      <c r="G145" s="33" t="s">
        <v>358</v>
      </c>
      <c r="H145" s="13"/>
      <c r="I145">
        <f t="shared" si="5"/>
        <v>516</v>
      </c>
      <c r="K145" s="17"/>
      <c r="Q145"/>
      <c r="R145"/>
      <c r="S145"/>
      <c r="T145"/>
      <c r="U145"/>
      <c r="V145"/>
      <c r="W145"/>
      <c r="X145"/>
    </row>
    <row r="146" spans="2:24" ht="28.8" x14ac:dyDescent="0.3">
      <c r="B146" s="50" t="s">
        <v>510</v>
      </c>
      <c r="C146" s="51"/>
      <c r="D146" s="52" t="s">
        <v>511</v>
      </c>
      <c r="E146" s="27">
        <f t="shared" si="6"/>
        <v>498</v>
      </c>
      <c r="F146" s="29">
        <v>15</v>
      </c>
      <c r="G146" s="33" t="s">
        <v>358</v>
      </c>
      <c r="H146" s="13"/>
      <c r="I146">
        <f t="shared" si="5"/>
        <v>531</v>
      </c>
      <c r="K146" s="17"/>
      <c r="Q146"/>
      <c r="R146"/>
      <c r="S146"/>
      <c r="T146"/>
      <c r="U146"/>
      <c r="V146"/>
      <c r="W146"/>
      <c r="X146"/>
    </row>
    <row r="147" spans="2:24" ht="28.8" x14ac:dyDescent="0.3">
      <c r="B147" s="11" t="s">
        <v>494</v>
      </c>
      <c r="C147" s="12"/>
      <c r="D147" s="38" t="s">
        <v>175</v>
      </c>
      <c r="E147" s="27">
        <f t="shared" si="6"/>
        <v>513</v>
      </c>
      <c r="F147" s="29">
        <v>15</v>
      </c>
      <c r="G147" s="33" t="s">
        <v>358</v>
      </c>
      <c r="H147" s="13"/>
      <c r="I147">
        <f t="shared" si="5"/>
        <v>546</v>
      </c>
      <c r="K147" s="17"/>
      <c r="Q147"/>
      <c r="R147"/>
      <c r="S147"/>
      <c r="T147"/>
      <c r="U147"/>
      <c r="V147"/>
      <c r="W147"/>
      <c r="X147"/>
    </row>
    <row r="148" spans="2:24" ht="28.8" x14ac:dyDescent="0.3">
      <c r="B148" s="11" t="s">
        <v>493</v>
      </c>
      <c r="C148" s="12"/>
      <c r="D148" s="38" t="s">
        <v>249</v>
      </c>
      <c r="E148" s="27">
        <f t="shared" si="6"/>
        <v>528</v>
      </c>
      <c r="F148" s="29">
        <v>15</v>
      </c>
      <c r="G148" s="33" t="s">
        <v>358</v>
      </c>
      <c r="H148" s="13"/>
      <c r="I148">
        <f t="shared" si="5"/>
        <v>561</v>
      </c>
    </row>
    <row r="149" spans="2:24" ht="28.8" x14ac:dyDescent="0.3">
      <c r="B149" s="11" t="s">
        <v>492</v>
      </c>
      <c r="C149" s="12"/>
      <c r="D149" s="38" t="s">
        <v>171</v>
      </c>
      <c r="E149" s="27">
        <f>E148+F148</f>
        <v>543</v>
      </c>
      <c r="F149" s="29">
        <v>15</v>
      </c>
      <c r="G149" s="33" t="s">
        <v>358</v>
      </c>
      <c r="H149" s="13"/>
      <c r="I149">
        <f t="shared" si="5"/>
        <v>576</v>
      </c>
    </row>
    <row r="150" spans="2:24" ht="28.8" x14ac:dyDescent="0.3">
      <c r="B150" s="11" t="s">
        <v>491</v>
      </c>
      <c r="C150" s="12"/>
      <c r="D150" s="38" t="s">
        <v>186</v>
      </c>
      <c r="E150" s="27">
        <f t="shared" ref="E150:E162" si="7">E149+F149</f>
        <v>558</v>
      </c>
      <c r="F150" s="29">
        <v>15</v>
      </c>
      <c r="G150" s="33" t="s">
        <v>358</v>
      </c>
      <c r="H150" s="13"/>
      <c r="I150">
        <f t="shared" si="5"/>
        <v>591</v>
      </c>
    </row>
    <row r="151" spans="2:24" ht="28.8" x14ac:dyDescent="0.3">
      <c r="B151" s="11" t="s">
        <v>490</v>
      </c>
      <c r="C151" s="12"/>
      <c r="D151" s="38" t="s">
        <v>185</v>
      </c>
      <c r="E151" s="27">
        <f t="shared" si="7"/>
        <v>573</v>
      </c>
      <c r="F151" s="29">
        <v>15</v>
      </c>
      <c r="G151" s="33" t="s">
        <v>358</v>
      </c>
      <c r="H151" s="13"/>
      <c r="I151">
        <f t="shared" si="5"/>
        <v>606</v>
      </c>
    </row>
    <row r="152" spans="2:24" ht="28.8" x14ac:dyDescent="0.3">
      <c r="B152" s="11" t="s">
        <v>489</v>
      </c>
      <c r="C152" s="12"/>
      <c r="D152" s="38" t="s">
        <v>174</v>
      </c>
      <c r="E152" s="27">
        <f t="shared" si="7"/>
        <v>588</v>
      </c>
      <c r="F152" s="29">
        <v>15</v>
      </c>
      <c r="G152" s="33" t="s">
        <v>358</v>
      </c>
      <c r="H152" s="13"/>
      <c r="I152">
        <f t="shared" si="5"/>
        <v>621</v>
      </c>
    </row>
    <row r="153" spans="2:24" ht="28.8" x14ac:dyDescent="0.3">
      <c r="B153" s="11" t="s">
        <v>488</v>
      </c>
      <c r="C153" s="12"/>
      <c r="D153" s="38" t="s">
        <v>172</v>
      </c>
      <c r="E153" s="27">
        <f t="shared" si="7"/>
        <v>603</v>
      </c>
      <c r="F153" s="29">
        <v>15</v>
      </c>
      <c r="G153" s="33" t="s">
        <v>358</v>
      </c>
      <c r="H153" s="13"/>
      <c r="I153">
        <f t="shared" si="5"/>
        <v>636</v>
      </c>
    </row>
    <row r="154" spans="2:24" ht="28.8" x14ac:dyDescent="0.3">
      <c r="B154" s="11" t="s">
        <v>487</v>
      </c>
      <c r="C154" s="12"/>
      <c r="D154" s="38" t="s">
        <v>173</v>
      </c>
      <c r="E154" s="27">
        <f t="shared" si="7"/>
        <v>618</v>
      </c>
      <c r="F154" s="29">
        <v>15</v>
      </c>
      <c r="G154" s="33" t="s">
        <v>358</v>
      </c>
      <c r="H154" s="13"/>
      <c r="I154">
        <f t="shared" si="5"/>
        <v>651</v>
      </c>
    </row>
    <row r="155" spans="2:24" ht="28.8" x14ac:dyDescent="0.3">
      <c r="B155" s="11" t="s">
        <v>486</v>
      </c>
      <c r="C155" s="12"/>
      <c r="D155" s="38" t="s">
        <v>63</v>
      </c>
      <c r="E155" s="27">
        <f t="shared" si="7"/>
        <v>633</v>
      </c>
      <c r="F155" s="29">
        <v>15</v>
      </c>
      <c r="G155" s="33" t="s">
        <v>358</v>
      </c>
      <c r="H155" s="13"/>
      <c r="I155">
        <f t="shared" si="5"/>
        <v>666</v>
      </c>
    </row>
    <row r="156" spans="2:24" ht="28.8" x14ac:dyDescent="0.3">
      <c r="B156" s="11" t="s">
        <v>485</v>
      </c>
      <c r="C156" s="12"/>
      <c r="D156" s="45" t="s">
        <v>182</v>
      </c>
      <c r="E156" s="27">
        <f t="shared" si="7"/>
        <v>648</v>
      </c>
      <c r="F156" s="29">
        <v>15</v>
      </c>
      <c r="G156" s="33" t="s">
        <v>358</v>
      </c>
      <c r="H156" s="13"/>
      <c r="I156">
        <f t="shared" si="5"/>
        <v>681</v>
      </c>
    </row>
    <row r="157" spans="2:24" ht="28.8" x14ac:dyDescent="0.3">
      <c r="B157" s="11" t="s">
        <v>484</v>
      </c>
      <c r="C157" s="12"/>
      <c r="D157" s="38" t="s">
        <v>64</v>
      </c>
      <c r="E157" s="27">
        <f t="shared" si="7"/>
        <v>663</v>
      </c>
      <c r="F157" s="29">
        <v>15</v>
      </c>
      <c r="G157" s="33" t="s">
        <v>358</v>
      </c>
      <c r="H157" s="13"/>
      <c r="I157">
        <f t="shared" si="5"/>
        <v>696</v>
      </c>
    </row>
    <row r="158" spans="2:24" ht="28.8" x14ac:dyDescent="0.3">
      <c r="B158" s="11" t="s">
        <v>483</v>
      </c>
      <c r="C158" s="12"/>
      <c r="D158" s="38" t="s">
        <v>177</v>
      </c>
      <c r="E158" s="27">
        <f t="shared" si="7"/>
        <v>678</v>
      </c>
      <c r="F158" s="29">
        <v>15</v>
      </c>
      <c r="G158" s="33" t="s">
        <v>358</v>
      </c>
      <c r="H158" s="13"/>
      <c r="I158">
        <f t="shared" si="5"/>
        <v>711</v>
      </c>
    </row>
    <row r="159" spans="2:24" ht="28.8" x14ac:dyDescent="0.3">
      <c r="B159" s="11" t="s">
        <v>482</v>
      </c>
      <c r="C159" s="12"/>
      <c r="D159" s="38" t="s">
        <v>184</v>
      </c>
      <c r="E159" s="27">
        <f t="shared" si="7"/>
        <v>693</v>
      </c>
      <c r="F159" s="29">
        <v>15</v>
      </c>
      <c r="G159" s="33" t="s">
        <v>358</v>
      </c>
      <c r="H159" s="13"/>
      <c r="I159">
        <f t="shared" si="5"/>
        <v>726</v>
      </c>
    </row>
    <row r="160" spans="2:24" ht="28.8" x14ac:dyDescent="0.3">
      <c r="B160" s="11" t="s">
        <v>481</v>
      </c>
      <c r="C160" s="12"/>
      <c r="D160" s="38" t="s">
        <v>183</v>
      </c>
      <c r="E160" s="27">
        <f t="shared" si="7"/>
        <v>708</v>
      </c>
      <c r="F160" s="29">
        <v>15</v>
      </c>
      <c r="G160" s="33" t="s">
        <v>358</v>
      </c>
      <c r="H160" s="13"/>
      <c r="I160">
        <f t="shared" si="5"/>
        <v>741</v>
      </c>
    </row>
    <row r="161" spans="2:9" ht="28.8" x14ac:dyDescent="0.3">
      <c r="B161" s="11" t="s">
        <v>480</v>
      </c>
      <c r="C161" s="12"/>
      <c r="D161" s="38" t="s">
        <v>176</v>
      </c>
      <c r="E161" s="27">
        <f t="shared" si="7"/>
        <v>723</v>
      </c>
      <c r="F161" s="29">
        <v>15</v>
      </c>
      <c r="G161" s="33" t="s">
        <v>358</v>
      </c>
      <c r="H161" s="13"/>
      <c r="I161">
        <f t="shared" si="5"/>
        <v>756</v>
      </c>
    </row>
    <row r="162" spans="2:9" ht="28.8" x14ac:dyDescent="0.3">
      <c r="B162" s="11" t="s">
        <v>479</v>
      </c>
      <c r="C162" s="12"/>
      <c r="D162" s="38" t="s">
        <v>349</v>
      </c>
      <c r="E162" s="27">
        <f t="shared" si="7"/>
        <v>738</v>
      </c>
      <c r="F162" s="29">
        <v>15</v>
      </c>
      <c r="G162" s="33" t="s">
        <v>358</v>
      </c>
      <c r="H162" s="13"/>
      <c r="I162">
        <f t="shared" si="5"/>
        <v>771</v>
      </c>
    </row>
    <row r="163" spans="2:9" ht="28.8" x14ac:dyDescent="0.3">
      <c r="B163" s="11" t="s">
        <v>478</v>
      </c>
      <c r="C163" s="12"/>
      <c r="D163" s="38" t="s">
        <v>254</v>
      </c>
      <c r="E163" s="27">
        <f>E162+F162</f>
        <v>753</v>
      </c>
      <c r="F163" s="29">
        <v>15</v>
      </c>
      <c r="G163" s="33" t="s">
        <v>358</v>
      </c>
      <c r="H163" s="13"/>
      <c r="I163">
        <f t="shared" si="5"/>
        <v>786</v>
      </c>
    </row>
    <row r="164" spans="2:9" x14ac:dyDescent="0.3">
      <c r="B164" s="9" t="s">
        <v>117</v>
      </c>
      <c r="C164" s="10"/>
      <c r="D164" s="34"/>
      <c r="E164" s="35">
        <f>E163+F163</f>
        <v>768</v>
      </c>
      <c r="F164" s="36"/>
      <c r="G164" s="37"/>
    </row>
    <row r="165" spans="2:9" x14ac:dyDescent="0.3">
      <c r="B165" s="25" t="s">
        <v>118</v>
      </c>
      <c r="C165" s="4"/>
      <c r="D165" s="28"/>
      <c r="E165" s="27">
        <f>E164+F164</f>
        <v>768</v>
      </c>
      <c r="F165" s="29"/>
      <c r="G165" s="46"/>
    </row>
    <row r="166" spans="2:9" x14ac:dyDescent="0.3">
      <c r="B166" s="25" t="s">
        <v>310</v>
      </c>
      <c r="C166" s="4"/>
      <c r="D166" s="28" t="s">
        <v>14</v>
      </c>
      <c r="E166" s="27">
        <f t="shared" ref="E166:E180" si="8">E165+F165</f>
        <v>768</v>
      </c>
      <c r="F166" s="29">
        <v>60</v>
      </c>
      <c r="G166" s="30" t="s">
        <v>359</v>
      </c>
      <c r="I166">
        <f t="shared" si="5"/>
        <v>801</v>
      </c>
    </row>
    <row r="167" spans="2:9" x14ac:dyDescent="0.3">
      <c r="B167" s="25" t="s">
        <v>119</v>
      </c>
      <c r="C167" s="4"/>
      <c r="D167" s="28" t="s">
        <v>36</v>
      </c>
      <c r="E167" s="27">
        <f t="shared" si="8"/>
        <v>828</v>
      </c>
      <c r="F167" s="29">
        <v>34</v>
      </c>
      <c r="G167" s="30" t="s">
        <v>359</v>
      </c>
      <c r="I167">
        <f t="shared" si="5"/>
        <v>861</v>
      </c>
    </row>
    <row r="168" spans="2:9" x14ac:dyDescent="0.3">
      <c r="B168" s="25" t="s">
        <v>120</v>
      </c>
      <c r="C168" s="4"/>
      <c r="D168" s="28" t="s">
        <v>37</v>
      </c>
      <c r="E168" s="27">
        <f t="shared" si="8"/>
        <v>862</v>
      </c>
      <c r="F168" s="29">
        <v>11</v>
      </c>
      <c r="G168" s="30" t="s">
        <v>359</v>
      </c>
      <c r="I168">
        <f t="shared" si="5"/>
        <v>895</v>
      </c>
    </row>
    <row r="169" spans="2:9" x14ac:dyDescent="0.3">
      <c r="B169" s="25" t="s">
        <v>121</v>
      </c>
      <c r="C169" s="4"/>
      <c r="D169" s="28" t="s">
        <v>38</v>
      </c>
      <c r="E169" s="27">
        <f t="shared" si="8"/>
        <v>873</v>
      </c>
      <c r="F169" s="29">
        <v>35</v>
      </c>
      <c r="G169" s="30" t="s">
        <v>359</v>
      </c>
      <c r="I169">
        <f t="shared" si="5"/>
        <v>906</v>
      </c>
    </row>
    <row r="170" spans="2:9" x14ac:dyDescent="0.3">
      <c r="B170" s="25" t="s">
        <v>122</v>
      </c>
      <c r="C170" s="4"/>
      <c r="D170" s="28" t="s">
        <v>42</v>
      </c>
      <c r="E170" s="27">
        <f t="shared" si="8"/>
        <v>908</v>
      </c>
      <c r="F170" s="29">
        <v>11</v>
      </c>
      <c r="G170" s="30" t="s">
        <v>359</v>
      </c>
      <c r="I170">
        <f t="shared" si="5"/>
        <v>941</v>
      </c>
    </row>
    <row r="171" spans="2:9" x14ac:dyDescent="0.3">
      <c r="B171" s="25" t="s">
        <v>123</v>
      </c>
      <c r="C171" s="4"/>
      <c r="D171" s="28"/>
      <c r="E171" s="27">
        <f>E170+F170</f>
        <v>919</v>
      </c>
      <c r="F171" s="29"/>
      <c r="G171" s="46"/>
    </row>
    <row r="172" spans="2:9" x14ac:dyDescent="0.3">
      <c r="B172" s="25" t="s">
        <v>124</v>
      </c>
      <c r="C172" s="4"/>
      <c r="D172" s="28" t="s">
        <v>15</v>
      </c>
      <c r="E172" s="27">
        <f t="shared" si="8"/>
        <v>919</v>
      </c>
      <c r="F172" s="29">
        <v>5</v>
      </c>
      <c r="G172" s="30" t="s">
        <v>359</v>
      </c>
      <c r="I172">
        <f t="shared" si="5"/>
        <v>952</v>
      </c>
    </row>
    <row r="173" spans="2:9" x14ac:dyDescent="0.3">
      <c r="B173" s="25" t="s">
        <v>125</v>
      </c>
      <c r="C173" s="4"/>
      <c r="D173" s="28" t="s">
        <v>16</v>
      </c>
      <c r="E173" s="27">
        <f t="shared" si="8"/>
        <v>924</v>
      </c>
      <c r="F173" s="29">
        <v>9</v>
      </c>
      <c r="G173" s="30" t="s">
        <v>359</v>
      </c>
      <c r="I173">
        <f t="shared" si="5"/>
        <v>957</v>
      </c>
    </row>
    <row r="174" spans="2:9" x14ac:dyDescent="0.3">
      <c r="B174" s="25" t="s">
        <v>126</v>
      </c>
      <c r="C174" s="4"/>
      <c r="D174" s="28"/>
      <c r="E174" s="27">
        <f t="shared" si="8"/>
        <v>933</v>
      </c>
      <c r="F174" s="29"/>
      <c r="G174" s="46"/>
    </row>
    <row r="175" spans="2:9" x14ac:dyDescent="0.3">
      <c r="B175" s="25" t="s">
        <v>127</v>
      </c>
      <c r="C175" s="4"/>
      <c r="D175" s="28" t="s">
        <v>17</v>
      </c>
      <c r="E175" s="27">
        <f t="shared" si="8"/>
        <v>933</v>
      </c>
      <c r="F175" s="29">
        <v>3</v>
      </c>
      <c r="G175" s="30" t="s">
        <v>359</v>
      </c>
      <c r="I175">
        <f t="shared" si="5"/>
        <v>966</v>
      </c>
    </row>
    <row r="176" spans="2:9" x14ac:dyDescent="0.3">
      <c r="B176" s="25" t="s">
        <v>128</v>
      </c>
      <c r="C176" s="4"/>
      <c r="D176" s="28" t="s">
        <v>18</v>
      </c>
      <c r="E176" s="27">
        <f t="shared" si="8"/>
        <v>936</v>
      </c>
      <c r="F176" s="29">
        <v>36</v>
      </c>
      <c r="G176" s="30" t="s">
        <v>359</v>
      </c>
      <c r="I176">
        <f t="shared" si="5"/>
        <v>969</v>
      </c>
    </row>
    <row r="177" spans="2:9" x14ac:dyDescent="0.3">
      <c r="B177" s="25" t="s">
        <v>129</v>
      </c>
      <c r="C177" s="4"/>
      <c r="D177" s="28"/>
      <c r="E177" s="27">
        <f t="shared" si="8"/>
        <v>972</v>
      </c>
      <c r="F177" s="29"/>
      <c r="G177" s="46"/>
    </row>
    <row r="178" spans="2:9" x14ac:dyDescent="0.3">
      <c r="B178" s="25" t="s">
        <v>130</v>
      </c>
      <c r="C178" s="4"/>
      <c r="D178" s="28" t="s">
        <v>39</v>
      </c>
      <c r="E178" s="27">
        <f>E177+F177</f>
        <v>972</v>
      </c>
      <c r="F178" s="29">
        <v>20</v>
      </c>
      <c r="G178" s="33" t="s">
        <v>358</v>
      </c>
      <c r="I178">
        <f t="shared" si="5"/>
        <v>1005</v>
      </c>
    </row>
    <row r="179" spans="2:9" x14ac:dyDescent="0.3">
      <c r="B179" s="25" t="s">
        <v>178</v>
      </c>
      <c r="C179" s="4"/>
      <c r="D179" s="28"/>
      <c r="E179" s="27">
        <f t="shared" si="8"/>
        <v>992</v>
      </c>
      <c r="F179" s="29"/>
      <c r="G179" s="46"/>
    </row>
    <row r="180" spans="2:9" x14ac:dyDescent="0.3">
      <c r="B180" s="25" t="s">
        <v>131</v>
      </c>
      <c r="C180" s="4"/>
      <c r="D180" s="28" t="s">
        <v>623</v>
      </c>
      <c r="E180" s="27">
        <f t="shared" si="8"/>
        <v>992</v>
      </c>
      <c r="F180" s="29">
        <v>16</v>
      </c>
      <c r="G180" s="33" t="s">
        <v>358</v>
      </c>
      <c r="I180">
        <f t="shared" si="5"/>
        <v>1025</v>
      </c>
    </row>
    <row r="181" spans="2:9" x14ac:dyDescent="0.3">
      <c r="B181" s="9" t="s">
        <v>132</v>
      </c>
      <c r="C181" s="10"/>
      <c r="D181" s="34"/>
      <c r="E181" s="35">
        <f>E180+F180</f>
        <v>1008</v>
      </c>
      <c r="F181" s="36"/>
      <c r="G181" s="37"/>
    </row>
    <row r="182" spans="2:9" x14ac:dyDescent="0.3">
      <c r="B182" s="25" t="s">
        <v>133</v>
      </c>
      <c r="C182" s="4"/>
      <c r="D182" s="28" t="s">
        <v>9</v>
      </c>
      <c r="E182" s="27">
        <f>E181+F181</f>
        <v>1008</v>
      </c>
      <c r="F182" s="29">
        <v>40</v>
      </c>
      <c r="G182" s="30" t="s">
        <v>359</v>
      </c>
      <c r="I182">
        <f t="shared" si="5"/>
        <v>1041</v>
      </c>
    </row>
    <row r="183" spans="2:9" x14ac:dyDescent="0.3">
      <c r="B183" s="25" t="s">
        <v>134</v>
      </c>
      <c r="C183" s="4"/>
      <c r="D183" s="28" t="s">
        <v>50</v>
      </c>
      <c r="E183" s="27">
        <f t="shared" ref="E183:E204" si="9">E182+F182</f>
        <v>1048</v>
      </c>
      <c r="F183" s="29">
        <v>4</v>
      </c>
      <c r="G183" s="30" t="s">
        <v>359</v>
      </c>
      <c r="I183">
        <f t="shared" si="5"/>
        <v>1081</v>
      </c>
    </row>
    <row r="184" spans="2:9" x14ac:dyDescent="0.3">
      <c r="B184" s="25" t="s">
        <v>135</v>
      </c>
      <c r="C184" s="4"/>
      <c r="D184" s="28" t="s">
        <v>10</v>
      </c>
      <c r="E184" s="27">
        <f t="shared" si="9"/>
        <v>1052</v>
      </c>
      <c r="F184" s="29">
        <v>40</v>
      </c>
      <c r="G184" s="30" t="s">
        <v>359</v>
      </c>
      <c r="I184">
        <f t="shared" si="5"/>
        <v>1085</v>
      </c>
    </row>
    <row r="185" spans="2:9" x14ac:dyDescent="0.3">
      <c r="B185" s="25" t="s">
        <v>136</v>
      </c>
      <c r="C185" s="4"/>
      <c r="D185" s="28" t="s">
        <v>11</v>
      </c>
      <c r="E185" s="27">
        <f t="shared" si="9"/>
        <v>1092</v>
      </c>
      <c r="F185" s="29">
        <v>40</v>
      </c>
      <c r="G185" s="33" t="s">
        <v>358</v>
      </c>
      <c r="I185">
        <f t="shared" si="5"/>
        <v>1125</v>
      </c>
    </row>
    <row r="186" spans="2:9" x14ac:dyDescent="0.3">
      <c r="B186" s="25" t="s">
        <v>137</v>
      </c>
      <c r="C186" s="4"/>
      <c r="D186" s="28" t="s">
        <v>12</v>
      </c>
      <c r="E186" s="27">
        <f t="shared" si="9"/>
        <v>1132</v>
      </c>
      <c r="F186" s="29">
        <v>40</v>
      </c>
      <c r="G186" s="33" t="s">
        <v>358</v>
      </c>
      <c r="I186">
        <f t="shared" si="5"/>
        <v>1165</v>
      </c>
    </row>
    <row r="187" spans="2:9" x14ac:dyDescent="0.3">
      <c r="B187" s="25" t="s">
        <v>311</v>
      </c>
      <c r="C187" s="4"/>
      <c r="D187" s="28" t="s">
        <v>51</v>
      </c>
      <c r="E187" s="27">
        <f t="shared" si="9"/>
        <v>1172</v>
      </c>
      <c r="F187" s="29">
        <v>9</v>
      </c>
      <c r="G187" s="30" t="s">
        <v>359</v>
      </c>
      <c r="I187">
        <f t="shared" si="5"/>
        <v>1205</v>
      </c>
    </row>
    <row r="188" spans="2:9" x14ac:dyDescent="0.3">
      <c r="B188" s="25" t="s">
        <v>138</v>
      </c>
      <c r="C188" s="4"/>
      <c r="D188" s="28" t="s">
        <v>13</v>
      </c>
      <c r="E188" s="27">
        <f t="shared" si="9"/>
        <v>1181</v>
      </c>
      <c r="F188" s="29">
        <v>40</v>
      </c>
      <c r="G188" s="30" t="s">
        <v>359</v>
      </c>
      <c r="I188">
        <f t="shared" si="5"/>
        <v>1214</v>
      </c>
    </row>
    <row r="189" spans="2:9" x14ac:dyDescent="0.3">
      <c r="B189" s="25" t="s">
        <v>206</v>
      </c>
      <c r="C189" s="4"/>
      <c r="D189" s="28" t="s">
        <v>207</v>
      </c>
      <c r="E189" s="27">
        <f>E188+F188</f>
        <v>1221</v>
      </c>
      <c r="F189" s="29">
        <v>3</v>
      </c>
      <c r="G189" s="30" t="s">
        <v>359</v>
      </c>
      <c r="I189">
        <f t="shared" si="5"/>
        <v>1254</v>
      </c>
    </row>
    <row r="190" spans="2:9" x14ac:dyDescent="0.3">
      <c r="B190" s="25" t="s">
        <v>237</v>
      </c>
      <c r="C190" s="4"/>
      <c r="D190" s="28" t="s">
        <v>232</v>
      </c>
      <c r="E190" s="27">
        <f>E189+F189</f>
        <v>1224</v>
      </c>
      <c r="F190" s="29">
        <v>40</v>
      </c>
      <c r="G190" s="30" t="s">
        <v>359</v>
      </c>
      <c r="I190">
        <f t="shared" si="5"/>
        <v>1257</v>
      </c>
    </row>
    <row r="191" spans="2:9" x14ac:dyDescent="0.3">
      <c r="B191" s="25" t="s">
        <v>238</v>
      </c>
      <c r="C191" s="4"/>
      <c r="D191" s="28" t="s">
        <v>234</v>
      </c>
      <c r="E191" s="27">
        <f t="shared" si="9"/>
        <v>1264</v>
      </c>
      <c r="F191" s="29">
        <v>4</v>
      </c>
      <c r="G191" s="30" t="s">
        <v>359</v>
      </c>
      <c r="I191">
        <f t="shared" si="5"/>
        <v>1297</v>
      </c>
    </row>
    <row r="192" spans="2:9" x14ac:dyDescent="0.3">
      <c r="B192" s="25" t="s">
        <v>139</v>
      </c>
      <c r="C192" s="4"/>
      <c r="D192" s="28" t="s">
        <v>52</v>
      </c>
      <c r="E192" s="27">
        <f t="shared" si="9"/>
        <v>1268</v>
      </c>
      <c r="F192" s="29">
        <v>16</v>
      </c>
      <c r="G192" s="33" t="s">
        <v>358</v>
      </c>
      <c r="I192">
        <f t="shared" si="5"/>
        <v>1301</v>
      </c>
    </row>
    <row r="193" spans="2:9" x14ac:dyDescent="0.3">
      <c r="B193" s="25" t="s">
        <v>140</v>
      </c>
      <c r="C193" s="4"/>
      <c r="D193" s="28" t="s">
        <v>53</v>
      </c>
      <c r="E193" s="27">
        <f t="shared" si="9"/>
        <v>1284</v>
      </c>
      <c r="F193" s="29">
        <v>16</v>
      </c>
      <c r="G193" s="33" t="s">
        <v>358</v>
      </c>
      <c r="I193">
        <f t="shared" si="5"/>
        <v>1317</v>
      </c>
    </row>
    <row r="194" spans="2:9" x14ac:dyDescent="0.3">
      <c r="B194" s="25" t="s">
        <v>141</v>
      </c>
      <c r="C194" s="4"/>
      <c r="D194" s="28" t="s">
        <v>41</v>
      </c>
      <c r="E194" s="27">
        <f t="shared" si="9"/>
        <v>1300</v>
      </c>
      <c r="F194" s="29">
        <v>60</v>
      </c>
      <c r="G194" s="33" t="s">
        <v>358</v>
      </c>
      <c r="I194">
        <f t="shared" si="5"/>
        <v>1333</v>
      </c>
    </row>
    <row r="195" spans="2:9" x14ac:dyDescent="0.3">
      <c r="B195" s="25" t="s">
        <v>142</v>
      </c>
      <c r="C195" s="4"/>
      <c r="D195" s="28" t="s">
        <v>19</v>
      </c>
      <c r="E195" s="27">
        <f t="shared" si="9"/>
        <v>1360</v>
      </c>
      <c r="F195" s="29">
        <v>10</v>
      </c>
      <c r="G195" s="33" t="s">
        <v>358</v>
      </c>
      <c r="I195">
        <f t="shared" si="5"/>
        <v>1393</v>
      </c>
    </row>
    <row r="196" spans="2:9" ht="28.8" x14ac:dyDescent="0.3">
      <c r="B196" s="11" t="s">
        <v>477</v>
      </c>
      <c r="C196" s="12"/>
      <c r="D196" s="38" t="s">
        <v>20</v>
      </c>
      <c r="E196" s="27">
        <f t="shared" si="9"/>
        <v>1370</v>
      </c>
      <c r="F196" s="29">
        <v>15</v>
      </c>
      <c r="G196" s="33" t="s">
        <v>358</v>
      </c>
      <c r="H196" s="13"/>
      <c r="I196">
        <f t="shared" si="5"/>
        <v>1403</v>
      </c>
    </row>
    <row r="197" spans="2:9" x14ac:dyDescent="0.3">
      <c r="B197" s="25" t="s">
        <v>143</v>
      </c>
      <c r="C197" s="4"/>
      <c r="D197" s="28" t="s">
        <v>21</v>
      </c>
      <c r="E197" s="27">
        <f t="shared" si="9"/>
        <v>1385</v>
      </c>
      <c r="F197" s="29">
        <v>10</v>
      </c>
      <c r="G197" s="33" t="s">
        <v>358</v>
      </c>
      <c r="I197">
        <f t="shared" si="5"/>
        <v>1418</v>
      </c>
    </row>
    <row r="198" spans="2:9" ht="28.8" x14ac:dyDescent="0.3">
      <c r="B198" s="11" t="s">
        <v>476</v>
      </c>
      <c r="C198" s="12"/>
      <c r="D198" s="38" t="s">
        <v>22</v>
      </c>
      <c r="E198" s="27">
        <f t="shared" si="9"/>
        <v>1395</v>
      </c>
      <c r="F198" s="29">
        <v>15</v>
      </c>
      <c r="G198" s="33" t="s">
        <v>358</v>
      </c>
      <c r="H198" s="13"/>
      <c r="I198">
        <f t="shared" ref="I198:I269" si="10">E198+33</f>
        <v>1428</v>
      </c>
    </row>
    <row r="199" spans="2:9" x14ac:dyDescent="0.3">
      <c r="B199" s="25" t="s">
        <v>144</v>
      </c>
      <c r="C199" s="4"/>
      <c r="D199" s="28" t="s">
        <v>23</v>
      </c>
      <c r="E199" s="27">
        <f t="shared" si="9"/>
        <v>1410</v>
      </c>
      <c r="F199" s="29">
        <v>10</v>
      </c>
      <c r="G199" s="33" t="s">
        <v>358</v>
      </c>
      <c r="I199">
        <f t="shared" si="10"/>
        <v>1443</v>
      </c>
    </row>
    <row r="200" spans="2:9" ht="28.8" x14ac:dyDescent="0.3">
      <c r="B200" s="11" t="s">
        <v>475</v>
      </c>
      <c r="C200" s="12"/>
      <c r="D200" s="38" t="s">
        <v>24</v>
      </c>
      <c r="E200" s="27">
        <f t="shared" si="9"/>
        <v>1420</v>
      </c>
      <c r="F200" s="29">
        <v>15</v>
      </c>
      <c r="G200" s="33" t="s">
        <v>358</v>
      </c>
      <c r="H200" s="13"/>
      <c r="I200">
        <f t="shared" si="10"/>
        <v>1453</v>
      </c>
    </row>
    <row r="201" spans="2:9" x14ac:dyDescent="0.3">
      <c r="B201" s="25" t="s">
        <v>189</v>
      </c>
      <c r="C201" s="4"/>
      <c r="D201" s="28" t="s">
        <v>187</v>
      </c>
      <c r="E201" s="27">
        <f t="shared" si="9"/>
        <v>1435</v>
      </c>
      <c r="F201" s="29">
        <v>10</v>
      </c>
      <c r="G201" s="33" t="s">
        <v>358</v>
      </c>
      <c r="I201">
        <f t="shared" si="10"/>
        <v>1468</v>
      </c>
    </row>
    <row r="202" spans="2:9" ht="28.8" x14ac:dyDescent="0.3">
      <c r="B202" s="11" t="s">
        <v>474</v>
      </c>
      <c r="C202" s="12"/>
      <c r="D202" s="38" t="s">
        <v>188</v>
      </c>
      <c r="E202" s="27">
        <f t="shared" si="9"/>
        <v>1445</v>
      </c>
      <c r="F202" s="29">
        <v>15</v>
      </c>
      <c r="G202" s="33" t="s">
        <v>358</v>
      </c>
      <c r="H202" s="13"/>
      <c r="I202">
        <f t="shared" si="10"/>
        <v>1478</v>
      </c>
    </row>
    <row r="203" spans="2:9" x14ac:dyDescent="0.3">
      <c r="B203" s="9" t="s">
        <v>145</v>
      </c>
      <c r="C203" s="10"/>
      <c r="D203" s="34"/>
      <c r="E203" s="35">
        <f t="shared" si="9"/>
        <v>1460</v>
      </c>
      <c r="F203" s="36"/>
      <c r="G203" s="37"/>
    </row>
    <row r="204" spans="2:9" x14ac:dyDescent="0.3">
      <c r="B204" s="25" t="s">
        <v>226</v>
      </c>
      <c r="C204" s="4"/>
      <c r="D204" s="28" t="s">
        <v>227</v>
      </c>
      <c r="E204" s="27">
        <f t="shared" si="9"/>
        <v>1460</v>
      </c>
      <c r="F204" s="29">
        <v>5</v>
      </c>
      <c r="G204" s="33" t="s">
        <v>358</v>
      </c>
      <c r="I204">
        <f t="shared" si="10"/>
        <v>1493</v>
      </c>
    </row>
    <row r="205" spans="2:9" x14ac:dyDescent="0.3">
      <c r="B205" s="25" t="s">
        <v>313</v>
      </c>
      <c r="C205" s="4"/>
      <c r="D205" s="28" t="s">
        <v>312</v>
      </c>
      <c r="E205" s="27">
        <f>E204+F204</f>
        <v>1465</v>
      </c>
      <c r="F205" s="29">
        <v>10</v>
      </c>
      <c r="G205" s="30" t="s">
        <v>359</v>
      </c>
      <c r="I205">
        <f t="shared" si="10"/>
        <v>1498</v>
      </c>
    </row>
    <row r="206" spans="2:9" x14ac:dyDescent="0.3">
      <c r="B206" s="25" t="s">
        <v>146</v>
      </c>
      <c r="C206" s="4"/>
      <c r="D206" s="28" t="s">
        <v>9</v>
      </c>
      <c r="E206" s="27">
        <f>E205+F205</f>
        <v>1475</v>
      </c>
      <c r="F206" s="29">
        <v>40</v>
      </c>
      <c r="G206" s="30" t="s">
        <v>359</v>
      </c>
      <c r="I206">
        <f t="shared" si="10"/>
        <v>1508</v>
      </c>
    </row>
    <row r="207" spans="2:9" x14ac:dyDescent="0.3">
      <c r="B207" s="25" t="s">
        <v>147</v>
      </c>
      <c r="C207" s="4"/>
      <c r="D207" s="28" t="s">
        <v>50</v>
      </c>
      <c r="E207" s="27">
        <f t="shared" ref="E207:E215" si="11">E206+F206</f>
        <v>1515</v>
      </c>
      <c r="F207" s="29">
        <v>4</v>
      </c>
      <c r="G207" s="30" t="s">
        <v>359</v>
      </c>
      <c r="I207">
        <f t="shared" si="10"/>
        <v>1548</v>
      </c>
    </row>
    <row r="208" spans="2:9" x14ac:dyDescent="0.3">
      <c r="B208" s="25" t="s">
        <v>148</v>
      </c>
      <c r="C208" s="4"/>
      <c r="D208" s="28" t="s">
        <v>10</v>
      </c>
      <c r="E208" s="27">
        <f t="shared" si="11"/>
        <v>1519</v>
      </c>
      <c r="F208" s="29">
        <v>40</v>
      </c>
      <c r="G208" s="30" t="s">
        <v>359</v>
      </c>
      <c r="I208">
        <f t="shared" si="10"/>
        <v>1552</v>
      </c>
    </row>
    <row r="209" spans="2:11" x14ac:dyDescent="0.3">
      <c r="B209" s="25" t="s">
        <v>149</v>
      </c>
      <c r="C209" s="4"/>
      <c r="D209" s="28" t="s">
        <v>11</v>
      </c>
      <c r="E209" s="27">
        <f t="shared" si="11"/>
        <v>1559</v>
      </c>
      <c r="F209" s="29">
        <v>40</v>
      </c>
      <c r="G209" s="33" t="s">
        <v>358</v>
      </c>
      <c r="I209">
        <f t="shared" si="10"/>
        <v>1592</v>
      </c>
    </row>
    <row r="210" spans="2:11" x14ac:dyDescent="0.3">
      <c r="B210" s="25" t="s">
        <v>150</v>
      </c>
      <c r="C210" s="4"/>
      <c r="D210" s="28" t="s">
        <v>12</v>
      </c>
      <c r="E210" s="27">
        <f t="shared" si="11"/>
        <v>1599</v>
      </c>
      <c r="F210" s="29">
        <v>40</v>
      </c>
      <c r="G210" s="33" t="s">
        <v>358</v>
      </c>
      <c r="I210">
        <f t="shared" si="10"/>
        <v>1632</v>
      </c>
    </row>
    <row r="211" spans="2:11" x14ac:dyDescent="0.3">
      <c r="B211" s="25" t="s">
        <v>151</v>
      </c>
      <c r="C211" s="4"/>
      <c r="D211" s="28" t="s">
        <v>51</v>
      </c>
      <c r="E211" s="27">
        <f t="shared" si="11"/>
        <v>1639</v>
      </c>
      <c r="F211" s="29">
        <v>9</v>
      </c>
      <c r="G211" s="30" t="s">
        <v>359</v>
      </c>
      <c r="I211">
        <f t="shared" si="10"/>
        <v>1672</v>
      </c>
    </row>
    <row r="212" spans="2:11" x14ac:dyDescent="0.3">
      <c r="B212" s="25" t="s">
        <v>152</v>
      </c>
      <c r="C212" s="4"/>
      <c r="D212" s="28" t="s">
        <v>13</v>
      </c>
      <c r="E212" s="27">
        <f t="shared" si="11"/>
        <v>1648</v>
      </c>
      <c r="F212" s="29">
        <v>40</v>
      </c>
      <c r="G212" s="30" t="s">
        <v>359</v>
      </c>
      <c r="I212">
        <f t="shared" si="10"/>
        <v>1681</v>
      </c>
    </row>
    <row r="213" spans="2:11" x14ac:dyDescent="0.3">
      <c r="B213" s="25" t="s">
        <v>208</v>
      </c>
      <c r="C213" s="4"/>
      <c r="D213" s="28" t="s">
        <v>207</v>
      </c>
      <c r="E213" s="27">
        <f>E212+F212</f>
        <v>1688</v>
      </c>
      <c r="F213" s="29">
        <v>3</v>
      </c>
      <c r="G213" s="30" t="s">
        <v>359</v>
      </c>
      <c r="I213">
        <f t="shared" si="10"/>
        <v>1721</v>
      </c>
    </row>
    <row r="214" spans="2:11" x14ac:dyDescent="0.3">
      <c r="B214" s="25" t="s">
        <v>235</v>
      </c>
      <c r="C214" s="4"/>
      <c r="D214" s="28" t="s">
        <v>232</v>
      </c>
      <c r="E214" s="27">
        <f>E213+F213</f>
        <v>1691</v>
      </c>
      <c r="F214" s="29">
        <v>40</v>
      </c>
      <c r="G214" s="30" t="s">
        <v>359</v>
      </c>
      <c r="I214">
        <f t="shared" si="10"/>
        <v>1724</v>
      </c>
    </row>
    <row r="215" spans="2:11" x14ac:dyDescent="0.3">
      <c r="B215" s="25" t="s">
        <v>236</v>
      </c>
      <c r="C215" s="4"/>
      <c r="D215" s="28" t="s">
        <v>234</v>
      </c>
      <c r="E215" s="27">
        <f t="shared" si="11"/>
        <v>1731</v>
      </c>
      <c r="F215" s="29">
        <v>4</v>
      </c>
      <c r="G215" s="30" t="s">
        <v>359</v>
      </c>
      <c r="I215">
        <f t="shared" si="10"/>
        <v>1764</v>
      </c>
    </row>
    <row r="216" spans="2:11" x14ac:dyDescent="0.3">
      <c r="B216" s="9" t="s">
        <v>225</v>
      </c>
      <c r="C216" s="10"/>
      <c r="D216" s="34"/>
      <c r="E216" s="35">
        <f>E215+F215</f>
        <v>1735</v>
      </c>
      <c r="F216" s="36"/>
      <c r="G216" s="37"/>
    </row>
    <row r="217" spans="2:11" x14ac:dyDescent="0.3">
      <c r="B217" s="25" t="s">
        <v>181</v>
      </c>
      <c r="C217" s="4"/>
      <c r="D217" s="28" t="s">
        <v>72</v>
      </c>
      <c r="E217" s="27">
        <f>E216+F216</f>
        <v>1735</v>
      </c>
      <c r="F217" s="29">
        <v>5</v>
      </c>
      <c r="G217" s="32" t="s">
        <v>360</v>
      </c>
      <c r="I217">
        <f t="shared" si="10"/>
        <v>1768</v>
      </c>
    </row>
    <row r="218" spans="2:11" x14ac:dyDescent="0.3">
      <c r="B218" s="25" t="s">
        <v>250</v>
      </c>
      <c r="C218" s="4"/>
      <c r="D218" s="28" t="s">
        <v>229</v>
      </c>
      <c r="E218" s="27">
        <f>E217+F217</f>
        <v>1740</v>
      </c>
      <c r="F218" s="29">
        <v>2</v>
      </c>
      <c r="G218" s="72" t="s">
        <v>360</v>
      </c>
      <c r="I218">
        <f t="shared" si="10"/>
        <v>1773</v>
      </c>
    </row>
    <row r="219" spans="2:11" x14ac:dyDescent="0.3">
      <c r="B219" s="11" t="s">
        <v>350</v>
      </c>
      <c r="C219" s="12"/>
      <c r="D219" s="38" t="s">
        <v>351</v>
      </c>
      <c r="E219" s="27"/>
      <c r="F219" s="29"/>
      <c r="G219" s="73"/>
      <c r="H219" s="13"/>
    </row>
    <row r="220" spans="2:11" x14ac:dyDescent="0.3">
      <c r="B220" s="11" t="s">
        <v>408</v>
      </c>
      <c r="C220" s="12"/>
      <c r="D220" s="38" t="s">
        <v>409</v>
      </c>
      <c r="E220" s="27"/>
      <c r="F220" s="29"/>
      <c r="G220" s="73"/>
      <c r="H220" s="13"/>
      <c r="K220" s="19"/>
    </row>
    <row r="221" spans="2:11" x14ac:dyDescent="0.3">
      <c r="B221" s="11" t="s">
        <v>423</v>
      </c>
      <c r="C221" s="12"/>
      <c r="D221" s="38" t="s">
        <v>424</v>
      </c>
      <c r="E221" s="27"/>
      <c r="F221" s="29"/>
      <c r="G221" s="73"/>
      <c r="H221" s="13"/>
      <c r="K221" s="19"/>
    </row>
    <row r="222" spans="2:11" x14ac:dyDescent="0.3">
      <c r="B222" s="11" t="s">
        <v>410</v>
      </c>
      <c r="C222" s="12"/>
      <c r="D222" s="38" t="s">
        <v>411</v>
      </c>
      <c r="E222" s="27"/>
      <c r="F222" s="29"/>
      <c r="G222" s="73"/>
      <c r="H222" s="13"/>
      <c r="K222" s="19"/>
    </row>
    <row r="223" spans="2:11" ht="28.8" x14ac:dyDescent="0.3">
      <c r="B223" s="11" t="s">
        <v>325</v>
      </c>
      <c r="C223" s="12"/>
      <c r="D223" s="38" t="s">
        <v>324</v>
      </c>
      <c r="E223" s="27"/>
      <c r="F223" s="29"/>
      <c r="G223" s="73"/>
      <c r="H223" s="13"/>
    </row>
    <row r="224" spans="2:11" x14ac:dyDescent="0.3">
      <c r="B224" s="25" t="s">
        <v>327</v>
      </c>
      <c r="C224" s="4"/>
      <c r="D224" s="28" t="s">
        <v>314</v>
      </c>
      <c r="E224" s="27"/>
      <c r="F224" s="29"/>
      <c r="G224" s="73"/>
    </row>
    <row r="225" spans="2:11" x14ac:dyDescent="0.3">
      <c r="B225" s="25" t="s">
        <v>328</v>
      </c>
      <c r="C225" s="4"/>
      <c r="D225" s="28" t="s">
        <v>315</v>
      </c>
      <c r="E225" s="27"/>
      <c r="F225" s="29"/>
      <c r="G225" s="73"/>
    </row>
    <row r="226" spans="2:11" x14ac:dyDescent="0.3">
      <c r="B226" s="25" t="s">
        <v>329</v>
      </c>
      <c r="C226" s="4"/>
      <c r="D226" s="28" t="s">
        <v>326</v>
      </c>
      <c r="E226" s="27"/>
      <c r="F226" s="29"/>
      <c r="G226" s="73"/>
    </row>
    <row r="227" spans="2:11" x14ac:dyDescent="0.3">
      <c r="B227" s="11" t="s">
        <v>352</v>
      </c>
      <c r="C227" s="12"/>
      <c r="D227" s="38" t="s">
        <v>353</v>
      </c>
      <c r="E227" s="27"/>
      <c r="F227" s="29"/>
      <c r="G227" s="73"/>
    </row>
    <row r="228" spans="2:11" x14ac:dyDescent="0.3">
      <c r="B228" s="11" t="s">
        <v>354</v>
      </c>
      <c r="C228" s="12"/>
      <c r="D228" s="38" t="s">
        <v>355</v>
      </c>
      <c r="E228" s="27"/>
      <c r="F228" s="29"/>
      <c r="G228" s="73"/>
    </row>
    <row r="229" spans="2:11" x14ac:dyDescent="0.3">
      <c r="B229" s="6" t="s">
        <v>385</v>
      </c>
      <c r="C229" s="7"/>
      <c r="D229" s="8"/>
      <c r="E229" s="22">
        <f>E218+F218</f>
        <v>1742</v>
      </c>
      <c r="F229" s="22">
        <v>200</v>
      </c>
      <c r="G229" s="16"/>
    </row>
    <row r="230" spans="2:11" x14ac:dyDescent="0.3">
      <c r="B230" s="20" t="s">
        <v>473</v>
      </c>
      <c r="C230" s="21"/>
      <c r="D230" s="47"/>
      <c r="E230" s="22">
        <f>E229</f>
        <v>1742</v>
      </c>
      <c r="F230" s="48"/>
      <c r="G230" s="16"/>
    </row>
    <row r="231" spans="2:11" x14ac:dyDescent="0.3">
      <c r="B231" s="25" t="s">
        <v>228</v>
      </c>
      <c r="C231" s="4"/>
      <c r="D231" s="28" t="s">
        <v>156</v>
      </c>
      <c r="E231" s="27">
        <f t="shared" ref="E231" si="12">E230+F230</f>
        <v>1742</v>
      </c>
      <c r="F231" s="29">
        <v>65</v>
      </c>
      <c r="G231" s="30" t="s">
        <v>359</v>
      </c>
      <c r="I231">
        <f t="shared" si="10"/>
        <v>1775</v>
      </c>
    </row>
    <row r="232" spans="2:11" x14ac:dyDescent="0.3">
      <c r="B232" s="25" t="s">
        <v>386</v>
      </c>
      <c r="C232" s="4"/>
      <c r="D232" s="28"/>
      <c r="E232" s="27">
        <f>E231+F231</f>
        <v>1807</v>
      </c>
      <c r="F232" s="29">
        <v>135</v>
      </c>
      <c r="G232" s="46"/>
      <c r="I232">
        <f t="shared" si="10"/>
        <v>1840</v>
      </c>
    </row>
    <row r="233" spans="2:11" x14ac:dyDescent="0.3">
      <c r="B233" s="20" t="s">
        <v>472</v>
      </c>
      <c r="C233" s="21"/>
      <c r="D233" s="47"/>
      <c r="E233" s="22">
        <f>E230</f>
        <v>1742</v>
      </c>
      <c r="F233" s="48"/>
      <c r="G233" s="16"/>
    </row>
    <row r="234" spans="2:11" x14ac:dyDescent="0.3">
      <c r="B234" s="25" t="s">
        <v>504</v>
      </c>
      <c r="C234" s="4"/>
      <c r="D234" s="28" t="s">
        <v>25</v>
      </c>
      <c r="E234" s="27">
        <f>E233+F233</f>
        <v>1742</v>
      </c>
      <c r="F234" s="29">
        <v>50</v>
      </c>
      <c r="G234" s="46" t="s">
        <v>359</v>
      </c>
      <c r="I234">
        <f t="shared" si="10"/>
        <v>1775</v>
      </c>
      <c r="K234" s="19"/>
    </row>
    <row r="235" spans="2:11" x14ac:dyDescent="0.3">
      <c r="B235" s="25" t="s">
        <v>503</v>
      </c>
      <c r="C235" s="4"/>
      <c r="D235" s="28" t="s">
        <v>322</v>
      </c>
      <c r="E235" s="27">
        <f t="shared" ref="E235:E242" si="13">E234+F234</f>
        <v>1792</v>
      </c>
      <c r="F235" s="29">
        <v>22</v>
      </c>
      <c r="G235" s="46" t="s">
        <v>358</v>
      </c>
      <c r="I235">
        <f t="shared" si="10"/>
        <v>1825</v>
      </c>
      <c r="K235" s="19"/>
    </row>
    <row r="236" spans="2:11" x14ac:dyDescent="0.3">
      <c r="B236" s="25" t="s">
        <v>505</v>
      </c>
      <c r="C236" s="4"/>
      <c r="D236" s="28" t="s">
        <v>365</v>
      </c>
      <c r="E236" s="27">
        <f t="shared" si="13"/>
        <v>1814</v>
      </c>
      <c r="F236" s="29">
        <v>8</v>
      </c>
      <c r="G236" s="46" t="s">
        <v>358</v>
      </c>
      <c r="I236">
        <f t="shared" si="10"/>
        <v>1847</v>
      </c>
      <c r="K236" s="19"/>
    </row>
    <row r="237" spans="2:11" x14ac:dyDescent="0.3">
      <c r="B237" s="25" t="s">
        <v>506</v>
      </c>
      <c r="C237" s="4"/>
      <c r="D237" s="28" t="s">
        <v>26</v>
      </c>
      <c r="E237" s="27">
        <f t="shared" si="13"/>
        <v>1822</v>
      </c>
      <c r="F237" s="29">
        <v>50</v>
      </c>
      <c r="G237" s="46" t="s">
        <v>358</v>
      </c>
      <c r="I237">
        <f t="shared" si="10"/>
        <v>1855</v>
      </c>
      <c r="K237" s="19"/>
    </row>
    <row r="238" spans="2:11" x14ac:dyDescent="0.3">
      <c r="B238" s="25" t="s">
        <v>507</v>
      </c>
      <c r="C238" s="4"/>
      <c r="D238" s="28" t="s">
        <v>323</v>
      </c>
      <c r="E238" s="27">
        <f t="shared" si="13"/>
        <v>1872</v>
      </c>
      <c r="F238" s="29">
        <v>22</v>
      </c>
      <c r="G238" s="46" t="s">
        <v>358</v>
      </c>
      <c r="I238">
        <f t="shared" si="10"/>
        <v>1905</v>
      </c>
      <c r="K238" s="19"/>
    </row>
    <row r="239" spans="2:11" x14ac:dyDescent="0.3">
      <c r="B239" s="25" t="s">
        <v>508</v>
      </c>
      <c r="C239" s="4"/>
      <c r="D239" s="28" t="s">
        <v>366</v>
      </c>
      <c r="E239" s="27">
        <f t="shared" si="13"/>
        <v>1894</v>
      </c>
      <c r="F239" s="29">
        <v>8</v>
      </c>
      <c r="G239" s="46" t="s">
        <v>358</v>
      </c>
      <c r="I239">
        <f t="shared" si="10"/>
        <v>1927</v>
      </c>
      <c r="K239" s="19"/>
    </row>
    <row r="240" spans="2:11" ht="28.8" x14ac:dyDescent="0.3">
      <c r="B240" s="23" t="s">
        <v>499</v>
      </c>
      <c r="C240" s="4" t="s">
        <v>420</v>
      </c>
      <c r="D240" s="38" t="s">
        <v>496</v>
      </c>
      <c r="E240" s="27">
        <f t="shared" si="13"/>
        <v>1902</v>
      </c>
      <c r="F240" s="29">
        <v>15</v>
      </c>
      <c r="G240" s="30" t="s">
        <v>359</v>
      </c>
      <c r="I240">
        <f>E240+33</f>
        <v>1935</v>
      </c>
      <c r="K240" s="19"/>
    </row>
    <row r="241" spans="2:24" ht="28.8" x14ac:dyDescent="0.3">
      <c r="B241" s="23" t="s">
        <v>500</v>
      </c>
      <c r="C241" s="4" t="s">
        <v>420</v>
      </c>
      <c r="D241" s="45" t="s">
        <v>502</v>
      </c>
      <c r="E241" s="27">
        <f t="shared" si="13"/>
        <v>1917</v>
      </c>
      <c r="F241" s="29">
        <v>15</v>
      </c>
      <c r="G241" s="30" t="s">
        <v>359</v>
      </c>
      <c r="I241">
        <f>E241+33</f>
        <v>1950</v>
      </c>
      <c r="K241" s="19"/>
    </row>
    <row r="242" spans="2:24" x14ac:dyDescent="0.3">
      <c r="B242" s="24" t="s">
        <v>501</v>
      </c>
      <c r="C242" s="4" t="s">
        <v>420</v>
      </c>
      <c r="D242" s="45" t="s">
        <v>515</v>
      </c>
      <c r="E242" s="27">
        <f t="shared" si="13"/>
        <v>1932</v>
      </c>
      <c r="F242" s="29">
        <v>2</v>
      </c>
      <c r="G242" s="78" t="s">
        <v>358</v>
      </c>
      <c r="H242" s="19"/>
      <c r="I242">
        <f>E242+33</f>
        <v>1965</v>
      </c>
      <c r="J242" s="17"/>
      <c r="K242" s="17"/>
      <c r="U242"/>
      <c r="V242"/>
      <c r="W242"/>
      <c r="X242"/>
    </row>
    <row r="243" spans="2:24" ht="28.8" x14ac:dyDescent="0.3">
      <c r="B243" s="11" t="s">
        <v>621</v>
      </c>
      <c r="C243" s="4"/>
      <c r="D243" s="45" t="s">
        <v>637</v>
      </c>
      <c r="E243" s="27"/>
      <c r="F243" s="29"/>
      <c r="G243" s="81"/>
      <c r="H243" s="19"/>
      <c r="J243" s="17"/>
      <c r="K243" s="17"/>
      <c r="U243"/>
      <c r="V243"/>
      <c r="W243"/>
      <c r="X243"/>
    </row>
    <row r="244" spans="2:24" ht="28.8" x14ac:dyDescent="0.3">
      <c r="B244" s="11" t="s">
        <v>622</v>
      </c>
      <c r="C244" s="4"/>
      <c r="D244" s="45" t="s">
        <v>637</v>
      </c>
      <c r="E244" s="27"/>
      <c r="F244" s="29"/>
      <c r="G244" s="81"/>
      <c r="H244" s="19"/>
      <c r="J244" s="17"/>
      <c r="K244" s="17"/>
      <c r="U244"/>
      <c r="V244"/>
      <c r="W244"/>
      <c r="X244"/>
    </row>
    <row r="245" spans="2:24" x14ac:dyDescent="0.3">
      <c r="B245" s="11" t="s">
        <v>512</v>
      </c>
      <c r="C245" s="12"/>
      <c r="D245" s="38" t="s">
        <v>516</v>
      </c>
      <c r="E245" s="27"/>
      <c r="F245" s="29"/>
      <c r="G245" s="81"/>
      <c r="H245" s="18"/>
      <c r="I245" s="17"/>
      <c r="J245" s="17"/>
      <c r="K245" s="17"/>
      <c r="U245"/>
      <c r="V245"/>
      <c r="W245"/>
      <c r="X245"/>
    </row>
    <row r="246" spans="2:24" x14ac:dyDescent="0.3">
      <c r="B246" s="11" t="s">
        <v>513</v>
      </c>
      <c r="C246" s="12"/>
      <c r="D246" s="38" t="s">
        <v>517</v>
      </c>
      <c r="E246" s="27"/>
      <c r="F246" s="29"/>
      <c r="G246" s="81"/>
      <c r="H246" s="18"/>
      <c r="I246" s="17"/>
      <c r="J246" s="17"/>
      <c r="K246" s="17"/>
      <c r="U246"/>
      <c r="V246"/>
      <c r="W246"/>
      <c r="X246"/>
    </row>
    <row r="247" spans="2:24" x14ac:dyDescent="0.3">
      <c r="B247" s="11" t="s">
        <v>514</v>
      </c>
      <c r="C247" s="12"/>
      <c r="D247" s="38" t="s">
        <v>518</v>
      </c>
      <c r="E247" s="27"/>
      <c r="F247" s="29"/>
      <c r="G247" s="79"/>
      <c r="H247" s="18"/>
      <c r="I247" s="17"/>
      <c r="J247" s="17"/>
      <c r="K247" s="17"/>
      <c r="U247"/>
      <c r="V247"/>
      <c r="W247"/>
      <c r="X247"/>
    </row>
    <row r="248" spans="2:24" x14ac:dyDescent="0.3">
      <c r="B248" s="53" t="s">
        <v>498</v>
      </c>
      <c r="C248" s="4"/>
      <c r="D248" s="28"/>
      <c r="E248" s="27">
        <f>E242+F242</f>
        <v>1934</v>
      </c>
      <c r="F248" s="29">
        <v>8</v>
      </c>
      <c r="G248" s="46"/>
      <c r="I248">
        <f t="shared" si="10"/>
        <v>1967</v>
      </c>
      <c r="K248" s="19"/>
    </row>
    <row r="249" spans="2:24" x14ac:dyDescent="0.3">
      <c r="B249" s="20" t="s">
        <v>471</v>
      </c>
      <c r="C249" s="21"/>
      <c r="D249" s="47"/>
      <c r="E249" s="22">
        <f>E229</f>
        <v>1742</v>
      </c>
      <c r="F249" s="48"/>
      <c r="G249" s="16"/>
    </row>
    <row r="250" spans="2:24" x14ac:dyDescent="0.3">
      <c r="B250" s="25" t="s">
        <v>387</v>
      </c>
      <c r="C250" s="4"/>
      <c r="D250" s="28"/>
      <c r="E250" s="29">
        <f>E249+F249</f>
        <v>1742</v>
      </c>
      <c r="F250" s="29">
        <v>200</v>
      </c>
      <c r="G250" s="46"/>
      <c r="I250">
        <f t="shared" si="10"/>
        <v>1775</v>
      </c>
    </row>
    <row r="251" spans="2:24" x14ac:dyDescent="0.3">
      <c r="B251" s="25" t="s">
        <v>470</v>
      </c>
      <c r="C251" s="4"/>
      <c r="D251" s="28"/>
      <c r="E251" s="29">
        <f>E250</f>
        <v>1742</v>
      </c>
      <c r="F251" s="29"/>
      <c r="G251" s="46"/>
    </row>
    <row r="252" spans="2:24" x14ac:dyDescent="0.3">
      <c r="B252" s="25" t="s">
        <v>362</v>
      </c>
      <c r="C252" s="4"/>
      <c r="D252" s="28" t="s">
        <v>43</v>
      </c>
      <c r="E252" s="29">
        <f>E251+F251</f>
        <v>1742</v>
      </c>
      <c r="F252" s="29">
        <v>30</v>
      </c>
      <c r="G252" s="30" t="s">
        <v>359</v>
      </c>
      <c r="I252">
        <f t="shared" si="10"/>
        <v>1775</v>
      </c>
    </row>
    <row r="253" spans="2:24" x14ac:dyDescent="0.3">
      <c r="B253" s="25" t="s">
        <v>364</v>
      </c>
      <c r="C253" s="4"/>
      <c r="D253" s="28" t="s">
        <v>44</v>
      </c>
      <c r="E253" s="29">
        <f>E252+F252</f>
        <v>1772</v>
      </c>
      <c r="F253" s="29">
        <v>10</v>
      </c>
      <c r="G253" s="33" t="s">
        <v>358</v>
      </c>
      <c r="I253">
        <f t="shared" si="10"/>
        <v>1805</v>
      </c>
    </row>
    <row r="254" spans="2:24" x14ac:dyDescent="0.3">
      <c r="B254" s="25" t="s">
        <v>363</v>
      </c>
      <c r="C254" s="4"/>
      <c r="D254" s="28" t="s">
        <v>330</v>
      </c>
      <c r="E254" s="29">
        <f>E253+F253</f>
        <v>1782</v>
      </c>
      <c r="F254" s="29">
        <v>25</v>
      </c>
      <c r="G254" s="30" t="s">
        <v>359</v>
      </c>
      <c r="I254">
        <f t="shared" si="10"/>
        <v>1815</v>
      </c>
    </row>
    <row r="255" spans="2:24" x14ac:dyDescent="0.3">
      <c r="B255" s="25" t="s">
        <v>331</v>
      </c>
      <c r="C255" s="4"/>
      <c r="D255" s="28" t="s">
        <v>45</v>
      </c>
      <c r="E255" s="29">
        <f>E254+F254</f>
        <v>1807</v>
      </c>
      <c r="F255" s="29">
        <v>15</v>
      </c>
      <c r="G255" s="30" t="s">
        <v>359</v>
      </c>
      <c r="I255">
        <f t="shared" si="10"/>
        <v>1840</v>
      </c>
    </row>
    <row r="256" spans="2:24" x14ac:dyDescent="0.3">
      <c r="B256" s="25" t="s">
        <v>388</v>
      </c>
      <c r="C256" s="4"/>
      <c r="D256" s="28"/>
      <c r="E256" s="29">
        <f>E255+F255</f>
        <v>1822</v>
      </c>
      <c r="F256" s="29">
        <v>120</v>
      </c>
      <c r="G256" s="46"/>
      <c r="I256">
        <f t="shared" si="10"/>
        <v>1855</v>
      </c>
    </row>
    <row r="257" spans="2:9" x14ac:dyDescent="0.3">
      <c r="B257" s="25" t="s">
        <v>469</v>
      </c>
      <c r="C257" s="4"/>
      <c r="D257" s="28"/>
      <c r="E257" s="29">
        <f>E249</f>
        <v>1742</v>
      </c>
      <c r="F257" s="29"/>
      <c r="G257" s="46"/>
    </row>
    <row r="258" spans="2:9" x14ac:dyDescent="0.3">
      <c r="B258" s="25" t="s">
        <v>332</v>
      </c>
      <c r="C258" s="4"/>
      <c r="D258" s="28" t="s">
        <v>159</v>
      </c>
      <c r="E258" s="29">
        <f>E257+F257</f>
        <v>1742</v>
      </c>
      <c r="F258" s="29">
        <v>25</v>
      </c>
      <c r="G258" s="30" t="s">
        <v>359</v>
      </c>
      <c r="I258">
        <f t="shared" si="10"/>
        <v>1775</v>
      </c>
    </row>
    <row r="259" spans="2:9" x14ac:dyDescent="0.3">
      <c r="B259" s="25" t="s">
        <v>333</v>
      </c>
      <c r="C259" s="4"/>
      <c r="D259" s="28" t="s">
        <v>160</v>
      </c>
      <c r="E259" s="29">
        <f>E258+F258</f>
        <v>1767</v>
      </c>
      <c r="F259" s="29">
        <v>40</v>
      </c>
      <c r="G259" s="33" t="s">
        <v>358</v>
      </c>
      <c r="I259">
        <f t="shared" si="10"/>
        <v>1800</v>
      </c>
    </row>
    <row r="260" spans="2:9" x14ac:dyDescent="0.3">
      <c r="B260" s="25" t="s">
        <v>389</v>
      </c>
      <c r="C260" s="4"/>
      <c r="D260" s="28"/>
      <c r="E260" s="29">
        <f>E259+F259</f>
        <v>1807</v>
      </c>
      <c r="F260" s="29">
        <v>135</v>
      </c>
      <c r="G260" s="46"/>
      <c r="I260">
        <f t="shared" si="10"/>
        <v>1840</v>
      </c>
    </row>
    <row r="261" spans="2:9" x14ac:dyDescent="0.3">
      <c r="B261" s="25" t="s">
        <v>468</v>
      </c>
      <c r="C261" s="4"/>
      <c r="D261" s="28"/>
      <c r="E261" s="29">
        <f>E257</f>
        <v>1742</v>
      </c>
      <c r="F261" s="29"/>
      <c r="G261" s="46"/>
    </row>
    <row r="262" spans="2:9" x14ac:dyDescent="0.3">
      <c r="B262" s="25" t="s">
        <v>356</v>
      </c>
      <c r="C262" s="4"/>
      <c r="D262" s="28"/>
      <c r="E262" s="29">
        <f>E261+F261</f>
        <v>1742</v>
      </c>
      <c r="F262" s="29">
        <v>65</v>
      </c>
      <c r="G262" s="30" t="s">
        <v>359</v>
      </c>
      <c r="I262">
        <f t="shared" si="10"/>
        <v>1775</v>
      </c>
    </row>
    <row r="263" spans="2:9" x14ac:dyDescent="0.3">
      <c r="B263" s="25" t="s">
        <v>389</v>
      </c>
      <c r="C263" s="4"/>
      <c r="D263" s="28"/>
      <c r="E263" s="29">
        <f>E262+F262</f>
        <v>1807</v>
      </c>
      <c r="F263" s="29">
        <v>135</v>
      </c>
      <c r="G263" s="46"/>
      <c r="I263">
        <f t="shared" si="10"/>
        <v>1840</v>
      </c>
    </row>
    <row r="264" spans="2:9" x14ac:dyDescent="0.3">
      <c r="B264" s="20" t="s">
        <v>467</v>
      </c>
      <c r="C264" s="21"/>
      <c r="D264" s="47"/>
      <c r="E264" s="22">
        <f>E229</f>
        <v>1742</v>
      </c>
      <c r="F264" s="48"/>
      <c r="G264" s="16"/>
    </row>
    <row r="265" spans="2:9" x14ac:dyDescent="0.3">
      <c r="B265" s="25" t="s">
        <v>340</v>
      </c>
      <c r="C265" s="4"/>
      <c r="D265" s="28" t="s">
        <v>166</v>
      </c>
      <c r="E265" s="27">
        <f>E264+F264</f>
        <v>1742</v>
      </c>
      <c r="F265" s="29">
        <v>10</v>
      </c>
      <c r="G265" s="30" t="s">
        <v>359</v>
      </c>
      <c r="I265">
        <f t="shared" si="10"/>
        <v>1775</v>
      </c>
    </row>
    <row r="266" spans="2:9" x14ac:dyDescent="0.3">
      <c r="B266" s="25" t="s">
        <v>161</v>
      </c>
      <c r="C266" s="4"/>
      <c r="D266" s="28" t="s">
        <v>10</v>
      </c>
      <c r="E266" s="27">
        <f>E265+F265</f>
        <v>1752</v>
      </c>
      <c r="F266" s="29">
        <v>40</v>
      </c>
      <c r="G266" s="33" t="s">
        <v>358</v>
      </c>
      <c r="I266">
        <f t="shared" si="10"/>
        <v>1785</v>
      </c>
    </row>
    <row r="267" spans="2:9" x14ac:dyDescent="0.3">
      <c r="B267" s="25" t="s">
        <v>162</v>
      </c>
      <c r="C267" s="4"/>
      <c r="D267" s="28" t="s">
        <v>11</v>
      </c>
      <c r="E267" s="27">
        <f t="shared" ref="E267:E270" si="14">E266+F266</f>
        <v>1792</v>
      </c>
      <c r="F267" s="29">
        <v>40</v>
      </c>
      <c r="G267" s="33" t="s">
        <v>358</v>
      </c>
      <c r="I267">
        <f t="shared" si="10"/>
        <v>1825</v>
      </c>
    </row>
    <row r="268" spans="2:9" x14ac:dyDescent="0.3">
      <c r="B268" s="25" t="s">
        <v>163</v>
      </c>
      <c r="C268" s="4"/>
      <c r="D268" s="28" t="s">
        <v>12</v>
      </c>
      <c r="E268" s="27">
        <f t="shared" si="14"/>
        <v>1832</v>
      </c>
      <c r="F268" s="29">
        <v>40</v>
      </c>
      <c r="G268" s="33" t="s">
        <v>358</v>
      </c>
      <c r="I268">
        <f t="shared" si="10"/>
        <v>1865</v>
      </c>
    </row>
    <row r="269" spans="2:9" x14ac:dyDescent="0.3">
      <c r="B269" s="25" t="s">
        <v>164</v>
      </c>
      <c r="C269" s="4"/>
      <c r="D269" s="28" t="s">
        <v>51</v>
      </c>
      <c r="E269" s="27">
        <f t="shared" si="14"/>
        <v>1872</v>
      </c>
      <c r="F269" s="29">
        <v>9</v>
      </c>
      <c r="G269" s="33" t="s">
        <v>358</v>
      </c>
      <c r="I269">
        <f t="shared" si="10"/>
        <v>1905</v>
      </c>
    </row>
    <row r="270" spans="2:9" x14ac:dyDescent="0.3">
      <c r="B270" s="25" t="s">
        <v>165</v>
      </c>
      <c r="C270" s="4"/>
      <c r="D270" s="28" t="s">
        <v>13</v>
      </c>
      <c r="E270" s="27">
        <f t="shared" si="14"/>
        <v>1881</v>
      </c>
      <c r="F270" s="29">
        <v>40</v>
      </c>
      <c r="G270" s="33" t="s">
        <v>358</v>
      </c>
      <c r="I270">
        <f t="shared" ref="I270:I346" si="15">E270+33</f>
        <v>1914</v>
      </c>
    </row>
    <row r="271" spans="2:9" x14ac:dyDescent="0.3">
      <c r="B271" s="25" t="s">
        <v>390</v>
      </c>
      <c r="C271" s="4"/>
      <c r="D271" s="28"/>
      <c r="E271" s="27">
        <f>E270+F270</f>
        <v>1921</v>
      </c>
      <c r="F271" s="29">
        <v>21</v>
      </c>
      <c r="G271" s="46"/>
      <c r="I271">
        <f t="shared" si="15"/>
        <v>1954</v>
      </c>
    </row>
    <row r="272" spans="2:9" x14ac:dyDescent="0.3">
      <c r="B272" s="20" t="s">
        <v>466</v>
      </c>
      <c r="C272" s="21"/>
      <c r="D272" s="47"/>
      <c r="E272" s="22">
        <f>E229</f>
        <v>1742</v>
      </c>
      <c r="F272" s="48">
        <v>0</v>
      </c>
      <c r="G272" s="16"/>
    </row>
    <row r="273" spans="1:11" x14ac:dyDescent="0.3">
      <c r="B273" s="25" t="s">
        <v>339</v>
      </c>
      <c r="C273" s="4"/>
      <c r="D273" s="28" t="s">
        <v>166</v>
      </c>
      <c r="E273" s="27">
        <f>E272+F272</f>
        <v>1742</v>
      </c>
      <c r="F273" s="29">
        <v>65</v>
      </c>
      <c r="G273" s="30" t="s">
        <v>359</v>
      </c>
      <c r="I273">
        <f t="shared" si="15"/>
        <v>1775</v>
      </c>
    </row>
    <row r="274" spans="1:11" x14ac:dyDescent="0.3">
      <c r="B274" s="25" t="s">
        <v>386</v>
      </c>
      <c r="C274" s="4"/>
      <c r="D274" s="28"/>
      <c r="E274" s="27">
        <f>E273+F273</f>
        <v>1807</v>
      </c>
      <c r="F274" s="29">
        <v>135</v>
      </c>
      <c r="G274" s="46"/>
      <c r="I274">
        <f t="shared" si="15"/>
        <v>1840</v>
      </c>
    </row>
    <row r="275" spans="1:11" x14ac:dyDescent="0.3">
      <c r="A275" s="69"/>
      <c r="B275" s="6" t="s">
        <v>391</v>
      </c>
      <c r="C275" s="7"/>
      <c r="D275" s="8"/>
      <c r="E275" s="22">
        <f>E229+F229</f>
        <v>1942</v>
      </c>
      <c r="F275" s="22">
        <v>150</v>
      </c>
      <c r="G275" s="16"/>
    </row>
    <row r="276" spans="1:11" x14ac:dyDescent="0.3">
      <c r="B276" s="20" t="s">
        <v>465</v>
      </c>
      <c r="C276" s="21" t="s">
        <v>420</v>
      </c>
      <c r="D276" s="47"/>
      <c r="E276" s="22">
        <f>E275</f>
        <v>1942</v>
      </c>
      <c r="F276" s="48"/>
      <c r="G276" s="16"/>
    </row>
    <row r="277" spans="1:11" x14ac:dyDescent="0.3">
      <c r="B277" s="25" t="s">
        <v>412</v>
      </c>
      <c r="C277" s="4" t="s">
        <v>420</v>
      </c>
      <c r="D277" s="28" t="s">
        <v>403</v>
      </c>
      <c r="E277" s="27">
        <f>E276+F276</f>
        <v>1942</v>
      </c>
      <c r="F277" s="29">
        <v>3</v>
      </c>
      <c r="G277" s="82" t="s">
        <v>359</v>
      </c>
      <c r="I277">
        <f t="shared" si="15"/>
        <v>1975</v>
      </c>
      <c r="K277" s="19"/>
    </row>
    <row r="278" spans="1:11" x14ac:dyDescent="0.3">
      <c r="B278" s="25" t="s">
        <v>413</v>
      </c>
      <c r="C278" s="4" t="s">
        <v>420</v>
      </c>
      <c r="D278" s="38" t="s">
        <v>400</v>
      </c>
      <c r="E278" s="27"/>
      <c r="F278" s="29"/>
      <c r="G278" s="83"/>
      <c r="K278" s="19"/>
    </row>
    <row r="279" spans="1:11" x14ac:dyDescent="0.3">
      <c r="B279" s="25" t="s">
        <v>414</v>
      </c>
      <c r="C279" s="4" t="s">
        <v>420</v>
      </c>
      <c r="D279" s="38" t="s">
        <v>401</v>
      </c>
      <c r="E279" s="27"/>
      <c r="F279" s="29"/>
      <c r="G279" s="83"/>
      <c r="K279" s="19"/>
    </row>
    <row r="280" spans="1:11" x14ac:dyDescent="0.3">
      <c r="B280" s="25" t="s">
        <v>415</v>
      </c>
      <c r="C280" s="4" t="s">
        <v>420</v>
      </c>
      <c r="D280" s="38" t="s">
        <v>402</v>
      </c>
      <c r="E280" s="27"/>
      <c r="F280" s="29"/>
      <c r="G280" s="80"/>
      <c r="K280" s="19"/>
    </row>
    <row r="281" spans="1:11" x14ac:dyDescent="0.3">
      <c r="B281" s="25" t="s">
        <v>416</v>
      </c>
      <c r="C281" s="4" t="s">
        <v>420</v>
      </c>
      <c r="D281" s="28" t="s">
        <v>399</v>
      </c>
      <c r="E281" s="27">
        <f>E277+F277</f>
        <v>1945</v>
      </c>
      <c r="F281" s="29">
        <v>8</v>
      </c>
      <c r="G281" s="46" t="s">
        <v>358</v>
      </c>
      <c r="I281">
        <f t="shared" si="15"/>
        <v>1978</v>
      </c>
      <c r="K281" s="19"/>
    </row>
    <row r="282" spans="1:11" x14ac:dyDescent="0.3">
      <c r="B282" s="25" t="s">
        <v>497</v>
      </c>
      <c r="C282" s="4" t="s">
        <v>420</v>
      </c>
      <c r="D282" s="28"/>
      <c r="E282" s="27">
        <f>E281+F281</f>
        <v>1953</v>
      </c>
      <c r="F282" s="29">
        <v>139</v>
      </c>
      <c r="G282" s="46"/>
      <c r="I282">
        <f t="shared" si="15"/>
        <v>1986</v>
      </c>
    </row>
    <row r="283" spans="1:11" x14ac:dyDescent="0.3">
      <c r="B283" s="20" t="s">
        <v>456</v>
      </c>
      <c r="C283" s="47"/>
      <c r="D283" s="47"/>
      <c r="E283" s="22">
        <f>E275</f>
        <v>1942</v>
      </c>
      <c r="F283" s="48"/>
      <c r="G283" s="16"/>
    </row>
    <row r="284" spans="1:11" x14ac:dyDescent="0.3">
      <c r="B284" s="25" t="s">
        <v>417</v>
      </c>
      <c r="C284" s="4"/>
      <c r="D284" s="28" t="s">
        <v>418</v>
      </c>
      <c r="E284" s="27">
        <f>E283+F283</f>
        <v>1942</v>
      </c>
      <c r="F284" s="29">
        <v>5</v>
      </c>
      <c r="G284" s="46" t="s">
        <v>359</v>
      </c>
      <c r="I284">
        <f t="shared" si="15"/>
        <v>1975</v>
      </c>
      <c r="K284" s="19"/>
    </row>
    <row r="285" spans="1:11" x14ac:dyDescent="0.3">
      <c r="B285" s="25" t="s">
        <v>419</v>
      </c>
      <c r="C285" s="4"/>
      <c r="D285" s="28"/>
      <c r="E285" s="27">
        <f>E284+F284</f>
        <v>1947</v>
      </c>
      <c r="F285" s="29">
        <v>145</v>
      </c>
      <c r="G285" s="46"/>
      <c r="I285">
        <f t="shared" si="15"/>
        <v>1980</v>
      </c>
      <c r="K285" s="19"/>
    </row>
    <row r="286" spans="1:11" x14ac:dyDescent="0.3">
      <c r="B286" s="20" t="s">
        <v>457</v>
      </c>
      <c r="C286" s="21"/>
      <c r="D286" s="47"/>
      <c r="E286" s="22">
        <f>E275</f>
        <v>1942</v>
      </c>
      <c r="F286" s="48"/>
      <c r="G286" s="16"/>
    </row>
    <row r="287" spans="1:11" x14ac:dyDescent="0.3">
      <c r="B287" s="25" t="s">
        <v>336</v>
      </c>
      <c r="C287" s="4"/>
      <c r="D287" s="28" t="s">
        <v>338</v>
      </c>
      <c r="E287" s="27">
        <f t="shared" ref="E287:E291" si="16">E286+F286</f>
        <v>1942</v>
      </c>
      <c r="F287" s="29">
        <v>1</v>
      </c>
      <c r="G287" s="33" t="s">
        <v>358</v>
      </c>
      <c r="I287">
        <f t="shared" si="15"/>
        <v>1975</v>
      </c>
    </row>
    <row r="288" spans="1:11" x14ac:dyDescent="0.3">
      <c r="B288" s="25" t="s">
        <v>337</v>
      </c>
      <c r="C288" s="4"/>
      <c r="D288" s="28" t="s">
        <v>316</v>
      </c>
      <c r="E288" s="27">
        <f t="shared" si="16"/>
        <v>1943</v>
      </c>
      <c r="F288" s="29">
        <v>2</v>
      </c>
      <c r="G288" s="33" t="s">
        <v>358</v>
      </c>
      <c r="I288">
        <f t="shared" si="15"/>
        <v>1976</v>
      </c>
    </row>
    <row r="289" spans="2:9" ht="28.8" x14ac:dyDescent="0.3">
      <c r="B289" s="11" t="s">
        <v>464</v>
      </c>
      <c r="C289" s="49"/>
      <c r="D289" s="38" t="s">
        <v>70</v>
      </c>
      <c r="E289" s="27">
        <f t="shared" si="16"/>
        <v>1945</v>
      </c>
      <c r="F289" s="29">
        <v>15</v>
      </c>
      <c r="G289" s="33" t="s">
        <v>358</v>
      </c>
      <c r="H289" s="13"/>
      <c r="I289">
        <f t="shared" si="15"/>
        <v>1978</v>
      </c>
    </row>
    <row r="290" spans="2:9" x14ac:dyDescent="0.3">
      <c r="B290" s="25" t="s">
        <v>155</v>
      </c>
      <c r="C290" s="4"/>
      <c r="D290" s="28" t="s">
        <v>71</v>
      </c>
      <c r="E290" s="27">
        <f t="shared" si="16"/>
        <v>1960</v>
      </c>
      <c r="F290" s="29">
        <v>2</v>
      </c>
      <c r="G290" s="33" t="s">
        <v>358</v>
      </c>
      <c r="I290">
        <f t="shared" si="15"/>
        <v>1993</v>
      </c>
    </row>
    <row r="291" spans="2:9" x14ac:dyDescent="0.3">
      <c r="B291" s="25" t="s">
        <v>154</v>
      </c>
      <c r="C291" s="4"/>
      <c r="D291" s="28" t="s">
        <v>69</v>
      </c>
      <c r="E291" s="27">
        <f t="shared" si="16"/>
        <v>1962</v>
      </c>
      <c r="F291" s="29">
        <v>60</v>
      </c>
      <c r="G291" s="33" t="s">
        <v>358</v>
      </c>
      <c r="I291">
        <f t="shared" si="15"/>
        <v>1995</v>
      </c>
    </row>
    <row r="292" spans="2:9" x14ac:dyDescent="0.3">
      <c r="B292" s="25" t="s">
        <v>392</v>
      </c>
      <c r="C292" s="4"/>
      <c r="D292" s="28"/>
      <c r="E292" s="27">
        <f>E291+F291</f>
        <v>2022</v>
      </c>
      <c r="F292" s="29">
        <v>70</v>
      </c>
      <c r="G292" s="46"/>
      <c r="I292">
        <f t="shared" si="15"/>
        <v>2055</v>
      </c>
    </row>
    <row r="293" spans="2:9" x14ac:dyDescent="0.3">
      <c r="B293" s="20" t="s">
        <v>463</v>
      </c>
      <c r="C293" s="21"/>
      <c r="D293" s="47"/>
      <c r="E293" s="22">
        <f>E275</f>
        <v>1942</v>
      </c>
      <c r="F293" s="48">
        <v>0</v>
      </c>
      <c r="G293" s="16"/>
    </row>
    <row r="294" spans="2:9" x14ac:dyDescent="0.3">
      <c r="B294" s="25" t="s">
        <v>335</v>
      </c>
      <c r="C294" s="4"/>
      <c r="D294" s="28" t="s">
        <v>334</v>
      </c>
      <c r="E294" s="27">
        <f>E293+F293</f>
        <v>1942</v>
      </c>
      <c r="F294" s="29">
        <v>1</v>
      </c>
      <c r="G294" s="33" t="s">
        <v>358</v>
      </c>
      <c r="I294">
        <f t="shared" si="15"/>
        <v>1975</v>
      </c>
    </row>
    <row r="295" spans="2:9" x14ac:dyDescent="0.3">
      <c r="B295" s="25" t="s">
        <v>357</v>
      </c>
      <c r="C295" s="4"/>
      <c r="D295" s="28" t="s">
        <v>69</v>
      </c>
      <c r="E295" s="27">
        <f>E294+F294</f>
        <v>1943</v>
      </c>
      <c r="F295" s="29">
        <v>60</v>
      </c>
      <c r="G295" s="33" t="s">
        <v>358</v>
      </c>
      <c r="I295">
        <f t="shared" si="15"/>
        <v>1976</v>
      </c>
    </row>
    <row r="296" spans="2:9" x14ac:dyDescent="0.3">
      <c r="B296" s="25" t="s">
        <v>393</v>
      </c>
      <c r="C296" s="4"/>
      <c r="D296" s="28"/>
      <c r="E296" s="27">
        <f>E295+F295</f>
        <v>2003</v>
      </c>
      <c r="F296" s="29">
        <v>89</v>
      </c>
      <c r="G296" s="46"/>
      <c r="I296">
        <f t="shared" si="15"/>
        <v>2036</v>
      </c>
    </row>
    <row r="297" spans="2:9" x14ac:dyDescent="0.3">
      <c r="B297" s="9" t="s">
        <v>230</v>
      </c>
      <c r="C297" s="10"/>
      <c r="D297" s="34"/>
      <c r="E297" s="35">
        <f>E275+F275</f>
        <v>2092</v>
      </c>
      <c r="F297" s="36"/>
      <c r="G297" s="37"/>
    </row>
    <row r="298" spans="2:9" x14ac:dyDescent="0.3">
      <c r="B298" s="25" t="s">
        <v>153</v>
      </c>
      <c r="C298" s="4"/>
      <c r="D298" s="28" t="s">
        <v>251</v>
      </c>
      <c r="E298" s="27">
        <f>E297+F297</f>
        <v>2092</v>
      </c>
      <c r="F298" s="29">
        <v>1</v>
      </c>
      <c r="G298" s="30" t="s">
        <v>359</v>
      </c>
      <c r="I298">
        <f t="shared" si="15"/>
        <v>2125</v>
      </c>
    </row>
    <row r="299" spans="2:9" x14ac:dyDescent="0.3">
      <c r="B299" s="25" t="s">
        <v>375</v>
      </c>
      <c r="C299" s="4"/>
      <c r="D299" s="28" t="s">
        <v>377</v>
      </c>
      <c r="E299" s="27">
        <f t="shared" ref="E299:E300" si="17">E298+F298</f>
        <v>2093</v>
      </c>
      <c r="F299" s="29">
        <v>8</v>
      </c>
      <c r="G299" s="30" t="s">
        <v>359</v>
      </c>
      <c r="I299">
        <f t="shared" si="15"/>
        <v>2126</v>
      </c>
    </row>
    <row r="300" spans="2:9" x14ac:dyDescent="0.3">
      <c r="B300" s="25" t="s">
        <v>376</v>
      </c>
      <c r="C300" s="4"/>
      <c r="D300" s="28" t="s">
        <v>378</v>
      </c>
      <c r="E300" s="27">
        <f t="shared" si="17"/>
        <v>2101</v>
      </c>
      <c r="F300" s="29">
        <v>8</v>
      </c>
      <c r="G300" s="30" t="s">
        <v>359</v>
      </c>
      <c r="I300">
        <f t="shared" si="15"/>
        <v>2134</v>
      </c>
    </row>
    <row r="301" spans="2:9" ht="28.8" x14ac:dyDescent="0.3">
      <c r="B301" s="11" t="s">
        <v>462</v>
      </c>
      <c r="C301" s="12"/>
      <c r="D301" s="38" t="s">
        <v>379</v>
      </c>
      <c r="E301" s="27">
        <f>E300+F300</f>
        <v>2109</v>
      </c>
      <c r="F301" s="29">
        <v>15</v>
      </c>
      <c r="G301" s="30" t="s">
        <v>359</v>
      </c>
      <c r="I301">
        <f t="shared" si="15"/>
        <v>2142</v>
      </c>
    </row>
    <row r="302" spans="2:9" x14ac:dyDescent="0.3">
      <c r="B302" s="9" t="s">
        <v>442</v>
      </c>
      <c r="C302" s="10"/>
      <c r="D302" s="34"/>
      <c r="E302" s="35">
        <f>E301+F301</f>
        <v>2124</v>
      </c>
      <c r="F302" s="36"/>
      <c r="G302" s="37"/>
    </row>
    <row r="303" spans="2:9" x14ac:dyDescent="0.3">
      <c r="B303" s="25" t="s">
        <v>449</v>
      </c>
      <c r="C303" s="4"/>
      <c r="D303" s="28" t="s">
        <v>630</v>
      </c>
      <c r="E303" s="27">
        <f>E302+F302</f>
        <v>2124</v>
      </c>
      <c r="F303" s="29">
        <v>9</v>
      </c>
      <c r="G303" s="30" t="s">
        <v>359</v>
      </c>
      <c r="I303">
        <f t="shared" si="15"/>
        <v>2157</v>
      </c>
    </row>
    <row r="304" spans="2:9" x14ac:dyDescent="0.3">
      <c r="B304" s="25" t="s">
        <v>453</v>
      </c>
      <c r="C304" s="4"/>
      <c r="D304" s="28" t="s">
        <v>626</v>
      </c>
      <c r="E304" s="27">
        <f t="shared" ref="E304:E312" si="18">E303+F303</f>
        <v>2133</v>
      </c>
      <c r="F304" s="29">
        <v>60</v>
      </c>
      <c r="G304" s="46"/>
      <c r="I304">
        <f t="shared" si="15"/>
        <v>2166</v>
      </c>
    </row>
    <row r="305" spans="2:9" x14ac:dyDescent="0.3">
      <c r="B305" s="25" t="s">
        <v>443</v>
      </c>
      <c r="C305" s="4"/>
      <c r="D305" s="28" t="s">
        <v>624</v>
      </c>
      <c r="E305" s="27">
        <f t="shared" si="18"/>
        <v>2193</v>
      </c>
      <c r="F305" s="29">
        <v>70</v>
      </c>
      <c r="G305" s="30" t="s">
        <v>359</v>
      </c>
      <c r="I305">
        <f t="shared" si="15"/>
        <v>2226</v>
      </c>
    </row>
    <row r="306" spans="2:9" x14ac:dyDescent="0.3">
      <c r="B306" s="25" t="s">
        <v>450</v>
      </c>
      <c r="C306" s="4"/>
      <c r="D306" s="28" t="s">
        <v>631</v>
      </c>
      <c r="E306" s="27">
        <f t="shared" si="18"/>
        <v>2263</v>
      </c>
      <c r="F306" s="29">
        <v>4</v>
      </c>
      <c r="G306" s="30" t="s">
        <v>359</v>
      </c>
      <c r="I306">
        <f t="shared" si="15"/>
        <v>2296</v>
      </c>
    </row>
    <row r="307" spans="2:9" x14ac:dyDescent="0.3">
      <c r="B307" s="25" t="s">
        <v>444</v>
      </c>
      <c r="C307" s="4"/>
      <c r="D307" s="28" t="s">
        <v>632</v>
      </c>
      <c r="E307" s="27">
        <f t="shared" si="18"/>
        <v>2267</v>
      </c>
      <c r="F307" s="29">
        <v>4</v>
      </c>
      <c r="G307" s="30" t="s">
        <v>359</v>
      </c>
      <c r="I307">
        <f t="shared" si="15"/>
        <v>2300</v>
      </c>
    </row>
    <row r="308" spans="2:9" x14ac:dyDescent="0.3">
      <c r="B308" s="25" t="s">
        <v>445</v>
      </c>
      <c r="C308" s="4"/>
      <c r="D308" s="28" t="s">
        <v>625</v>
      </c>
      <c r="E308" s="27">
        <f t="shared" si="18"/>
        <v>2271</v>
      </c>
      <c r="F308" s="29">
        <v>20</v>
      </c>
      <c r="G308" s="46"/>
      <c r="I308">
        <f t="shared" si="15"/>
        <v>2304</v>
      </c>
    </row>
    <row r="309" spans="2:9" ht="28.8" x14ac:dyDescent="0.3">
      <c r="B309" s="11" t="s">
        <v>461</v>
      </c>
      <c r="C309" s="12"/>
      <c r="D309" s="28" t="s">
        <v>633</v>
      </c>
      <c r="E309" s="27">
        <f t="shared" si="18"/>
        <v>2291</v>
      </c>
      <c r="F309" s="29">
        <v>15</v>
      </c>
      <c r="G309" s="30" t="s">
        <v>359</v>
      </c>
      <c r="I309">
        <f t="shared" si="15"/>
        <v>2324</v>
      </c>
    </row>
    <row r="310" spans="2:9" x14ac:dyDescent="0.3">
      <c r="B310" s="25" t="s">
        <v>451</v>
      </c>
      <c r="C310" s="4"/>
      <c r="D310" s="28" t="s">
        <v>635</v>
      </c>
      <c r="E310" s="27">
        <f t="shared" si="18"/>
        <v>2306</v>
      </c>
      <c r="F310" s="29">
        <v>1</v>
      </c>
      <c r="G310" s="30" t="s">
        <v>359</v>
      </c>
      <c r="I310">
        <f t="shared" si="15"/>
        <v>2339</v>
      </c>
    </row>
    <row r="311" spans="2:9" x14ac:dyDescent="0.3">
      <c r="B311" s="25" t="s">
        <v>452</v>
      </c>
      <c r="C311" s="4"/>
      <c r="D311" s="28" t="s">
        <v>636</v>
      </c>
      <c r="E311" s="27">
        <f t="shared" si="18"/>
        <v>2307</v>
      </c>
      <c r="F311" s="29">
        <v>5</v>
      </c>
      <c r="G311" s="30" t="s">
        <v>359</v>
      </c>
      <c r="I311">
        <f t="shared" si="15"/>
        <v>2340</v>
      </c>
    </row>
    <row r="312" spans="2:9" x14ac:dyDescent="0.3">
      <c r="B312" s="25" t="s">
        <v>448</v>
      </c>
      <c r="C312" s="4"/>
      <c r="D312" s="28" t="s">
        <v>627</v>
      </c>
      <c r="E312" s="27">
        <f t="shared" si="18"/>
        <v>2312</v>
      </c>
      <c r="F312" s="29">
        <v>60</v>
      </c>
      <c r="G312" s="46"/>
      <c r="I312">
        <f t="shared" si="15"/>
        <v>2345</v>
      </c>
    </row>
    <row r="313" spans="2:9" x14ac:dyDescent="0.3">
      <c r="B313" s="9" t="s">
        <v>446</v>
      </c>
      <c r="C313" s="10"/>
      <c r="D313" s="34"/>
      <c r="E313" s="35">
        <f>E312+F312</f>
        <v>2372</v>
      </c>
      <c r="F313" s="36"/>
      <c r="G313" s="37"/>
    </row>
    <row r="314" spans="2:9" x14ac:dyDescent="0.3">
      <c r="B314" s="25" t="s">
        <v>447</v>
      </c>
      <c r="C314" s="4"/>
      <c r="D314" s="28" t="s">
        <v>629</v>
      </c>
      <c r="E314" s="27">
        <f t="shared" ref="E314:E316" si="19">E313+F313</f>
        <v>2372</v>
      </c>
      <c r="F314" s="29">
        <v>1</v>
      </c>
      <c r="G314" s="28"/>
      <c r="I314">
        <f t="shared" si="15"/>
        <v>2405</v>
      </c>
    </row>
    <row r="315" spans="2:9" x14ac:dyDescent="0.3">
      <c r="B315" s="9" t="s">
        <v>454</v>
      </c>
      <c r="C315" s="10"/>
      <c r="D315" s="34"/>
      <c r="E315" s="35">
        <f t="shared" si="19"/>
        <v>2373</v>
      </c>
      <c r="F315" s="36"/>
      <c r="G315" s="37"/>
    </row>
    <row r="316" spans="2:9" x14ac:dyDescent="0.3">
      <c r="B316" s="25" t="s">
        <v>455</v>
      </c>
      <c r="C316" s="4"/>
      <c r="D316" s="28" t="s">
        <v>628</v>
      </c>
      <c r="E316" s="27">
        <f t="shared" si="19"/>
        <v>2373</v>
      </c>
      <c r="F316" s="29">
        <v>36</v>
      </c>
      <c r="G316" s="28"/>
      <c r="I316">
        <f t="shared" si="15"/>
        <v>2406</v>
      </c>
    </row>
    <row r="317" spans="2:9" x14ac:dyDescent="0.3">
      <c r="B317" s="9" t="s">
        <v>519</v>
      </c>
      <c r="C317" s="10"/>
      <c r="D317" s="54"/>
      <c r="E317" s="35">
        <f t="shared" ref="E317:E329" si="20">E316+F316</f>
        <v>2409</v>
      </c>
      <c r="F317" s="36"/>
      <c r="G317" s="37"/>
    </row>
    <row r="318" spans="2:9" x14ac:dyDescent="0.3">
      <c r="B318" s="25" t="s">
        <v>520</v>
      </c>
      <c r="C318" s="4"/>
      <c r="D318" s="38"/>
      <c r="E318" s="27">
        <f t="shared" si="20"/>
        <v>2409</v>
      </c>
      <c r="F318" s="29"/>
      <c r="G318" s="28"/>
      <c r="I318">
        <f t="shared" ref="I318:I338" si="21">E318+33</f>
        <v>2442</v>
      </c>
    </row>
    <row r="319" spans="2:9" ht="28.8" x14ac:dyDescent="0.3">
      <c r="B319" s="23" t="s">
        <v>522</v>
      </c>
      <c r="C319" s="4"/>
      <c r="D319" s="38" t="s">
        <v>528</v>
      </c>
      <c r="E319" s="29">
        <f t="shared" si="20"/>
        <v>2409</v>
      </c>
      <c r="F319" s="29">
        <v>15</v>
      </c>
      <c r="G319" s="33" t="s">
        <v>358</v>
      </c>
      <c r="I319">
        <f t="shared" si="21"/>
        <v>2442</v>
      </c>
    </row>
    <row r="320" spans="2:9" ht="28.8" x14ac:dyDescent="0.3">
      <c r="B320" s="23" t="s">
        <v>523</v>
      </c>
      <c r="C320" s="4"/>
      <c r="D320" s="38" t="s">
        <v>529</v>
      </c>
      <c r="E320" s="29">
        <f t="shared" si="20"/>
        <v>2424</v>
      </c>
      <c r="F320" s="29">
        <v>15</v>
      </c>
      <c r="G320" s="33" t="s">
        <v>358</v>
      </c>
      <c r="I320">
        <f t="shared" si="21"/>
        <v>2457</v>
      </c>
    </row>
    <row r="321" spans="1:12" x14ac:dyDescent="0.3">
      <c r="B321" s="25" t="s">
        <v>521</v>
      </c>
      <c r="C321" s="4"/>
      <c r="D321" s="38"/>
      <c r="E321" s="27">
        <f t="shared" si="20"/>
        <v>2439</v>
      </c>
      <c r="F321" s="29"/>
      <c r="G321" s="28"/>
      <c r="I321">
        <f t="shared" si="21"/>
        <v>2472</v>
      </c>
    </row>
    <row r="322" spans="1:12" ht="28.8" x14ac:dyDescent="0.3">
      <c r="B322" s="23" t="s">
        <v>524</v>
      </c>
      <c r="C322" s="4"/>
      <c r="D322" s="38" t="s">
        <v>530</v>
      </c>
      <c r="E322" s="29">
        <f t="shared" si="20"/>
        <v>2439</v>
      </c>
      <c r="F322" s="29">
        <v>6</v>
      </c>
      <c r="G322" s="33" t="s">
        <v>358</v>
      </c>
      <c r="I322">
        <f t="shared" si="21"/>
        <v>2472</v>
      </c>
    </row>
    <row r="323" spans="1:12" ht="28.8" x14ac:dyDescent="0.3">
      <c r="B323" s="23" t="s">
        <v>525</v>
      </c>
      <c r="C323" s="4"/>
      <c r="D323" s="38" t="s">
        <v>532</v>
      </c>
      <c r="E323" s="29">
        <f t="shared" si="20"/>
        <v>2445</v>
      </c>
      <c r="F323" s="29">
        <v>6</v>
      </c>
      <c r="G323" s="33" t="s">
        <v>358</v>
      </c>
      <c r="I323">
        <f t="shared" ref="I323:I324" si="22">E323+33</f>
        <v>2478</v>
      </c>
    </row>
    <row r="324" spans="1:12" ht="28.8" x14ac:dyDescent="0.3">
      <c r="B324" s="23" t="s">
        <v>531</v>
      </c>
      <c r="C324" s="4"/>
      <c r="D324" s="38" t="s">
        <v>533</v>
      </c>
      <c r="E324" s="29">
        <f t="shared" si="20"/>
        <v>2451</v>
      </c>
      <c r="F324" s="29">
        <v>6</v>
      </c>
      <c r="G324" s="33" t="s">
        <v>358</v>
      </c>
      <c r="I324">
        <f t="shared" si="22"/>
        <v>2484</v>
      </c>
    </row>
    <row r="325" spans="1:12" ht="28.8" x14ac:dyDescent="0.3">
      <c r="B325" s="23" t="s">
        <v>539</v>
      </c>
      <c r="C325" s="4"/>
      <c r="D325" s="38" t="s">
        <v>534</v>
      </c>
      <c r="E325" s="29">
        <f t="shared" si="20"/>
        <v>2457</v>
      </c>
      <c r="F325" s="29">
        <v>6</v>
      </c>
      <c r="G325" s="33" t="s">
        <v>358</v>
      </c>
      <c r="I325">
        <f t="shared" ref="I325:I326" si="23">E325+33</f>
        <v>2490</v>
      </c>
    </row>
    <row r="326" spans="1:12" ht="28.8" x14ac:dyDescent="0.3">
      <c r="B326" s="23" t="s">
        <v>541</v>
      </c>
      <c r="C326" s="4"/>
      <c r="D326" s="38" t="s">
        <v>535</v>
      </c>
      <c r="E326" s="29">
        <f t="shared" si="20"/>
        <v>2463</v>
      </c>
      <c r="F326" s="29">
        <v>6</v>
      </c>
      <c r="G326" s="33" t="s">
        <v>358</v>
      </c>
      <c r="I326">
        <f t="shared" si="23"/>
        <v>2496</v>
      </c>
    </row>
    <row r="327" spans="1:12" ht="28.8" x14ac:dyDescent="0.3">
      <c r="B327" s="23" t="s">
        <v>540</v>
      </c>
      <c r="C327" s="4"/>
      <c r="D327" s="38" t="s">
        <v>536</v>
      </c>
      <c r="E327" s="29">
        <f t="shared" si="20"/>
        <v>2469</v>
      </c>
      <c r="F327" s="29">
        <v>6</v>
      </c>
      <c r="G327" s="33" t="s">
        <v>358</v>
      </c>
      <c r="I327">
        <f t="shared" ref="I327:I328" si="24">E327+33</f>
        <v>2502</v>
      </c>
    </row>
    <row r="328" spans="1:12" ht="28.8" x14ac:dyDescent="0.3">
      <c r="B328" s="23" t="s">
        <v>542</v>
      </c>
      <c r="C328" s="4"/>
      <c r="D328" s="38" t="s">
        <v>537</v>
      </c>
      <c r="E328" s="29">
        <f t="shared" si="20"/>
        <v>2475</v>
      </c>
      <c r="F328" s="29">
        <v>6</v>
      </c>
      <c r="G328" s="33" t="s">
        <v>358</v>
      </c>
      <c r="I328">
        <f t="shared" si="24"/>
        <v>2508</v>
      </c>
    </row>
    <row r="329" spans="1:12" ht="28.8" x14ac:dyDescent="0.3">
      <c r="B329" s="23" t="s">
        <v>543</v>
      </c>
      <c r="C329" s="4"/>
      <c r="D329" s="38" t="s">
        <v>538</v>
      </c>
      <c r="E329" s="29">
        <f t="shared" si="20"/>
        <v>2481</v>
      </c>
      <c r="F329" s="29">
        <v>6</v>
      </c>
      <c r="G329" s="33" t="s">
        <v>358</v>
      </c>
      <c r="I329">
        <f t="shared" ref="I329" si="25">E329+33</f>
        <v>2514</v>
      </c>
    </row>
    <row r="330" spans="1:12" x14ac:dyDescent="0.3">
      <c r="B330" s="9" t="s">
        <v>607</v>
      </c>
      <c r="C330" s="10"/>
      <c r="D330" s="54"/>
      <c r="E330" s="35">
        <f t="shared" ref="E330:E331" si="26">E329+F329</f>
        <v>2487</v>
      </c>
      <c r="F330" s="36"/>
      <c r="G330" s="37"/>
    </row>
    <row r="331" spans="1:12" x14ac:dyDescent="0.3">
      <c r="B331" s="25" t="s">
        <v>609</v>
      </c>
      <c r="C331" s="4"/>
      <c r="D331" s="28" t="s">
        <v>611</v>
      </c>
      <c r="E331" s="27">
        <f t="shared" si="26"/>
        <v>2487</v>
      </c>
      <c r="F331" s="29">
        <v>1</v>
      </c>
      <c r="G331" s="72" t="s">
        <v>360</v>
      </c>
      <c r="I331">
        <f t="shared" ref="I331:I335" si="27">E331+33</f>
        <v>2520</v>
      </c>
    </row>
    <row r="332" spans="1:12" x14ac:dyDescent="0.3">
      <c r="B332" s="25" t="s">
        <v>608</v>
      </c>
      <c r="C332" s="4" t="s">
        <v>420</v>
      </c>
      <c r="D332" s="45" t="s">
        <v>610</v>
      </c>
      <c r="E332" s="27"/>
      <c r="F332" s="29"/>
      <c r="G332" s="74"/>
      <c r="K332" s="19"/>
    </row>
    <row r="333" spans="1:12" x14ac:dyDescent="0.3">
      <c r="B333" s="55" t="s">
        <v>612</v>
      </c>
      <c r="C333" s="55"/>
      <c r="D333" s="67"/>
      <c r="E333" s="61">
        <f>E331+F331</f>
        <v>2488</v>
      </c>
      <c r="F333" s="62"/>
      <c r="G333" s="37"/>
      <c r="I333">
        <f t="shared" si="27"/>
        <v>2521</v>
      </c>
    </row>
    <row r="334" spans="1:12" x14ac:dyDescent="0.3">
      <c r="B334" s="53" t="s">
        <v>616</v>
      </c>
      <c r="C334" s="53"/>
      <c r="D334" s="63" t="s">
        <v>614</v>
      </c>
      <c r="E334" s="64">
        <f t="shared" ref="E334" si="28">E333+F333</f>
        <v>2488</v>
      </c>
      <c r="F334" s="65">
        <v>3</v>
      </c>
      <c r="G334" s="30" t="s">
        <v>359</v>
      </c>
      <c r="I334">
        <f t="shared" si="27"/>
        <v>2521</v>
      </c>
    </row>
    <row r="335" spans="1:12" ht="28.8" x14ac:dyDescent="0.3">
      <c r="B335" s="50" t="s">
        <v>613</v>
      </c>
      <c r="C335" s="51"/>
      <c r="D335" s="66" t="s">
        <v>615</v>
      </c>
      <c r="E335" s="64">
        <f>E334+F334</f>
        <v>2491</v>
      </c>
      <c r="F335" s="65">
        <v>15</v>
      </c>
      <c r="G335" s="30" t="s">
        <v>359</v>
      </c>
      <c r="H335" s="13"/>
      <c r="I335">
        <f t="shared" si="27"/>
        <v>2524</v>
      </c>
    </row>
    <row r="336" spans="1:12" x14ac:dyDescent="0.3">
      <c r="A336" s="68"/>
      <c r="B336" s="55" t="s">
        <v>638</v>
      </c>
      <c r="C336" s="55"/>
      <c r="D336" s="67"/>
      <c r="E336" s="61">
        <f>E335+F335</f>
        <v>2506</v>
      </c>
      <c r="F336" s="62"/>
      <c r="G336" s="37"/>
      <c r="I336">
        <f t="shared" ref="I336" si="29">E336+33</f>
        <v>2539</v>
      </c>
      <c r="L336" s="71">
        <v>202500071</v>
      </c>
    </row>
    <row r="337" spans="1:12" x14ac:dyDescent="0.3">
      <c r="A337" s="68"/>
      <c r="B337" s="53" t="s">
        <v>639</v>
      </c>
      <c r="C337" s="53"/>
      <c r="D337" s="63" t="s">
        <v>641</v>
      </c>
      <c r="E337" s="61">
        <f>E336+F336</f>
        <v>2506</v>
      </c>
      <c r="F337" s="65">
        <v>1</v>
      </c>
      <c r="G337" s="33" t="s">
        <v>358</v>
      </c>
      <c r="I337">
        <f t="shared" ref="I337" si="30">E337+33</f>
        <v>2539</v>
      </c>
      <c r="L337" s="71">
        <v>202500071</v>
      </c>
    </row>
    <row r="338" spans="1:12" x14ac:dyDescent="0.3">
      <c r="A338" s="68"/>
      <c r="B338" s="55" t="s">
        <v>640</v>
      </c>
      <c r="C338" s="55"/>
      <c r="D338" s="60"/>
      <c r="E338" s="61">
        <f>E337+F337</f>
        <v>2507</v>
      </c>
      <c r="F338" s="62">
        <f>E408-E338+1</f>
        <v>461</v>
      </c>
      <c r="G338" s="37"/>
      <c r="I338">
        <f t="shared" si="21"/>
        <v>2540</v>
      </c>
      <c r="L338" s="71">
        <v>202500071</v>
      </c>
    </row>
    <row r="339" spans="1:12" x14ac:dyDescent="0.3">
      <c r="B339" s="6" t="s">
        <v>458</v>
      </c>
      <c r="C339" s="7"/>
      <c r="D339" s="8"/>
      <c r="E339" s="22"/>
      <c r="F339" s="22"/>
      <c r="G339" s="16"/>
    </row>
    <row r="340" spans="1:12" x14ac:dyDescent="0.3">
      <c r="B340" s="9" t="s">
        <v>99</v>
      </c>
      <c r="C340" s="10"/>
      <c r="D340" s="34" t="s">
        <v>374</v>
      </c>
      <c r="E340" s="35">
        <f>E46+F46</f>
        <v>62</v>
      </c>
      <c r="F340" s="36"/>
      <c r="G340" s="37"/>
    </row>
    <row r="341" spans="1:12" x14ac:dyDescent="0.3">
      <c r="B341" s="25" t="s">
        <v>381</v>
      </c>
      <c r="C341" s="4"/>
      <c r="D341" s="28" t="s">
        <v>60</v>
      </c>
      <c r="E341" s="27">
        <f>E340+F340</f>
        <v>62</v>
      </c>
      <c r="F341" s="29">
        <v>3</v>
      </c>
      <c r="G341" s="32" t="s">
        <v>360</v>
      </c>
      <c r="I341">
        <f t="shared" si="15"/>
        <v>95</v>
      </c>
    </row>
    <row r="342" spans="1:12" x14ac:dyDescent="0.3">
      <c r="B342" s="25" t="s">
        <v>382</v>
      </c>
      <c r="C342" s="4"/>
      <c r="D342" s="28" t="s">
        <v>222</v>
      </c>
      <c r="E342" s="27">
        <f t="shared" ref="E342:E345" si="31">E341+F341</f>
        <v>65</v>
      </c>
      <c r="F342" s="29">
        <v>8</v>
      </c>
      <c r="G342" s="32" t="s">
        <v>360</v>
      </c>
      <c r="I342">
        <f t="shared" si="15"/>
        <v>98</v>
      </c>
    </row>
    <row r="343" spans="1:12" x14ac:dyDescent="0.3">
      <c r="B343" s="25" t="s">
        <v>383</v>
      </c>
      <c r="C343" s="4"/>
      <c r="D343" s="28" t="s">
        <v>223</v>
      </c>
      <c r="E343" s="27">
        <f t="shared" si="31"/>
        <v>73</v>
      </c>
      <c r="F343" s="29">
        <v>8</v>
      </c>
      <c r="G343" s="32" t="s">
        <v>360</v>
      </c>
      <c r="I343">
        <f t="shared" si="15"/>
        <v>106</v>
      </c>
    </row>
    <row r="344" spans="1:12" ht="28.8" x14ac:dyDescent="0.3">
      <c r="B344" s="11" t="s">
        <v>459</v>
      </c>
      <c r="C344" s="12"/>
      <c r="D344" s="38" t="s">
        <v>61</v>
      </c>
      <c r="E344" s="27">
        <f>E343+F343</f>
        <v>81</v>
      </c>
      <c r="F344" s="29">
        <v>15</v>
      </c>
      <c r="G344" s="32" t="s">
        <v>360</v>
      </c>
      <c r="H344" s="13"/>
      <c r="I344">
        <f t="shared" si="15"/>
        <v>114</v>
      </c>
    </row>
    <row r="345" spans="1:12" x14ac:dyDescent="0.3">
      <c r="B345" s="25" t="s">
        <v>384</v>
      </c>
      <c r="C345" s="4"/>
      <c r="D345" s="28" t="s">
        <v>380</v>
      </c>
      <c r="E345" s="27">
        <f t="shared" si="31"/>
        <v>96</v>
      </c>
      <c r="F345" s="29">
        <v>8</v>
      </c>
      <c r="G345" s="32" t="s">
        <v>360</v>
      </c>
      <c r="H345" s="13"/>
      <c r="I345">
        <f t="shared" si="15"/>
        <v>129</v>
      </c>
    </row>
    <row r="346" spans="1:12" x14ac:dyDescent="0.3">
      <c r="B346" s="55" t="s">
        <v>527</v>
      </c>
      <c r="C346" s="10"/>
      <c r="D346" s="34"/>
      <c r="E346" s="35">
        <f>E345+F345</f>
        <v>104</v>
      </c>
      <c r="F346" s="36">
        <f>E408-E346+1</f>
        <v>2864</v>
      </c>
      <c r="G346" s="37"/>
      <c r="I346">
        <f t="shared" si="15"/>
        <v>137</v>
      </c>
    </row>
    <row r="347" spans="1:12" x14ac:dyDescent="0.3">
      <c r="B347" s="6" t="s">
        <v>458</v>
      </c>
      <c r="C347" s="7"/>
      <c r="D347" s="8"/>
      <c r="E347" s="22"/>
      <c r="F347" s="22"/>
      <c r="G347" s="16"/>
    </row>
    <row r="348" spans="1:12" x14ac:dyDescent="0.3">
      <c r="B348" s="9" t="s">
        <v>100</v>
      </c>
      <c r="C348" s="10"/>
      <c r="D348" s="34" t="s">
        <v>373</v>
      </c>
      <c r="E348" s="35">
        <f>E46+F46</f>
        <v>62</v>
      </c>
      <c r="F348" s="36"/>
      <c r="G348" s="37"/>
    </row>
    <row r="349" spans="1:12" ht="28.8" x14ac:dyDescent="0.3">
      <c r="B349" s="11" t="s">
        <v>460</v>
      </c>
      <c r="C349" s="12"/>
      <c r="D349" s="38" t="s">
        <v>62</v>
      </c>
      <c r="E349" s="27">
        <f>E348+F348</f>
        <v>62</v>
      </c>
      <c r="F349" s="29">
        <v>15</v>
      </c>
      <c r="G349" s="32" t="s">
        <v>360</v>
      </c>
      <c r="H349" s="13"/>
      <c r="I349">
        <f>E349+33</f>
        <v>95</v>
      </c>
    </row>
    <row r="350" spans="1:12" x14ac:dyDescent="0.3">
      <c r="B350" s="55" t="s">
        <v>526</v>
      </c>
      <c r="C350" s="10"/>
      <c r="D350" s="34"/>
      <c r="E350" s="35">
        <f>E349+F349</f>
        <v>77</v>
      </c>
      <c r="F350" s="36">
        <f>E408-E350+1</f>
        <v>2891</v>
      </c>
      <c r="G350" s="37"/>
      <c r="I350">
        <f>E350+33</f>
        <v>110</v>
      </c>
    </row>
    <row r="351" spans="1:12" x14ac:dyDescent="0.3">
      <c r="B351" s="57" t="s">
        <v>458</v>
      </c>
      <c r="C351" s="57"/>
      <c r="D351" s="58"/>
      <c r="E351" s="59"/>
      <c r="F351" s="59"/>
      <c r="G351" s="16"/>
    </row>
    <row r="352" spans="1:12" x14ac:dyDescent="0.3">
      <c r="B352" s="55" t="s">
        <v>551</v>
      </c>
      <c r="C352" s="55"/>
      <c r="D352" s="60"/>
      <c r="E352" s="61">
        <f>E46+F46</f>
        <v>62</v>
      </c>
      <c r="F352" s="62"/>
      <c r="G352" s="37"/>
    </row>
    <row r="353" spans="1:24" x14ac:dyDescent="0.3">
      <c r="B353" s="53" t="s">
        <v>545</v>
      </c>
      <c r="C353" s="53"/>
      <c r="D353" s="63" t="s">
        <v>8</v>
      </c>
      <c r="E353" s="64">
        <f>E352+F352</f>
        <v>62</v>
      </c>
      <c r="F353" s="65">
        <v>16</v>
      </c>
      <c r="G353" s="32" t="s">
        <v>360</v>
      </c>
      <c r="I353">
        <f t="shared" ref="I353:I379" si="32">E353+33</f>
        <v>95</v>
      </c>
    </row>
    <row r="354" spans="1:24" x14ac:dyDescent="0.3">
      <c r="B354" s="53" t="s">
        <v>547</v>
      </c>
      <c r="C354" s="53"/>
      <c r="D354" s="63" t="s">
        <v>549</v>
      </c>
      <c r="E354" s="64">
        <f t="shared" ref="E354:E357" si="33">E353+F353</f>
        <v>78</v>
      </c>
      <c r="F354" s="65">
        <v>10</v>
      </c>
      <c r="G354" s="30" t="s">
        <v>359</v>
      </c>
      <c r="I354">
        <f t="shared" si="32"/>
        <v>111</v>
      </c>
    </row>
    <row r="355" spans="1:24" x14ac:dyDescent="0.3">
      <c r="B355" s="53" t="s">
        <v>546</v>
      </c>
      <c r="C355" s="53"/>
      <c r="D355" s="63" t="s">
        <v>550</v>
      </c>
      <c r="E355" s="64">
        <f t="shared" si="33"/>
        <v>88</v>
      </c>
      <c r="F355" s="65">
        <v>10</v>
      </c>
      <c r="G355" s="30" t="s">
        <v>359</v>
      </c>
      <c r="I355">
        <f t="shared" si="32"/>
        <v>121</v>
      </c>
    </row>
    <row r="356" spans="1:24" x14ac:dyDescent="0.3">
      <c r="A356" s="13"/>
      <c r="B356" s="51" t="s">
        <v>548</v>
      </c>
      <c r="C356" s="51"/>
      <c r="D356" s="52" t="s">
        <v>347</v>
      </c>
      <c r="E356" s="64">
        <f t="shared" si="33"/>
        <v>98</v>
      </c>
      <c r="F356" s="65">
        <v>40</v>
      </c>
      <c r="G356" s="32" t="s">
        <v>360</v>
      </c>
      <c r="I356">
        <f t="shared" si="32"/>
        <v>131</v>
      </c>
    </row>
    <row r="357" spans="1:24" x14ac:dyDescent="0.3">
      <c r="A357" s="13"/>
      <c r="B357" s="51" t="s">
        <v>555</v>
      </c>
      <c r="C357" s="51"/>
      <c r="D357" s="52" t="s">
        <v>515</v>
      </c>
      <c r="E357" s="64">
        <f t="shared" si="33"/>
        <v>138</v>
      </c>
      <c r="F357" s="65">
        <v>2</v>
      </c>
      <c r="G357" s="33" t="s">
        <v>358</v>
      </c>
      <c r="I357">
        <f t="shared" si="32"/>
        <v>171</v>
      </c>
    </row>
    <row r="358" spans="1:24" x14ac:dyDescent="0.3">
      <c r="B358" s="53" t="s">
        <v>553</v>
      </c>
      <c r="C358" s="53"/>
      <c r="D358" s="63"/>
      <c r="E358" s="64">
        <f>E357+F357</f>
        <v>140</v>
      </c>
      <c r="F358" s="65"/>
      <c r="G358" s="46"/>
      <c r="I358">
        <f t="shared" si="32"/>
        <v>173</v>
      </c>
      <c r="K358" s="17"/>
      <c r="Q358"/>
      <c r="R358"/>
      <c r="S358"/>
      <c r="T358"/>
      <c r="U358"/>
      <c r="V358"/>
      <c r="W358"/>
      <c r="X358"/>
    </row>
    <row r="359" spans="1:24" ht="28.8" x14ac:dyDescent="0.3">
      <c r="B359" s="50" t="s">
        <v>560</v>
      </c>
      <c r="C359" s="51"/>
      <c r="D359" s="52" t="s">
        <v>509</v>
      </c>
      <c r="E359" s="64">
        <f t="shared" ref="E359:E362" si="34">E358+F358</f>
        <v>140</v>
      </c>
      <c r="F359" s="65">
        <v>15</v>
      </c>
      <c r="G359" s="33" t="s">
        <v>358</v>
      </c>
      <c r="H359" s="13"/>
      <c r="I359">
        <f t="shared" si="32"/>
        <v>173</v>
      </c>
      <c r="K359" s="17"/>
      <c r="Q359"/>
      <c r="R359"/>
      <c r="S359"/>
      <c r="T359"/>
      <c r="U359"/>
      <c r="V359"/>
      <c r="W359"/>
      <c r="X359"/>
    </row>
    <row r="360" spans="1:24" ht="28.8" x14ac:dyDescent="0.3">
      <c r="B360" s="50" t="s">
        <v>561</v>
      </c>
      <c r="C360" s="51"/>
      <c r="D360" s="52" t="s">
        <v>511</v>
      </c>
      <c r="E360" s="64">
        <f t="shared" si="34"/>
        <v>155</v>
      </c>
      <c r="F360" s="65">
        <v>15</v>
      </c>
      <c r="G360" s="33" t="s">
        <v>358</v>
      </c>
      <c r="H360" s="13"/>
      <c r="I360">
        <f t="shared" si="32"/>
        <v>188</v>
      </c>
      <c r="K360" s="17"/>
      <c r="Q360"/>
      <c r="R360"/>
      <c r="S360"/>
      <c r="T360"/>
      <c r="U360"/>
      <c r="V360"/>
      <c r="W360"/>
      <c r="X360"/>
    </row>
    <row r="361" spans="1:24" ht="28.8" x14ac:dyDescent="0.3">
      <c r="B361" s="50" t="s">
        <v>562</v>
      </c>
      <c r="C361" s="51"/>
      <c r="D361" s="52" t="s">
        <v>175</v>
      </c>
      <c r="E361" s="64">
        <f t="shared" si="34"/>
        <v>170</v>
      </c>
      <c r="F361" s="65">
        <v>15</v>
      </c>
      <c r="G361" s="33" t="s">
        <v>358</v>
      </c>
      <c r="H361" s="13"/>
      <c r="I361">
        <f t="shared" si="32"/>
        <v>203</v>
      </c>
      <c r="K361" s="17"/>
      <c r="Q361"/>
      <c r="R361"/>
      <c r="S361"/>
      <c r="T361"/>
      <c r="U361"/>
      <c r="V361"/>
      <c r="W361"/>
      <c r="X361"/>
    </row>
    <row r="362" spans="1:24" ht="28.8" x14ac:dyDescent="0.3">
      <c r="B362" s="50" t="s">
        <v>563</v>
      </c>
      <c r="C362" s="51"/>
      <c r="D362" s="52" t="s">
        <v>249</v>
      </c>
      <c r="E362" s="64">
        <f t="shared" si="34"/>
        <v>185</v>
      </c>
      <c r="F362" s="65">
        <v>15</v>
      </c>
      <c r="G362" s="33" t="s">
        <v>358</v>
      </c>
      <c r="H362" s="13"/>
      <c r="I362">
        <f t="shared" si="32"/>
        <v>218</v>
      </c>
    </row>
    <row r="363" spans="1:24" ht="28.8" x14ac:dyDescent="0.3">
      <c r="B363" s="50" t="s">
        <v>564</v>
      </c>
      <c r="C363" s="51"/>
      <c r="D363" s="52" t="s">
        <v>171</v>
      </c>
      <c r="E363" s="64">
        <f>E362+F362</f>
        <v>200</v>
      </c>
      <c r="F363" s="65">
        <v>15</v>
      </c>
      <c r="G363" s="33" t="s">
        <v>358</v>
      </c>
      <c r="H363" s="13"/>
      <c r="I363">
        <f t="shared" si="32"/>
        <v>233</v>
      </c>
    </row>
    <row r="364" spans="1:24" ht="28.8" x14ac:dyDescent="0.3">
      <c r="B364" s="50" t="s">
        <v>565</v>
      </c>
      <c r="C364" s="51"/>
      <c r="D364" s="52" t="s">
        <v>186</v>
      </c>
      <c r="E364" s="64">
        <f t="shared" ref="E364:E376" si="35">E363+F363</f>
        <v>215</v>
      </c>
      <c r="F364" s="65">
        <v>15</v>
      </c>
      <c r="G364" s="33" t="s">
        <v>358</v>
      </c>
      <c r="H364" s="13"/>
      <c r="I364">
        <f t="shared" si="32"/>
        <v>248</v>
      </c>
    </row>
    <row r="365" spans="1:24" ht="28.8" x14ac:dyDescent="0.3">
      <c r="B365" s="50" t="s">
        <v>566</v>
      </c>
      <c r="C365" s="51"/>
      <c r="D365" s="52" t="s">
        <v>185</v>
      </c>
      <c r="E365" s="64">
        <f t="shared" si="35"/>
        <v>230</v>
      </c>
      <c r="F365" s="65">
        <v>15</v>
      </c>
      <c r="G365" s="33" t="s">
        <v>358</v>
      </c>
      <c r="H365" s="13"/>
      <c r="I365">
        <f t="shared" si="32"/>
        <v>263</v>
      </c>
    </row>
    <row r="366" spans="1:24" ht="28.8" x14ac:dyDescent="0.3">
      <c r="B366" s="50" t="s">
        <v>567</v>
      </c>
      <c r="C366" s="51"/>
      <c r="D366" s="52" t="s">
        <v>174</v>
      </c>
      <c r="E366" s="64">
        <f t="shared" si="35"/>
        <v>245</v>
      </c>
      <c r="F366" s="65">
        <v>15</v>
      </c>
      <c r="G366" s="33" t="s">
        <v>358</v>
      </c>
      <c r="H366" s="13"/>
      <c r="I366">
        <f t="shared" si="32"/>
        <v>278</v>
      </c>
    </row>
    <row r="367" spans="1:24" ht="28.8" x14ac:dyDescent="0.3">
      <c r="B367" s="50" t="s">
        <v>568</v>
      </c>
      <c r="C367" s="51"/>
      <c r="D367" s="52" t="s">
        <v>172</v>
      </c>
      <c r="E367" s="64">
        <f t="shared" si="35"/>
        <v>260</v>
      </c>
      <c r="F367" s="65">
        <v>15</v>
      </c>
      <c r="G367" s="33" t="s">
        <v>358</v>
      </c>
      <c r="H367" s="13"/>
      <c r="I367">
        <f t="shared" si="32"/>
        <v>293</v>
      </c>
    </row>
    <row r="368" spans="1:24" ht="28.8" x14ac:dyDescent="0.3">
      <c r="B368" s="50" t="s">
        <v>569</v>
      </c>
      <c r="C368" s="51"/>
      <c r="D368" s="52" t="s">
        <v>173</v>
      </c>
      <c r="E368" s="64">
        <f t="shared" si="35"/>
        <v>275</v>
      </c>
      <c r="F368" s="65">
        <v>15</v>
      </c>
      <c r="G368" s="33" t="s">
        <v>358</v>
      </c>
      <c r="H368" s="13"/>
      <c r="I368">
        <f t="shared" si="32"/>
        <v>308</v>
      </c>
    </row>
    <row r="369" spans="2:9" ht="28.8" x14ac:dyDescent="0.3">
      <c r="B369" s="50" t="s">
        <v>570</v>
      </c>
      <c r="C369" s="51"/>
      <c r="D369" s="52" t="s">
        <v>63</v>
      </c>
      <c r="E369" s="64">
        <f t="shared" si="35"/>
        <v>290</v>
      </c>
      <c r="F369" s="65">
        <v>15</v>
      </c>
      <c r="G369" s="33" t="s">
        <v>358</v>
      </c>
      <c r="H369" s="13"/>
      <c r="I369">
        <f t="shared" si="32"/>
        <v>323</v>
      </c>
    </row>
    <row r="370" spans="2:9" ht="28.8" x14ac:dyDescent="0.3">
      <c r="B370" s="50" t="s">
        <v>571</v>
      </c>
      <c r="C370" s="51"/>
      <c r="D370" s="66" t="s">
        <v>182</v>
      </c>
      <c r="E370" s="64">
        <f t="shared" si="35"/>
        <v>305</v>
      </c>
      <c r="F370" s="65">
        <v>15</v>
      </c>
      <c r="G370" s="33" t="s">
        <v>358</v>
      </c>
      <c r="H370" s="13"/>
      <c r="I370">
        <f t="shared" si="32"/>
        <v>338</v>
      </c>
    </row>
    <row r="371" spans="2:9" ht="28.8" x14ac:dyDescent="0.3">
      <c r="B371" s="50" t="s">
        <v>572</v>
      </c>
      <c r="C371" s="51"/>
      <c r="D371" s="52" t="s">
        <v>64</v>
      </c>
      <c r="E371" s="64">
        <f t="shared" si="35"/>
        <v>320</v>
      </c>
      <c r="F371" s="65">
        <v>15</v>
      </c>
      <c r="G371" s="33" t="s">
        <v>358</v>
      </c>
      <c r="H371" s="13"/>
      <c r="I371">
        <f t="shared" si="32"/>
        <v>353</v>
      </c>
    </row>
    <row r="372" spans="2:9" ht="28.8" x14ac:dyDescent="0.3">
      <c r="B372" s="50" t="s">
        <v>573</v>
      </c>
      <c r="C372" s="51"/>
      <c r="D372" s="52" t="s">
        <v>177</v>
      </c>
      <c r="E372" s="64">
        <f t="shared" si="35"/>
        <v>335</v>
      </c>
      <c r="F372" s="65">
        <v>15</v>
      </c>
      <c r="G372" s="33" t="s">
        <v>358</v>
      </c>
      <c r="H372" s="13"/>
      <c r="I372">
        <f t="shared" si="32"/>
        <v>368</v>
      </c>
    </row>
    <row r="373" spans="2:9" ht="28.8" x14ac:dyDescent="0.3">
      <c r="B373" s="50" t="s">
        <v>574</v>
      </c>
      <c r="C373" s="51"/>
      <c r="D373" s="52" t="s">
        <v>184</v>
      </c>
      <c r="E373" s="64">
        <f t="shared" si="35"/>
        <v>350</v>
      </c>
      <c r="F373" s="65">
        <v>15</v>
      </c>
      <c r="G373" s="33" t="s">
        <v>358</v>
      </c>
      <c r="H373" s="13"/>
      <c r="I373">
        <f t="shared" si="32"/>
        <v>383</v>
      </c>
    </row>
    <row r="374" spans="2:9" ht="28.8" x14ac:dyDescent="0.3">
      <c r="B374" s="50" t="s">
        <v>575</v>
      </c>
      <c r="C374" s="51"/>
      <c r="D374" s="52" t="s">
        <v>183</v>
      </c>
      <c r="E374" s="64">
        <f t="shared" si="35"/>
        <v>365</v>
      </c>
      <c r="F374" s="65">
        <v>15</v>
      </c>
      <c r="G374" s="33" t="s">
        <v>358</v>
      </c>
      <c r="H374" s="13"/>
      <c r="I374">
        <f t="shared" si="32"/>
        <v>398</v>
      </c>
    </row>
    <row r="375" spans="2:9" ht="28.8" x14ac:dyDescent="0.3">
      <c r="B375" s="50" t="s">
        <v>576</v>
      </c>
      <c r="C375" s="51"/>
      <c r="D375" s="52" t="s">
        <v>176</v>
      </c>
      <c r="E375" s="64">
        <f t="shared" si="35"/>
        <v>380</v>
      </c>
      <c r="F375" s="65">
        <v>15</v>
      </c>
      <c r="G375" s="33" t="s">
        <v>358</v>
      </c>
      <c r="H375" s="13"/>
      <c r="I375">
        <f t="shared" si="32"/>
        <v>413</v>
      </c>
    </row>
    <row r="376" spans="2:9" ht="28.8" x14ac:dyDescent="0.3">
      <c r="B376" s="50" t="s">
        <v>577</v>
      </c>
      <c r="C376" s="51"/>
      <c r="D376" s="52" t="s">
        <v>349</v>
      </c>
      <c r="E376" s="64">
        <f t="shared" si="35"/>
        <v>395</v>
      </c>
      <c r="F376" s="65">
        <v>15</v>
      </c>
      <c r="G376" s="33" t="s">
        <v>358</v>
      </c>
      <c r="H376" s="13"/>
      <c r="I376">
        <f t="shared" si="32"/>
        <v>428</v>
      </c>
    </row>
    <row r="377" spans="2:9" ht="28.8" x14ac:dyDescent="0.3">
      <c r="B377" s="50" t="s">
        <v>578</v>
      </c>
      <c r="C377" s="51"/>
      <c r="D377" s="52" t="s">
        <v>254</v>
      </c>
      <c r="E377" s="64">
        <f>E376+F376</f>
        <v>410</v>
      </c>
      <c r="F377" s="65">
        <v>15</v>
      </c>
      <c r="G377" s="33" t="s">
        <v>358</v>
      </c>
      <c r="H377" s="13"/>
      <c r="I377">
        <f t="shared" si="32"/>
        <v>443</v>
      </c>
    </row>
    <row r="378" spans="2:9" ht="28.8" x14ac:dyDescent="0.3">
      <c r="B378" s="50" t="s">
        <v>579</v>
      </c>
      <c r="C378" s="51"/>
      <c r="D378" s="52" t="s">
        <v>496</v>
      </c>
      <c r="E378" s="64">
        <f t="shared" ref="E378:E379" si="36">E377+F377</f>
        <v>425</v>
      </c>
      <c r="F378" s="65">
        <v>15</v>
      </c>
      <c r="G378" s="33" t="s">
        <v>358</v>
      </c>
      <c r="H378" s="13"/>
      <c r="I378">
        <f t="shared" si="32"/>
        <v>458</v>
      </c>
    </row>
    <row r="379" spans="2:9" ht="28.8" x14ac:dyDescent="0.3">
      <c r="B379" s="50" t="s">
        <v>580</v>
      </c>
      <c r="C379" s="51"/>
      <c r="D379" s="66" t="s">
        <v>502</v>
      </c>
      <c r="E379" s="64">
        <f t="shared" si="36"/>
        <v>440</v>
      </c>
      <c r="F379" s="65">
        <v>15</v>
      </c>
      <c r="G379" s="33" t="s">
        <v>358</v>
      </c>
      <c r="H379" s="13"/>
      <c r="I379">
        <f t="shared" si="32"/>
        <v>473</v>
      </c>
    </row>
    <row r="380" spans="2:9" x14ac:dyDescent="0.3">
      <c r="B380" s="55" t="s">
        <v>556</v>
      </c>
      <c r="C380" s="55"/>
      <c r="D380" s="60"/>
      <c r="E380" s="61">
        <f>E379+F379</f>
        <v>455</v>
      </c>
      <c r="F380" s="62">
        <f>E408-E380+1</f>
        <v>2513</v>
      </c>
      <c r="G380" s="37"/>
      <c r="I380">
        <f>E380+33</f>
        <v>488</v>
      </c>
    </row>
    <row r="381" spans="2:9" x14ac:dyDescent="0.3">
      <c r="B381" s="57" t="s">
        <v>458</v>
      </c>
      <c r="C381" s="57"/>
      <c r="D381" s="58"/>
      <c r="E381" s="59"/>
      <c r="F381" s="59"/>
      <c r="G381" s="16"/>
    </row>
    <row r="382" spans="2:9" x14ac:dyDescent="0.3">
      <c r="B382" s="55" t="s">
        <v>552</v>
      </c>
      <c r="C382" s="55"/>
      <c r="D382" s="60"/>
      <c r="E382" s="61">
        <f>E46+F46</f>
        <v>62</v>
      </c>
      <c r="F382" s="62"/>
      <c r="G382" s="37"/>
    </row>
    <row r="383" spans="2:9" x14ac:dyDescent="0.3">
      <c r="B383" s="53" t="s">
        <v>554</v>
      </c>
      <c r="C383" s="53"/>
      <c r="D383" s="63" t="s">
        <v>634</v>
      </c>
      <c r="E383" s="64">
        <f>E382+F382</f>
        <v>62</v>
      </c>
      <c r="F383" s="65">
        <v>5</v>
      </c>
      <c r="G383" s="32" t="s">
        <v>360</v>
      </c>
      <c r="I383">
        <f t="shared" ref="I383:I384" si="37">E383+33</f>
        <v>95</v>
      </c>
    </row>
    <row r="384" spans="2:9" x14ac:dyDescent="0.3">
      <c r="B384" s="53" t="s">
        <v>558</v>
      </c>
      <c r="C384" s="53"/>
      <c r="D384" s="63" t="s">
        <v>557</v>
      </c>
      <c r="E384" s="64">
        <f t="shared" ref="E384" si="38">E383+F383</f>
        <v>67</v>
      </c>
      <c r="F384" s="65">
        <v>73</v>
      </c>
      <c r="G384" s="46"/>
      <c r="I384">
        <f t="shared" si="37"/>
        <v>100</v>
      </c>
    </row>
    <row r="385" spans="2:24" x14ac:dyDescent="0.3">
      <c r="B385" s="53" t="s">
        <v>559</v>
      </c>
      <c r="C385" s="53"/>
      <c r="D385" s="63"/>
      <c r="E385" s="64">
        <f>E384+F384</f>
        <v>140</v>
      </c>
      <c r="F385" s="65"/>
      <c r="G385" s="46"/>
      <c r="I385">
        <f t="shared" ref="I385:I406" si="39">E385+33</f>
        <v>173</v>
      </c>
      <c r="K385" s="17"/>
      <c r="Q385"/>
      <c r="R385"/>
      <c r="S385"/>
      <c r="T385"/>
      <c r="U385"/>
      <c r="V385"/>
      <c r="W385"/>
      <c r="X385"/>
    </row>
    <row r="386" spans="2:24" ht="28.8" x14ac:dyDescent="0.3">
      <c r="B386" s="50" t="s">
        <v>581</v>
      </c>
      <c r="C386" s="51"/>
      <c r="D386" s="52" t="s">
        <v>509</v>
      </c>
      <c r="E386" s="64">
        <f t="shared" ref="E386:E389" si="40">E385+F385</f>
        <v>140</v>
      </c>
      <c r="F386" s="65">
        <v>15</v>
      </c>
      <c r="G386" s="33" t="s">
        <v>358</v>
      </c>
      <c r="H386" s="13"/>
      <c r="I386">
        <f t="shared" si="39"/>
        <v>173</v>
      </c>
      <c r="K386" s="17"/>
      <c r="Q386"/>
      <c r="R386"/>
      <c r="S386"/>
      <c r="T386"/>
      <c r="U386"/>
      <c r="V386"/>
      <c r="W386"/>
      <c r="X386"/>
    </row>
    <row r="387" spans="2:24" ht="28.8" x14ac:dyDescent="0.3">
      <c r="B387" s="50" t="s">
        <v>582</v>
      </c>
      <c r="C387" s="51"/>
      <c r="D387" s="52" t="s">
        <v>511</v>
      </c>
      <c r="E387" s="64">
        <f t="shared" si="40"/>
        <v>155</v>
      </c>
      <c r="F387" s="65">
        <v>15</v>
      </c>
      <c r="G387" s="33" t="s">
        <v>358</v>
      </c>
      <c r="H387" s="13"/>
      <c r="I387">
        <f t="shared" si="39"/>
        <v>188</v>
      </c>
      <c r="K387" s="17"/>
      <c r="Q387"/>
      <c r="R387"/>
      <c r="S387"/>
      <c r="T387"/>
      <c r="U387"/>
      <c r="V387"/>
      <c r="W387"/>
      <c r="X387"/>
    </row>
    <row r="388" spans="2:24" ht="28.8" x14ac:dyDescent="0.3">
      <c r="B388" s="50" t="s">
        <v>583</v>
      </c>
      <c r="C388" s="51"/>
      <c r="D388" s="52" t="s">
        <v>175</v>
      </c>
      <c r="E388" s="64">
        <f t="shared" si="40"/>
        <v>170</v>
      </c>
      <c r="F388" s="65">
        <v>15</v>
      </c>
      <c r="G388" s="33" t="s">
        <v>358</v>
      </c>
      <c r="H388" s="13"/>
      <c r="I388">
        <f t="shared" si="39"/>
        <v>203</v>
      </c>
      <c r="K388" s="17"/>
      <c r="Q388"/>
      <c r="R388"/>
      <c r="S388"/>
      <c r="T388"/>
      <c r="U388"/>
      <c r="V388"/>
      <c r="W388"/>
      <c r="X388"/>
    </row>
    <row r="389" spans="2:24" ht="28.8" x14ac:dyDescent="0.3">
      <c r="B389" s="50" t="s">
        <v>584</v>
      </c>
      <c r="C389" s="51"/>
      <c r="D389" s="52" t="s">
        <v>249</v>
      </c>
      <c r="E389" s="64">
        <f t="shared" si="40"/>
        <v>185</v>
      </c>
      <c r="F389" s="65">
        <v>15</v>
      </c>
      <c r="G389" s="33" t="s">
        <v>358</v>
      </c>
      <c r="H389" s="13"/>
      <c r="I389">
        <f t="shared" si="39"/>
        <v>218</v>
      </c>
    </row>
    <row r="390" spans="2:24" ht="28.8" x14ac:dyDescent="0.3">
      <c r="B390" s="50" t="s">
        <v>585</v>
      </c>
      <c r="C390" s="51"/>
      <c r="D390" s="52" t="s">
        <v>171</v>
      </c>
      <c r="E390" s="64">
        <f>E389+F389</f>
        <v>200</v>
      </c>
      <c r="F390" s="65">
        <v>15</v>
      </c>
      <c r="G390" s="33" t="s">
        <v>358</v>
      </c>
      <c r="H390" s="13"/>
      <c r="I390">
        <f t="shared" si="39"/>
        <v>233</v>
      </c>
    </row>
    <row r="391" spans="2:24" ht="28.8" x14ac:dyDescent="0.3">
      <c r="B391" s="50" t="s">
        <v>586</v>
      </c>
      <c r="C391" s="51"/>
      <c r="D391" s="52" t="s">
        <v>186</v>
      </c>
      <c r="E391" s="64">
        <f t="shared" ref="E391:E403" si="41">E390+F390</f>
        <v>215</v>
      </c>
      <c r="F391" s="65">
        <v>15</v>
      </c>
      <c r="G391" s="33" t="s">
        <v>358</v>
      </c>
      <c r="H391" s="13"/>
      <c r="I391">
        <f t="shared" si="39"/>
        <v>248</v>
      </c>
    </row>
    <row r="392" spans="2:24" ht="28.8" x14ac:dyDescent="0.3">
      <c r="B392" s="50" t="s">
        <v>587</v>
      </c>
      <c r="C392" s="51"/>
      <c r="D392" s="52" t="s">
        <v>185</v>
      </c>
      <c r="E392" s="64">
        <f t="shared" si="41"/>
        <v>230</v>
      </c>
      <c r="F392" s="65">
        <v>15</v>
      </c>
      <c r="G392" s="33" t="s">
        <v>358</v>
      </c>
      <c r="H392" s="13"/>
      <c r="I392">
        <f t="shared" si="39"/>
        <v>263</v>
      </c>
    </row>
    <row r="393" spans="2:24" ht="28.8" x14ac:dyDescent="0.3">
      <c r="B393" s="50" t="s">
        <v>588</v>
      </c>
      <c r="C393" s="51"/>
      <c r="D393" s="52" t="s">
        <v>174</v>
      </c>
      <c r="E393" s="64">
        <f t="shared" si="41"/>
        <v>245</v>
      </c>
      <c r="F393" s="65">
        <v>15</v>
      </c>
      <c r="G393" s="33" t="s">
        <v>358</v>
      </c>
      <c r="H393" s="13"/>
      <c r="I393">
        <f t="shared" si="39"/>
        <v>278</v>
      </c>
    </row>
    <row r="394" spans="2:24" ht="28.8" x14ac:dyDescent="0.3">
      <c r="B394" s="50" t="s">
        <v>589</v>
      </c>
      <c r="C394" s="51"/>
      <c r="D394" s="52" t="s">
        <v>172</v>
      </c>
      <c r="E394" s="64">
        <f t="shared" si="41"/>
        <v>260</v>
      </c>
      <c r="F394" s="65">
        <v>15</v>
      </c>
      <c r="G394" s="33" t="s">
        <v>358</v>
      </c>
      <c r="H394" s="13"/>
      <c r="I394">
        <f t="shared" si="39"/>
        <v>293</v>
      </c>
    </row>
    <row r="395" spans="2:24" ht="28.8" x14ac:dyDescent="0.3">
      <c r="B395" s="50" t="s">
        <v>590</v>
      </c>
      <c r="C395" s="51"/>
      <c r="D395" s="52" t="s">
        <v>173</v>
      </c>
      <c r="E395" s="64">
        <f t="shared" si="41"/>
        <v>275</v>
      </c>
      <c r="F395" s="65">
        <v>15</v>
      </c>
      <c r="G395" s="33" t="s">
        <v>358</v>
      </c>
      <c r="H395" s="13"/>
      <c r="I395">
        <f t="shared" si="39"/>
        <v>308</v>
      </c>
    </row>
    <row r="396" spans="2:24" ht="28.8" x14ac:dyDescent="0.3">
      <c r="B396" s="50" t="s">
        <v>591</v>
      </c>
      <c r="C396" s="51"/>
      <c r="D396" s="52" t="s">
        <v>63</v>
      </c>
      <c r="E396" s="64">
        <f t="shared" si="41"/>
        <v>290</v>
      </c>
      <c r="F396" s="65">
        <v>15</v>
      </c>
      <c r="G396" s="33" t="s">
        <v>358</v>
      </c>
      <c r="H396" s="13"/>
      <c r="I396">
        <f t="shared" si="39"/>
        <v>323</v>
      </c>
    </row>
    <row r="397" spans="2:24" ht="28.8" x14ac:dyDescent="0.3">
      <c r="B397" s="50" t="s">
        <v>592</v>
      </c>
      <c r="C397" s="51"/>
      <c r="D397" s="66" t="s">
        <v>182</v>
      </c>
      <c r="E397" s="64">
        <f t="shared" si="41"/>
        <v>305</v>
      </c>
      <c r="F397" s="65">
        <v>15</v>
      </c>
      <c r="G397" s="33" t="s">
        <v>358</v>
      </c>
      <c r="H397" s="13"/>
      <c r="I397">
        <f t="shared" si="39"/>
        <v>338</v>
      </c>
    </row>
    <row r="398" spans="2:24" ht="28.8" x14ac:dyDescent="0.3">
      <c r="B398" s="50" t="s">
        <v>593</v>
      </c>
      <c r="C398" s="51"/>
      <c r="D398" s="52" t="s">
        <v>64</v>
      </c>
      <c r="E398" s="64">
        <f t="shared" si="41"/>
        <v>320</v>
      </c>
      <c r="F398" s="65">
        <v>15</v>
      </c>
      <c r="G398" s="33" t="s">
        <v>358</v>
      </c>
      <c r="H398" s="13"/>
      <c r="I398">
        <f t="shared" si="39"/>
        <v>353</v>
      </c>
    </row>
    <row r="399" spans="2:24" ht="28.8" x14ac:dyDescent="0.3">
      <c r="B399" s="50" t="s">
        <v>594</v>
      </c>
      <c r="C399" s="51"/>
      <c r="D399" s="52" t="s">
        <v>177</v>
      </c>
      <c r="E399" s="64">
        <f t="shared" si="41"/>
        <v>335</v>
      </c>
      <c r="F399" s="65">
        <v>15</v>
      </c>
      <c r="G399" s="33" t="s">
        <v>358</v>
      </c>
      <c r="H399" s="13"/>
      <c r="I399">
        <f t="shared" si="39"/>
        <v>368</v>
      </c>
    </row>
    <row r="400" spans="2:24" ht="28.8" x14ac:dyDescent="0.3">
      <c r="B400" s="50" t="s">
        <v>595</v>
      </c>
      <c r="C400" s="51"/>
      <c r="D400" s="52" t="s">
        <v>184</v>
      </c>
      <c r="E400" s="64">
        <f t="shared" si="41"/>
        <v>350</v>
      </c>
      <c r="F400" s="65">
        <v>15</v>
      </c>
      <c r="G400" s="33" t="s">
        <v>358</v>
      </c>
      <c r="H400" s="13"/>
      <c r="I400">
        <f t="shared" si="39"/>
        <v>383</v>
      </c>
    </row>
    <row r="401" spans="2:9" ht="28.8" x14ac:dyDescent="0.3">
      <c r="B401" s="50" t="s">
        <v>596</v>
      </c>
      <c r="C401" s="51"/>
      <c r="D401" s="52" t="s">
        <v>183</v>
      </c>
      <c r="E401" s="64">
        <f t="shared" si="41"/>
        <v>365</v>
      </c>
      <c r="F401" s="65">
        <v>15</v>
      </c>
      <c r="G401" s="33" t="s">
        <v>358</v>
      </c>
      <c r="H401" s="13"/>
      <c r="I401">
        <f t="shared" si="39"/>
        <v>398</v>
      </c>
    </row>
    <row r="402" spans="2:9" ht="28.8" x14ac:dyDescent="0.3">
      <c r="B402" s="50" t="s">
        <v>597</v>
      </c>
      <c r="C402" s="51"/>
      <c r="D402" s="52" t="s">
        <v>176</v>
      </c>
      <c r="E402" s="64">
        <f t="shared" si="41"/>
        <v>380</v>
      </c>
      <c r="F402" s="65">
        <v>15</v>
      </c>
      <c r="G402" s="33" t="s">
        <v>358</v>
      </c>
      <c r="H402" s="13"/>
      <c r="I402">
        <f t="shared" si="39"/>
        <v>413</v>
      </c>
    </row>
    <row r="403" spans="2:9" ht="28.8" x14ac:dyDescent="0.3">
      <c r="B403" s="50" t="s">
        <v>598</v>
      </c>
      <c r="C403" s="51"/>
      <c r="D403" s="52" t="s">
        <v>349</v>
      </c>
      <c r="E403" s="64">
        <f t="shared" si="41"/>
        <v>395</v>
      </c>
      <c r="F403" s="65">
        <v>15</v>
      </c>
      <c r="G403" s="33" t="s">
        <v>358</v>
      </c>
      <c r="H403" s="13"/>
      <c r="I403">
        <f t="shared" si="39"/>
        <v>428</v>
      </c>
    </row>
    <row r="404" spans="2:9" ht="28.8" x14ac:dyDescent="0.3">
      <c r="B404" s="50" t="s">
        <v>599</v>
      </c>
      <c r="C404" s="51"/>
      <c r="D404" s="52" t="s">
        <v>254</v>
      </c>
      <c r="E404" s="64">
        <f>E403+F403</f>
        <v>410</v>
      </c>
      <c r="F404" s="65">
        <v>15</v>
      </c>
      <c r="G404" s="33" t="s">
        <v>358</v>
      </c>
      <c r="H404" s="13"/>
      <c r="I404">
        <f t="shared" si="39"/>
        <v>443</v>
      </c>
    </row>
    <row r="405" spans="2:9" ht="28.8" x14ac:dyDescent="0.3">
      <c r="B405" s="50" t="s">
        <v>600</v>
      </c>
      <c r="C405" s="51"/>
      <c r="D405" s="52" t="s">
        <v>496</v>
      </c>
      <c r="E405" s="64">
        <f t="shared" ref="E405:E406" si="42">E404+F404</f>
        <v>425</v>
      </c>
      <c r="F405" s="65">
        <v>15</v>
      </c>
      <c r="G405" s="33" t="s">
        <v>358</v>
      </c>
      <c r="H405" s="13"/>
      <c r="I405">
        <f t="shared" si="39"/>
        <v>458</v>
      </c>
    </row>
    <row r="406" spans="2:9" ht="28.8" x14ac:dyDescent="0.3">
      <c r="B406" s="50" t="s">
        <v>601</v>
      </c>
      <c r="C406" s="51"/>
      <c r="D406" s="66" t="s">
        <v>502</v>
      </c>
      <c r="E406" s="64">
        <f t="shared" si="42"/>
        <v>440</v>
      </c>
      <c r="F406" s="65">
        <v>15</v>
      </c>
      <c r="G406" s="33" t="s">
        <v>358</v>
      </c>
      <c r="H406" s="13"/>
      <c r="I406">
        <f t="shared" si="39"/>
        <v>473</v>
      </c>
    </row>
    <row r="407" spans="2:9" x14ac:dyDescent="0.3">
      <c r="B407" s="55" t="s">
        <v>556</v>
      </c>
      <c r="C407" s="55"/>
      <c r="D407" s="60"/>
      <c r="E407" s="61">
        <f>E406+F406</f>
        <v>455</v>
      </c>
      <c r="F407" s="62">
        <f>E408-E407+1</f>
        <v>2513</v>
      </c>
      <c r="G407" s="37"/>
      <c r="I407">
        <f>E407+33</f>
        <v>488</v>
      </c>
    </row>
    <row r="408" spans="2:9" x14ac:dyDescent="0.3">
      <c r="D408" s="3" t="s">
        <v>40</v>
      </c>
      <c r="E408" s="5">
        <f>E46+F47</f>
        <v>2967</v>
      </c>
    </row>
  </sheetData>
  <mergeCells count="19">
    <mergeCell ref="G331:G332"/>
    <mergeCell ref="G242:G247"/>
    <mergeCell ref="G218:G228"/>
    <mergeCell ref="G277:G280"/>
    <mergeCell ref="G62:G83"/>
    <mergeCell ref="G4:G6"/>
    <mergeCell ref="G134:G136"/>
    <mergeCell ref="G31:G32"/>
    <mergeCell ref="G50:G53"/>
    <mergeCell ref="G97:G120"/>
    <mergeCell ref="G54:G56"/>
    <mergeCell ref="G57:G60"/>
    <mergeCell ref="G84:G89"/>
    <mergeCell ref="G90:G94"/>
    <mergeCell ref="G7:G10"/>
    <mergeCell ref="G13:G16"/>
    <mergeCell ref="G18:G22"/>
    <mergeCell ref="G23:G30"/>
    <mergeCell ref="G36:G45"/>
  </mergeCells>
  <pageMargins left="0.23622047244094491" right="0.23622047244094491" top="0.74803149606299213" bottom="0.74803149606299213" header="0.31496062992125984" footer="0.31496062992125984"/>
  <pageSetup paperSize="9" scale="53" fitToHeight="6" orientation="landscape" r:id="rId1"/>
  <ignoredErrors>
    <ignoredError sqref="E233:E241 E249:E316 E339:E346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FSCD</vt:lpstr>
    </vt:vector>
  </TitlesOfParts>
  <Company>Fidelidade Mundial,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Nuno Jorge de Sousa Fernandes (ITD)</cp:lastModifiedBy>
  <cp:lastPrinted>2016-03-09T11:26:57Z</cp:lastPrinted>
  <dcterms:created xsi:type="dcterms:W3CDTF">2015-07-28T09:44:45Z</dcterms:created>
  <dcterms:modified xsi:type="dcterms:W3CDTF">2025-11-21T16:14:03Z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391acc-8330-42a2-8f91-859034ac3aa4_Enabled">
    <vt:lpwstr>true</vt:lpwstr>
  </property>
  <property fmtid="{D5CDD505-2E9C-101B-9397-08002B2CF9AE}" pid="3" name="MSIP_Label_b0391acc-8330-42a2-8f91-859034ac3aa4_SetDate">
    <vt:lpwstr>2025-11-21T16:13:25Z</vt:lpwstr>
  </property>
  <property fmtid="{D5CDD505-2E9C-101B-9397-08002B2CF9AE}" pid="4" name="MSIP_Label_b0391acc-8330-42a2-8f91-859034ac3aa4_Method">
    <vt:lpwstr>Standard</vt:lpwstr>
  </property>
  <property fmtid="{D5CDD505-2E9C-101B-9397-08002B2CF9AE}" pid="5" name="MSIP_Label_b0391acc-8330-42a2-8f91-859034ac3aa4_Name">
    <vt:lpwstr>b0391acc-8330-42a2-8f91-859034ac3aa4</vt:lpwstr>
  </property>
  <property fmtid="{D5CDD505-2E9C-101B-9397-08002B2CF9AE}" pid="6" name="MSIP_Label_b0391acc-8330-42a2-8f91-859034ac3aa4_SiteId">
    <vt:lpwstr>b27f00d3-6ccb-4240-b5d0-56729544887e</vt:lpwstr>
  </property>
  <property fmtid="{D5CDD505-2E9C-101B-9397-08002B2CF9AE}" pid="7" name="MSIP_Label_b0391acc-8330-42a2-8f91-859034ac3aa4_ActionId">
    <vt:lpwstr>532b5092-4527-4db9-a6fe-8afb702b6389</vt:lpwstr>
  </property>
  <property fmtid="{D5CDD505-2E9C-101B-9397-08002B2CF9AE}" pid="8" name="MSIP_Label_b0391acc-8330-42a2-8f91-859034ac3aa4_ContentBits">
    <vt:lpwstr>0</vt:lpwstr>
  </property>
  <property fmtid="{D5CDD505-2E9C-101B-9397-08002B2CF9AE}" pid="9" name="MSIP_Label_b0391acc-8330-42a2-8f91-859034ac3aa4_Tag">
    <vt:lpwstr>10, 3, 0, 1</vt:lpwstr>
  </property>
</Properties>
</file>