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/Users/thepotato/Code/Outputs.Documents/archive/"/>
    </mc:Choice>
  </mc:AlternateContent>
  <xr:revisionPtr revIDLastSave="0" documentId="13_ncr:1_{1E351B48-3B4E-CE45-979E-76243B129043}" xr6:coauthVersionLast="47" xr6:coauthVersionMax="47" xr10:uidLastSave="{00000000-0000-0000-0000-000000000000}"/>
  <bookViews>
    <workbookView xWindow="2780" yWindow="2080" windowWidth="25840" windowHeight="13240" xr2:uid="{00000000-000D-0000-FFFF-FFFF00000000}"/>
  </bookViews>
  <sheets>
    <sheet name="Novo Layou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9" i="3" l="1"/>
  <c r="E130" i="3" s="1"/>
  <c r="E131" i="3" s="1"/>
  <c r="E132" i="3" s="1"/>
  <c r="E133" i="3" s="1"/>
  <c r="E134" i="3" s="1"/>
  <c r="E135" i="3" s="1"/>
  <c r="E136" i="3" s="1"/>
  <c r="E137" i="3" s="1"/>
  <c r="E138" i="3" s="1"/>
  <c r="E139" i="3" s="1"/>
  <c r="E140" i="3" s="1"/>
  <c r="E141" i="3" s="1"/>
  <c r="E142" i="3" s="1"/>
  <c r="E143" i="3" s="1"/>
  <c r="E4" i="3" l="1"/>
  <c r="E6" i="3" s="1"/>
  <c r="E11" i="3" s="1"/>
  <c r="E14" i="3" l="1"/>
  <c r="E15" i="3" s="1"/>
  <c r="E20" i="3" s="1"/>
  <c r="E28" i="3" s="1"/>
  <c r="E30" i="3" s="1"/>
  <c r="E31" i="3" s="1"/>
  <c r="E32" i="3" s="1"/>
  <c r="E33" i="3" s="1"/>
  <c r="E43" i="3" s="1"/>
  <c r="E126" i="3" s="1"/>
  <c r="E127" i="3" s="1"/>
  <c r="E128" i="3" l="1"/>
  <c r="E145" i="3"/>
  <c r="E146" i="3" s="1"/>
  <c r="E147" i="3" s="1"/>
  <c r="E148" i="3" s="1"/>
  <c r="E149" i="3" s="1"/>
  <c r="E45" i="3"/>
  <c r="E46" i="3" s="1"/>
  <c r="E47" i="3" s="1"/>
  <c r="E50" i="3" s="1"/>
  <c r="E51" i="3" s="1"/>
  <c r="E54" i="3" s="1"/>
  <c r="E55" i="3" s="1"/>
  <c r="E44" i="3"/>
  <c r="E150" i="3" s="1"/>
  <c r="E144" i="3" l="1"/>
  <c r="E56" i="3" l="1"/>
  <c r="E57" i="3" l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4" i="3" s="1"/>
  <c r="E95" i="3" s="1"/>
  <c r="E96" i="3" s="1"/>
  <c r="E97" i="3" s="1"/>
  <c r="E98" i="3" s="1"/>
  <c r="E99" i="3" s="1"/>
  <c r="E100" i="3" s="1"/>
  <c r="E101" i="3" l="1"/>
  <c r="E102" i="3" s="1"/>
  <c r="E103" i="3" s="1"/>
  <c r="E104" i="3" s="1"/>
  <c r="E105" i="3" s="1"/>
  <c r="E106" i="3" s="1"/>
  <c r="E107" i="3" s="1"/>
  <c r="E108" i="3" s="1"/>
  <c r="E109" i="3" s="1"/>
  <c r="E110" i="3" s="1"/>
  <c r="E111" i="3" s="1"/>
  <c r="E112" i="3" s="1"/>
  <c r="E113" i="3" s="1"/>
  <c r="E114" i="3" s="1"/>
  <c r="E115" i="3" s="1"/>
  <c r="E116" i="3" s="1"/>
  <c r="E117" i="3" l="1"/>
  <c r="E118" i="3" s="1"/>
  <c r="E119" i="3" s="1"/>
  <c r="E120" i="3" s="1"/>
  <c r="E121" i="3" s="1"/>
  <c r="E122" i="3" s="1"/>
  <c r="E123" i="3" s="1"/>
  <c r="E124" i="3" s="1"/>
  <c r="E12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Jorge Santos Graça [EE] (DSI)</author>
  </authors>
  <commentList>
    <comment ref="I56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 xml:space="preserve">'AUTOF'
'AUTMF'
'AUTPF'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18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VCCOA</t>
        </r>
      </text>
    </comment>
    <comment ref="B120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VCCOC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22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VCCOO</t>
        </r>
      </text>
    </comment>
    <comment ref="B124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VRCOM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<sst xmlns="http://schemas.openxmlformats.org/spreadsheetml/2006/main" count="337" uniqueCount="311">
  <si>
    <t>Posição</t>
  </si>
  <si>
    <t>Tamanho</t>
  </si>
  <si>
    <t>Copybook</t>
  </si>
  <si>
    <t>Código de identificação da Companhia</t>
  </si>
  <si>
    <t>Código de identificação da Marca</t>
  </si>
  <si>
    <t>Código de identificação do Sistema Origem</t>
  </si>
  <si>
    <t>Número do Mediador</t>
  </si>
  <si>
    <t>Número do Cliente</t>
  </si>
  <si>
    <t>Número da Apólice</t>
  </si>
  <si>
    <t>Nome</t>
  </si>
  <si>
    <t>Dados de morada 1</t>
  </si>
  <si>
    <t>Dados de morada 2</t>
  </si>
  <si>
    <t>Localidade</t>
  </si>
  <si>
    <t>Descritivo do código postal</t>
  </si>
  <si>
    <t>05  :PREFIX:-DADOS-REGISTO.</t>
  </si>
  <si>
    <t>Código de documento</t>
  </si>
  <si>
    <t>&lt;NEW&gt;</t>
  </si>
  <si>
    <t xml:space="preserve">     '111' - Via Directa</t>
  </si>
  <si>
    <t xml:space="preserve">     '148' - Multicare</t>
  </si>
  <si>
    <t xml:space="preserve">     '001' - OK Teleseguro</t>
  </si>
  <si>
    <t xml:space="preserve">     '006' - Multicare</t>
  </si>
  <si>
    <t xml:space="preserve">     '005' - Continente</t>
  </si>
  <si>
    <t xml:space="preserve">     'GIS' - GIS</t>
  </si>
  <si>
    <t xml:space="preserve">     'MHS' - Multicare</t>
  </si>
  <si>
    <t>Total:</t>
  </si>
  <si>
    <t>e-mail</t>
  </si>
  <si>
    <t>Matrícula</t>
  </si>
  <si>
    <t>Novo</t>
  </si>
  <si>
    <t>Indicador de inclusão de Flyer (ex: "V" - Cobertura PVC)</t>
  </si>
  <si>
    <t>Descrição / Valores Possiveis / [Formato]</t>
  </si>
  <si>
    <t>Código de moeda (ex: EUR)</t>
  </si>
  <si>
    <t>Referência da morada</t>
  </si>
  <si>
    <t>Código postal (Se estrangeiro deverá vir a zeros) [9999-999]</t>
  </si>
  <si>
    <t>Número de telefone</t>
  </si>
  <si>
    <t>Número de telemóvel</t>
  </si>
  <si>
    <t xml:space="preserve">     '128' - Fidelidade</t>
  </si>
  <si>
    <t>Tipo Entidade</t>
  </si>
  <si>
    <t>Tipo de impressão</t>
  </si>
  <si>
    <t xml:space="preserve">     'I' - Impressão OnLine (Immediate)</t>
  </si>
  <si>
    <t xml:space="preserve">     'O' - Impressão via batch (Overnight)</t>
  </si>
  <si>
    <t>Tipo de Documento</t>
  </si>
  <si>
    <t xml:space="preserve">  07  :PREFIX:-COD-DOCUMENTO            PIC X(04).</t>
  </si>
  <si>
    <t>Tipo de registo</t>
  </si>
  <si>
    <t xml:space="preserve">  07  :PREFIX:-TIPO-IMPRESSAO           PIC X(01).</t>
  </si>
  <si>
    <t xml:space="preserve">      88  :PREFIX:-IMP-ONLINE               VALUE 'I'.</t>
  </si>
  <si>
    <t xml:space="preserve">      88  :PREFIX:-IMP-BATCH                VALUE 'O'.</t>
  </si>
  <si>
    <t xml:space="preserve">  07  :PREFIX:-COD-COMPANHIA            PIC X(03).</t>
  </si>
  <si>
    <t xml:space="preserve">      88  :PREFIX:-COM-VIADIRECTA           VALUE '111'.</t>
  </si>
  <si>
    <t xml:space="preserve">      88  :PREFIX:-COM-FIDELIDADE           VALUE '128'.</t>
  </si>
  <si>
    <t xml:space="preserve">      88  :PREFIX:-COM-MULTICARE            VALUE '148'.</t>
  </si>
  <si>
    <t xml:space="preserve">  07  :PREFIX:-COD-MARCA                PIC X(03).</t>
  </si>
  <si>
    <t xml:space="preserve">      88  :PREFIX:-MAR-OKTELESEGURO         VALUE '001'.</t>
  </si>
  <si>
    <t xml:space="preserve">      88  :PREFIX:-MAR-SONAE                VALUE '005'.</t>
  </si>
  <si>
    <t xml:space="preserve">      88  :PREFIX:-MAR-MULTICARE            VALUE '006'.</t>
  </si>
  <si>
    <t xml:space="preserve">  07  :PREFIX:-TIPO-REGISTO             PIC X(01).</t>
  </si>
  <si>
    <t xml:space="preserve">      88  :PREFIX:-REG-TIPO1                VALUE '1'.</t>
  </si>
  <si>
    <t xml:space="preserve">      88  :PREFIX:-REG-TIPO2                VALUE '2'.</t>
  </si>
  <si>
    <t xml:space="preserve">      88  :PREFIX:-REG-TIPO3                VALUE '3'.</t>
  </si>
  <si>
    <t xml:space="preserve">  07  :PREFIX:-NR-AGENTE                PIC X(10).</t>
  </si>
  <si>
    <t xml:space="preserve">  07  :PREFIX:-NR-CLIENTE               PIC X(10).</t>
  </si>
  <si>
    <t xml:space="preserve">  07  :PREFIX:-NR-APOLICE               PIC X(16).</t>
  </si>
  <si>
    <t xml:space="preserve">  07  :PREFIX:-COD-ORIGEM               PIC X(03).</t>
  </si>
  <si>
    <t xml:space="preserve">      88  :PREFIX:-ORI-GIS                  VALUE 'GIS'.</t>
  </si>
  <si>
    <t xml:space="preserve">      88  :PREFIX:-ORI-COLHEITAS            VALUE 'CLH'.</t>
  </si>
  <si>
    <t xml:space="preserve">      88  :PREFIX:-ORI-MULTICARE            VALUE 'MHS'.</t>
  </si>
  <si>
    <t xml:space="preserve">  07  :PREFIX:-IND-FLYER                PIC X(01).</t>
  </si>
  <si>
    <t>05  FILLER  REDEFINES  :PREFIX:-DADOS-DOCUMENTO.</t>
  </si>
  <si>
    <t xml:space="preserve">    09  :PREFIX:-TIPO-DOCUMENTO         PIC X(01).</t>
  </si>
  <si>
    <t xml:space="preserve">    09  :PREFIX:-COD-MOEDA              PIC X(03).</t>
  </si>
  <si>
    <t xml:space="preserve">  07  :PREFIX:-DADOS-CLIENTE.</t>
  </si>
  <si>
    <t xml:space="preserve">    09  :PREFIX:-CL-NOME                PIC X(40).</t>
  </si>
  <si>
    <t xml:space="preserve">    09  :PREFIX:-CL-LOCATION-REF        PIC X(04).</t>
  </si>
  <si>
    <t xml:space="preserve">    09  :PREFIX:-CL-MORADA1             PIC X(40).</t>
  </si>
  <si>
    <t xml:space="preserve">    09  :PREFIX:-CL-MORADA2             PIC X(40).</t>
  </si>
  <si>
    <t xml:space="preserve">    09  :PREFIX:-CL-LOCALIDADE          PIC X(40).</t>
  </si>
  <si>
    <t xml:space="preserve">    09  :PREFIX:-CL-CPOSTAL             PIC X(09).</t>
  </si>
  <si>
    <t xml:space="preserve">    09  :PREFIX:-CL-CPOSTAL-DESC        PIC X(40).</t>
  </si>
  <si>
    <t xml:space="preserve">    09  :PREFIX:-CL-TIPO-ENTIDADE       PIC X(01).</t>
  </si>
  <si>
    <t xml:space="preserve">  07  :PREFIX:-DADOS-DATA.</t>
  </si>
  <si>
    <t xml:space="preserve">  07  :PREFIX:-DADOS-AGENTE.</t>
  </si>
  <si>
    <t xml:space="preserve">    09  :PREFIX:-AG-NOME                PIC X(40).</t>
  </si>
  <si>
    <t xml:space="preserve">    09  :PREFIX:-AG-LOCATION-REF        PIC X(04).</t>
  </si>
  <si>
    <t xml:space="preserve">    09  :PREFIX:-AG-MORADA1             PIC X(40).</t>
  </si>
  <si>
    <t xml:space="preserve">    09  :PREFIX:-AG-MORADA2             PIC X(40).</t>
  </si>
  <si>
    <t xml:space="preserve">    09  :PREFIX:-AG-LOCALIDADE          PIC X(40).</t>
  </si>
  <si>
    <t xml:space="preserve">    09  :PREFIX:-AG-CPOSTAL-DESC        PIC X(40).</t>
  </si>
  <si>
    <t xml:space="preserve">    09  :PREFIX:-AG-TELEFONE            PIC X(16).</t>
  </si>
  <si>
    <t xml:space="preserve">    09  :PREFIX:-AG-TELEMOVEL           PIC X(16).</t>
  </si>
  <si>
    <t xml:space="preserve">    09  :PREFIX:-AG-EMAIL               PIC X(60).</t>
  </si>
  <si>
    <t xml:space="preserve">  07  :PREFIX:-USERID                   PIC X(08).</t>
  </si>
  <si>
    <t>User Id da impressão OnLine</t>
  </si>
  <si>
    <t xml:space="preserve">  07  :PREFIX:-AUX-MARCA                PIC X(01).</t>
  </si>
  <si>
    <t xml:space="preserve">      88  :PREFIX:-MAR-LEVE                 VALUE 'L'.</t>
  </si>
  <si>
    <t xml:space="preserve">        88  :PREFIX:-CL-ENT-PARTICUL        VALUE '1'.</t>
  </si>
  <si>
    <t xml:space="preserve">        88  :PREFIX:-CL-ENT-COLETIVA        VALUE '2'.</t>
  </si>
  <si>
    <t xml:space="preserve">     '1' - Pessoa / Particular</t>
  </si>
  <si>
    <t xml:space="preserve">     '2' - Colectivo/Conta Interna</t>
  </si>
  <si>
    <t xml:space="preserve">      88  :PREFIX:-ORI-COGEN22              VALUE 'CG2'.</t>
  </si>
  <si>
    <t xml:space="preserve">     'CG2' - Cogen 22</t>
  </si>
  <si>
    <t xml:space="preserve">      88  :PREFIX:-ORI-COGEN33              VALUE 'CGN'.</t>
  </si>
  <si>
    <t xml:space="preserve">     'CGN' - Cogen 33</t>
  </si>
  <si>
    <t xml:space="preserve">     'CLH' - Colheitas (GIC)</t>
  </si>
  <si>
    <t xml:space="preserve">    09  :PREFIX:-AG-CPAIS               PIC X(03).</t>
  </si>
  <si>
    <t>Código do País (Se estrangeiro, diferente de 620)</t>
  </si>
  <si>
    <t xml:space="preserve">    09  :PREFIX:-CL-CPAIS               PIC X(03).</t>
  </si>
  <si>
    <t xml:space="preserve">    09  :PREFIX:-CL-CPAIS-DESC          PIC X(40).</t>
  </si>
  <si>
    <t>Descritivo do País</t>
  </si>
  <si>
    <t xml:space="preserve">    09  :PREFIX:-CL-IDP                 PIC X(04).</t>
  </si>
  <si>
    <t>Identificação da Porta (no CBC)</t>
  </si>
  <si>
    <t xml:space="preserve">    09  :PREFIX:-AG-CPAIS-DESC          PIC X(40).</t>
  </si>
  <si>
    <t xml:space="preserve">    09  :PREFIX:-AG-IDP                 PIC X(04).</t>
  </si>
  <si>
    <t xml:space="preserve">     '002' - Fidelidade</t>
  </si>
  <si>
    <t xml:space="preserve">      88  :PREFIX:-MAR-FIDELIDADE           VALUE '002'.</t>
  </si>
  <si>
    <t xml:space="preserve">        88  :PREFIX:-RAM-NVIDA              VALUE '0201  '</t>
  </si>
  <si>
    <t xml:space="preserve">              '0205  ' '0210  ' '0301  ' '0305  ' '0310  '</t>
  </si>
  <si>
    <t xml:space="preserve">              '0350  ' '0351  ' '0353  ' '0354  ' '0355  '</t>
  </si>
  <si>
    <t xml:space="preserve">              '0356  ' '0357  ' '0358  ' '0360  ' '0370  '</t>
  </si>
  <si>
    <t xml:space="preserve">              '0380  ' '0390  ' '0401  ' '0405  ' '0501  '</t>
  </si>
  <si>
    <t xml:space="preserve">              '0510  ' '0515  ' '0520  ' '0601  ' '0701  '</t>
  </si>
  <si>
    <t xml:space="preserve">              '0705  ' '0905  ' '2001  ' '2010  ' '2101  '</t>
  </si>
  <si>
    <t xml:space="preserve">              '22000 ' '22002 ' '22003 ' '22004 ' '2201  '</t>
  </si>
  <si>
    <t xml:space="preserve">              '2210  ' '2211  ' '2215  ' '2220  ' '2250  '</t>
  </si>
  <si>
    <t xml:space="preserve">              '2301  ' '2401  ' '2402  ' '2501  ' '2601  '</t>
  </si>
  <si>
    <t xml:space="preserve">              '2605  ' '2705  ' '2801  ' '3102  ' '3109  '</t>
  </si>
  <si>
    <t xml:space="preserve">              '3150  ' '3201  ' '3205  ' '3210  ' '3215  '</t>
  </si>
  <si>
    <t xml:space="preserve">              '3301  ' '3401  ' '3405  ' '3410  ' '3420  '</t>
  </si>
  <si>
    <t xml:space="preserve">              '3425  ' '3430  ' '3501  ' '3505  ' '3601  '</t>
  </si>
  <si>
    <t xml:space="preserve">              '3605  ' '3625  ' '3801  ' '3901  '.</t>
  </si>
  <si>
    <t xml:space="preserve">        88  :PREFIX:-RAM-VIDA-CLH           VALUE '22000 '</t>
  </si>
  <si>
    <t xml:space="preserve">              '22002 ' '22003 ' '22004 '.</t>
  </si>
  <si>
    <t xml:space="preserve">              '3109  '.</t>
  </si>
  <si>
    <t xml:space="preserve">        88  :PREFIX:-RAM-VIDA-MHS           VALUE '3102  '</t>
  </si>
  <si>
    <t>Ramos não vida</t>
  </si>
  <si>
    <t>Ramos não vida: Colheitas</t>
  </si>
  <si>
    <t>Ramos não vida: Saúde</t>
  </si>
  <si>
    <t xml:space="preserve">        88  ... Restantes niveis a definir!</t>
  </si>
  <si>
    <t xml:space="preserve">    09  :PREFIX:-DT-INI-APOL            PIC X(08).</t>
  </si>
  <si>
    <t xml:space="preserve">    09  :PREFIX:-DT-FIM-APOL            PIC X(08).</t>
  </si>
  <si>
    <t>Periodo da Apólice - inicio [aaaammdd]</t>
  </si>
  <si>
    <t>Periodo da Apólice - fim [aaaammdd]</t>
  </si>
  <si>
    <t xml:space="preserve">     'L' - Leve (Substitui 'L02' - FM Leve / 
                         'L03' - IB Leve, apenas para marca 002 ou 003)</t>
  </si>
  <si>
    <t>(*) Este bloco repete n vezes</t>
  </si>
  <si>
    <t xml:space="preserve">  07  :PREFIX:-FOOTER-LISTA.</t>
  </si>
  <si>
    <t xml:space="preserve">    09  :PREFIX:-AG-CPOSTAL             PIC X(09).</t>
  </si>
  <si>
    <t>Footer da Lista (Registo do tipo 4)</t>
  </si>
  <si>
    <t xml:space="preserve">      88  :PREFIX:-REG-TIPO4                VALUE '4'.</t>
  </si>
  <si>
    <t xml:space="preserve">    09  :PREFIX:-DT-EMISSAO             PIC X(08).</t>
  </si>
  <si>
    <t>Data de emissão [aaaammdd]</t>
  </si>
  <si>
    <r>
      <t xml:space="preserve">Código de Produto </t>
    </r>
    <r>
      <rPr>
        <sz val="11"/>
        <color rgb="FFFF0000"/>
        <rFont val="Calibri"/>
        <family val="2"/>
        <scheme val="minor"/>
      </rPr>
      <t>[Garantir que no máximo vem 6 posições]</t>
    </r>
  </si>
  <si>
    <r>
      <t xml:space="preserve">Código do Ramo SO </t>
    </r>
    <r>
      <rPr>
        <sz val="11"/>
        <color rgb="FFFF0000"/>
        <rFont val="Calibri"/>
        <family val="2"/>
        <scheme val="minor"/>
      </rPr>
      <t>[Garantir que no máximo vem 6 posições]</t>
    </r>
  </si>
  <si>
    <t xml:space="preserve">    09  :PREFIX:-COD-PRODUTO            PIC X(10).</t>
  </si>
  <si>
    <t xml:space="preserve">    09  :PREFIX:-COD-RAMO               PIC X(10).</t>
  </si>
  <si>
    <t xml:space="preserve">    09  :PREFIX:-CL-NIF                 PIC X(22).</t>
  </si>
  <si>
    <t>Número de identificação fiscal (No caso de Portugal será PT999999999)</t>
  </si>
  <si>
    <r>
      <t xml:space="preserve">Número do Recibo </t>
    </r>
    <r>
      <rPr>
        <sz val="11"/>
        <color rgb="FFFF0000"/>
        <rFont val="Calibri"/>
        <family val="2"/>
        <scheme val="minor"/>
      </rPr>
      <t>[Garantir que no máximo vem 11 posições]</t>
    </r>
  </si>
  <si>
    <t>NY5F1U0-COMPANY-CODE</t>
  </si>
  <si>
    <t>NY5F1U0-C-MARC-SGRA</t>
  </si>
  <si>
    <t>NY5F1U0-VEH-REG-NUMBER</t>
  </si>
  <si>
    <t>NY5F1U0-ISSUE-DATE</t>
  </si>
  <si>
    <t>NY5F1U0-POLICY-NUMBER</t>
  </si>
  <si>
    <t>NY5F1U0-PRODUCT-CODE</t>
  </si>
  <si>
    <t>NY5F1U0-PRODUCT-CODE-DESC</t>
  </si>
  <si>
    <t>NY5F1U0-RECEIPT-START-DATE</t>
  </si>
  <si>
    <t>NY5F1U0-RECEIPT-END-DATE</t>
  </si>
  <si>
    <t>NY5F1U0-TERM-START-DATE</t>
  </si>
  <si>
    <t>NY5F1U0-TERM-END-DATE</t>
  </si>
  <si>
    <t>NY5F1U0-CLIENT-NUMBER</t>
  </si>
  <si>
    <t>NY5F1U0-CLIENT-NAME</t>
  </si>
  <si>
    <t>NY5F1U0-CLIENT-ADDRESS-1</t>
  </si>
  <si>
    <t>NY5F1U0-CLIENT-ADDRESS-2</t>
  </si>
  <si>
    <t>NY5F1U0-CLIENT-LOCALITY</t>
  </si>
  <si>
    <t>NY5F1U0-CLIENT-POST-CODE</t>
  </si>
  <si>
    <t>NY5F1U0-CLIENT-POST-CODE-DESC</t>
  </si>
  <si>
    <t>NY5F1U0-CLIENT-NUM-TYPE
NY5F1U0-CLIENT-NUM</t>
  </si>
  <si>
    <t>NY5F1U0-DATA-EXTRACCAO</t>
  </si>
  <si>
    <t>NY5F1U0-FISCAL-NUMBER</t>
  </si>
  <si>
    <t>NY5F1U0-COLLECTING-AGENT</t>
  </si>
  <si>
    <t>NY5F1U0-AGENT-NAME</t>
  </si>
  <si>
    <t>NY5F1U0-AGENT-ADDRESS-1</t>
  </si>
  <si>
    <t>NY5F1U0-AGENT-ADDRESS-2</t>
  </si>
  <si>
    <t>NY5F1U0-AGENT-LOCALITY</t>
  </si>
  <si>
    <t>NY5F1U0-AGENT-POST-CODE</t>
  </si>
  <si>
    <t>NY5F1U0-AGENT-POST-CODE-DESC</t>
  </si>
  <si>
    <t>NY5F1U0-AGENT-NUM-TYPE
NY5F1U0-AGENT-NUM</t>
  </si>
  <si>
    <t>NY5F1U0-TIPO-IMPRESSAO</t>
  </si>
  <si>
    <t xml:space="preserve">    09  :PREFIX:-AG-NR-CNT-VENDA        PIC X(10).</t>
  </si>
  <si>
    <t>Conta Mediação</t>
  </si>
  <si>
    <t>Comissão de Mediação</t>
  </si>
  <si>
    <t xml:space="preserve">    09  :PREFIX:-AG-NR-CNT-COBRA        PIC X(10).</t>
  </si>
  <si>
    <t>Conta Cobrança</t>
  </si>
  <si>
    <t>Comissão de Cobrança</t>
  </si>
  <si>
    <t xml:space="preserve">    09  :PREFIX:-AG-NR-CNT-ESPEC        PIC X(10).</t>
  </si>
  <si>
    <t>Conta Especial</t>
  </si>
  <si>
    <t>Comissão Especial</t>
  </si>
  <si>
    <t xml:space="preserve">    09  :PREFIX:-AG-NR-CNT-PARCE        PIC X(10).</t>
  </si>
  <si>
    <t>Conta Parceria</t>
  </si>
  <si>
    <t>Comissão Parceria</t>
  </si>
  <si>
    <t>NY5F1U0-COLLECTING-COMMISSION</t>
  </si>
  <si>
    <t>NY5F1U0-SELLING-COMMISSION</t>
  </si>
  <si>
    <t>NY5F1U0-SPECIAL-AG-COMMISSION</t>
  </si>
  <si>
    <t>NY5F1U0-SELLING-AGENT</t>
  </si>
  <si>
    <t xml:space="preserve">  07  :PREFIX:-DETALHE-FROTA.</t>
  </si>
  <si>
    <t>Tipo de transacção</t>
  </si>
  <si>
    <t xml:space="preserve">    09  :PREFIX:-FRT-TIPO-TRANSAC       PIC X(02).</t>
  </si>
  <si>
    <t xml:space="preserve">        88  :PREFIX:-FRT-TT-01              VALUE '01'.</t>
  </si>
  <si>
    <t xml:space="preserve">     '01' - 'NOVO NEG  '</t>
  </si>
  <si>
    <t xml:space="preserve">        88  :PREFIX:-FRT-TT-02              VALUE '02'.</t>
  </si>
  <si>
    <t xml:space="preserve">        88  :PREFIX:-FRT-TT-03              VALUE '03'.</t>
  </si>
  <si>
    <t xml:space="preserve">        88  :PREFIX:-FRT-TT-09              VALUE '09'.</t>
  </si>
  <si>
    <t xml:space="preserve">        88  :PREFIX:-FRT-TT-10              VALUE '10'.</t>
  </si>
  <si>
    <t xml:space="preserve">        88  :PREFIX:-FRT-TT-12              VALUE '12'.</t>
  </si>
  <si>
    <t xml:space="preserve">        88  :PREFIX:-FRT-TT-4B              VALUE '4B'.</t>
  </si>
  <si>
    <t xml:space="preserve">        88  :PREFIX:-FRT-TT-4D              VALUE '4D'.</t>
  </si>
  <si>
    <t xml:space="preserve">     '02' - 'RENOVAÇÃO '</t>
  </si>
  <si>
    <t xml:space="preserve">     '03' - 'ALTERAÇÃO '</t>
  </si>
  <si>
    <t xml:space="preserve">     '09' - 'CANC PREM '</t>
  </si>
  <si>
    <t xml:space="preserve">     '10' - 'CANC PREM '</t>
  </si>
  <si>
    <t xml:space="preserve">     '12' - 'PLANO PAG '</t>
  </si>
  <si>
    <t xml:space="preserve">     '4B' - 'PENALIZ   '</t>
  </si>
  <si>
    <t xml:space="preserve">     '4D' - 'PENALIZ   '</t>
  </si>
  <si>
    <t>NY5F1U0-POL-TRAN-TYPE</t>
  </si>
  <si>
    <t>Data de processamento [aaaammdd]</t>
  </si>
  <si>
    <t>NY5F1U0-PROCESS-DATE</t>
  </si>
  <si>
    <t>Data de aprovação [aaaammdd]</t>
  </si>
  <si>
    <t>NY5F1U0-APPROVAL-DATE</t>
  </si>
  <si>
    <t xml:space="preserve">    09  :PREFIX:-FRT-DT-INI-RISCO       PIC X(08).</t>
  </si>
  <si>
    <t xml:space="preserve">    09  :PREFIX:-FRT-DT-FIM-RISCO       PIC X(08).</t>
  </si>
  <si>
    <t xml:space="preserve">    09  :PREFIX:-FRT-DT-APROVACAO       PIC X(08).</t>
  </si>
  <si>
    <t xml:space="preserve">    09  :PREFIX:-FRT-DT-PROCESSO        PIC X(08).</t>
  </si>
  <si>
    <t>Data inicio de risco [aaaammdd]</t>
  </si>
  <si>
    <t>Data fim de risco [aaaammdd]</t>
  </si>
  <si>
    <t>NY5F1U0-RISK-START-DATE</t>
  </si>
  <si>
    <t>NY5F1U0-RISK-END-DATE</t>
  </si>
  <si>
    <t>NY5F1U0-ANN-GROSS-PREM</t>
  </si>
  <si>
    <t>NY5F1U0-INC-GROSS-PREM</t>
  </si>
  <si>
    <t>Valor do Premio Anual</t>
  </si>
  <si>
    <t>Valor do Premio de Risco</t>
  </si>
  <si>
    <t xml:space="preserve">    09  :PREFIX:-NR-RECIBO              PIC X(16).</t>
  </si>
  <si>
    <t xml:space="preserve">    09  :PREFIX:-DT-FIM-REC             PIC X(08).</t>
  </si>
  <si>
    <t xml:space="preserve">    09  :PREFIX:-DT-INI-REC             PIC X(08).</t>
  </si>
  <si>
    <t>Periodo do Recibo - inicio [aaaammdd]</t>
  </si>
  <si>
    <t>Periodo do Recibo - fim [aaaammdd]</t>
  </si>
  <si>
    <t xml:space="preserve">    09  :PREFIX:-DT-EXTRACAO            PIC X(08).</t>
  </si>
  <si>
    <t>Data de extracção [aaaammdd]</t>
  </si>
  <si>
    <t>NY5F1U0-ACCOUNT-COLL-SORT
NY5F1U0-COLLECTING-AGENT</t>
  </si>
  <si>
    <t xml:space="preserve">  07  :PREFIX:-DADOS-VALOR.</t>
  </si>
  <si>
    <t>NY5F1U0-RECEIPT-TOTAL</t>
  </si>
  <si>
    <t>Valor total do Recibo (Valor a pagar)</t>
  </si>
  <si>
    <t>NY5F1U0-DOCUMENT-CODE</t>
  </si>
  <si>
    <t xml:space="preserve">      88  :PREFIX:-DOC-LST-FRTS             VALUE 'FRTS'.</t>
  </si>
  <si>
    <t xml:space="preserve">     'FRTS' - Lista de movimentos de Frotas</t>
  </si>
  <si>
    <t xml:space="preserve">        88  :PREFIX:-DOC-FRT                VALUE 'F'.</t>
  </si>
  <si>
    <t>NY5F1U0-FROTA</t>
  </si>
  <si>
    <t>NY5F1U0-CANCEL-FROTA</t>
  </si>
  <si>
    <t xml:space="preserve">     'F' - Documento de Frotas</t>
  </si>
  <si>
    <t xml:space="preserve">  07  :PREFIX:-DADOS-LISTA-FROTAS.</t>
  </si>
  <si>
    <t xml:space="preserve">     '1' - Movimento de Frota</t>
  </si>
  <si>
    <t xml:space="preserve">     '4' - Footer Lista Frota</t>
  </si>
  <si>
    <t>Detalhe de Frota (Registo do tipo 2 e 3)</t>
  </si>
  <si>
    <t>NY5F1U0-RECORD-TYPE</t>
  </si>
  <si>
    <t>NY5F1U0-HEADER</t>
  </si>
  <si>
    <t>NY5F1U0-ADJUSTMENT</t>
  </si>
  <si>
    <t>NY5F1U0-CURRENT</t>
  </si>
  <si>
    <t xml:space="preserve">     '2' - Detalhe de Frota - Ajuste</t>
  </si>
  <si>
    <t xml:space="preserve">     '3' - Detalhe de Frota - Geral</t>
  </si>
  <si>
    <t>NY5F1U0-RECEIPT-NUMBER
NY5F1U0-RECEIPT-SORT</t>
  </si>
  <si>
    <t>NY5F1U0-INSTALMENT-NUMBER</t>
  </si>
  <si>
    <t>Número de fracção (Valores de 001 a 012, 'RC ', ...)</t>
  </si>
  <si>
    <t xml:space="preserve">    09  :PREFIX:-TIPO-APOLICE           PIC X(01).</t>
  </si>
  <si>
    <t>Tipo de Apólice (Fraccionamento)</t>
  </si>
  <si>
    <t xml:space="preserve">    09  :PREFIX:-FRACCAO-NR             PIC X(03).</t>
  </si>
  <si>
    <t xml:space="preserve">        88  :PREFIX:-TAP-ANUAL              VALUE 'A'</t>
  </si>
  <si>
    <t xml:space="preserve">        88  :PREFIX:-TAP-FRAC               VALUE 'F'</t>
  </si>
  <si>
    <t xml:space="preserve">     'A' - Anual</t>
  </si>
  <si>
    <t xml:space="preserve">     'F' - Fraccionada</t>
  </si>
  <si>
    <t>Total Anual</t>
  </si>
  <si>
    <t>Total Risco</t>
  </si>
  <si>
    <t>05  :PREFIX:-DADOS-DOCUMENTO            PIC X(2138).</t>
  </si>
  <si>
    <t xml:space="preserve">  07  FILLER                            PIC X(1216).</t>
  </si>
  <si>
    <t xml:space="preserve">     'G' - Documento de Cancelamento de Frotas</t>
  </si>
  <si>
    <t xml:space="preserve">        88  :PREFIX:-DOC-CNF                VALUE 'G'.</t>
  </si>
  <si>
    <t xml:space="preserve">     '138' - Império</t>
  </si>
  <si>
    <t xml:space="preserve">      88  :PREFIX:-COM-IMPERIO              VALUE '138'.</t>
  </si>
  <si>
    <t xml:space="preserve">      88  :PREFIX:-MAR-IMPERIO              VALUE '003'.</t>
  </si>
  <si>
    <t xml:space="preserve">      88  :PREFIX:-MAR-ICI                  VALUE '004'.</t>
  </si>
  <si>
    <t xml:space="preserve">     '003' - Império</t>
  </si>
  <si>
    <t xml:space="preserve">     '004' - ICI</t>
  </si>
  <si>
    <t xml:space="preserve">    09  :PREFIX:-FTR-TOT-RISCO          PIC S9(12)V9(02)
                                   SIGN LEADING SEPARATE.</t>
  </si>
  <si>
    <t xml:space="preserve">    09  :PREFIX:-FTR-TOT-ANUAL          PIC S9(12)V9(02)
                                   SIGN LEADING SEPARATE.</t>
  </si>
  <si>
    <t xml:space="preserve">    09  :PREFIX:-FRT-VLR-ANUAL          PIC S9(12)V9(02)
                                   SIGN LEADING SEPARATE.</t>
  </si>
  <si>
    <t xml:space="preserve">    09  :PREFIX:-FRT-VLR-RISCO          PIC S9(12)V9(02)
                                   SIGN LEADING SEPARATE.</t>
  </si>
  <si>
    <t xml:space="preserve">    09  :PREFIX:-AG-VLR-CNT-VENDA       PIC S9(12)V9(02)
                                   SIGN LEADING SEPARATE.</t>
  </si>
  <si>
    <t xml:space="preserve">    09  :PREFIX:-AG-VLR-CNT-COBRA       PIC S9(12)V9(02)
                                   SIGN LEADING SEPARATE.</t>
  </si>
  <si>
    <t xml:space="preserve">    09  :PREFIX:-AG-VLR-CNT-ESPEC       PIC S9(12)V9(02)
                                   SIGN LEADING SEPARATE.</t>
  </si>
  <si>
    <t xml:space="preserve">    09  :PREFIX:-AG-VLR-CNT-PARCE       PIC S9(12)V9(02)
                                   SIGN LEADING SEPARATE.</t>
  </si>
  <si>
    <t xml:space="preserve">    09  :PREFIX:-VLR-TOTAL-RECIBO       PIC S9(12)V9(02)
                                   SIGN LEADING SEPARATE.</t>
  </si>
  <si>
    <t xml:space="preserve">    09  :PREFIX:-DESCR-RAMO-PROD        PIC X(40).</t>
  </si>
  <si>
    <t>Descritivo do Ramo / Produto</t>
  </si>
  <si>
    <t xml:space="preserve">      88  :PREFIX:-MAR-EUROBIC              VALUE '028'.</t>
  </si>
  <si>
    <t xml:space="preserve">     '028' - Eurobic</t>
  </si>
  <si>
    <t xml:space="preserve">     'SPG' - SGF Grupo (Paxus)</t>
  </si>
  <si>
    <t xml:space="preserve">     'SPA' - SGF Individual (Paxus)</t>
  </si>
  <si>
    <t xml:space="preserve">     'FGS' - FGS</t>
  </si>
  <si>
    <t xml:space="preserve">     'FCS' - FCS</t>
  </si>
  <si>
    <t xml:space="preserve">      88  :PREFIX:-ORI-SGF-GR               VALUE 'SPG'.</t>
  </si>
  <si>
    <t xml:space="preserve">      88  :PREFIX:-ORI-SGF-IN               VALUE 'SPA'.</t>
  </si>
  <si>
    <t xml:space="preserve">      88  :PREFIX:-ORI-FGS                  VALUE 'FGS'.</t>
  </si>
  <si>
    <t xml:space="preserve">      88  :PREFIX:-ORI-FCS                  VALUE 'FCS'.</t>
  </si>
  <si>
    <t xml:space="preserve">    09  :PREFIX:-FRT-OBSERVACAO         PIC X(15).</t>
  </si>
  <si>
    <t xml:space="preserve">  07  FILLER                            PIC X(2826).</t>
  </si>
  <si>
    <t xml:space="preserve">  07  FILLER                            PIC X(2876).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</si>
</sst>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ourier New"/>
      <family val="3"/>
    </font>
    <font>
      <sz val="11"/>
      <color rgb="FFFF0000"/>
      <name val="Courier New"/>
      <family val="3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0" fontId="4" fillId="0" borderId="0" xfId="0" applyFont="1" applyAlignment="1">
      <alignment horizontal="right"/>
    </xf>
    <xf numFmtId="0" fontId="0" fillId="0" borderId="1" xfId="0" applyBorder="1"/>
    <xf numFmtId="0" fontId="3" fillId="0" borderId="1" xfId="0" applyFont="1" applyBorder="1"/>
    <xf numFmtId="0" fontId="2" fillId="0" borderId="1" xfId="0" applyFont="1" applyBorder="1"/>
    <xf numFmtId="0" fontId="1" fillId="2" borderId="3" xfId="0" applyFont="1" applyFill="1" applyBorder="1" applyAlignment="1">
      <alignment horizontal="right"/>
    </xf>
    <xf numFmtId="0" fontId="2" fillId="5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5" borderId="1" xfId="0" applyFill="1" applyBorder="1" applyAlignment="1">
      <alignment horizontal="right"/>
    </xf>
    <xf numFmtId="0" fontId="2" fillId="4" borderId="1" xfId="0" applyFont="1" applyFill="1" applyBorder="1"/>
    <xf numFmtId="0" fontId="3" fillId="4" borderId="1" xfId="0" applyFont="1" applyFill="1" applyBorder="1"/>
    <xf numFmtId="0" fontId="0" fillId="4" borderId="1" xfId="0" applyFill="1" applyBorder="1"/>
    <xf numFmtId="0" fontId="0" fillId="4" borderId="1" xfId="0" applyFill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vertical="top"/>
    </xf>
    <xf numFmtId="0" fontId="1" fillId="2" borderId="2" xfId="0" applyFont="1" applyFill="1" applyBorder="1" applyAlignment="1">
      <alignment horizontal="center" vertical="top"/>
    </xf>
    <xf numFmtId="0" fontId="8" fillId="0" borderId="0" xfId="0" applyFont="1"/>
    <xf numFmtId="0" fontId="7" fillId="0" borderId="2" xfId="0" applyFont="1" applyBorder="1"/>
    <xf numFmtId="0" fontId="7" fillId="0" borderId="4" xfId="0" applyFont="1" applyBorder="1"/>
    <xf numFmtId="0" fontId="7" fillId="0" borderId="3" xfId="0" applyFont="1" applyBorder="1"/>
    <xf numFmtId="0" fontId="7" fillId="5" borderId="2" xfId="0" applyFont="1" applyFill="1" applyBorder="1"/>
    <xf numFmtId="0" fontId="7" fillId="5" borderId="3" xfId="0" applyFont="1" applyFill="1" applyBorder="1"/>
    <xf numFmtId="0" fontId="7" fillId="0" borderId="1" xfId="0" applyFont="1" applyBorder="1"/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3" xfId="0" applyFont="1" applyBorder="1" applyAlignment="1">
      <alignment wrapText="1"/>
    </xf>
    <xf numFmtId="0" fontId="8" fillId="3" borderId="1" xfId="0" applyFont="1" applyFill="1" applyBorder="1"/>
    <xf numFmtId="0" fontId="2" fillId="0" borderId="2" xfId="0" applyFont="1" applyBorder="1"/>
    <xf numFmtId="0" fontId="3" fillId="0" borderId="2" xfId="0" applyFont="1" applyBorder="1"/>
    <xf numFmtId="0" fontId="0" fillId="0" borderId="2" xfId="0" applyBorder="1"/>
    <xf numFmtId="0" fontId="0" fillId="0" borderId="2" xfId="0" applyBorder="1" applyAlignment="1">
      <alignment horizontal="right"/>
    </xf>
    <xf numFmtId="0" fontId="8" fillId="0" borderId="3" xfId="0" applyFont="1" applyBorder="1"/>
    <xf numFmtId="0" fontId="9" fillId="5" borderId="1" xfId="0" applyFont="1" applyFill="1" applyBorder="1" applyAlignment="1">
      <alignment horizontal="left"/>
    </xf>
    <xf numFmtId="0" fontId="0" fillId="0" borderId="1" xfId="0" applyBorder="1" applyAlignment="1">
      <alignment horizontal="right" vertical="top"/>
    </xf>
    <xf numFmtId="0" fontId="8" fillId="4" borderId="1" xfId="0" applyFont="1" applyFill="1" applyBorder="1"/>
    <xf numFmtId="0" fontId="8" fillId="4" borderId="3" xfId="0" applyFont="1" applyFill="1" applyBorder="1"/>
    <xf numFmtId="0" fontId="8" fillId="0" borderId="1" xfId="0" applyFont="1" applyBorder="1" applyAlignment="1">
      <alignment vertical="top" wrapText="1"/>
    </xf>
    <xf numFmtId="0" fontId="8" fillId="0" borderId="4" xfId="0" applyFont="1" applyBorder="1"/>
    <xf numFmtId="0" fontId="8" fillId="0" borderId="3" xfId="0" applyFont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7" fillId="4" borderId="1" xfId="0" applyFont="1" applyFill="1" applyBorder="1"/>
    <xf numFmtId="0" fontId="2" fillId="0" borderId="1" xfId="0" applyFont="1" applyBorder="1" applyAlignment="1">
      <alignment vertical="top" wrapText="1"/>
    </xf>
    <xf numFmtId="0" fontId="7" fillId="0" borderId="1" xfId="0" applyFont="1" applyBorder="1" applyAlignment="1">
      <alignment wrapText="1"/>
    </xf>
    <xf numFmtId="0" fontId="8" fillId="4" borderId="2" xfId="0" applyFont="1" applyFill="1" applyBorder="1"/>
    <xf numFmtId="0" fontId="2" fillId="6" borderId="1" xfId="0" applyFont="1" applyFill="1" applyBorder="1"/>
    <xf numFmtId="0" fontId="3" fillId="6" borderId="1" xfId="0" applyFont="1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3" fillId="6" borderId="1" xfId="0" applyFont="1" applyFill="1" applyBorder="1"/>
    <xf numFmtId="0" fontId="8" fillId="0" borderId="1" xfId="0" applyFont="1" applyBorder="1" applyAlignment="1">
      <alignment vertical="top"/>
    </xf>
    <xf numFmtId="0" fontId="8" fillId="0" borderId="3" xfId="0" applyFont="1" applyBorder="1" applyAlignment="1">
      <alignment vertical="top"/>
    </xf>
    <xf numFmtId="0" fontId="2" fillId="6" borderId="1" xfId="0" applyFont="1" applyFill="1" applyBorder="1" applyAlignment="1">
      <alignment vertical="top" wrapText="1"/>
    </xf>
    <xf numFmtId="0" fontId="7" fillId="0" borderId="3" xfId="0" applyFont="1" applyBorder="1" applyAlignment="1">
      <alignment vertical="top"/>
    </xf>
    <xf numFmtId="0" fontId="7" fillId="0" borderId="1" xfId="0" applyFont="1" applyBorder="1" applyAlignment="1">
      <alignment vertical="top"/>
    </xf>
    <xf numFmtId="0" fontId="0" fillId="6" borderId="1" xfId="0" applyFill="1" applyBorder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150"/>
  <sheetViews>
    <sheetView tabSelected="1" topLeftCell="B1" workbookViewId="0">
      <selection activeCell="E145" sqref="E145"/>
    </sheetView>
  </sheetViews>
  <sheetFormatPr baseColWidth="10" defaultColWidth="8.83203125" defaultRowHeight="15" x14ac:dyDescent="0.2"/>
  <cols>
    <col min="1" max="1" width="1.6640625" customWidth="1"/>
    <col min="2" max="2" width="76.83203125" bestFit="1" customWidth="1"/>
    <col min="3" max="3" width="7.6640625" bestFit="1" customWidth="1"/>
    <col min="4" max="4" width="62.83203125" customWidth="1"/>
    <col min="5" max="5" width="9.1640625" customWidth="1"/>
    <col min="6" max="6" width="9.1640625" bestFit="1" customWidth="1"/>
    <col min="7" max="7" width="1.6640625" customWidth="1"/>
    <col min="8" max="8" width="2.6640625" customWidth="1"/>
    <col min="9" max="9" width="29.83203125" bestFit="1" customWidth="1"/>
    <col min="10" max="10" width="1.6640625" customWidth="1"/>
  </cols>
  <sheetData>
    <row r="1" spans="2:9" ht="9" customHeight="1" x14ac:dyDescent="0.2"/>
    <row r="2" spans="2:9" x14ac:dyDescent="0.2">
      <c r="B2" s="1" t="s">
        <v>2</v>
      </c>
      <c r="C2" s="1" t="s">
        <v>27</v>
      </c>
      <c r="D2" s="1" t="s">
        <v>29</v>
      </c>
      <c r="E2" s="2" t="s">
        <v>0</v>
      </c>
      <c r="F2" s="2" t="s">
        <v>1</v>
      </c>
      <c r="I2" s="20"/>
    </row>
    <row r="3" spans="2:9" x14ac:dyDescent="0.2">
      <c r="B3" s="9" t="s">
        <v>14</v>
      </c>
      <c r="C3" s="10"/>
      <c r="D3" s="11"/>
      <c r="E3" s="12">
        <v>1</v>
      </c>
      <c r="F3" s="12">
        <v>0</v>
      </c>
      <c r="I3" s="22"/>
    </row>
    <row r="4" spans="2:9" x14ac:dyDescent="0.2">
      <c r="B4" s="7" t="s">
        <v>41</v>
      </c>
      <c r="C4" s="6" t="s">
        <v>16</v>
      </c>
      <c r="D4" s="18" t="s">
        <v>15</v>
      </c>
      <c r="E4" s="3">
        <f>E3+F3</f>
        <v>1</v>
      </c>
      <c r="F4" s="3">
        <v>4</v>
      </c>
      <c r="I4" s="24"/>
    </row>
    <row r="5" spans="2:9" x14ac:dyDescent="0.2">
      <c r="B5" s="7" t="s">
        <v>249</v>
      </c>
      <c r="C5" s="6" t="s">
        <v>16</v>
      </c>
      <c r="D5" s="18" t="s">
        <v>250</v>
      </c>
      <c r="E5" s="3"/>
      <c r="F5" s="3"/>
      <c r="I5" s="26"/>
    </row>
    <row r="6" spans="2:9" x14ac:dyDescent="0.2">
      <c r="B6" s="7" t="s">
        <v>54</v>
      </c>
      <c r="C6" s="6"/>
      <c r="D6" s="5" t="s">
        <v>42</v>
      </c>
      <c r="E6" s="3">
        <f>E4+F4</f>
        <v>5</v>
      </c>
      <c r="F6" s="5">
        <v>1</v>
      </c>
      <c r="I6" s="24" t="s">
        <v>259</v>
      </c>
    </row>
    <row r="7" spans="2:9" x14ac:dyDescent="0.2">
      <c r="B7" s="7" t="s">
        <v>55</v>
      </c>
      <c r="C7" s="6"/>
      <c r="D7" s="5" t="s">
        <v>256</v>
      </c>
      <c r="E7" s="3"/>
      <c r="F7" s="5"/>
      <c r="I7" s="25" t="s">
        <v>260</v>
      </c>
    </row>
    <row r="8" spans="2:9" x14ac:dyDescent="0.2">
      <c r="B8" s="7" t="s">
        <v>56</v>
      </c>
      <c r="C8" s="6"/>
      <c r="D8" s="5" t="s">
        <v>263</v>
      </c>
      <c r="E8" s="3"/>
      <c r="F8" s="5"/>
      <c r="I8" s="25" t="s">
        <v>261</v>
      </c>
    </row>
    <row r="9" spans="2:9" x14ac:dyDescent="0.2">
      <c r="B9" s="7" t="s">
        <v>57</v>
      </c>
      <c r="C9" s="6"/>
      <c r="D9" s="5" t="s">
        <v>264</v>
      </c>
      <c r="E9" s="3"/>
      <c r="F9" s="5"/>
      <c r="I9" s="25" t="s">
        <v>262</v>
      </c>
    </row>
    <row r="10" spans="2:9" x14ac:dyDescent="0.2">
      <c r="B10" s="7" t="s">
        <v>145</v>
      </c>
      <c r="C10" s="6"/>
      <c r="D10" s="5" t="s">
        <v>257</v>
      </c>
      <c r="E10" s="3"/>
      <c r="F10" s="5"/>
      <c r="I10" s="26"/>
    </row>
    <row r="11" spans="2:9" x14ac:dyDescent="0.2">
      <c r="B11" s="7" t="s">
        <v>43</v>
      </c>
      <c r="C11" s="6"/>
      <c r="D11" s="18" t="s">
        <v>37</v>
      </c>
      <c r="E11" s="3">
        <f>E6+F6</f>
        <v>6</v>
      </c>
      <c r="F11" s="3">
        <v>1</v>
      </c>
      <c r="I11" s="24" t="s">
        <v>184</v>
      </c>
    </row>
    <row r="12" spans="2:9" x14ac:dyDescent="0.2">
      <c r="B12" s="7" t="s">
        <v>44</v>
      </c>
      <c r="C12" s="6"/>
      <c r="D12" s="18" t="s">
        <v>38</v>
      </c>
      <c r="E12" s="3"/>
      <c r="F12" s="3"/>
      <c r="I12" s="25"/>
    </row>
    <row r="13" spans="2:9" x14ac:dyDescent="0.2">
      <c r="B13" s="7" t="s">
        <v>45</v>
      </c>
      <c r="C13" s="6"/>
      <c r="D13" s="18" t="s">
        <v>39</v>
      </c>
      <c r="E13" s="3"/>
      <c r="F13" s="3"/>
      <c r="I13" s="26"/>
    </row>
    <row r="14" spans="2:9" x14ac:dyDescent="0.2">
      <c r="B14" s="7" t="s">
        <v>89</v>
      </c>
      <c r="C14" s="6"/>
      <c r="D14" s="5" t="s">
        <v>90</v>
      </c>
      <c r="E14" s="3">
        <f>E11+F11</f>
        <v>7</v>
      </c>
      <c r="F14" s="5">
        <v>8</v>
      </c>
      <c r="I14" s="29"/>
    </row>
    <row r="15" spans="2:9" x14ac:dyDescent="0.2">
      <c r="B15" s="7" t="s">
        <v>46</v>
      </c>
      <c r="C15" s="17"/>
      <c r="D15" s="18" t="s">
        <v>3</v>
      </c>
      <c r="E15" s="3">
        <f>E14+F14</f>
        <v>15</v>
      </c>
      <c r="F15" s="3">
        <v>3</v>
      </c>
      <c r="I15" s="24" t="s">
        <v>155</v>
      </c>
    </row>
    <row r="16" spans="2:9" x14ac:dyDescent="0.2">
      <c r="B16" s="7" t="s">
        <v>47</v>
      </c>
      <c r="C16" s="17"/>
      <c r="D16" s="18" t="s">
        <v>17</v>
      </c>
      <c r="E16" s="3"/>
      <c r="F16" s="3"/>
      <c r="I16" s="25"/>
    </row>
    <row r="17" spans="1:9" x14ac:dyDescent="0.2">
      <c r="B17" s="7" t="s">
        <v>48</v>
      </c>
      <c r="C17" s="17"/>
      <c r="D17" s="18" t="s">
        <v>35</v>
      </c>
      <c r="E17" s="3"/>
      <c r="F17" s="3"/>
      <c r="I17" s="25"/>
    </row>
    <row r="18" spans="1:9" x14ac:dyDescent="0.2">
      <c r="B18" s="52" t="s">
        <v>282</v>
      </c>
      <c r="C18" s="53"/>
      <c r="D18" s="54" t="s">
        <v>281</v>
      </c>
      <c r="E18" s="3"/>
      <c r="F18" s="3"/>
      <c r="I18" s="25"/>
    </row>
    <row r="19" spans="1:9" x14ac:dyDescent="0.2">
      <c r="B19" s="7" t="s">
        <v>49</v>
      </c>
      <c r="C19" s="6"/>
      <c r="D19" s="18" t="s">
        <v>18</v>
      </c>
      <c r="E19" s="5"/>
      <c r="F19" s="5"/>
      <c r="I19" s="26"/>
    </row>
    <row r="20" spans="1:9" x14ac:dyDescent="0.2">
      <c r="B20" s="7" t="s">
        <v>50</v>
      </c>
      <c r="C20" s="6"/>
      <c r="D20" s="18" t="s">
        <v>4</v>
      </c>
      <c r="E20" s="3">
        <f>E15+F15</f>
        <v>18</v>
      </c>
      <c r="F20" s="5">
        <v>3</v>
      </c>
      <c r="I20" s="25" t="s">
        <v>156</v>
      </c>
    </row>
    <row r="21" spans="1:9" x14ac:dyDescent="0.2">
      <c r="B21" s="7" t="s">
        <v>51</v>
      </c>
      <c r="C21" s="6"/>
      <c r="D21" s="18" t="s">
        <v>19</v>
      </c>
      <c r="E21" s="5"/>
      <c r="F21" s="5"/>
      <c r="I21" s="25"/>
    </row>
    <row r="22" spans="1:9" x14ac:dyDescent="0.2">
      <c r="B22" s="7" t="s">
        <v>112</v>
      </c>
      <c r="C22" s="6"/>
      <c r="D22" s="18" t="s">
        <v>111</v>
      </c>
      <c r="E22" s="5"/>
      <c r="F22" s="5"/>
      <c r="I22" s="25"/>
    </row>
    <row r="23" spans="1:9" x14ac:dyDescent="0.2">
      <c r="B23" s="52" t="s">
        <v>283</v>
      </c>
      <c r="C23" s="55"/>
      <c r="D23" s="54" t="s">
        <v>285</v>
      </c>
      <c r="E23" s="5"/>
      <c r="F23" s="5"/>
      <c r="I23" s="25"/>
    </row>
    <row r="24" spans="1:9" x14ac:dyDescent="0.2">
      <c r="B24" s="52" t="s">
        <v>284</v>
      </c>
      <c r="C24" s="55"/>
      <c r="D24" s="54" t="s">
        <v>286</v>
      </c>
      <c r="E24" s="5"/>
      <c r="F24" s="5"/>
      <c r="I24" s="25"/>
    </row>
    <row r="25" spans="1:9" x14ac:dyDescent="0.2">
      <c r="B25" s="7" t="s">
        <v>52</v>
      </c>
      <c r="C25" s="6"/>
      <c r="D25" s="18" t="s">
        <v>21</v>
      </c>
      <c r="E25" s="5"/>
      <c r="F25" s="5"/>
      <c r="I25" s="25"/>
    </row>
    <row r="26" spans="1:9" x14ac:dyDescent="0.2">
      <c r="B26" s="7" t="s">
        <v>53</v>
      </c>
      <c r="C26" s="6"/>
      <c r="D26" s="18" t="s">
        <v>20</v>
      </c>
      <c r="E26" s="5"/>
      <c r="F26" s="5"/>
      <c r="I26" s="26"/>
    </row>
    <row r="27" spans="1:9" x14ac:dyDescent="0.2">
      <c r="A27" s="62"/>
      <c r="B27" s="7" t="s">
        <v>298</v>
      </c>
      <c r="C27" s="6"/>
      <c r="D27" s="18" t="s">
        <v>299</v>
      </c>
      <c r="E27" s="5"/>
      <c r="F27" s="5"/>
      <c r="I27" s="26"/>
    </row>
    <row r="28" spans="1:9" x14ac:dyDescent="0.2">
      <c r="B28" s="7" t="s">
        <v>91</v>
      </c>
      <c r="C28" s="6"/>
      <c r="D28" s="18"/>
      <c r="E28" s="5">
        <f>E20+F20</f>
        <v>21</v>
      </c>
      <c r="F28" s="5">
        <v>1</v>
      </c>
      <c r="I28" s="24"/>
    </row>
    <row r="29" spans="1:9" ht="32" x14ac:dyDescent="0.2">
      <c r="B29" s="30" t="s">
        <v>92</v>
      </c>
      <c r="C29" s="31"/>
      <c r="D29" s="19" t="s">
        <v>140</v>
      </c>
      <c r="E29" s="32"/>
      <c r="F29" s="32"/>
      <c r="I29" s="26"/>
    </row>
    <row r="30" spans="1:9" ht="30" x14ac:dyDescent="0.2">
      <c r="B30" s="7" t="s">
        <v>58</v>
      </c>
      <c r="C30" s="6"/>
      <c r="D30" s="5" t="s">
        <v>6</v>
      </c>
      <c r="E30" s="3">
        <f>E28+F28</f>
        <v>22</v>
      </c>
      <c r="F30" s="5">
        <v>10</v>
      </c>
      <c r="I30" s="50" t="s">
        <v>244</v>
      </c>
    </row>
    <row r="31" spans="1:9" x14ac:dyDescent="0.2">
      <c r="B31" s="7" t="s">
        <v>59</v>
      </c>
      <c r="C31" s="6"/>
      <c r="D31" s="5" t="s">
        <v>7</v>
      </c>
      <c r="E31" s="3">
        <f>E30+F30</f>
        <v>32</v>
      </c>
      <c r="F31" s="5">
        <v>10</v>
      </c>
      <c r="I31" s="26" t="s">
        <v>166</v>
      </c>
    </row>
    <row r="32" spans="1:9" x14ac:dyDescent="0.2">
      <c r="B32" s="7" t="s">
        <v>60</v>
      </c>
      <c r="C32" s="6"/>
      <c r="D32" s="5" t="s">
        <v>8</v>
      </c>
      <c r="E32" s="3">
        <f>E31+F31</f>
        <v>42</v>
      </c>
      <c r="F32" s="5">
        <v>16</v>
      </c>
      <c r="I32" s="29" t="s">
        <v>159</v>
      </c>
    </row>
    <row r="33" spans="2:9" x14ac:dyDescent="0.2">
      <c r="B33" s="7" t="s">
        <v>61</v>
      </c>
      <c r="C33" s="6"/>
      <c r="D33" s="18" t="s">
        <v>5</v>
      </c>
      <c r="E33" s="3">
        <f>E32+F32</f>
        <v>58</v>
      </c>
      <c r="F33" s="5">
        <v>3</v>
      </c>
      <c r="I33" s="24"/>
    </row>
    <row r="34" spans="2:9" x14ac:dyDescent="0.2">
      <c r="B34" s="7" t="s">
        <v>97</v>
      </c>
      <c r="C34" s="6"/>
      <c r="D34" s="5" t="s">
        <v>98</v>
      </c>
      <c r="E34" s="5"/>
      <c r="F34" s="5"/>
      <c r="I34" s="25"/>
    </row>
    <row r="35" spans="2:9" x14ac:dyDescent="0.2">
      <c r="B35" s="7" t="s">
        <v>99</v>
      </c>
      <c r="C35" s="6"/>
      <c r="D35" s="5" t="s">
        <v>100</v>
      </c>
      <c r="E35" s="5"/>
      <c r="F35" s="5"/>
      <c r="I35" s="25"/>
    </row>
    <row r="36" spans="2:9" x14ac:dyDescent="0.2">
      <c r="B36" s="7" t="s">
        <v>62</v>
      </c>
      <c r="C36" s="6"/>
      <c r="D36" s="5" t="s">
        <v>22</v>
      </c>
      <c r="E36" s="5"/>
      <c r="F36" s="5"/>
      <c r="I36" s="25"/>
    </row>
    <row r="37" spans="2:9" x14ac:dyDescent="0.2">
      <c r="B37" s="7" t="s">
        <v>63</v>
      </c>
      <c r="C37" s="6"/>
      <c r="D37" s="5" t="s">
        <v>101</v>
      </c>
      <c r="E37" s="5"/>
      <c r="F37" s="5"/>
      <c r="I37" s="25"/>
    </row>
    <row r="38" spans="2:9" x14ac:dyDescent="0.2">
      <c r="B38" s="7" t="s">
        <v>64</v>
      </c>
      <c r="C38" s="6"/>
      <c r="D38" s="5" t="s">
        <v>23</v>
      </c>
      <c r="E38" s="5"/>
      <c r="F38" s="5"/>
      <c r="I38" s="25"/>
    </row>
    <row r="39" spans="2:9" x14ac:dyDescent="0.2">
      <c r="B39" s="7" t="s">
        <v>304</v>
      </c>
      <c r="C39" s="6"/>
      <c r="D39" s="5" t="s">
        <v>300</v>
      </c>
      <c r="E39" s="5"/>
      <c r="F39" s="5"/>
      <c r="I39" s="26"/>
    </row>
    <row r="40" spans="2:9" x14ac:dyDescent="0.2">
      <c r="B40" s="7" t="s">
        <v>305</v>
      </c>
      <c r="C40" s="6"/>
      <c r="D40" s="5" t="s">
        <v>301</v>
      </c>
      <c r="E40" s="5"/>
      <c r="F40" s="5"/>
      <c r="I40" s="26"/>
    </row>
    <row r="41" spans="2:9" x14ac:dyDescent="0.2">
      <c r="B41" s="7" t="s">
        <v>306</v>
      </c>
      <c r="C41" s="6"/>
      <c r="D41" s="5" t="s">
        <v>302</v>
      </c>
      <c r="E41" s="5"/>
      <c r="F41" s="5"/>
      <c r="I41" s="26"/>
    </row>
    <row r="42" spans="2:9" x14ac:dyDescent="0.2">
      <c r="B42" s="7" t="s">
        <v>307</v>
      </c>
      <c r="C42" s="6"/>
      <c r="D42" s="5" t="s">
        <v>303</v>
      </c>
      <c r="E42" s="5"/>
      <c r="F42" s="5"/>
      <c r="I42" s="26"/>
    </row>
    <row r="43" spans="2:9" x14ac:dyDescent="0.2">
      <c r="B43" s="7" t="s">
        <v>65</v>
      </c>
      <c r="C43" s="6" t="s">
        <v>16</v>
      </c>
      <c r="D43" s="5" t="s">
        <v>28</v>
      </c>
      <c r="E43" s="3">
        <f>E33+F33</f>
        <v>61</v>
      </c>
      <c r="F43" s="5">
        <v>1</v>
      </c>
      <c r="I43" s="29"/>
    </row>
    <row r="44" spans="2:9" x14ac:dyDescent="0.2">
      <c r="B44" s="9" t="s">
        <v>277</v>
      </c>
      <c r="C44" s="10"/>
      <c r="D44" s="11"/>
      <c r="E44" s="12">
        <f>E43+F43</f>
        <v>62</v>
      </c>
      <c r="F44" s="12">
        <v>2138</v>
      </c>
      <c r="I44" s="27"/>
    </row>
    <row r="45" spans="2:9" x14ac:dyDescent="0.2">
      <c r="B45" s="9" t="s">
        <v>66</v>
      </c>
      <c r="C45" s="10"/>
      <c r="D45" s="11"/>
      <c r="E45" s="12">
        <f>E43+F43</f>
        <v>62</v>
      </c>
      <c r="F45" s="12">
        <v>0</v>
      </c>
      <c r="I45" s="28"/>
    </row>
    <row r="46" spans="2:9" x14ac:dyDescent="0.2">
      <c r="B46" s="13" t="s">
        <v>255</v>
      </c>
      <c r="C46" s="14"/>
      <c r="D46" s="15"/>
      <c r="E46" s="16">
        <f>E45+F45</f>
        <v>62</v>
      </c>
      <c r="F46" s="15">
        <v>0</v>
      </c>
      <c r="I46" s="48"/>
    </row>
    <row r="47" spans="2:9" x14ac:dyDescent="0.2">
      <c r="B47" s="30" t="s">
        <v>67</v>
      </c>
      <c r="C47" s="31"/>
      <c r="D47" s="32" t="s">
        <v>40</v>
      </c>
      <c r="E47" s="32">
        <f>E46+F46</f>
        <v>62</v>
      </c>
      <c r="F47" s="32">
        <v>1</v>
      </c>
      <c r="I47" s="47" t="s">
        <v>248</v>
      </c>
    </row>
    <row r="48" spans="2:9" x14ac:dyDescent="0.2">
      <c r="B48" s="7" t="s">
        <v>251</v>
      </c>
      <c r="C48" s="6"/>
      <c r="D48" s="5" t="s">
        <v>254</v>
      </c>
      <c r="E48" s="5"/>
      <c r="F48" s="5"/>
      <c r="I48" s="25" t="s">
        <v>252</v>
      </c>
    </row>
    <row r="49" spans="2:9" x14ac:dyDescent="0.2">
      <c r="B49" s="7" t="s">
        <v>280</v>
      </c>
      <c r="C49" s="6"/>
      <c r="D49" s="5" t="s">
        <v>279</v>
      </c>
      <c r="E49" s="5"/>
      <c r="F49" s="5"/>
      <c r="I49" s="25" t="s">
        <v>253</v>
      </c>
    </row>
    <row r="50" spans="2:9" ht="30" x14ac:dyDescent="0.2">
      <c r="B50" s="30" t="s">
        <v>237</v>
      </c>
      <c r="C50" s="31"/>
      <c r="D50" s="32" t="s">
        <v>154</v>
      </c>
      <c r="E50" s="41">
        <f>E47+F47</f>
        <v>63</v>
      </c>
      <c r="F50" s="32">
        <v>16</v>
      </c>
      <c r="G50" s="21"/>
      <c r="H50" s="21"/>
      <c r="I50" s="47" t="s">
        <v>265</v>
      </c>
    </row>
    <row r="51" spans="2:9" x14ac:dyDescent="0.2">
      <c r="B51" s="7" t="s">
        <v>268</v>
      </c>
      <c r="C51" s="6"/>
      <c r="D51" s="5" t="s">
        <v>269</v>
      </c>
      <c r="E51" s="3">
        <f>E50+F50</f>
        <v>79</v>
      </c>
      <c r="F51" s="5">
        <v>1</v>
      </c>
      <c r="I51" s="24"/>
    </row>
    <row r="52" spans="2:9" x14ac:dyDescent="0.2">
      <c r="B52" s="7" t="s">
        <v>271</v>
      </c>
      <c r="C52" s="6"/>
      <c r="D52" s="5" t="s">
        <v>273</v>
      </c>
      <c r="E52" s="3"/>
      <c r="F52" s="5"/>
      <c r="I52" s="25"/>
    </row>
    <row r="53" spans="2:9" x14ac:dyDescent="0.2">
      <c r="B53" s="7" t="s">
        <v>272</v>
      </c>
      <c r="C53" s="6"/>
      <c r="D53" s="5" t="s">
        <v>274</v>
      </c>
      <c r="E53" s="3"/>
      <c r="F53" s="5"/>
      <c r="I53" s="26"/>
    </row>
    <row r="54" spans="2:9" x14ac:dyDescent="0.2">
      <c r="B54" s="7" t="s">
        <v>270</v>
      </c>
      <c r="C54" s="6"/>
      <c r="D54" s="5" t="s">
        <v>267</v>
      </c>
      <c r="E54" s="3">
        <f>E51+F51</f>
        <v>80</v>
      </c>
      <c r="F54" s="5">
        <v>3</v>
      </c>
      <c r="I54" s="26" t="s">
        <v>266</v>
      </c>
    </row>
    <row r="55" spans="2:9" x14ac:dyDescent="0.2">
      <c r="B55" s="35" t="s">
        <v>68</v>
      </c>
      <c r="C55" s="36"/>
      <c r="D55" s="37" t="s">
        <v>30</v>
      </c>
      <c r="E55" s="38">
        <f>E54+F54</f>
        <v>83</v>
      </c>
      <c r="F55" s="37">
        <v>3</v>
      </c>
      <c r="I55" s="29"/>
    </row>
    <row r="56" spans="2:9" x14ac:dyDescent="0.2">
      <c r="B56" s="7" t="s">
        <v>150</v>
      </c>
      <c r="C56" s="6"/>
      <c r="D56" s="5" t="s">
        <v>148</v>
      </c>
      <c r="E56" s="3">
        <f>E55+F55</f>
        <v>86</v>
      </c>
      <c r="F56" s="5">
        <v>10</v>
      </c>
      <c r="I56" s="26" t="s">
        <v>160</v>
      </c>
    </row>
    <row r="57" spans="2:9" x14ac:dyDescent="0.2">
      <c r="B57" s="7" t="s">
        <v>151</v>
      </c>
      <c r="C57" s="6"/>
      <c r="D57" s="5" t="s">
        <v>149</v>
      </c>
      <c r="E57" s="3">
        <f>E56+F56</f>
        <v>96</v>
      </c>
      <c r="F57" s="5">
        <v>10</v>
      </c>
      <c r="I57" s="24"/>
    </row>
    <row r="58" spans="2:9" x14ac:dyDescent="0.2">
      <c r="B58" s="7" t="s">
        <v>113</v>
      </c>
      <c r="C58" s="6"/>
      <c r="D58" s="5" t="s">
        <v>132</v>
      </c>
      <c r="E58" s="3"/>
      <c r="F58" s="5"/>
      <c r="I58" s="25"/>
    </row>
    <row r="59" spans="2:9" x14ac:dyDescent="0.2">
      <c r="B59" s="7" t="s">
        <v>114</v>
      </c>
      <c r="C59" s="6"/>
      <c r="D59" s="5"/>
      <c r="E59" s="3"/>
      <c r="F59" s="5"/>
      <c r="I59" s="25"/>
    </row>
    <row r="60" spans="2:9" x14ac:dyDescent="0.2">
      <c r="B60" s="7" t="s">
        <v>115</v>
      </c>
      <c r="C60" s="6"/>
      <c r="D60" s="5"/>
      <c r="E60" s="3"/>
      <c r="F60" s="5"/>
      <c r="I60" s="25"/>
    </row>
    <row r="61" spans="2:9" x14ac:dyDescent="0.2">
      <c r="B61" s="7" t="s">
        <v>116</v>
      </c>
      <c r="C61" s="6"/>
      <c r="D61" s="5"/>
      <c r="E61" s="3"/>
      <c r="F61" s="5"/>
      <c r="I61" s="25"/>
    </row>
    <row r="62" spans="2:9" x14ac:dyDescent="0.2">
      <c r="B62" s="7" t="s">
        <v>117</v>
      </c>
      <c r="C62" s="6"/>
      <c r="D62" s="5"/>
      <c r="E62" s="3"/>
      <c r="F62" s="5"/>
      <c r="I62" s="25"/>
    </row>
    <row r="63" spans="2:9" x14ac:dyDescent="0.2">
      <c r="B63" s="7" t="s">
        <v>118</v>
      </c>
      <c r="C63" s="6"/>
      <c r="D63" s="5"/>
      <c r="E63" s="3"/>
      <c r="F63" s="5"/>
      <c r="I63" s="25"/>
    </row>
    <row r="64" spans="2:9" x14ac:dyDescent="0.2">
      <c r="B64" s="7" t="s">
        <v>119</v>
      </c>
      <c r="C64" s="6"/>
      <c r="D64" s="5"/>
      <c r="E64" s="3"/>
      <c r="F64" s="5"/>
      <c r="I64" s="25"/>
    </row>
    <row r="65" spans="2:9" x14ac:dyDescent="0.2">
      <c r="B65" s="7" t="s">
        <v>120</v>
      </c>
      <c r="C65" s="6"/>
      <c r="D65" s="5"/>
      <c r="E65" s="3"/>
      <c r="F65" s="5"/>
      <c r="I65" s="25"/>
    </row>
    <row r="66" spans="2:9" x14ac:dyDescent="0.2">
      <c r="B66" s="7" t="s">
        <v>121</v>
      </c>
      <c r="C66" s="6"/>
      <c r="D66" s="5"/>
      <c r="E66" s="3"/>
      <c r="F66" s="5"/>
      <c r="I66" s="25"/>
    </row>
    <row r="67" spans="2:9" x14ac:dyDescent="0.2">
      <c r="B67" s="7" t="s">
        <v>122</v>
      </c>
      <c r="C67" s="6"/>
      <c r="D67" s="5"/>
      <c r="E67" s="3"/>
      <c r="F67" s="5"/>
      <c r="I67" s="25"/>
    </row>
    <row r="68" spans="2:9" x14ac:dyDescent="0.2">
      <c r="B68" s="7" t="s">
        <v>123</v>
      </c>
      <c r="C68" s="6"/>
      <c r="D68" s="5"/>
      <c r="E68" s="3"/>
      <c r="F68" s="5"/>
      <c r="I68" s="25"/>
    </row>
    <row r="69" spans="2:9" x14ac:dyDescent="0.2">
      <c r="B69" s="7" t="s">
        <v>124</v>
      </c>
      <c r="C69" s="6"/>
      <c r="D69" s="5"/>
      <c r="E69" s="3"/>
      <c r="F69" s="5"/>
      <c r="I69" s="25"/>
    </row>
    <row r="70" spans="2:9" x14ac:dyDescent="0.2">
      <c r="B70" s="7" t="s">
        <v>125</v>
      </c>
      <c r="C70" s="6"/>
      <c r="D70" s="5"/>
      <c r="E70" s="3"/>
      <c r="F70" s="5"/>
      <c r="I70" s="25"/>
    </row>
    <row r="71" spans="2:9" x14ac:dyDescent="0.2">
      <c r="B71" s="7" t="s">
        <v>126</v>
      </c>
      <c r="C71" s="6"/>
      <c r="D71" s="5"/>
      <c r="E71" s="3"/>
      <c r="F71" s="5"/>
      <c r="I71" s="25"/>
    </row>
    <row r="72" spans="2:9" x14ac:dyDescent="0.2">
      <c r="B72" s="7" t="s">
        <v>127</v>
      </c>
      <c r="C72" s="6"/>
      <c r="D72" s="5"/>
      <c r="E72" s="3"/>
      <c r="F72" s="5"/>
      <c r="I72" s="25"/>
    </row>
    <row r="73" spans="2:9" x14ac:dyDescent="0.2">
      <c r="B73" s="7" t="s">
        <v>128</v>
      </c>
      <c r="C73" s="6"/>
      <c r="D73" s="5" t="s">
        <v>133</v>
      </c>
      <c r="E73" s="3"/>
      <c r="F73" s="5"/>
      <c r="I73" s="25"/>
    </row>
    <row r="74" spans="2:9" x14ac:dyDescent="0.2">
      <c r="B74" s="7" t="s">
        <v>129</v>
      </c>
      <c r="C74" s="6"/>
      <c r="D74" s="5"/>
      <c r="E74" s="3"/>
      <c r="F74" s="5"/>
      <c r="I74" s="25"/>
    </row>
    <row r="75" spans="2:9" x14ac:dyDescent="0.2">
      <c r="B75" s="7" t="s">
        <v>131</v>
      </c>
      <c r="C75" s="6"/>
      <c r="D75" s="5" t="s">
        <v>134</v>
      </c>
      <c r="E75" s="3"/>
      <c r="F75" s="5"/>
      <c r="I75" s="25"/>
    </row>
    <row r="76" spans="2:9" x14ac:dyDescent="0.2">
      <c r="B76" s="7" t="s">
        <v>130</v>
      </c>
      <c r="C76" s="6"/>
      <c r="D76" s="5"/>
      <c r="E76" s="3"/>
      <c r="F76" s="5"/>
      <c r="I76" s="25"/>
    </row>
    <row r="77" spans="2:9" x14ac:dyDescent="0.2">
      <c r="B77" s="6" t="s">
        <v>135</v>
      </c>
      <c r="C77" s="6"/>
      <c r="D77" s="5"/>
      <c r="E77" s="3"/>
      <c r="F77" s="5"/>
      <c r="I77" s="26"/>
    </row>
    <row r="78" spans="2:9" x14ac:dyDescent="0.2">
      <c r="B78" s="52" t="s">
        <v>296</v>
      </c>
      <c r="C78" s="55"/>
      <c r="D78" s="61" t="s">
        <v>297</v>
      </c>
      <c r="E78" s="3">
        <f>E57+F57</f>
        <v>106</v>
      </c>
      <c r="F78" s="5">
        <v>40</v>
      </c>
      <c r="I78" s="26" t="s">
        <v>161</v>
      </c>
    </row>
    <row r="79" spans="2:9" x14ac:dyDescent="0.2">
      <c r="B79" s="13" t="s">
        <v>69</v>
      </c>
      <c r="C79" s="14"/>
      <c r="D79" s="15"/>
      <c r="E79" s="16">
        <f>E78+F78</f>
        <v>146</v>
      </c>
      <c r="F79" s="15">
        <v>0</v>
      </c>
      <c r="I79" s="48"/>
    </row>
    <row r="80" spans="2:9" x14ac:dyDescent="0.2">
      <c r="B80" s="7" t="s">
        <v>70</v>
      </c>
      <c r="C80" s="6"/>
      <c r="D80" s="5" t="s">
        <v>9</v>
      </c>
      <c r="E80" s="3">
        <f t="shared" ref="E80:E81" si="0">E79+F79</f>
        <v>146</v>
      </c>
      <c r="F80" s="5">
        <v>40</v>
      </c>
      <c r="I80" s="29" t="s">
        <v>167</v>
      </c>
    </row>
    <row r="81" spans="2:9" x14ac:dyDescent="0.2">
      <c r="B81" s="7" t="s">
        <v>71</v>
      </c>
      <c r="C81" s="6" t="s">
        <v>16</v>
      </c>
      <c r="D81" s="5" t="s">
        <v>31</v>
      </c>
      <c r="E81" s="3">
        <f t="shared" si="0"/>
        <v>186</v>
      </c>
      <c r="F81" s="5">
        <v>4</v>
      </c>
      <c r="I81" s="26"/>
    </row>
    <row r="82" spans="2:9" x14ac:dyDescent="0.2">
      <c r="B82" s="7" t="s">
        <v>72</v>
      </c>
      <c r="C82" s="6"/>
      <c r="D82" s="5" t="s">
        <v>10</v>
      </c>
      <c r="E82" s="3">
        <f t="shared" ref="E82:E90" si="1">E81+F81</f>
        <v>190</v>
      </c>
      <c r="F82" s="5">
        <v>40</v>
      </c>
      <c r="I82" s="29" t="s">
        <v>168</v>
      </c>
    </row>
    <row r="83" spans="2:9" x14ac:dyDescent="0.2">
      <c r="B83" s="7" t="s">
        <v>73</v>
      </c>
      <c r="C83" s="6"/>
      <c r="D83" s="5" t="s">
        <v>11</v>
      </c>
      <c r="E83" s="3">
        <f t="shared" si="1"/>
        <v>230</v>
      </c>
      <c r="F83" s="5">
        <v>40</v>
      </c>
      <c r="I83" s="26" t="s">
        <v>169</v>
      </c>
    </row>
    <row r="84" spans="2:9" x14ac:dyDescent="0.2">
      <c r="B84" s="7" t="s">
        <v>74</v>
      </c>
      <c r="C84" s="6"/>
      <c r="D84" s="5" t="s">
        <v>12</v>
      </c>
      <c r="E84" s="3">
        <f t="shared" si="1"/>
        <v>270</v>
      </c>
      <c r="F84" s="5">
        <v>40</v>
      </c>
      <c r="I84" s="26" t="s">
        <v>170</v>
      </c>
    </row>
    <row r="85" spans="2:9" x14ac:dyDescent="0.2">
      <c r="B85" s="7" t="s">
        <v>75</v>
      </c>
      <c r="C85" s="6"/>
      <c r="D85" s="5" t="s">
        <v>32</v>
      </c>
      <c r="E85" s="3">
        <f t="shared" si="1"/>
        <v>310</v>
      </c>
      <c r="F85" s="5">
        <v>9</v>
      </c>
      <c r="I85" s="26" t="s">
        <v>171</v>
      </c>
    </row>
    <row r="86" spans="2:9" x14ac:dyDescent="0.2">
      <c r="B86" s="7" t="s">
        <v>76</v>
      </c>
      <c r="C86" s="6"/>
      <c r="D86" s="5" t="s">
        <v>13</v>
      </c>
      <c r="E86" s="3">
        <f t="shared" si="1"/>
        <v>319</v>
      </c>
      <c r="F86" s="5">
        <v>40</v>
      </c>
      <c r="I86" s="26" t="s">
        <v>172</v>
      </c>
    </row>
    <row r="87" spans="2:9" x14ac:dyDescent="0.2">
      <c r="B87" s="7" t="s">
        <v>104</v>
      </c>
      <c r="C87" s="6" t="s">
        <v>16</v>
      </c>
      <c r="D87" s="5" t="s">
        <v>103</v>
      </c>
      <c r="E87" s="3">
        <f>E86+F86</f>
        <v>359</v>
      </c>
      <c r="F87" s="5">
        <v>3</v>
      </c>
      <c r="I87" s="26"/>
    </row>
    <row r="88" spans="2:9" x14ac:dyDescent="0.2">
      <c r="B88" s="7" t="s">
        <v>105</v>
      </c>
      <c r="C88" s="6" t="s">
        <v>16</v>
      </c>
      <c r="D88" s="5" t="s">
        <v>106</v>
      </c>
      <c r="E88" s="3">
        <f>E87+F87</f>
        <v>362</v>
      </c>
      <c r="F88" s="5">
        <v>40</v>
      </c>
      <c r="I88" s="26"/>
    </row>
    <row r="89" spans="2:9" ht="30" x14ac:dyDescent="0.2">
      <c r="B89" s="30" t="s">
        <v>107</v>
      </c>
      <c r="C89" s="31"/>
      <c r="D89" s="32" t="s">
        <v>108</v>
      </c>
      <c r="E89" s="41">
        <f t="shared" si="1"/>
        <v>402</v>
      </c>
      <c r="F89" s="32">
        <v>4</v>
      </c>
      <c r="I89" s="33" t="s">
        <v>173</v>
      </c>
    </row>
    <row r="90" spans="2:9" x14ac:dyDescent="0.2">
      <c r="B90" s="7" t="s">
        <v>152</v>
      </c>
      <c r="C90" s="6"/>
      <c r="D90" s="5" t="s">
        <v>153</v>
      </c>
      <c r="E90" s="3">
        <f t="shared" si="1"/>
        <v>406</v>
      </c>
      <c r="F90" s="5">
        <v>22</v>
      </c>
      <c r="I90" s="29" t="s">
        <v>175</v>
      </c>
    </row>
    <row r="91" spans="2:9" x14ac:dyDescent="0.2">
      <c r="B91" s="7" t="s">
        <v>77</v>
      </c>
      <c r="C91" s="6" t="s">
        <v>16</v>
      </c>
      <c r="D91" s="5" t="s">
        <v>36</v>
      </c>
      <c r="E91" s="3">
        <f>E90+F90</f>
        <v>428</v>
      </c>
      <c r="F91" s="5">
        <v>1</v>
      </c>
      <c r="I91" s="24"/>
    </row>
    <row r="92" spans="2:9" x14ac:dyDescent="0.2">
      <c r="B92" s="7" t="s">
        <v>93</v>
      </c>
      <c r="C92" s="6"/>
      <c r="D92" s="5" t="s">
        <v>95</v>
      </c>
      <c r="E92" s="3"/>
      <c r="F92" s="5"/>
      <c r="I92" s="25"/>
    </row>
    <row r="93" spans="2:9" x14ac:dyDescent="0.2">
      <c r="B93" s="7" t="s">
        <v>94</v>
      </c>
      <c r="C93" s="6"/>
      <c r="D93" s="5" t="s">
        <v>96</v>
      </c>
      <c r="E93" s="3"/>
      <c r="F93" s="5"/>
      <c r="I93" s="26"/>
    </row>
    <row r="94" spans="2:9" x14ac:dyDescent="0.2">
      <c r="B94" s="13" t="s">
        <v>78</v>
      </c>
      <c r="C94" s="14"/>
      <c r="D94" s="15"/>
      <c r="E94" s="16">
        <f>E91+F91</f>
        <v>429</v>
      </c>
      <c r="F94" s="15">
        <v>0</v>
      </c>
      <c r="I94" s="48"/>
    </row>
    <row r="95" spans="2:9" x14ac:dyDescent="0.2">
      <c r="B95" s="7" t="s">
        <v>136</v>
      </c>
      <c r="C95" s="6"/>
      <c r="D95" s="5" t="s">
        <v>138</v>
      </c>
      <c r="E95" s="3">
        <f t="shared" ref="E95:E96" si="2">E94+F94</f>
        <v>429</v>
      </c>
      <c r="F95" s="5">
        <v>8</v>
      </c>
      <c r="I95" s="29" t="s">
        <v>164</v>
      </c>
    </row>
    <row r="96" spans="2:9" x14ac:dyDescent="0.2">
      <c r="B96" s="7" t="s">
        <v>137</v>
      </c>
      <c r="C96" s="6"/>
      <c r="D96" s="5" t="s">
        <v>139</v>
      </c>
      <c r="E96" s="3">
        <f t="shared" si="2"/>
        <v>437</v>
      </c>
      <c r="F96" s="5">
        <v>8</v>
      </c>
      <c r="I96" s="26" t="s">
        <v>165</v>
      </c>
    </row>
    <row r="97" spans="2:9" x14ac:dyDescent="0.2">
      <c r="B97" s="30" t="s">
        <v>239</v>
      </c>
      <c r="C97" s="31"/>
      <c r="D97" s="32" t="s">
        <v>240</v>
      </c>
      <c r="E97" s="41">
        <f t="shared" ref="E97:E102" si="3">E96+F96</f>
        <v>445</v>
      </c>
      <c r="F97" s="32">
        <v>8</v>
      </c>
      <c r="I97" s="44" t="s">
        <v>162</v>
      </c>
    </row>
    <row r="98" spans="2:9" x14ac:dyDescent="0.2">
      <c r="B98" s="30" t="s">
        <v>238</v>
      </c>
      <c r="C98" s="31"/>
      <c r="D98" s="32" t="s">
        <v>241</v>
      </c>
      <c r="E98" s="41">
        <f t="shared" si="3"/>
        <v>453</v>
      </c>
      <c r="F98" s="32">
        <v>8</v>
      </c>
      <c r="I98" s="46" t="s">
        <v>163</v>
      </c>
    </row>
    <row r="99" spans="2:9" x14ac:dyDescent="0.2">
      <c r="B99" s="7" t="s">
        <v>242</v>
      </c>
      <c r="C99" s="6"/>
      <c r="D99" s="5" t="s">
        <v>243</v>
      </c>
      <c r="E99" s="3">
        <f t="shared" si="3"/>
        <v>461</v>
      </c>
      <c r="F99" s="5">
        <v>8</v>
      </c>
      <c r="I99" s="29" t="s">
        <v>174</v>
      </c>
    </row>
    <row r="100" spans="2:9" x14ac:dyDescent="0.2">
      <c r="B100" s="7" t="s">
        <v>146</v>
      </c>
      <c r="C100" s="6"/>
      <c r="D100" s="5" t="s">
        <v>147</v>
      </c>
      <c r="E100" s="3">
        <f t="shared" si="3"/>
        <v>469</v>
      </c>
      <c r="F100" s="5">
        <v>8</v>
      </c>
      <c r="I100" s="29" t="s">
        <v>158</v>
      </c>
    </row>
    <row r="101" spans="2:9" x14ac:dyDescent="0.2">
      <c r="B101" s="13" t="s">
        <v>245</v>
      </c>
      <c r="C101" s="14"/>
      <c r="D101" s="15"/>
      <c r="E101" s="16">
        <f t="shared" si="3"/>
        <v>477</v>
      </c>
      <c r="F101" s="15">
        <v>0</v>
      </c>
      <c r="I101" s="48"/>
    </row>
    <row r="102" spans="2:9" ht="32" x14ac:dyDescent="0.2">
      <c r="B102" s="58" t="s">
        <v>295</v>
      </c>
      <c r="C102" s="31"/>
      <c r="D102" s="32" t="s">
        <v>247</v>
      </c>
      <c r="E102" s="41">
        <f t="shared" si="3"/>
        <v>477</v>
      </c>
      <c r="F102" s="32">
        <v>15</v>
      </c>
      <c r="G102" s="21"/>
      <c r="H102" s="21"/>
      <c r="I102" s="60" t="s">
        <v>246</v>
      </c>
    </row>
    <row r="103" spans="2:9" x14ac:dyDescent="0.2">
      <c r="B103" s="13" t="s">
        <v>79</v>
      </c>
      <c r="C103" s="14"/>
      <c r="D103" s="15"/>
      <c r="E103" s="16">
        <f>E102+F102</f>
        <v>492</v>
      </c>
      <c r="F103" s="15">
        <v>0</v>
      </c>
      <c r="I103" s="48"/>
    </row>
    <row r="104" spans="2:9" x14ac:dyDescent="0.2">
      <c r="B104" s="7" t="s">
        <v>80</v>
      </c>
      <c r="C104" s="6"/>
      <c r="D104" s="5" t="s">
        <v>9</v>
      </c>
      <c r="E104" s="3">
        <f t="shared" ref="E104:E124" si="4">E103+F103</f>
        <v>492</v>
      </c>
      <c r="F104" s="5">
        <v>40</v>
      </c>
      <c r="I104" s="29" t="s">
        <v>177</v>
      </c>
    </row>
    <row r="105" spans="2:9" x14ac:dyDescent="0.2">
      <c r="B105" s="7" t="s">
        <v>81</v>
      </c>
      <c r="C105" s="6" t="s">
        <v>16</v>
      </c>
      <c r="D105" s="5" t="s">
        <v>31</v>
      </c>
      <c r="E105" s="3">
        <f t="shared" si="4"/>
        <v>532</v>
      </c>
      <c r="F105" s="5">
        <v>4</v>
      </c>
      <c r="I105" s="26"/>
    </row>
    <row r="106" spans="2:9" x14ac:dyDescent="0.2">
      <c r="B106" s="7" t="s">
        <v>82</v>
      </c>
      <c r="C106" s="6"/>
      <c r="D106" s="5" t="s">
        <v>10</v>
      </c>
      <c r="E106" s="3">
        <f t="shared" si="4"/>
        <v>536</v>
      </c>
      <c r="F106" s="5">
        <v>40</v>
      </c>
      <c r="I106" s="26" t="s">
        <v>178</v>
      </c>
    </row>
    <row r="107" spans="2:9" x14ac:dyDescent="0.2">
      <c r="B107" s="7" t="s">
        <v>83</v>
      </c>
      <c r="C107" s="6"/>
      <c r="D107" s="5" t="s">
        <v>11</v>
      </c>
      <c r="E107" s="3">
        <f t="shared" si="4"/>
        <v>576</v>
      </c>
      <c r="F107" s="5">
        <v>40</v>
      </c>
      <c r="I107" s="26" t="s">
        <v>179</v>
      </c>
    </row>
    <row r="108" spans="2:9" x14ac:dyDescent="0.2">
      <c r="B108" s="7" t="s">
        <v>84</v>
      </c>
      <c r="C108" s="6"/>
      <c r="D108" s="5" t="s">
        <v>12</v>
      </c>
      <c r="E108" s="3">
        <f t="shared" si="4"/>
        <v>616</v>
      </c>
      <c r="F108" s="5">
        <v>40</v>
      </c>
      <c r="I108" s="26" t="s">
        <v>180</v>
      </c>
    </row>
    <row r="109" spans="2:9" x14ac:dyDescent="0.2">
      <c r="B109" s="7" t="s">
        <v>143</v>
      </c>
      <c r="C109" s="6"/>
      <c r="D109" s="5" t="s">
        <v>32</v>
      </c>
      <c r="E109" s="3">
        <f t="shared" si="4"/>
        <v>656</v>
      </c>
      <c r="F109" s="5">
        <v>9</v>
      </c>
      <c r="I109" s="26" t="s">
        <v>181</v>
      </c>
    </row>
    <row r="110" spans="2:9" x14ac:dyDescent="0.2">
      <c r="B110" s="7" t="s">
        <v>85</v>
      </c>
      <c r="C110" s="6"/>
      <c r="D110" s="5" t="s">
        <v>13</v>
      </c>
      <c r="E110" s="3">
        <f t="shared" si="4"/>
        <v>665</v>
      </c>
      <c r="F110" s="5">
        <v>40</v>
      </c>
      <c r="I110" s="26" t="s">
        <v>182</v>
      </c>
    </row>
    <row r="111" spans="2:9" x14ac:dyDescent="0.2">
      <c r="B111" s="7" t="s">
        <v>102</v>
      </c>
      <c r="C111" s="6" t="s">
        <v>16</v>
      </c>
      <c r="D111" s="5" t="s">
        <v>103</v>
      </c>
      <c r="E111" s="3">
        <f t="shared" si="4"/>
        <v>705</v>
      </c>
      <c r="F111" s="5">
        <v>3</v>
      </c>
      <c r="I111" s="26"/>
    </row>
    <row r="112" spans="2:9" x14ac:dyDescent="0.2">
      <c r="B112" s="7" t="s">
        <v>109</v>
      </c>
      <c r="C112" s="6" t="s">
        <v>16</v>
      </c>
      <c r="D112" s="5" t="s">
        <v>106</v>
      </c>
      <c r="E112" s="3">
        <f t="shared" si="4"/>
        <v>708</v>
      </c>
      <c r="F112" s="5">
        <v>40</v>
      </c>
      <c r="I112" s="26"/>
    </row>
    <row r="113" spans="2:9" ht="30" x14ac:dyDescent="0.2">
      <c r="B113" s="30" t="s">
        <v>110</v>
      </c>
      <c r="C113" s="31"/>
      <c r="D113" s="32" t="s">
        <v>108</v>
      </c>
      <c r="E113" s="41">
        <f t="shared" si="4"/>
        <v>748</v>
      </c>
      <c r="F113" s="32">
        <v>4</v>
      </c>
      <c r="I113" s="33" t="s">
        <v>183</v>
      </c>
    </row>
    <row r="114" spans="2:9" x14ac:dyDescent="0.2">
      <c r="B114" s="7" t="s">
        <v>86</v>
      </c>
      <c r="C114" s="6" t="s">
        <v>16</v>
      </c>
      <c r="D114" s="5" t="s">
        <v>33</v>
      </c>
      <c r="E114" s="3">
        <f t="shared" si="4"/>
        <v>752</v>
      </c>
      <c r="F114" s="5">
        <v>16</v>
      </c>
      <c r="I114" s="26"/>
    </row>
    <row r="115" spans="2:9" x14ac:dyDescent="0.2">
      <c r="B115" s="7" t="s">
        <v>87</v>
      </c>
      <c r="C115" s="6" t="s">
        <v>16</v>
      </c>
      <c r="D115" s="5" t="s">
        <v>34</v>
      </c>
      <c r="E115" s="3">
        <f t="shared" si="4"/>
        <v>768</v>
      </c>
      <c r="F115" s="5">
        <v>16</v>
      </c>
      <c r="I115" s="26"/>
    </row>
    <row r="116" spans="2:9" x14ac:dyDescent="0.2">
      <c r="B116" s="7" t="s">
        <v>88</v>
      </c>
      <c r="C116" s="6" t="s">
        <v>16</v>
      </c>
      <c r="D116" s="5" t="s">
        <v>25</v>
      </c>
      <c r="E116" s="3">
        <f t="shared" si="4"/>
        <v>784</v>
      </c>
      <c r="F116" s="5">
        <v>60</v>
      </c>
      <c r="I116" s="26"/>
    </row>
    <row r="117" spans="2:9" x14ac:dyDescent="0.2">
      <c r="B117" s="7" t="s">
        <v>185</v>
      </c>
      <c r="C117" s="6"/>
      <c r="D117" s="5" t="s">
        <v>186</v>
      </c>
      <c r="E117" s="3">
        <f>E116+F116</f>
        <v>844</v>
      </c>
      <c r="F117" s="5">
        <v>10</v>
      </c>
      <c r="I117" s="26" t="s">
        <v>200</v>
      </c>
    </row>
    <row r="118" spans="2:9" ht="32" x14ac:dyDescent="0.2">
      <c r="B118" s="58" t="s">
        <v>291</v>
      </c>
      <c r="C118" s="31"/>
      <c r="D118" s="32" t="s">
        <v>187</v>
      </c>
      <c r="E118" s="41">
        <f t="shared" si="4"/>
        <v>854</v>
      </c>
      <c r="F118" s="32">
        <v>15</v>
      </c>
      <c r="G118" s="21"/>
      <c r="H118" s="21"/>
      <c r="I118" s="59" t="s">
        <v>198</v>
      </c>
    </row>
    <row r="119" spans="2:9" x14ac:dyDescent="0.2">
      <c r="B119" s="30" t="s">
        <v>188</v>
      </c>
      <c r="C119" s="31"/>
      <c r="D119" s="32" t="s">
        <v>189</v>
      </c>
      <c r="E119" s="41">
        <f t="shared" si="4"/>
        <v>869</v>
      </c>
      <c r="F119" s="32">
        <v>10</v>
      </c>
      <c r="G119" s="21"/>
      <c r="H119" s="21"/>
      <c r="I119" s="59" t="s">
        <v>176</v>
      </c>
    </row>
    <row r="120" spans="2:9" ht="32" x14ac:dyDescent="0.2">
      <c r="B120" s="58" t="s">
        <v>292</v>
      </c>
      <c r="C120" s="31"/>
      <c r="D120" s="32" t="s">
        <v>190</v>
      </c>
      <c r="E120" s="41">
        <f t="shared" si="4"/>
        <v>879</v>
      </c>
      <c r="F120" s="32">
        <v>15</v>
      </c>
      <c r="G120" s="21"/>
      <c r="H120" s="21"/>
      <c r="I120" s="59" t="s">
        <v>197</v>
      </c>
    </row>
    <row r="121" spans="2:9" x14ac:dyDescent="0.2">
      <c r="B121" s="30" t="s">
        <v>191</v>
      </c>
      <c r="C121" s="31"/>
      <c r="D121" s="32" t="s">
        <v>192</v>
      </c>
      <c r="E121" s="41">
        <f t="shared" si="4"/>
        <v>894</v>
      </c>
      <c r="F121" s="32">
        <v>10</v>
      </c>
      <c r="G121" s="21"/>
      <c r="H121" s="21"/>
      <c r="I121" s="59"/>
    </row>
    <row r="122" spans="2:9" ht="32" x14ac:dyDescent="0.2">
      <c r="B122" s="58" t="s">
        <v>293</v>
      </c>
      <c r="C122" s="31"/>
      <c r="D122" s="32" t="s">
        <v>193</v>
      </c>
      <c r="E122" s="41">
        <f t="shared" si="4"/>
        <v>904</v>
      </c>
      <c r="F122" s="32">
        <v>15</v>
      </c>
      <c r="G122" s="21"/>
      <c r="H122" s="21"/>
      <c r="I122" s="59" t="s">
        <v>199</v>
      </c>
    </row>
    <row r="123" spans="2:9" x14ac:dyDescent="0.2">
      <c r="B123" s="30" t="s">
        <v>194</v>
      </c>
      <c r="C123" s="31" t="s">
        <v>16</v>
      </c>
      <c r="D123" s="32" t="s">
        <v>195</v>
      </c>
      <c r="E123" s="41">
        <f t="shared" si="4"/>
        <v>919</v>
      </c>
      <c r="F123" s="32">
        <v>10</v>
      </c>
      <c r="G123" s="21"/>
      <c r="H123" s="21"/>
      <c r="I123" s="59"/>
    </row>
    <row r="124" spans="2:9" ht="32" x14ac:dyDescent="0.2">
      <c r="B124" s="58" t="s">
        <v>294</v>
      </c>
      <c r="C124" s="31" t="s">
        <v>16</v>
      </c>
      <c r="D124" s="32" t="s">
        <v>196</v>
      </c>
      <c r="E124" s="41">
        <f t="shared" si="4"/>
        <v>929</v>
      </c>
      <c r="F124" s="32">
        <v>15</v>
      </c>
      <c r="G124" s="21"/>
      <c r="H124" s="21"/>
      <c r="I124" s="59"/>
    </row>
    <row r="125" spans="2:9" x14ac:dyDescent="0.2">
      <c r="B125" s="13" t="s">
        <v>278</v>
      </c>
      <c r="C125" s="14"/>
      <c r="D125" s="15"/>
      <c r="E125" s="16">
        <f>E124+F124</f>
        <v>944</v>
      </c>
      <c r="F125" s="61">
        <v>1256</v>
      </c>
      <c r="I125" s="43"/>
    </row>
    <row r="126" spans="2:9" x14ac:dyDescent="0.2">
      <c r="B126" s="9" t="s">
        <v>66</v>
      </c>
      <c r="C126" s="10"/>
      <c r="D126" s="40" t="s">
        <v>141</v>
      </c>
      <c r="E126" s="12">
        <f>E43+F43</f>
        <v>62</v>
      </c>
      <c r="F126" s="12">
        <v>0</v>
      </c>
      <c r="I126" s="34"/>
    </row>
    <row r="127" spans="2:9" x14ac:dyDescent="0.2">
      <c r="B127" s="13" t="s">
        <v>201</v>
      </c>
      <c r="C127" s="14"/>
      <c r="D127" s="15" t="s">
        <v>258</v>
      </c>
      <c r="E127" s="16">
        <f t="shared" ref="E127" si="5">E126+F126</f>
        <v>62</v>
      </c>
      <c r="F127" s="15">
        <v>0</v>
      </c>
      <c r="I127" s="51"/>
    </row>
    <row r="128" spans="2:9" x14ac:dyDescent="0.2">
      <c r="B128" s="7" t="s">
        <v>203</v>
      </c>
      <c r="C128" s="6"/>
      <c r="D128" s="5" t="s">
        <v>202</v>
      </c>
      <c r="E128" s="3">
        <f>E127+F127</f>
        <v>62</v>
      </c>
      <c r="F128" s="5">
        <v>2</v>
      </c>
      <c r="I128" s="24" t="s">
        <v>220</v>
      </c>
    </row>
    <row r="129" spans="2:9" ht="16" x14ac:dyDescent="0.2">
      <c r="B129" s="49" t="s">
        <v>204</v>
      </c>
      <c r="C129" s="31"/>
      <c r="D129" s="32" t="s">
        <v>205</v>
      </c>
      <c r="E129" s="3">
        <f t="shared" ref="E129:E137" si="6">E128+F128</f>
        <v>64</v>
      </c>
      <c r="F129" s="32"/>
      <c r="I129" s="45"/>
    </row>
    <row r="130" spans="2:9" ht="16" x14ac:dyDescent="0.2">
      <c r="B130" s="49" t="s">
        <v>206</v>
      </c>
      <c r="C130" s="31"/>
      <c r="D130" s="32" t="s">
        <v>213</v>
      </c>
      <c r="E130" s="3">
        <f t="shared" si="6"/>
        <v>64</v>
      </c>
      <c r="F130" s="32"/>
      <c r="I130" s="45"/>
    </row>
    <row r="131" spans="2:9" ht="16" x14ac:dyDescent="0.2">
      <c r="B131" s="49" t="s">
        <v>207</v>
      </c>
      <c r="C131" s="31"/>
      <c r="D131" s="32" t="s">
        <v>214</v>
      </c>
      <c r="E131" s="3">
        <f t="shared" si="6"/>
        <v>64</v>
      </c>
      <c r="F131" s="32"/>
      <c r="I131" s="45"/>
    </row>
    <row r="132" spans="2:9" ht="16" x14ac:dyDescent="0.2">
      <c r="B132" s="49" t="s">
        <v>208</v>
      </c>
      <c r="C132" s="31"/>
      <c r="D132" s="32" t="s">
        <v>215</v>
      </c>
      <c r="E132" s="3">
        <f t="shared" si="6"/>
        <v>64</v>
      </c>
      <c r="F132" s="32"/>
      <c r="I132" s="45"/>
    </row>
    <row r="133" spans="2:9" ht="16" x14ac:dyDescent="0.2">
      <c r="B133" s="49" t="s">
        <v>209</v>
      </c>
      <c r="C133" s="31"/>
      <c r="D133" s="32" t="s">
        <v>216</v>
      </c>
      <c r="E133" s="3">
        <f t="shared" si="6"/>
        <v>64</v>
      </c>
      <c r="F133" s="32"/>
      <c r="I133" s="45"/>
    </row>
    <row r="134" spans="2:9" ht="16" x14ac:dyDescent="0.2">
      <c r="B134" s="49" t="s">
        <v>210</v>
      </c>
      <c r="C134" s="31"/>
      <c r="D134" s="32" t="s">
        <v>217</v>
      </c>
      <c r="E134" s="3">
        <f t="shared" si="6"/>
        <v>64</v>
      </c>
      <c r="F134" s="32"/>
      <c r="I134" s="45"/>
    </row>
    <row r="135" spans="2:9" ht="16" x14ac:dyDescent="0.2">
      <c r="B135" s="49" t="s">
        <v>211</v>
      </c>
      <c r="C135" s="31"/>
      <c r="D135" s="32" t="s">
        <v>218</v>
      </c>
      <c r="E135" s="3">
        <f t="shared" si="6"/>
        <v>64</v>
      </c>
      <c r="F135" s="32"/>
      <c r="I135" s="45"/>
    </row>
    <row r="136" spans="2:9" ht="16" x14ac:dyDescent="0.2">
      <c r="B136" s="49" t="s">
        <v>212</v>
      </c>
      <c r="C136" s="31"/>
      <c r="D136" s="32" t="s">
        <v>219</v>
      </c>
      <c r="E136" s="3">
        <f t="shared" si="6"/>
        <v>64</v>
      </c>
      <c r="F136" s="32"/>
      <c r="I136" s="45"/>
    </row>
    <row r="137" spans="2:9" x14ac:dyDescent="0.2">
      <c r="B137" s="7" t="s">
        <v>308</v>
      </c>
      <c r="C137" s="6"/>
      <c r="D137" s="5" t="s">
        <v>26</v>
      </c>
      <c r="E137" s="3">
        <f t="shared" si="6"/>
        <v>64</v>
      </c>
      <c r="F137" s="5">
        <v>15</v>
      </c>
      <c r="I137" s="39" t="s">
        <v>157</v>
      </c>
    </row>
    <row r="138" spans="2:9" x14ac:dyDescent="0.2">
      <c r="B138" s="30" t="s">
        <v>228</v>
      </c>
      <c r="C138" s="31"/>
      <c r="D138" s="32" t="s">
        <v>221</v>
      </c>
      <c r="E138" s="3">
        <f t="shared" ref="E138:E143" si="7">E137+F137</f>
        <v>79</v>
      </c>
      <c r="F138" s="32">
        <v>8</v>
      </c>
      <c r="I138" s="39" t="s">
        <v>222</v>
      </c>
    </row>
    <row r="139" spans="2:9" x14ac:dyDescent="0.2">
      <c r="B139" s="30" t="s">
        <v>227</v>
      </c>
      <c r="C139" s="31"/>
      <c r="D139" s="32" t="s">
        <v>223</v>
      </c>
      <c r="E139" s="3">
        <f t="shared" si="7"/>
        <v>87</v>
      </c>
      <c r="F139" s="32">
        <v>8</v>
      </c>
      <c r="I139" s="39" t="s">
        <v>224</v>
      </c>
    </row>
    <row r="140" spans="2:9" x14ac:dyDescent="0.2">
      <c r="B140" s="30" t="s">
        <v>225</v>
      </c>
      <c r="C140" s="31"/>
      <c r="D140" s="32" t="s">
        <v>229</v>
      </c>
      <c r="E140" s="3">
        <f t="shared" si="7"/>
        <v>95</v>
      </c>
      <c r="F140" s="32">
        <v>8</v>
      </c>
      <c r="I140" s="39" t="s">
        <v>231</v>
      </c>
    </row>
    <row r="141" spans="2:9" x14ac:dyDescent="0.2">
      <c r="B141" s="30" t="s">
        <v>226</v>
      </c>
      <c r="C141" s="31"/>
      <c r="D141" s="32" t="s">
        <v>230</v>
      </c>
      <c r="E141" s="3">
        <f t="shared" si="7"/>
        <v>103</v>
      </c>
      <c r="F141" s="32">
        <v>8</v>
      </c>
      <c r="I141" s="39" t="s">
        <v>232</v>
      </c>
    </row>
    <row r="142" spans="2:9" ht="32" x14ac:dyDescent="0.2">
      <c r="B142" s="58" t="s">
        <v>289</v>
      </c>
      <c r="C142" s="31"/>
      <c r="D142" s="32" t="s">
        <v>235</v>
      </c>
      <c r="E142" s="3">
        <f t="shared" si="7"/>
        <v>111</v>
      </c>
      <c r="F142" s="32">
        <v>15</v>
      </c>
      <c r="I142" s="57" t="s">
        <v>233</v>
      </c>
    </row>
    <row r="143" spans="2:9" ht="32" x14ac:dyDescent="0.2">
      <c r="B143" s="58" t="s">
        <v>290</v>
      </c>
      <c r="C143" s="31"/>
      <c r="D143" s="32" t="s">
        <v>236</v>
      </c>
      <c r="E143" s="3">
        <f t="shared" si="7"/>
        <v>126</v>
      </c>
      <c r="F143" s="32">
        <v>15</v>
      </c>
      <c r="I143" s="57" t="s">
        <v>234</v>
      </c>
    </row>
    <row r="144" spans="2:9" x14ac:dyDescent="0.2">
      <c r="B144" s="13" t="s">
        <v>309</v>
      </c>
      <c r="C144" s="14"/>
      <c r="D144" s="15"/>
      <c r="E144" s="16">
        <f>E143+F143</f>
        <v>141</v>
      </c>
      <c r="F144" s="15">
        <v>2826</v>
      </c>
      <c r="I144" s="43"/>
    </row>
    <row r="145" spans="2:9" x14ac:dyDescent="0.2">
      <c r="B145" s="9" t="s">
        <v>66</v>
      </c>
      <c r="C145" s="10"/>
      <c r="D145" s="11"/>
      <c r="E145" s="12">
        <f>E43+F43</f>
        <v>62</v>
      </c>
      <c r="F145" s="12">
        <v>0</v>
      </c>
      <c r="I145" s="34"/>
    </row>
    <row r="146" spans="2:9" x14ac:dyDescent="0.2">
      <c r="B146" s="13" t="s">
        <v>142</v>
      </c>
      <c r="C146" s="14"/>
      <c r="D146" s="15" t="s">
        <v>144</v>
      </c>
      <c r="E146" s="16">
        <f t="shared" ref="E146:E148" si="8">E145+F145</f>
        <v>62</v>
      </c>
      <c r="F146" s="15">
        <v>0</v>
      </c>
      <c r="I146" s="42"/>
    </row>
    <row r="147" spans="2:9" ht="32" x14ac:dyDescent="0.2">
      <c r="B147" s="58" t="s">
        <v>288</v>
      </c>
      <c r="C147" s="31"/>
      <c r="D147" s="32" t="s">
        <v>275</v>
      </c>
      <c r="E147" s="41">
        <f t="shared" si="8"/>
        <v>62</v>
      </c>
      <c r="F147" s="32">
        <v>15</v>
      </c>
      <c r="G147" s="21"/>
      <c r="H147" s="21"/>
      <c r="I147" s="56"/>
    </row>
    <row r="148" spans="2:9" ht="32" x14ac:dyDescent="0.2">
      <c r="B148" s="58" t="s">
        <v>287</v>
      </c>
      <c r="C148" s="31"/>
      <c r="D148" s="32" t="s">
        <v>276</v>
      </c>
      <c r="E148" s="41">
        <f t="shared" si="8"/>
        <v>77</v>
      </c>
      <c r="F148" s="32">
        <v>15</v>
      </c>
      <c r="G148" s="21"/>
      <c r="H148" s="21"/>
      <c r="I148" s="57"/>
    </row>
    <row r="149" spans="2:9" x14ac:dyDescent="0.2">
      <c r="B149" s="13" t="s">
        <v>310</v>
      </c>
      <c r="C149" s="14"/>
      <c r="D149" s="15"/>
      <c r="E149" s="16">
        <f>E148+F148</f>
        <v>92</v>
      </c>
      <c r="F149" s="15">
        <v>2876</v>
      </c>
      <c r="I149" s="42"/>
    </row>
    <row r="150" spans="2:9" x14ac:dyDescent="0.2">
      <c r="D150" s="4" t="s">
        <v>24</v>
      </c>
      <c r="E150" s="8">
        <f>E44+F44</f>
        <v>2200</v>
      </c>
      <c r="I150" s="23"/>
    </row>
  </sheetData>
  <pageMargins left="0.23622047244094491" right="0.23622047244094491" top="0.74803149606299213" bottom="0.74803149606299213" header="0.31496062992125984" footer="0.31496062992125984"/>
  <pageSetup paperSize="9" scale="70" fitToHeight="5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Novo Layout</vt:lpstr>
    </vt:vector>
  </TitlesOfParts>
  <Company>Fidelidade Mundial,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Jorge Santos Graça [EE] (DSI)</dc:creator>
  <cp:lastModifiedBy>João Oliveira</cp:lastModifiedBy>
  <cp:lastPrinted>2016-02-08T13:32:49Z</cp:lastPrinted>
  <dcterms:created xsi:type="dcterms:W3CDTF">2015-07-28T09:44:45Z</dcterms:created>
  <dcterms:modified xsi:type="dcterms:W3CDTF">2026-05-14T13:22:50Z</dcterms:modified>
</cp:coreProperties>
</file>