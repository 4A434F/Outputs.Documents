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Users\EX01105\AppData\Local\Temp\OneNote\15.0\NT\0\"/>
    </mc:Choice>
  </mc:AlternateContent>
  <bookViews>
    <workbookView xWindow="120" yWindow="612" windowWidth="11352" windowHeight="10140"/>
  </bookViews>
  <sheets>
    <sheet name="Novo Layout - Final" sheetId="15" r:id="rId1"/>
  </sheets>
  <calcPr calcId="152511"/>
</workbook>
</file>

<file path=xl/calcChain.xml><?xml version="1.0" encoding="utf-8"?>
<calcChain xmlns="http://schemas.openxmlformats.org/spreadsheetml/2006/main">
  <c r="E73" i="15" l="1"/>
  <c r="E74" i="15" s="1"/>
  <c r="E68" i="15" l="1"/>
  <c r="E69" i="15" s="1"/>
  <c r="E70" i="15" s="1"/>
  <c r="E4" i="15" l="1"/>
  <c r="E6" i="15" s="1"/>
  <c r="E10" i="15" s="1"/>
  <c r="E13" i="15" s="1"/>
  <c r="E14" i="15" s="1"/>
  <c r="E19" i="15" s="1"/>
  <c r="E26" i="15" s="1"/>
  <c r="E28" i="15" s="1"/>
  <c r="E29" i="15" s="1"/>
  <c r="E30" i="15" s="1"/>
  <c r="E31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75" i="15" l="1"/>
</calcChain>
</file>

<file path=xl/comments1.xml><?xml version="1.0" encoding="utf-8"?>
<comments xmlns="http://schemas.openxmlformats.org/spreadsheetml/2006/main">
  <authors>
    <author>Ângela Cristiane Puhl [EE] (DSI)</author>
  </authors>
  <commentList>
    <comment ref="G13" authorId="0" shapeId="0">
      <text>
        <r>
          <rPr>
            <sz val="9"/>
            <color indexed="81"/>
            <rFont val="Tahoma"/>
            <family val="2"/>
          </rPr>
          <t xml:space="preserve">Obrigatório quando impressão on-line, TIPO-IMPRESSAO = I </t>
        </r>
      </text>
    </comment>
    <comment ref="G26" authorId="0" shapeId="0">
      <text>
        <r>
          <rPr>
            <sz val="9"/>
            <color indexed="81"/>
            <rFont val="Tahoma"/>
            <family val="2"/>
          </rPr>
          <t xml:space="preserve">Preenchido quando Leve, apenas para marcas FM e IB.
</t>
        </r>
      </text>
    </comment>
  </commentList>
</comments>
</file>

<file path=xl/sharedStrings.xml><?xml version="1.0" encoding="utf-8"?>
<sst xmlns="http://schemas.openxmlformats.org/spreadsheetml/2006/main" count="171" uniqueCount="142">
  <si>
    <t>Posição</t>
  </si>
  <si>
    <t>Tamanho</t>
  </si>
  <si>
    <t>Copybook</t>
  </si>
  <si>
    <t>Código de identificação da Companhia</t>
  </si>
  <si>
    <t>Código de identificação da Marca</t>
  </si>
  <si>
    <t>Código de identificação do Sistema Origem</t>
  </si>
  <si>
    <t>Número do Mediador</t>
  </si>
  <si>
    <t>Número do Cliente</t>
  </si>
  <si>
    <t>Número da Apólice</t>
  </si>
  <si>
    <t>Nome</t>
  </si>
  <si>
    <t>Dados de morada 1</t>
  </si>
  <si>
    <t>Dados de morada 2</t>
  </si>
  <si>
    <t>Localidade</t>
  </si>
  <si>
    <t>Descritivo do código postal</t>
  </si>
  <si>
    <t>05  :PREFIX:-DADOS-REGISTO.</t>
  </si>
  <si>
    <t>Código de documento</t>
  </si>
  <si>
    <t xml:space="preserve">     '111' - Via Directa</t>
  </si>
  <si>
    <t xml:space="preserve">     '148' - Multicare</t>
  </si>
  <si>
    <t xml:space="preserve">     '001' - OK Teleseguro</t>
  </si>
  <si>
    <t xml:space="preserve">     '006' - Multicare</t>
  </si>
  <si>
    <t xml:space="preserve">     '005' - Continente</t>
  </si>
  <si>
    <t xml:space="preserve">     'GIS' - GIS</t>
  </si>
  <si>
    <t xml:space="preserve">     'MHS' - Multicare</t>
  </si>
  <si>
    <t>Total:</t>
  </si>
  <si>
    <t>Novo</t>
  </si>
  <si>
    <t>Indicador de inclusão de Flyer (ex: "V" - Cobertura PVC)</t>
  </si>
  <si>
    <t>Descrição / Valores Possiveis / [Formato]</t>
  </si>
  <si>
    <t>Código de moeda (ex: EUR)</t>
  </si>
  <si>
    <t>Referência da morada</t>
  </si>
  <si>
    <t>Código postal (Se estrangeiro deverá vir a zeros) [9999-999]</t>
  </si>
  <si>
    <t xml:space="preserve">     '128' - Fidelidade</t>
  </si>
  <si>
    <t>Tipo Entidade</t>
  </si>
  <si>
    <t>Tipo de impressão</t>
  </si>
  <si>
    <t xml:space="preserve">     'I' - Impressão OnLine (Immediate)</t>
  </si>
  <si>
    <t xml:space="preserve">     'O' - Impressão via batch (Overnight)</t>
  </si>
  <si>
    <t xml:space="preserve">  07  :PREFIX:-COD-DOCUMENTO            PIC X(04).</t>
  </si>
  <si>
    <t>Tipo de registo</t>
  </si>
  <si>
    <t xml:space="preserve">  07  :PREFIX:-TIPO-IMPRESSAO           PIC X(01).</t>
  </si>
  <si>
    <t xml:space="preserve">      88  :PREFIX:-IMP-ONLINE               VALUE 'I'.</t>
  </si>
  <si>
    <t xml:space="preserve">      88  :PREFIX:-IMP-BATCH                VALUE 'O'.</t>
  </si>
  <si>
    <t xml:space="preserve">  07  :PREFIX:-COD-COMPANHIA            PIC X(03).</t>
  </si>
  <si>
    <t xml:space="preserve">      88  :PREFIX:-COM-VIADIRECTA           VALUE '111'.</t>
  </si>
  <si>
    <t xml:space="preserve">      88  :PREFIX:-COM-FIDELIDADE           VALUE '128'.</t>
  </si>
  <si>
    <t xml:space="preserve">      88  :PREFIX:-COM-MULTICARE            VALUE '148'.</t>
  </si>
  <si>
    <t xml:space="preserve">  07  :PREFIX:-COD-MARCA                PIC X(03).</t>
  </si>
  <si>
    <t xml:space="preserve">      88  :PREFIX:-MAR-OKTELESEGURO         VALUE '001'.</t>
  </si>
  <si>
    <t xml:space="preserve">      88  :PREFIX:-MAR-SONAE                VALUE '005'.</t>
  </si>
  <si>
    <t xml:space="preserve">      88  :PREFIX:-MAR-MULTICARE            VALUE '006'.</t>
  </si>
  <si>
    <t xml:space="preserve">  07  :PREFIX:-TIPO-REGISTO             PIC X(01).</t>
  </si>
  <si>
    <t xml:space="preserve">      88  :PREFIX:-REG-TIPO1                VALUE '1'.</t>
  </si>
  <si>
    <t xml:space="preserve">      88  :PREFIX:-REG-TIPO2                VALUE '2'.</t>
  </si>
  <si>
    <t xml:space="preserve">  07  :PREFIX:-NR-AGENTE                PIC X(10).</t>
  </si>
  <si>
    <t xml:space="preserve">  07  :PREFIX:-NR-CLIENTE               PIC X(10).</t>
  </si>
  <si>
    <t xml:space="preserve">  07  :PREFIX:-NR-APOLICE               PIC X(16).</t>
  </si>
  <si>
    <t xml:space="preserve">  07  :PREFIX:-COD-ORIGEM               PIC X(03).</t>
  </si>
  <si>
    <t xml:space="preserve">      88  :PREFIX:-ORI-GIS                  VALUE 'GIS'.</t>
  </si>
  <si>
    <t xml:space="preserve">      88  :PREFIX:-ORI-COLHEITAS            VALUE 'CLH'.</t>
  </si>
  <si>
    <t xml:space="preserve">      88  :PREFIX:-ORI-MULTICARE            VALUE 'MHS'.</t>
  </si>
  <si>
    <t xml:space="preserve">  07  :PREFIX:-IND-FLYER                PIC X(01).</t>
  </si>
  <si>
    <t xml:space="preserve">    09  :PREFIX:-COD-MOEDA              PIC X(03).</t>
  </si>
  <si>
    <t xml:space="preserve">  07  :PREFIX:-DADOS-DATA.</t>
  </si>
  <si>
    <t xml:space="preserve">  07  :PREFIX:-USERID                   PIC X(08).</t>
  </si>
  <si>
    <t>User Id da impressão OnLine</t>
  </si>
  <si>
    <t xml:space="preserve">  07  :PREFIX:-AUX-MARCA                PIC X(01).</t>
  </si>
  <si>
    <t xml:space="preserve">      88  :PREFIX:-MAR-LEVE                 VALUE 'L'.</t>
  </si>
  <si>
    <t xml:space="preserve">     '1' - Pessoa / Particular</t>
  </si>
  <si>
    <t xml:space="preserve">     '2' - Colectivo/Conta Interna</t>
  </si>
  <si>
    <t xml:space="preserve">      88  :PREFIX:-ORI-COGEN22              VALUE 'CG2'.</t>
  </si>
  <si>
    <t xml:space="preserve">     'CG2' - Cogen 22</t>
  </si>
  <si>
    <t xml:space="preserve">      88  :PREFIX:-ORI-COGEN33              VALUE 'CGN'.</t>
  </si>
  <si>
    <t xml:space="preserve">     'CGN' - Cogen 33</t>
  </si>
  <si>
    <t xml:space="preserve">     'CLH' - Colheitas (GIC)</t>
  </si>
  <si>
    <t>Código do País (Se estrangeiro, diferente de 620)</t>
  </si>
  <si>
    <t>Descritivo do País</t>
  </si>
  <si>
    <t>Identificação da Porta (no CBC)</t>
  </si>
  <si>
    <t xml:space="preserve">     '002' - Fidelidade</t>
  </si>
  <si>
    <t xml:space="preserve">      88  :PREFIX:-MAR-FIDELIDADE           VALUE '002'.</t>
  </si>
  <si>
    <t xml:space="preserve">     'L' - Leve (Substitui 'L02' - FM Leve / 
                         'L03' - IB Leve, apenas para marca 002 ou 003)</t>
  </si>
  <si>
    <t>Número de identificação fiscal (No caso de Portugal será PT999999999)</t>
  </si>
  <si>
    <t>05  :PREFIX:-DADOS-DOCUMENTO            PIC X(2138).</t>
  </si>
  <si>
    <t xml:space="preserve">      88  :PREFIX:-COM-IMPERIO              VALUE '138'.</t>
  </si>
  <si>
    <t xml:space="preserve">     '138' - Império</t>
  </si>
  <si>
    <t xml:space="preserve">      88  :PREFIX:-MAR-IMPERIO              VALUE '003'.</t>
  </si>
  <si>
    <t xml:space="preserve">     '003' - Imperio</t>
  </si>
  <si>
    <t xml:space="preserve">     '004' - ICI</t>
  </si>
  <si>
    <t xml:space="preserve">      88  :PREFIX:-MAR-ICI                  VALUE '004'.</t>
  </si>
  <si>
    <t>Observações</t>
  </si>
  <si>
    <t xml:space="preserve">      88  :PREFIX:-REG-TIPO3                VALUE '3'.</t>
  </si>
  <si>
    <t xml:space="preserve">  07  :PREFIX:-DADOS-VALOR.</t>
  </si>
  <si>
    <t xml:space="preserve">     'FCS' - FCS</t>
  </si>
  <si>
    <t xml:space="preserve">      88  :PREFIX:-ORI-FCS                  VALUE 'FCS'.</t>
  </si>
  <si>
    <t>Obrigatório</t>
  </si>
  <si>
    <t>Condicional</t>
  </si>
  <si>
    <t>Opcional</t>
  </si>
  <si>
    <t>Data emissão da carta [aaaammdd]</t>
  </si>
  <si>
    <t xml:space="preserve">    09  :PREFIX:-DT-CARTA               PIC X(08).</t>
  </si>
  <si>
    <t xml:space="preserve">      88  :PREFIX:-ORI-SGF-GR               VALUE 'SPG'.</t>
  </si>
  <si>
    <t xml:space="preserve">      88  :PREFIX:-ORI-SGF-IN               VALUE 'SPA'.</t>
  </si>
  <si>
    <t xml:space="preserve">      88  :PREFIX:-ORI-FGS                  VALUE 'FGS'.</t>
  </si>
  <si>
    <t xml:space="preserve">     'FGS' - FGS</t>
  </si>
  <si>
    <t xml:space="preserve">     'SPG' - SGF-GR</t>
  </si>
  <si>
    <t xml:space="preserve">     'SPA' - SGF-IN</t>
  </si>
  <si>
    <t xml:space="preserve">     'REES' - Carta mediador Remuneração em especie </t>
  </si>
  <si>
    <t xml:space="preserve">      88  :PREFIX:-DOC-MED-REMESP          VALUE 'REES'.</t>
  </si>
  <si>
    <t xml:space="preserve">  07  :PREFIX:-DADOS-MEDIADOR.</t>
  </si>
  <si>
    <t>05  FILLER  REDEFINES  :PREFIX:-DADOS-DOCUMENTO.</t>
  </si>
  <si>
    <t>(*) Este bloco repete n vezes</t>
  </si>
  <si>
    <t>Detalhe da Carta (Registo do tipo 2)</t>
  </si>
  <si>
    <t xml:space="preserve">    09  :PREFIX:-MD-NOME                PIC X(40).</t>
  </si>
  <si>
    <t xml:space="preserve">    09  :PREFIX:-MD-LOCATION-REF        PIC X(04).</t>
  </si>
  <si>
    <t xml:space="preserve">    09  :PREFIX:-MD-MORADA1             PIC X(40).</t>
  </si>
  <si>
    <t xml:space="preserve">    09  :PREFIX:-MD-MORADA2             PIC X(40).</t>
  </si>
  <si>
    <t xml:space="preserve">    09  :PREFIX:-MD-LOCALIDADE          PIC X(40).</t>
  </si>
  <si>
    <t xml:space="preserve">    09  :PREFIX:-MD-CPOSTAL             PIC X(09).</t>
  </si>
  <si>
    <t xml:space="preserve">    09  :PREFIX:-MD-CPOSTAL-DESC        PIC X(40).</t>
  </si>
  <si>
    <t xml:space="preserve">    09  :PREFIX:-MD-CPAIS               PIC X(03).</t>
  </si>
  <si>
    <t xml:space="preserve">    09  :PREFIX:-MD-CPAIS-DESC          PIC X(40).</t>
  </si>
  <si>
    <t xml:space="preserve">    09  :PREFIX:-MD-IDP                 PIC X(04).</t>
  </si>
  <si>
    <t xml:space="preserve">    09  :PREFIX:-MD-NIF                 PIC X(22).</t>
  </si>
  <si>
    <t xml:space="preserve">    09  :PREFIX:-MD-TIPO-ENTIDADE       PIC X(01).</t>
  </si>
  <si>
    <t xml:space="preserve">        88  :PREFIX:-MD-ENT-PARTICUL        VALUE '1'.</t>
  </si>
  <si>
    <t xml:space="preserve">        88  :PREFIX:-MD-ENT-COLETIVA        VALUE '2'.</t>
  </si>
  <si>
    <t xml:space="preserve">    09  :PREFIX:-DT-DESCRITIVO          PIC X(60).</t>
  </si>
  <si>
    <t>Descritivo da remuneração</t>
  </si>
  <si>
    <t>Valor da remuneração</t>
  </si>
  <si>
    <t xml:space="preserve">    09  :PREFIX:-QTE-LIN-DET            PIC X(05).</t>
  </si>
  <si>
    <t xml:space="preserve">Quantidade de linhas de detalhe </t>
  </si>
  <si>
    <t xml:space="preserve">     '2' - Linha de Detalhe</t>
  </si>
  <si>
    <t>Não é utilizado</t>
  </si>
  <si>
    <t xml:space="preserve">     '1' - Dados Gerais</t>
  </si>
  <si>
    <t xml:space="preserve">  07  :PREFIX:-DADOS-GERAIS.</t>
  </si>
  <si>
    <t xml:space="preserve">    09  :PREFIX:-VLR-RECEBER            PIC S9(12)V9(02)
                                   SIGN LEADING SEPARATE.</t>
  </si>
  <si>
    <t>Valor a receber</t>
  </si>
  <si>
    <t xml:space="preserve">     '3' - Totais</t>
  </si>
  <si>
    <t xml:space="preserve">  07  :PREFIX:-TOTAIS.</t>
  </si>
  <si>
    <t xml:space="preserve">    09  :PREFIX:-TT-VALOR               PIC S9(12)V9(02)
                                   SIGN LEADING SEPARATE.</t>
  </si>
  <si>
    <t>Valor total da remuneração</t>
  </si>
  <si>
    <t xml:space="preserve">  07  FILLER                            PIC X(1824).</t>
  </si>
  <si>
    <t xml:space="preserve">  07  FILLER                            PIC X(2063).</t>
  </si>
  <si>
    <t xml:space="preserve">  07  FILLER                            PIC X(2123).</t>
  </si>
  <si>
    <t xml:space="preserve">  07  :PREFIX:-DETALHE-CARTA.</t>
  </si>
  <si>
    <t xml:space="preserve">    09  :PREFIX:-DT-VLR-DESCR           PIC S9(12)V9(02)
                                   SIGN LEADING SEPARATE.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</si>
</sst>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urier New"/>
      <family val="3"/>
    </font>
    <font>
      <sz val="11"/>
      <color rgb="FFFF0000"/>
      <name val="Courier New"/>
      <family val="3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name val="Courier New"/>
      <family val="3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/>
    <xf numFmtId="0" fontId="0" fillId="0" borderId="0" xfId="0" applyFont="1"/>
    <xf numFmtId="0" fontId="0" fillId="0" borderId="1" xfId="0" applyFont="1" applyFill="1" applyBorder="1" applyAlignment="1">
      <alignment horizontal="right"/>
    </xf>
    <xf numFmtId="0" fontId="4" fillId="0" borderId="0" xfId="0" applyFont="1" applyAlignment="1">
      <alignment horizontal="right"/>
    </xf>
    <xf numFmtId="0" fontId="0" fillId="0" borderId="1" xfId="0" applyFont="1" applyFill="1" applyBorder="1"/>
    <xf numFmtId="0" fontId="3" fillId="0" borderId="1" xfId="0" applyFont="1" applyFill="1" applyBorder="1"/>
    <xf numFmtId="0" fontId="2" fillId="0" borderId="1" xfId="0" applyFont="1" applyFill="1" applyBorder="1"/>
    <xf numFmtId="0" fontId="1" fillId="2" borderId="3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right"/>
    </xf>
    <xf numFmtId="0" fontId="2" fillId="3" borderId="1" xfId="0" applyFont="1" applyFill="1" applyBorder="1"/>
    <xf numFmtId="0" fontId="3" fillId="3" borderId="1" xfId="0" applyFont="1" applyFill="1" applyBorder="1"/>
    <xf numFmtId="0" fontId="0" fillId="3" borderId="1" xfId="0" applyFont="1" applyFill="1" applyBorder="1"/>
    <xf numFmtId="0" fontId="0" fillId="3" borderId="1" xfId="0" applyFont="1" applyFill="1" applyBorder="1" applyAlignment="1">
      <alignment horizontal="right"/>
    </xf>
    <xf numFmtId="0" fontId="0" fillId="0" borderId="0" xfId="0" applyFill="1"/>
    <xf numFmtId="0" fontId="3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0" fontId="0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vertical="top"/>
    </xf>
    <xf numFmtId="0" fontId="2" fillId="0" borderId="2" xfId="0" applyFont="1" applyFill="1" applyBorder="1"/>
    <xf numFmtId="0" fontId="0" fillId="0" borderId="2" xfId="0" applyFont="1" applyFill="1" applyBorder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5" fillId="0" borderId="0" xfId="0" applyFont="1"/>
    <xf numFmtId="0" fontId="0" fillId="5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3" fillId="5" borderId="1" xfId="0" applyFont="1" applyFill="1" applyBorder="1"/>
    <xf numFmtId="0" fontId="0" fillId="5" borderId="1" xfId="0" applyFont="1" applyFill="1" applyBorder="1"/>
    <xf numFmtId="0" fontId="0" fillId="5" borderId="0" xfId="0" applyFill="1"/>
    <xf numFmtId="0" fontId="2" fillId="5" borderId="1" xfId="0" applyFont="1" applyFill="1" applyBorder="1" applyAlignment="1">
      <alignment vertical="top" wrapText="1"/>
    </xf>
    <xf numFmtId="0" fontId="0" fillId="6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/>
    </xf>
    <xf numFmtId="0" fontId="3" fillId="4" borderId="1" xfId="0" applyFont="1" applyFill="1" applyBorder="1"/>
    <xf numFmtId="0" fontId="0" fillId="4" borderId="1" xfId="0" applyFill="1" applyBorder="1"/>
    <xf numFmtId="0" fontId="0" fillId="3" borderId="1" xfId="0" applyFont="1" applyFill="1" applyBorder="1" applyAlignment="1">
      <alignment vertical="top"/>
    </xf>
    <xf numFmtId="0" fontId="0" fillId="3" borderId="1" xfId="0" applyFill="1" applyBorder="1"/>
    <xf numFmtId="0" fontId="3" fillId="0" borderId="2" xfId="0" applyFont="1" applyFill="1" applyBorder="1"/>
    <xf numFmtId="0" fontId="3" fillId="0" borderId="0" xfId="0" applyFont="1" applyFill="1" applyBorder="1"/>
    <xf numFmtId="0" fontId="0" fillId="0" borderId="0" xfId="0" applyFill="1" applyBorder="1"/>
    <xf numFmtId="0" fontId="0" fillId="0" borderId="0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8" fillId="0" borderId="1" xfId="0" applyFont="1" applyFill="1" applyBorder="1"/>
    <xf numFmtId="0" fontId="0" fillId="0" borderId="0" xfId="0" applyFill="1" applyAlignment="1">
      <alignment vertical="top"/>
    </xf>
    <xf numFmtId="0" fontId="2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75"/>
  <sheetViews>
    <sheetView tabSelected="1" workbookViewId="0">
      <pane ySplit="2" topLeftCell="A52" activePane="bottomLeft" state="frozen"/>
      <selection pane="bottomLeft" activeCell="B69" sqref="B69"/>
    </sheetView>
  </sheetViews>
  <sheetFormatPr defaultRowHeight="14.4" x14ac:dyDescent="0.3"/>
  <cols>
    <col min="1" max="1" width="1.6640625" style="17" customWidth="1"/>
    <col min="2" max="2" width="91.44140625" bestFit="1" customWidth="1"/>
    <col min="3" max="3" width="7.6640625" bestFit="1" customWidth="1"/>
    <col min="4" max="4" width="61.88671875" customWidth="1"/>
    <col min="5" max="5" width="9.109375" customWidth="1"/>
    <col min="6" max="6" width="9.109375" bestFit="1" customWidth="1"/>
    <col min="7" max="7" width="12.6640625" style="26" bestFit="1" customWidth="1"/>
    <col min="8" max="8" width="1.6640625" customWidth="1"/>
    <col min="9" max="9" width="10.77734375" customWidth="1"/>
  </cols>
  <sheetData>
    <row r="1" spans="2:9" ht="9" customHeight="1" x14ac:dyDescent="0.3"/>
    <row r="2" spans="2:9" x14ac:dyDescent="0.3">
      <c r="B2" s="1" t="s">
        <v>2</v>
      </c>
      <c r="C2" s="1" t="s">
        <v>24</v>
      </c>
      <c r="D2" s="1" t="s">
        <v>26</v>
      </c>
      <c r="E2" s="31" t="s">
        <v>0</v>
      </c>
      <c r="F2" s="31" t="s">
        <v>1</v>
      </c>
      <c r="G2" s="27" t="s">
        <v>86</v>
      </c>
      <c r="I2" s="32"/>
    </row>
    <row r="3" spans="2:9" x14ac:dyDescent="0.3">
      <c r="B3" s="9" t="s">
        <v>14</v>
      </c>
      <c r="C3" s="10"/>
      <c r="D3" s="11"/>
      <c r="E3" s="12">
        <v>1</v>
      </c>
      <c r="F3" s="12">
        <v>0</v>
      </c>
      <c r="G3" s="28"/>
    </row>
    <row r="4" spans="2:9" x14ac:dyDescent="0.3">
      <c r="B4" s="7" t="s">
        <v>35</v>
      </c>
      <c r="C4" s="6"/>
      <c r="D4" s="19" t="s">
        <v>15</v>
      </c>
      <c r="E4" s="3">
        <f>E3+F3</f>
        <v>1</v>
      </c>
      <c r="F4" s="3">
        <v>4</v>
      </c>
      <c r="G4" s="39" t="s">
        <v>91</v>
      </c>
      <c r="H4" s="2"/>
    </row>
    <row r="5" spans="2:9" x14ac:dyDescent="0.3">
      <c r="B5" s="7" t="s">
        <v>103</v>
      </c>
      <c r="C5" s="47"/>
      <c r="D5" s="19" t="s">
        <v>102</v>
      </c>
      <c r="E5" s="3"/>
      <c r="F5" s="3"/>
      <c r="G5" s="33"/>
      <c r="H5" s="2"/>
      <c r="I5" s="17"/>
    </row>
    <row r="6" spans="2:9" x14ac:dyDescent="0.3">
      <c r="B6" s="7" t="s">
        <v>48</v>
      </c>
      <c r="C6" s="6"/>
      <c r="D6" s="5" t="s">
        <v>36</v>
      </c>
      <c r="E6" s="3">
        <f>E4+F4</f>
        <v>5</v>
      </c>
      <c r="F6" s="5">
        <v>1</v>
      </c>
      <c r="G6" s="39" t="s">
        <v>91</v>
      </c>
      <c r="H6" s="2"/>
      <c r="I6" s="48"/>
    </row>
    <row r="7" spans="2:9" x14ac:dyDescent="0.3">
      <c r="B7" s="7" t="s">
        <v>49</v>
      </c>
      <c r="C7" s="6"/>
      <c r="D7" s="5" t="s">
        <v>129</v>
      </c>
      <c r="E7" s="3"/>
      <c r="F7" s="5"/>
      <c r="G7" s="33"/>
      <c r="H7" s="2"/>
      <c r="I7" s="49"/>
    </row>
    <row r="8" spans="2:9" x14ac:dyDescent="0.3">
      <c r="B8" s="7" t="s">
        <v>50</v>
      </c>
      <c r="C8" s="47"/>
      <c r="D8" s="5" t="s">
        <v>127</v>
      </c>
      <c r="E8" s="3"/>
      <c r="F8" s="5"/>
      <c r="G8" s="33"/>
      <c r="H8" s="2"/>
      <c r="I8" s="50"/>
    </row>
    <row r="9" spans="2:9" x14ac:dyDescent="0.3">
      <c r="B9" s="7" t="s">
        <v>87</v>
      </c>
      <c r="C9" s="47"/>
      <c r="D9" s="5" t="s">
        <v>133</v>
      </c>
      <c r="E9" s="3"/>
      <c r="F9" s="5"/>
      <c r="G9" s="33"/>
      <c r="H9" s="2"/>
      <c r="I9" s="49"/>
    </row>
    <row r="10" spans="2:9" x14ac:dyDescent="0.3">
      <c r="B10" s="7" t="s">
        <v>37</v>
      </c>
      <c r="C10" s="6"/>
      <c r="D10" s="19" t="s">
        <v>32</v>
      </c>
      <c r="E10" s="3">
        <f>E6+F6</f>
        <v>6</v>
      </c>
      <c r="F10" s="3">
        <v>1</v>
      </c>
      <c r="G10" s="39" t="s">
        <v>91</v>
      </c>
      <c r="H10" s="2"/>
      <c r="I10" s="48"/>
    </row>
    <row r="11" spans="2:9" x14ac:dyDescent="0.3">
      <c r="B11" s="7" t="s">
        <v>38</v>
      </c>
      <c r="C11" s="6"/>
      <c r="D11" s="19" t="s">
        <v>33</v>
      </c>
      <c r="E11" s="3"/>
      <c r="F11" s="3"/>
      <c r="G11" s="33"/>
      <c r="H11" s="2"/>
    </row>
    <row r="12" spans="2:9" x14ac:dyDescent="0.3">
      <c r="B12" s="7" t="s">
        <v>39</v>
      </c>
      <c r="C12" s="6"/>
      <c r="D12" s="19" t="s">
        <v>34</v>
      </c>
      <c r="E12" s="3"/>
      <c r="F12" s="3"/>
      <c r="G12" s="33"/>
      <c r="H12" s="2"/>
    </row>
    <row r="13" spans="2:9" x14ac:dyDescent="0.3">
      <c r="B13" s="7" t="s">
        <v>61</v>
      </c>
      <c r="C13" s="6"/>
      <c r="D13" s="5" t="s">
        <v>62</v>
      </c>
      <c r="E13" s="3">
        <f>E10+F10</f>
        <v>7</v>
      </c>
      <c r="F13" s="5">
        <v>8</v>
      </c>
      <c r="G13" s="40" t="s">
        <v>92</v>
      </c>
      <c r="H13" s="2"/>
    </row>
    <row r="14" spans="2:9" x14ac:dyDescent="0.3">
      <c r="B14" s="7" t="s">
        <v>40</v>
      </c>
      <c r="C14" s="6"/>
      <c r="D14" s="19" t="s">
        <v>3</v>
      </c>
      <c r="E14" s="3">
        <f>E13+F13</f>
        <v>15</v>
      </c>
      <c r="F14" s="3">
        <v>3</v>
      </c>
      <c r="G14" s="39" t="s">
        <v>91</v>
      </c>
      <c r="H14" s="2"/>
      <c r="I14" s="48"/>
    </row>
    <row r="15" spans="2:9" x14ac:dyDescent="0.3">
      <c r="B15" s="7" t="s">
        <v>41</v>
      </c>
      <c r="C15" s="18"/>
      <c r="D15" s="19" t="s">
        <v>16</v>
      </c>
      <c r="E15" s="3"/>
      <c r="F15" s="3"/>
      <c r="G15" s="33"/>
      <c r="H15" s="2"/>
    </row>
    <row r="16" spans="2:9" x14ac:dyDescent="0.3">
      <c r="B16" s="7" t="s">
        <v>42</v>
      </c>
      <c r="C16" s="18"/>
      <c r="D16" s="19" t="s">
        <v>30</v>
      </c>
      <c r="E16" s="3"/>
      <c r="F16" s="3"/>
      <c r="G16" s="33"/>
      <c r="H16" s="2"/>
    </row>
    <row r="17" spans="2:9" x14ac:dyDescent="0.3">
      <c r="B17" s="7" t="s">
        <v>80</v>
      </c>
      <c r="C17" s="18"/>
      <c r="D17" s="19" t="s">
        <v>81</v>
      </c>
      <c r="E17" s="3"/>
      <c r="F17" s="3"/>
      <c r="G17" s="33"/>
      <c r="H17" s="2"/>
    </row>
    <row r="18" spans="2:9" x14ac:dyDescent="0.3">
      <c r="B18" s="7" t="s">
        <v>43</v>
      </c>
      <c r="C18" s="6"/>
      <c r="D18" s="19" t="s">
        <v>17</v>
      </c>
      <c r="E18" s="5"/>
      <c r="F18" s="5"/>
      <c r="G18" s="33"/>
      <c r="H18" s="2"/>
    </row>
    <row r="19" spans="2:9" x14ac:dyDescent="0.3">
      <c r="B19" s="7" t="s">
        <v>44</v>
      </c>
      <c r="C19" s="6"/>
      <c r="D19" s="19" t="s">
        <v>4</v>
      </c>
      <c r="E19" s="3">
        <f>E14+F14</f>
        <v>18</v>
      </c>
      <c r="F19" s="5">
        <v>3</v>
      </c>
      <c r="G19" s="39" t="s">
        <v>91</v>
      </c>
      <c r="H19" s="2"/>
      <c r="I19" s="48"/>
    </row>
    <row r="20" spans="2:9" x14ac:dyDescent="0.3">
      <c r="B20" s="7" t="s">
        <v>45</v>
      </c>
      <c r="C20" s="6"/>
      <c r="D20" s="19" t="s">
        <v>18</v>
      </c>
      <c r="E20" s="5"/>
      <c r="F20" s="5"/>
      <c r="G20" s="33"/>
      <c r="H20" s="2"/>
    </row>
    <row r="21" spans="2:9" x14ac:dyDescent="0.3">
      <c r="B21" s="7" t="s">
        <v>76</v>
      </c>
      <c r="C21" s="6"/>
      <c r="D21" s="19" t="s">
        <v>75</v>
      </c>
      <c r="E21" s="5"/>
      <c r="F21" s="5"/>
      <c r="G21" s="33"/>
      <c r="H21" s="2"/>
    </row>
    <row r="22" spans="2:9" x14ac:dyDescent="0.3">
      <c r="B22" s="7" t="s">
        <v>82</v>
      </c>
      <c r="C22" s="6"/>
      <c r="D22" s="19" t="s">
        <v>83</v>
      </c>
      <c r="E22" s="5"/>
      <c r="F22" s="5"/>
      <c r="G22" s="33"/>
      <c r="H22" s="2"/>
    </row>
    <row r="23" spans="2:9" x14ac:dyDescent="0.3">
      <c r="B23" s="7" t="s">
        <v>85</v>
      </c>
      <c r="C23" s="6"/>
      <c r="D23" s="19" t="s">
        <v>84</v>
      </c>
      <c r="E23" s="5"/>
      <c r="F23" s="5"/>
      <c r="G23" s="33"/>
      <c r="H23" s="2"/>
    </row>
    <row r="24" spans="2:9" x14ac:dyDescent="0.3">
      <c r="B24" s="7" t="s">
        <v>46</v>
      </c>
      <c r="C24" s="6"/>
      <c r="D24" s="19" t="s">
        <v>20</v>
      </c>
      <c r="E24" s="5"/>
      <c r="F24" s="5"/>
      <c r="G24" s="33"/>
      <c r="H24" s="2"/>
    </row>
    <row r="25" spans="2:9" x14ac:dyDescent="0.3">
      <c r="B25" s="7" t="s">
        <v>47</v>
      </c>
      <c r="C25" s="6"/>
      <c r="D25" s="19" t="s">
        <v>19</v>
      </c>
      <c r="E25" s="5"/>
      <c r="F25" s="5"/>
      <c r="G25" s="33"/>
      <c r="H25" s="2"/>
    </row>
    <row r="26" spans="2:9" x14ac:dyDescent="0.3">
      <c r="B26" s="7" t="s">
        <v>63</v>
      </c>
      <c r="C26" s="6"/>
      <c r="D26" s="19"/>
      <c r="E26" s="5">
        <f>E19+F19</f>
        <v>21</v>
      </c>
      <c r="F26" s="5">
        <v>1</v>
      </c>
      <c r="G26" s="41" t="s">
        <v>93</v>
      </c>
      <c r="H26" s="2"/>
      <c r="I26" s="49"/>
    </row>
    <row r="27" spans="2:9" ht="28.8" x14ac:dyDescent="0.3">
      <c r="B27" s="20" t="s">
        <v>64</v>
      </c>
      <c r="C27" s="21"/>
      <c r="D27" s="22" t="s">
        <v>77</v>
      </c>
      <c r="E27" s="23"/>
      <c r="F27" s="23"/>
      <c r="G27" s="33"/>
      <c r="H27" s="2"/>
    </row>
    <row r="28" spans="2:9" x14ac:dyDescent="0.3">
      <c r="B28" s="7" t="s">
        <v>51</v>
      </c>
      <c r="C28" s="6"/>
      <c r="D28" s="5" t="s">
        <v>6</v>
      </c>
      <c r="E28" s="3">
        <f>E26+F26</f>
        <v>22</v>
      </c>
      <c r="F28" s="5">
        <v>10</v>
      </c>
      <c r="G28" s="39" t="s">
        <v>91</v>
      </c>
      <c r="H28" s="2"/>
      <c r="I28" s="50"/>
    </row>
    <row r="29" spans="2:9" x14ac:dyDescent="0.3">
      <c r="B29" s="7" t="s">
        <v>52</v>
      </c>
      <c r="C29" s="6"/>
      <c r="D29" s="5" t="s">
        <v>7</v>
      </c>
      <c r="E29" s="3">
        <f>E28+F28</f>
        <v>32</v>
      </c>
      <c r="F29" s="5">
        <v>10</v>
      </c>
      <c r="G29" s="51" t="s">
        <v>128</v>
      </c>
      <c r="H29" s="2"/>
      <c r="I29" s="50"/>
    </row>
    <row r="30" spans="2:9" x14ac:dyDescent="0.3">
      <c r="B30" s="7" t="s">
        <v>53</v>
      </c>
      <c r="C30" s="6"/>
      <c r="D30" s="5" t="s">
        <v>8</v>
      </c>
      <c r="E30" s="3">
        <f>E29+F29</f>
        <v>42</v>
      </c>
      <c r="F30" s="5">
        <v>16</v>
      </c>
      <c r="G30" s="51" t="s">
        <v>128</v>
      </c>
      <c r="H30" s="2"/>
      <c r="I30" s="50"/>
    </row>
    <row r="31" spans="2:9" x14ac:dyDescent="0.3">
      <c r="B31" s="7" t="s">
        <v>54</v>
      </c>
      <c r="C31" s="6"/>
      <c r="D31" s="19" t="s">
        <v>5</v>
      </c>
      <c r="E31" s="3">
        <f>E30+F30</f>
        <v>58</v>
      </c>
      <c r="F31" s="5">
        <v>3</v>
      </c>
      <c r="G31" s="39" t="s">
        <v>91</v>
      </c>
      <c r="H31" s="2"/>
      <c r="I31" s="49"/>
    </row>
    <row r="32" spans="2:9" x14ac:dyDescent="0.3">
      <c r="B32" s="7" t="s">
        <v>67</v>
      </c>
      <c r="C32" s="6"/>
      <c r="D32" s="5" t="s">
        <v>68</v>
      </c>
      <c r="E32" s="5"/>
      <c r="F32" s="5"/>
      <c r="G32" s="29"/>
      <c r="H32" s="2"/>
    </row>
    <row r="33" spans="1:9" x14ac:dyDescent="0.3">
      <c r="B33" s="7" t="s">
        <v>69</v>
      </c>
      <c r="C33" s="6"/>
      <c r="D33" s="5" t="s">
        <v>70</v>
      </c>
      <c r="E33" s="5"/>
      <c r="F33" s="5"/>
      <c r="G33" s="29"/>
      <c r="H33" s="2"/>
    </row>
    <row r="34" spans="1:9" x14ac:dyDescent="0.3">
      <c r="B34" s="7" t="s">
        <v>55</v>
      </c>
      <c r="C34" s="6"/>
      <c r="D34" s="5" t="s">
        <v>21</v>
      </c>
      <c r="E34" s="5"/>
      <c r="F34" s="5"/>
      <c r="G34" s="29"/>
      <c r="H34" s="2"/>
    </row>
    <row r="35" spans="1:9" x14ac:dyDescent="0.3">
      <c r="B35" s="7" t="s">
        <v>56</v>
      </c>
      <c r="C35" s="6"/>
      <c r="D35" s="5" t="s">
        <v>71</v>
      </c>
      <c r="E35" s="5"/>
      <c r="F35" s="5"/>
      <c r="G35" s="29"/>
      <c r="H35" s="2"/>
    </row>
    <row r="36" spans="1:9" x14ac:dyDescent="0.3">
      <c r="B36" s="7" t="s">
        <v>57</v>
      </c>
      <c r="C36" s="6"/>
      <c r="D36" s="5" t="s">
        <v>22</v>
      </c>
      <c r="E36" s="5"/>
      <c r="F36" s="5"/>
      <c r="G36" s="29"/>
      <c r="H36" s="2"/>
    </row>
    <row r="37" spans="1:9" x14ac:dyDescent="0.3">
      <c r="B37" s="7" t="s">
        <v>96</v>
      </c>
      <c r="C37" s="6"/>
      <c r="D37" s="5" t="s">
        <v>100</v>
      </c>
      <c r="E37" s="5"/>
      <c r="F37" s="5"/>
      <c r="G37" s="29"/>
      <c r="H37" s="2"/>
    </row>
    <row r="38" spans="1:9" x14ac:dyDescent="0.3">
      <c r="B38" s="7" t="s">
        <v>97</v>
      </c>
      <c r="C38" s="6"/>
      <c r="D38" s="5" t="s">
        <v>101</v>
      </c>
      <c r="E38" s="5"/>
      <c r="F38" s="5"/>
      <c r="G38" s="29"/>
      <c r="H38" s="2"/>
    </row>
    <row r="39" spans="1:9" x14ac:dyDescent="0.3">
      <c r="B39" s="7" t="s">
        <v>98</v>
      </c>
      <c r="C39" s="6"/>
      <c r="D39" s="5" t="s">
        <v>99</v>
      </c>
      <c r="E39" s="5"/>
      <c r="F39" s="5"/>
      <c r="G39" s="29"/>
      <c r="H39" s="2"/>
    </row>
    <row r="40" spans="1:9" x14ac:dyDescent="0.3">
      <c r="B40" s="7" t="s">
        <v>90</v>
      </c>
      <c r="C40" s="6"/>
      <c r="D40" s="5" t="s">
        <v>89</v>
      </c>
      <c r="E40" s="5"/>
      <c r="F40" s="5"/>
      <c r="G40" s="29"/>
      <c r="H40" s="2"/>
    </row>
    <row r="41" spans="1:9" x14ac:dyDescent="0.3">
      <c r="B41" s="7" t="s">
        <v>58</v>
      </c>
      <c r="C41" s="6"/>
      <c r="D41" s="5" t="s">
        <v>25</v>
      </c>
      <c r="E41" s="3">
        <f>E31+F31</f>
        <v>61</v>
      </c>
      <c r="F41" s="5">
        <v>1</v>
      </c>
      <c r="G41" s="41" t="s">
        <v>93</v>
      </c>
      <c r="H41" s="2"/>
      <c r="I41" s="17"/>
    </row>
    <row r="42" spans="1:9" x14ac:dyDescent="0.3">
      <c r="B42" s="9" t="s">
        <v>79</v>
      </c>
      <c r="C42" s="10"/>
      <c r="D42" s="11"/>
      <c r="E42" s="12">
        <f>E41+F41</f>
        <v>62</v>
      </c>
      <c r="F42" s="12">
        <v>2138</v>
      </c>
      <c r="G42" s="28"/>
    </row>
    <row r="43" spans="1:9" x14ac:dyDescent="0.3">
      <c r="B43" s="13" t="s">
        <v>130</v>
      </c>
      <c r="C43" s="14"/>
      <c r="D43" s="15"/>
      <c r="E43" s="16">
        <f>E42</f>
        <v>62</v>
      </c>
      <c r="F43" s="15">
        <v>0</v>
      </c>
      <c r="G43" s="30"/>
      <c r="H43" s="2"/>
    </row>
    <row r="44" spans="1:9" x14ac:dyDescent="0.3">
      <c r="B44" s="24" t="s">
        <v>59</v>
      </c>
      <c r="C44" s="6"/>
      <c r="D44" s="25" t="s">
        <v>27</v>
      </c>
      <c r="E44" s="3">
        <f>E43+F43</f>
        <v>62</v>
      </c>
      <c r="F44" s="25">
        <v>3</v>
      </c>
      <c r="G44" s="39" t="s">
        <v>91</v>
      </c>
      <c r="H44" s="2"/>
      <c r="I44" s="49"/>
    </row>
    <row r="45" spans="1:9" x14ac:dyDescent="0.3">
      <c r="A45" s="53"/>
      <c r="B45" s="52" t="s">
        <v>125</v>
      </c>
      <c r="C45" s="47"/>
      <c r="D45" s="25" t="s">
        <v>126</v>
      </c>
      <c r="E45" s="3">
        <f t="shared" ref="E45:E65" si="0">E44+F44</f>
        <v>65</v>
      </c>
      <c r="F45" s="23">
        <v>5</v>
      </c>
      <c r="G45" s="39" t="s">
        <v>91</v>
      </c>
      <c r="I45" s="49"/>
    </row>
    <row r="46" spans="1:9" x14ac:dyDescent="0.3">
      <c r="B46" s="13" t="s">
        <v>60</v>
      </c>
      <c r="C46" s="14"/>
      <c r="D46" s="15"/>
      <c r="E46" s="16">
        <f t="shared" si="0"/>
        <v>70</v>
      </c>
      <c r="F46" s="15">
        <v>0</v>
      </c>
      <c r="G46" s="30"/>
      <c r="I46" s="49"/>
    </row>
    <row r="47" spans="1:9" s="37" customFormat="1" x14ac:dyDescent="0.3">
      <c r="A47" s="17"/>
      <c r="B47" s="34" t="s">
        <v>95</v>
      </c>
      <c r="C47" s="35"/>
      <c r="D47" s="36" t="s">
        <v>94</v>
      </c>
      <c r="E47" s="3">
        <f t="shared" si="0"/>
        <v>70</v>
      </c>
      <c r="F47" s="36">
        <v>8</v>
      </c>
      <c r="G47" s="39" t="s">
        <v>91</v>
      </c>
      <c r="H47"/>
      <c r="I47" s="49"/>
    </row>
    <row r="48" spans="1:9" x14ac:dyDescent="0.3">
      <c r="B48" s="13" t="s">
        <v>88</v>
      </c>
      <c r="C48" s="14"/>
      <c r="D48" s="15"/>
      <c r="E48" s="16">
        <f t="shared" si="0"/>
        <v>78</v>
      </c>
      <c r="F48" s="15">
        <v>0</v>
      </c>
      <c r="G48" s="30"/>
      <c r="I48" s="49"/>
    </row>
    <row r="49" spans="1:9" s="37" customFormat="1" ht="28.8" x14ac:dyDescent="0.3">
      <c r="A49" s="17"/>
      <c r="B49" s="38" t="s">
        <v>131</v>
      </c>
      <c r="C49" s="35"/>
      <c r="D49" s="36" t="s">
        <v>132</v>
      </c>
      <c r="E49" s="3">
        <f t="shared" si="0"/>
        <v>78</v>
      </c>
      <c r="F49" s="36">
        <v>15</v>
      </c>
      <c r="G49" s="39" t="s">
        <v>91</v>
      </c>
      <c r="H49"/>
      <c r="I49" s="49"/>
    </row>
    <row r="50" spans="1:9" x14ac:dyDescent="0.3">
      <c r="B50" s="13" t="s">
        <v>104</v>
      </c>
      <c r="C50" s="14"/>
      <c r="D50" s="15"/>
      <c r="E50" s="16">
        <f t="shared" si="0"/>
        <v>93</v>
      </c>
      <c r="F50" s="15">
        <v>0</v>
      </c>
      <c r="G50" s="30"/>
      <c r="I50" s="49"/>
    </row>
    <row r="51" spans="1:9" s="37" customFormat="1" x14ac:dyDescent="0.3">
      <c r="A51" s="17"/>
      <c r="B51" s="7" t="s">
        <v>108</v>
      </c>
      <c r="C51" s="47"/>
      <c r="D51" s="5" t="s">
        <v>9</v>
      </c>
      <c r="E51" s="3">
        <f t="shared" si="0"/>
        <v>93</v>
      </c>
      <c r="F51" s="5">
        <v>40</v>
      </c>
      <c r="G51" s="39" t="s">
        <v>91</v>
      </c>
      <c r="H51"/>
      <c r="I51" s="49"/>
    </row>
    <row r="52" spans="1:9" s="37" customFormat="1" x14ac:dyDescent="0.3">
      <c r="A52" s="17"/>
      <c r="B52" s="7" t="s">
        <v>109</v>
      </c>
      <c r="C52" s="47"/>
      <c r="D52" s="5" t="s">
        <v>28</v>
      </c>
      <c r="E52" s="3">
        <f t="shared" si="0"/>
        <v>133</v>
      </c>
      <c r="F52" s="5">
        <v>4</v>
      </c>
      <c r="G52" s="39" t="s">
        <v>91</v>
      </c>
      <c r="H52"/>
      <c r="I52" s="49"/>
    </row>
    <row r="53" spans="1:9" s="37" customFormat="1" x14ac:dyDescent="0.3">
      <c r="A53" s="17"/>
      <c r="B53" s="7" t="s">
        <v>110</v>
      </c>
      <c r="C53" s="47"/>
      <c r="D53" s="5" t="s">
        <v>10</v>
      </c>
      <c r="E53" s="3">
        <f t="shared" si="0"/>
        <v>137</v>
      </c>
      <c r="F53" s="5">
        <v>40</v>
      </c>
      <c r="G53" s="39" t="s">
        <v>91</v>
      </c>
      <c r="H53"/>
      <c r="I53" s="49"/>
    </row>
    <row r="54" spans="1:9" s="37" customFormat="1" x14ac:dyDescent="0.3">
      <c r="A54" s="17"/>
      <c r="B54" s="7" t="s">
        <v>111</v>
      </c>
      <c r="C54" s="47"/>
      <c r="D54" s="5" t="s">
        <v>11</v>
      </c>
      <c r="E54" s="3">
        <f t="shared" si="0"/>
        <v>177</v>
      </c>
      <c r="F54" s="5">
        <v>40</v>
      </c>
      <c r="G54" s="41" t="s">
        <v>93</v>
      </c>
      <c r="H54"/>
      <c r="I54" s="49"/>
    </row>
    <row r="55" spans="1:9" s="37" customFormat="1" x14ac:dyDescent="0.3">
      <c r="A55" s="17"/>
      <c r="B55" s="7" t="s">
        <v>112</v>
      </c>
      <c r="C55" s="47"/>
      <c r="D55" s="5" t="s">
        <v>12</v>
      </c>
      <c r="E55" s="3">
        <f t="shared" si="0"/>
        <v>217</v>
      </c>
      <c r="F55" s="5">
        <v>40</v>
      </c>
      <c r="G55" s="41" t="s">
        <v>93</v>
      </c>
      <c r="H55"/>
      <c r="I55" s="49"/>
    </row>
    <row r="56" spans="1:9" s="37" customFormat="1" x14ac:dyDescent="0.3">
      <c r="A56" s="17"/>
      <c r="B56" s="7" t="s">
        <v>113</v>
      </c>
      <c r="C56" s="47"/>
      <c r="D56" s="5" t="s">
        <v>29</v>
      </c>
      <c r="E56" s="3">
        <f t="shared" si="0"/>
        <v>257</v>
      </c>
      <c r="F56" s="5">
        <v>9</v>
      </c>
      <c r="G56" s="39" t="s">
        <v>91</v>
      </c>
      <c r="H56"/>
      <c r="I56" s="49"/>
    </row>
    <row r="57" spans="1:9" s="37" customFormat="1" x14ac:dyDescent="0.3">
      <c r="A57" s="17"/>
      <c r="B57" s="7" t="s">
        <v>114</v>
      </c>
      <c r="C57" s="47"/>
      <c r="D57" s="5" t="s">
        <v>13</v>
      </c>
      <c r="E57" s="3">
        <f t="shared" si="0"/>
        <v>266</v>
      </c>
      <c r="F57" s="5">
        <v>40</v>
      </c>
      <c r="G57" s="39" t="s">
        <v>91</v>
      </c>
      <c r="H57"/>
      <c r="I57" s="49"/>
    </row>
    <row r="58" spans="1:9" s="37" customFormat="1" x14ac:dyDescent="0.3">
      <c r="A58" s="17"/>
      <c r="B58" s="7" t="s">
        <v>115</v>
      </c>
      <c r="C58" s="47"/>
      <c r="D58" s="5" t="s">
        <v>72</v>
      </c>
      <c r="E58" s="3">
        <f t="shared" si="0"/>
        <v>306</v>
      </c>
      <c r="F58" s="5">
        <v>3</v>
      </c>
      <c r="G58" s="39" t="s">
        <v>91</v>
      </c>
      <c r="H58"/>
      <c r="I58" s="49"/>
    </row>
    <row r="59" spans="1:9" s="37" customFormat="1" x14ac:dyDescent="0.3">
      <c r="A59" s="17"/>
      <c r="B59" s="7" t="s">
        <v>116</v>
      </c>
      <c r="C59" s="47"/>
      <c r="D59" s="5" t="s">
        <v>73</v>
      </c>
      <c r="E59" s="3">
        <f t="shared" si="0"/>
        <v>309</v>
      </c>
      <c r="F59" s="5">
        <v>40</v>
      </c>
      <c r="G59" s="39" t="s">
        <v>91</v>
      </c>
      <c r="H59"/>
      <c r="I59" s="49"/>
    </row>
    <row r="60" spans="1:9" s="37" customFormat="1" x14ac:dyDescent="0.3">
      <c r="A60" s="17"/>
      <c r="B60" s="20" t="s">
        <v>117</v>
      </c>
      <c r="C60" s="47"/>
      <c r="D60" s="23" t="s">
        <v>74</v>
      </c>
      <c r="E60" s="3">
        <f t="shared" si="0"/>
        <v>349</v>
      </c>
      <c r="F60" s="23">
        <v>4</v>
      </c>
      <c r="G60" s="39" t="s">
        <v>91</v>
      </c>
      <c r="H60"/>
      <c r="I60" s="49"/>
    </row>
    <row r="61" spans="1:9" s="37" customFormat="1" x14ac:dyDescent="0.3">
      <c r="A61" s="17"/>
      <c r="B61" s="7" t="s">
        <v>118</v>
      </c>
      <c r="C61" s="47"/>
      <c r="D61" s="5" t="s">
        <v>78</v>
      </c>
      <c r="E61" s="3">
        <f t="shared" si="0"/>
        <v>353</v>
      </c>
      <c r="F61" s="5">
        <v>22</v>
      </c>
      <c r="G61" s="39" t="s">
        <v>91</v>
      </c>
      <c r="H61"/>
      <c r="I61" s="49"/>
    </row>
    <row r="62" spans="1:9" s="37" customFormat="1" x14ac:dyDescent="0.3">
      <c r="A62" s="17"/>
      <c r="B62" s="7" t="s">
        <v>119</v>
      </c>
      <c r="C62" s="47"/>
      <c r="D62" s="5" t="s">
        <v>31</v>
      </c>
      <c r="E62" s="3">
        <f t="shared" si="0"/>
        <v>375</v>
      </c>
      <c r="F62" s="5">
        <v>1</v>
      </c>
      <c r="G62" s="41" t="s">
        <v>93</v>
      </c>
      <c r="H62"/>
      <c r="I62" s="49"/>
    </row>
    <row r="63" spans="1:9" s="37" customFormat="1" x14ac:dyDescent="0.3">
      <c r="A63" s="17"/>
      <c r="B63" s="7" t="s">
        <v>120</v>
      </c>
      <c r="C63" s="47"/>
      <c r="D63" s="5" t="s">
        <v>65</v>
      </c>
      <c r="E63" s="3">
        <f t="shared" si="0"/>
        <v>376</v>
      </c>
      <c r="F63" s="5"/>
      <c r="G63" s="33"/>
      <c r="H63"/>
      <c r="I63" s="49"/>
    </row>
    <row r="64" spans="1:9" s="37" customFormat="1" x14ac:dyDescent="0.3">
      <c r="A64" s="17"/>
      <c r="B64" s="7" t="s">
        <v>121</v>
      </c>
      <c r="C64" s="47"/>
      <c r="D64" s="5" t="s">
        <v>66</v>
      </c>
      <c r="E64" s="3">
        <f t="shared" si="0"/>
        <v>376</v>
      </c>
      <c r="F64" s="5"/>
      <c r="G64" s="33"/>
      <c r="H64"/>
      <c r="I64" s="49"/>
    </row>
    <row r="65" spans="1:9" x14ac:dyDescent="0.3">
      <c r="B65" s="13" t="s">
        <v>137</v>
      </c>
      <c r="C65" s="14"/>
      <c r="D65" s="15"/>
      <c r="E65" s="16">
        <f t="shared" si="0"/>
        <v>376</v>
      </c>
      <c r="F65" s="15">
        <v>1824</v>
      </c>
      <c r="G65" s="30"/>
      <c r="I65" s="49"/>
    </row>
    <row r="66" spans="1:9" x14ac:dyDescent="0.3">
      <c r="B66" s="9" t="s">
        <v>105</v>
      </c>
      <c r="C66" s="43"/>
      <c r="D66" s="42" t="s">
        <v>106</v>
      </c>
      <c r="E66" s="12"/>
      <c r="F66" s="12"/>
      <c r="G66" s="44"/>
      <c r="I66" s="49"/>
    </row>
    <row r="67" spans="1:9" x14ac:dyDescent="0.3">
      <c r="B67" s="13" t="s">
        <v>140</v>
      </c>
      <c r="C67" s="14"/>
      <c r="D67" s="15" t="s">
        <v>107</v>
      </c>
      <c r="E67" s="15">
        <v>62</v>
      </c>
      <c r="F67" s="15"/>
      <c r="G67" s="30"/>
      <c r="I67" s="49"/>
    </row>
    <row r="68" spans="1:9" s="37" customFormat="1" x14ac:dyDescent="0.3">
      <c r="A68" s="17"/>
      <c r="B68" s="7" t="s">
        <v>122</v>
      </c>
      <c r="C68" s="47"/>
      <c r="D68" s="5" t="s">
        <v>123</v>
      </c>
      <c r="E68" s="3">
        <f t="shared" ref="E68:E70" si="1">E67+F67</f>
        <v>62</v>
      </c>
      <c r="F68" s="5">
        <v>60</v>
      </c>
      <c r="G68" s="39" t="s">
        <v>91</v>
      </c>
      <c r="H68"/>
      <c r="I68" s="49"/>
    </row>
    <row r="69" spans="1:9" s="37" customFormat="1" ht="28.8" x14ac:dyDescent="0.3">
      <c r="A69" s="17"/>
      <c r="B69" s="54" t="s">
        <v>141</v>
      </c>
      <c r="C69" s="6"/>
      <c r="D69" s="5" t="s">
        <v>124</v>
      </c>
      <c r="E69" s="3">
        <f t="shared" si="1"/>
        <v>122</v>
      </c>
      <c r="F69" s="5">
        <v>15</v>
      </c>
      <c r="G69" s="39" t="s">
        <v>91</v>
      </c>
      <c r="H69"/>
      <c r="I69" s="49"/>
    </row>
    <row r="70" spans="1:9" x14ac:dyDescent="0.3">
      <c r="B70" s="13" t="s">
        <v>138</v>
      </c>
      <c r="C70" s="15"/>
      <c r="D70" s="45"/>
      <c r="E70" s="16">
        <f t="shared" si="1"/>
        <v>137</v>
      </c>
      <c r="F70" s="15">
        <v>2063</v>
      </c>
      <c r="G70" s="46"/>
      <c r="I70" s="49"/>
    </row>
    <row r="71" spans="1:9" x14ac:dyDescent="0.3">
      <c r="B71" s="9" t="s">
        <v>105</v>
      </c>
      <c r="C71" s="43"/>
      <c r="D71" s="42"/>
      <c r="E71" s="12"/>
      <c r="F71" s="12"/>
      <c r="G71" s="44"/>
      <c r="I71" s="50"/>
    </row>
    <row r="72" spans="1:9" x14ac:dyDescent="0.3">
      <c r="B72" s="13" t="s">
        <v>134</v>
      </c>
      <c r="C72" s="14"/>
      <c r="D72" s="15" t="s">
        <v>107</v>
      </c>
      <c r="E72" s="15">
        <v>62</v>
      </c>
      <c r="F72" s="15"/>
      <c r="G72" s="30"/>
      <c r="I72" s="49"/>
    </row>
    <row r="73" spans="1:9" s="37" customFormat="1" ht="28.8" x14ac:dyDescent="0.3">
      <c r="A73" s="17"/>
      <c r="B73" s="54" t="s">
        <v>135</v>
      </c>
      <c r="C73" s="6"/>
      <c r="D73" s="5" t="s">
        <v>136</v>
      </c>
      <c r="E73" s="3">
        <f t="shared" ref="E73:E74" si="2">E72+F72</f>
        <v>62</v>
      </c>
      <c r="F73" s="5">
        <v>15</v>
      </c>
      <c r="G73" s="39" t="s">
        <v>91</v>
      </c>
      <c r="H73"/>
      <c r="I73" s="49"/>
    </row>
    <row r="74" spans="1:9" x14ac:dyDescent="0.3">
      <c r="B74" s="13" t="s">
        <v>139</v>
      </c>
      <c r="C74" s="15"/>
      <c r="D74" s="45"/>
      <c r="E74" s="16">
        <f t="shared" si="2"/>
        <v>77</v>
      </c>
      <c r="F74" s="15">
        <v>2123</v>
      </c>
      <c r="G74" s="46"/>
      <c r="I74" s="49"/>
    </row>
    <row r="75" spans="1:9" x14ac:dyDescent="0.3">
      <c r="D75" s="4" t="s">
        <v>23</v>
      </c>
      <c r="E75" s="8">
        <f>E65+F65</f>
        <v>2200</v>
      </c>
      <c r="I75" s="49"/>
    </row>
  </sheetData>
  <pageMargins left="0.70866141732283472" right="0.70866141732283472" top="0.74803149606299213" bottom="0.74803149606299213" header="0.31496062992125984" footer="0.31496062992125984"/>
  <pageSetup paperSize="9" scale="64" fitToHeight="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Novo Layout - Final</vt:lpstr>
    </vt:vector>
  </TitlesOfParts>
  <Company>Fidelidade Mundial, S.A.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Jorge Santos Graça [EE] (DSI)</dc:creator>
  <cp:lastModifiedBy>Ângela Cristiane Puhl [EE] (DSI)</cp:lastModifiedBy>
  <cp:lastPrinted>2016-10-03T14:42:59Z</cp:lastPrinted>
  <dcterms:created xsi:type="dcterms:W3CDTF">2015-07-28T09:44:45Z</dcterms:created>
  <dcterms:modified xsi:type="dcterms:W3CDTF">2019-05-27T16:11:55Z</dcterms:modified>
</cp:coreProperties>
</file>