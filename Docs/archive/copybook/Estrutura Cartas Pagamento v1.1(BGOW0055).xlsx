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01105\AppData\Local\Temp\OneNote\16.0\Exported\{B8148BA4-FE92-4210-AED6-95062719E17C}\NT\2\"/>
    </mc:Choice>
  </mc:AlternateContent>
  <xr:revisionPtr revIDLastSave="0" documentId="13_ncr:1_{CD9EFE05-DFDC-4A05-8DBE-E295ACE1AB2C}" xr6:coauthVersionLast="47" xr6:coauthVersionMax="47" xr10:uidLastSave="{00000000-0000-0000-0000-000000000000}"/>
  <bookViews>
    <workbookView xWindow="7065" yWindow="2175" windowWidth="20535" windowHeight="9450" xr2:uid="{00000000-000D-0000-FFFF-FFFF00000000}"/>
  </bookViews>
  <sheets>
    <sheet name="Novo Layout - Final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5" l="1"/>
  <c r="E9" i="15" s="1"/>
  <c r="E13" i="15" s="1"/>
  <c r="E16" i="15" s="1"/>
  <c r="E17" i="15" s="1"/>
  <c r="E22" i="15" s="1"/>
  <c r="E30" i="15" s="1"/>
  <c r="E32" i="15" s="1"/>
  <c r="E33" i="15" s="1"/>
  <c r="E34" i="15" s="1"/>
  <c r="E35" i="15" s="1"/>
  <c r="E45" i="15" s="1"/>
  <c r="E46" i="15" s="1"/>
  <c r="E47" i="15" s="1"/>
  <c r="E48" i="15" s="1"/>
  <c r="E51" i="15" s="1"/>
  <c r="E52" i="15" s="1"/>
  <c r="E53" i="15" s="1"/>
  <c r="E54" i="15" l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Cristina Barata Lopes (DSI)</author>
    <author>Ângela Cristiane Puhl [EE] (DSI)</author>
  </authors>
  <commentList>
    <comment ref="G11" authorId="0" shapeId="0" xr:uid="{00000000-0006-0000-0000-000001000000}">
      <text>
        <r>
          <rPr>
            <sz val="9"/>
            <color indexed="81"/>
            <rFont val="Tahoma"/>
            <family val="2"/>
          </rPr>
          <t>Estes documentos não têm registos de detalhe, nem footer</t>
        </r>
      </text>
    </comment>
    <comment ref="G12" authorId="0" shapeId="0" xr:uid="{00000000-0006-0000-0000-000002000000}">
      <text>
        <r>
          <rPr>
            <sz val="9"/>
            <color indexed="81"/>
            <rFont val="Tahoma"/>
            <family val="2"/>
          </rPr>
          <t>Estes documentos não têm registos de detalhe, nem footer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1" shapeId="0" xr:uid="{00000000-0006-0000-0000-000003000000}">
      <text>
        <r>
          <rPr>
            <sz val="9"/>
            <color indexed="81"/>
            <rFont val="Tahoma"/>
            <family val="2"/>
          </rPr>
          <t xml:space="preserve">Obrigatório quando impressão on-line, TIPO-IMPRESSAO = I </t>
        </r>
      </text>
    </comment>
    <comment ref="G30" authorId="1" shapeId="0" xr:uid="{00000000-0006-0000-0000-000004000000}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  <comment ref="G32" authorId="0" shapeId="0" xr:uid="{00000000-0006-0000-0000-000005000000}">
      <text>
        <r>
          <rPr>
            <sz val="9"/>
            <color indexed="81"/>
            <rFont val="Tahoma"/>
            <family val="2"/>
          </rPr>
          <t>Estes documentos não têm identificação de mediador (São dirigidos sempre ao cliente)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8" authorId="1" shapeId="0" xr:uid="{00000000-0006-0000-0000-000006000000}">
      <text>
        <r>
          <rPr>
            <sz val="9"/>
            <color indexed="81"/>
            <rFont val="Tahoma"/>
            <family val="2"/>
          </rPr>
          <t xml:space="preserve">Obrigatório para a carta de rejeição de débito RDEB
</t>
        </r>
      </text>
    </comment>
    <comment ref="J49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Parágrafo "O prémio não foi cobrado"</t>
        </r>
        <r>
          <rPr>
            <sz val="9"/>
            <color indexed="81"/>
            <rFont val="Tahoma"/>
            <family val="2"/>
          </rPr>
          <t xml:space="preserve">
Não foi possível efetuar o débito na sua conta bancária com o IBAN 9999 pelo motivo de XXX
</t>
        </r>
        <r>
          <rPr>
            <b/>
            <sz val="9"/>
            <color indexed="81"/>
            <rFont val="Tahoma"/>
            <family val="2"/>
          </rPr>
          <t>Parágrafo "Ativação da Autorizaçãode Débito Direto"</t>
        </r>
        <r>
          <rPr>
            <sz val="9"/>
            <color indexed="81"/>
            <rFont val="Tahoma"/>
            <family val="2"/>
          </rPr>
          <t xml:space="preserve">
Caso pretenda a alteração do IBAN associado à cobrança dos prémios desta apólice, anexamos a Autorização de Débito Direto (ADD), a qual, depois de preenchida e assinada, deverá ser enviada por remessa livre (não necessita de selo), para a morada:  
XXXXXXXX
XXXXXXXX
XXXXXXXX
Poderá ainda entregar em qualquer uma das nossas Agências, ou se preferir, enviá-la por e-mal utilizando o endereço indicado abaixo. (para FM, IB e Eurobic)
Poderá ainda entregar em qualquer Agência da Caixa, ou se preferir, enviá-la por e-mail utilizando o endereço indicado abaixo.  (Caixa Poupança)
Poderá ainda enviá-la por e-mail, utilizando o endereço indicado abaixo  (para as restantes companhias)                                  
             </t>
        </r>
      </text>
    </comment>
    <comment ref="J50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Parágrafo "O prémio não foi cobrado"</t>
        </r>
        <r>
          <rPr>
            <sz val="9"/>
            <color indexed="81"/>
            <rFont val="Tahoma"/>
            <family val="2"/>
          </rPr>
          <t xml:space="preserve">
Não foi possível efetuar o débito na sua conta banária com o IBAN 999 porque as instruções de autorização de Débito Direto (ADD), relatoivas à periodicidade de cobrança do prémio desta apólice, não o permitiram.
</t>
        </r>
        <r>
          <rPr>
            <b/>
            <sz val="9"/>
            <color indexed="81"/>
            <rFont val="Tahoma"/>
            <family val="2"/>
          </rPr>
          <t>Parágrafo "Ativação da Autorizaçãode Débito Direto"</t>
        </r>
        <r>
          <rPr>
            <sz val="9"/>
            <color indexed="81"/>
            <rFont val="Tahoma"/>
            <family val="2"/>
          </rPr>
          <t xml:space="preserve">
Para poder continuar a pagar os prémios do seu seguro por Débito Direto. Contacte o seu Banco para efetuar esta alteração.                           </t>
        </r>
      </text>
    </comment>
    <comment ref="G51" authorId="1" shapeId="0" xr:uid="{00000000-0006-0000-0000-000009000000}">
      <text>
        <r>
          <rPr>
            <sz val="9"/>
            <color indexed="81"/>
            <rFont val="Tahoma"/>
            <family val="2"/>
          </rPr>
          <t xml:space="preserve">Obrigatório para a carta de rejeição de débito (RDEB)
</t>
        </r>
      </text>
    </comment>
    <comment ref="G52" authorId="1" shapeId="0" xr:uid="{00000000-0006-0000-0000-00000A000000}">
      <text>
        <r>
          <rPr>
            <sz val="9"/>
            <color indexed="81"/>
            <rFont val="Tahoma"/>
            <family val="2"/>
          </rPr>
          <t xml:space="preserve">Obrigatório para a carta de rejeição de débito (RDEB)
</t>
        </r>
      </text>
    </comment>
    <comment ref="G53" authorId="1" shapeId="0" xr:uid="{00000000-0006-0000-0000-00000B000000}">
      <text>
        <r>
          <rPr>
            <sz val="9"/>
            <color indexed="81"/>
            <rFont val="Tahoma"/>
            <family val="2"/>
          </rPr>
          <t xml:space="preserve">Obrigatório para as cartas Poupança Auto (RESG e IMPR)
</t>
        </r>
      </text>
    </comment>
    <comment ref="G54" authorId="0" shapeId="0" xr:uid="{00000000-0006-0000-0000-00000C000000}">
      <text>
        <r>
          <rPr>
            <sz val="9"/>
            <color indexed="81"/>
            <rFont val="Tahoma"/>
            <family val="2"/>
          </rPr>
          <t>Obrigatório para a carta de rejeição de débito (RDEB), para a carta de impossiblidade de cobrança (IMPC), e, impossibilidade de resgate (IMPR)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6" authorId="0" shapeId="0" xr:uid="{00000000-0006-0000-0000-00000D000000}">
      <text>
        <r>
          <rPr>
            <sz val="9"/>
            <color indexed="81"/>
            <rFont val="Tahoma"/>
            <family val="2"/>
          </rPr>
          <t>Obrigatório para a carta de impossibilidade de resgate (IMPR)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7" authorId="1" shapeId="0" xr:uid="{00000000-0006-0000-0000-00000E000000}">
      <text>
        <r>
          <rPr>
            <sz val="9"/>
            <color indexed="81"/>
            <rFont val="Tahoma"/>
            <family val="2"/>
          </rPr>
          <t>Obrigatório para a carta comprovativo de resgate Poupança Auto (RESG)</t>
        </r>
      </text>
    </comment>
    <comment ref="G78" authorId="0" shapeId="0" xr:uid="{00000000-0006-0000-0000-00000F000000}">
      <text>
        <r>
          <rPr>
            <sz val="9"/>
            <color indexed="81"/>
            <rFont val="Tahoma"/>
            <family val="2"/>
          </rPr>
          <t>Obrigatório para a carta de rejeição de débito (RDEB), para a carta de impossiblidade de cobrança (IMPC), e, impossibilidade de resgate (IMPR)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3" authorId="1" shapeId="0" xr:uid="{00000000-0006-0000-0000-000010000000}">
      <text>
        <r>
          <rPr>
            <sz val="9"/>
            <color indexed="81"/>
            <rFont val="Tahoma"/>
            <family val="2"/>
          </rPr>
          <t>Obrigatório para a carta de rejeição de débito (RDEB) e para a carta de impossibilidade de cobrança (IMPC)</t>
        </r>
      </text>
    </comment>
    <comment ref="G84" authorId="1" shapeId="0" xr:uid="{00000000-0006-0000-0000-000011000000}">
      <text>
        <r>
          <rPr>
            <sz val="9"/>
            <color indexed="81"/>
            <rFont val="Tahoma"/>
            <family val="2"/>
          </rPr>
          <t>Obrigatório para a carta de rejeição de débito (RDEB) e para a carta de impossibilidade de cobrança (IMPC)</t>
        </r>
      </text>
    </comment>
    <comment ref="G85" authorId="1" shapeId="0" xr:uid="{00000000-0006-0000-0000-000012000000}">
      <text>
        <r>
          <rPr>
            <sz val="9"/>
            <color indexed="81"/>
            <rFont val="Tahoma"/>
            <family val="2"/>
          </rPr>
          <t>Obrigatório para a carta de rejeição de débito (RDEB) e para a carta de impossibilidade de cobrança (IMPC)</t>
        </r>
      </text>
    </comment>
    <comment ref="G86" authorId="1" shapeId="0" xr:uid="{00000000-0006-0000-0000-000013000000}">
      <text>
        <r>
          <rPr>
            <sz val="9"/>
            <color indexed="81"/>
            <rFont val="Tahoma"/>
            <family val="2"/>
          </rPr>
          <t>Obrigatório para a carta de rejeição de débito (RDEB) e para a carta de impossibilidade de cobrança (IMPC)</t>
        </r>
      </text>
    </comment>
    <comment ref="G87" authorId="1" shapeId="0" xr:uid="{00000000-0006-0000-0000-000014000000}">
      <text>
        <r>
          <rPr>
            <sz val="9"/>
            <color indexed="81"/>
            <rFont val="Tahoma"/>
            <family val="2"/>
          </rPr>
          <t>Obrigatório para a carta de rejeição de débito (RDEB) e para a carta de impossibilidade de cobrança (IMPC)</t>
        </r>
      </text>
    </comment>
    <comment ref="G89" authorId="1" shapeId="0" xr:uid="{00000000-0006-0000-0000-000015000000}">
      <text>
        <r>
          <rPr>
            <sz val="9"/>
            <color indexed="81"/>
            <rFont val="Tahoma"/>
            <family val="2"/>
          </rPr>
          <t xml:space="preserve">Obrigatório para a carta de rejeição de débito (RDEB), para a carta de impossiblidade de cobrança (IMPC), e, impossibilidade de resgate (IMPR)
</t>
        </r>
      </text>
    </comment>
    <comment ref="G90" authorId="1" shapeId="0" xr:uid="{00000000-0006-0000-0000-000016000000}">
      <text>
        <r>
          <rPr>
            <sz val="9"/>
            <color indexed="81"/>
            <rFont val="Tahoma"/>
            <family val="2"/>
          </rPr>
          <t xml:space="preserve">Obrigatório para a carta de rejeição de débito (RDEB), para a carta de impossiblidade de cobrança (IMPC), e, impossibilidade de resgate (IMPR)
</t>
        </r>
      </text>
    </comment>
  </commentList>
</comments>
</file>

<file path=xl/sharedStrings.xml><?xml version="1.0" encoding="utf-8"?>
<sst xmlns="http://schemas.openxmlformats.org/spreadsheetml/2006/main" count="371" uniqueCount="250">
  <si>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</si>
  <si>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</si>
  <si>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</si>
  <si>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</si>
  <si>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</si>
  <si>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</si>
  <si>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</si>
  <si>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</si>
  <si>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</si>
  <si>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</si>
  <si>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</si>
  <si>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</si>
  <si>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</si>
  <si>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</si>
  <si>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Nome do banco</t>
  </si>
  <si>
    <t>Entidade</t>
  </si>
  <si>
    <t>Referência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</si>
  <si>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</si>
  <si>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</si>
  <si>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</si>
  <si>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</si>
  <si>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</si>
  <si>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</si>
  <si>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</si>
  <si>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</si>
  <si>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</si>
  <si>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IBAN (SEPA)</t>
  </si>
  <si>
    <t>SWIFT (SEPA)</t>
  </si>
  <si>
    <t>Total: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</si>
  <si>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</si>
  <si>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</si>
  <si>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</si>
  <si>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</si>
  <si>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</si>
  <si>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</si>
  <si>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</si>
  <si>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</si>
  <si>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</si>
  <si>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</si>
  <si>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</si>
  <si>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 xml:space="preserve">  07  :PREFIX:-COD-DOCUMENTO            PIC X(04).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</si>
  <si>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</si>
  <si>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</si>
  <si>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</si>
  <si>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</si>
  <si>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</si>
  <si>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</si>
  <si>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</si>
  <si>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</si>
  <si>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</si>
  <si>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</si>
  <si>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</si>
  <si>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</si>
  <si>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</si>
  <si>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</si>
  <si>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    88  :PREFIX:-REG-TIPO2                VALUE '2'.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</si>
  <si>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</si>
  <si>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</si>
  <si>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</si>
  <si>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</si>
  <si>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</si>
  <si>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</si>
  <si>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</si>
  <si>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 xml:space="preserve">  07  :PREFIX:-IND-FLYER                PIC X(01).</t>
  </si>
  <si>
    <t xml:space="preserve">    09  :PREFIX:-COD-MOEDA              PIC X(03).</t>
  </si>
  <si>
    <t xml:space="preserve">  07  :PREFIX:-DADOS-CLIENTE.</t>
  </si>
  <si>
    <t xml:space="preserve">    09  :PREFIX:-CL-NOME                PIC X(40).</t>
  </si>
  <si>
    <t xml:space="preserve">    09  :PREFIX:-CL-LOCATION-REF        PIC X(04).</t>
  </si>
  <si>
    <t xml:space="preserve">    09  :PREFIX:-CL-MORADA1             PIC X(40).</t>
  </si>
  <si>
    <t xml:space="preserve">    09  :PREFIX:-CL-MORADA2             PIC X(40).</t>
  </si>
  <si>
    <t xml:space="preserve">    09  :PREFIX:-CL-LOCALIDADE          PIC X(40).</t>
  </si>
  <si>
    <t xml:space="preserve">    09  :PREFIX:-CL-CPOSTAL             PIC X(09).</t>
  </si>
  <si>
    <t xml:space="preserve">    09  :PREFIX:-CL-CPOSTAL-DESC        PIC X(40).</t>
  </si>
  <si>
    <t xml:space="preserve">    09  :PREFIX:-CL-TIPO-ENTIDADE       PIC X(01).</t>
  </si>
  <si>
    <t xml:space="preserve">  07  :PREFIX:-DADOS-DATA.</t>
  </si>
  <si>
    <t xml:space="preserve">  07  :PREFIX:-DADOS-PAGAMENTO.</t>
  </si>
  <si>
    <t xml:space="preserve">    09  :PREFIX:-PG-ATM.</t>
  </si>
  <si>
    <t xml:space="preserve">      11  :PREFIX:-ATM-ENTIDADE         PIC X(05).</t>
  </si>
  <si>
    <t xml:space="preserve">      11  :PREFIX:-ATM-REF              PIC X(09).</t>
  </si>
  <si>
    <t xml:space="preserve">  07  :PREFIX:-USERID                   PIC X(08).</t>
  </si>
  <si>
    <t>User Id da impressão OnLine</t>
  </si>
  <si>
    <t xml:space="preserve">  07  :PREFIX:-AUX-MARCA                PIC X(01).</t>
  </si>
  <si>
    <t xml:space="preserve">      88  :PREFIX:-MAR-LEVE                 VALUE 'L'.</t>
  </si>
  <si>
    <t xml:space="preserve">        88  :PREFIX:-CL-ENT-PARTICUL        VALUE '1'.</t>
  </si>
  <si>
    <t xml:space="preserve">        88  :PREFIX:-CL-ENT-COLETIVA        VALUE '2'.</t>
  </si>
  <si>
    <t xml:space="preserve">     '1' - Pessoa / Particular</t>
  </si>
  <si>
    <t xml:space="preserve">     '2' - Colectivo/Conta Interna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</si>
  <si>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</si>
  <si>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</si>
  <si>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</si>
  <si>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</si>
  <si>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</si>
  <si>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>Código do País (Se estrangeiro, diferente de 620)</t>
  </si>
  <si>
    <t xml:space="preserve">    09  :PREFIX:-CL-CPAIS               PIC X(03).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</si>
  <si>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</si>
  <si>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</si>
  <si>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</si>
  <si>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</si>
  <si>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 xml:space="preserve">     '002' - Fidelidade</t>
  </si>
  <si>
    <t xml:space="preserve">      88  :PREFIX:-MAR-FIDELIDADE           VALUE '002'.</t>
  </si>
  <si>
    <t xml:space="preserve">     'L' - Leve (Substitui 'L02' - FM Leve / 
                         'L03' - IB Leve, apenas para marca 002 ou 003)</t>
  </si>
  <si>
    <t xml:space="preserve">    09  :PREFIX:-PG-CONTA.</t>
  </si>
  <si>
    <t xml:space="preserve">      11  :PREFIX:-CNT-IBAN             PIC X(34).</t>
  </si>
  <si>
    <t xml:space="preserve">      11  :PREFIX:-CNT-SWIFT            PIC X(11).</t>
  </si>
  <si>
    <t xml:space="preserve">    09  :PREFIX:-COD-PRODUTO            PIC X(10).</t>
  </si>
  <si>
    <t xml:space="preserve">    09  :PREFIX:-CL-NIF                 PIC X(22).</t>
  </si>
  <si>
    <t>Número de identificação fiscal (No caso de Portugal será PT999999999)</t>
  </si>
  <si>
    <t xml:space="preserve">      11  :PREFIX:-CNT-NOME-BANCO       PIC X(60).</t>
  </si>
  <si>
    <t xml:space="preserve">      88  :PREFIX:-COM-IMPERIO              VALUE '138'.</t>
  </si>
  <si>
    <t xml:space="preserve">     '138' - Império</t>
  </si>
  <si>
    <t xml:space="preserve">      88  :PREFIX:-MAR-IMPERIO              VALUE '003'.</t>
  </si>
  <si>
    <t xml:space="preserve">     '003' - Imperio</t>
  </si>
  <si>
    <t xml:space="preserve">     '004' - ICI</t>
  </si>
  <si>
    <t xml:space="preserve">      88  :PREFIX:-MAR-ICI                  VALUE '004'.</t>
  </si>
  <si>
    <t xml:space="preserve">    09  :PREFIX:-DESCR-RAMO-PROD        PIC X(40).</t>
  </si>
  <si>
    <t>Descritivo do Ramo / Produto</t>
  </si>
  <si>
    <t>Observações</t>
  </si>
  <si>
    <t xml:space="preserve">      88  :PREFIX:-REG-TIPO3                VALUE '3'.</t>
  </si>
  <si>
    <t xml:space="preserve">  07  :PREFIX:-DADOS-VALOR.</t>
  </si>
  <si>
    <t xml:space="preserve">     'RDEB' - Carta rejeição de débito</t>
  </si>
  <si>
    <t xml:space="preserve">     'IMPC' - Carta impossibilidade de cobrança</t>
  </si>
  <si>
    <t xml:space="preserve">     '1' - Carta de Pagamento</t>
  </si>
  <si>
    <t xml:space="preserve">     'FCS' - FCS</t>
  </si>
  <si>
    <t xml:space="preserve">      88  :PREFIX:-ORI-FCS                  VALUE 'FCS'.</t>
  </si>
  <si>
    <t xml:space="preserve">  07  :PREFIX:-DADOS-CARTA-PAG.</t>
  </si>
  <si>
    <t xml:space="preserve">    09  :PREFIX:-DT-RESGATE             PIC X(08).</t>
  </si>
  <si>
    <t>Data limite de pagamento [aaaammdd]</t>
  </si>
  <si>
    <t>Valor em divida ou resgatado</t>
  </si>
  <si>
    <t>Tipo de Carta</t>
  </si>
  <si>
    <t xml:space="preserve">      88  :PREFIX:-TIPO-A1                  VALUE 'A1'.</t>
  </si>
  <si>
    <t xml:space="preserve">      88  :PREFIX:-TIPO-B1                  VALUE 'B1'.</t>
  </si>
  <si>
    <t xml:space="preserve">Código de Produto </t>
  </si>
  <si>
    <t>Código do Ramo SO</t>
  </si>
  <si>
    <t xml:space="preserve">  07  :PREFIX:-FILLER</t>
  </si>
  <si>
    <t>RESG</t>
  </si>
  <si>
    <t>BGOW9021</t>
  </si>
  <si>
    <t>BGOW9022</t>
  </si>
  <si>
    <t>BGOW9045</t>
  </si>
  <si>
    <t>BGOW9046</t>
  </si>
  <si>
    <t>Obrigatório</t>
  </si>
  <si>
    <t>Condicional</t>
  </si>
  <si>
    <t>Opcional</t>
  </si>
  <si>
    <t>Data emissão da carta [aaaammdd]</t>
  </si>
  <si>
    <t xml:space="preserve">     'RESG' - Carta comprovativo de resgate Poupança Auto</t>
  </si>
  <si>
    <t>Não utilizado</t>
  </si>
  <si>
    <t>RDEB</t>
  </si>
  <si>
    <t>IMPC</t>
  </si>
  <si>
    <t>RNOK</t>
  </si>
  <si>
    <t xml:space="preserve">      88  :PREFIX:-DOC-CRT-IMPRESG         VALUE 'IMPR'.</t>
  </si>
  <si>
    <t xml:space="preserve">      88  :PREFIX:-DOC-CRT-REJDEB          VALUE 'RDEB'.</t>
  </si>
  <si>
    <t xml:space="preserve">      88  :PREFIX:-DOC-CRT-IMPCOB          VALUE 'IMPC'.</t>
  </si>
  <si>
    <t>F160-XX-COMPANHIA</t>
  </si>
  <si>
    <t>F164-68-COMPANHIA</t>
  </si>
  <si>
    <t>F163-67-COMPANHIA</t>
  </si>
  <si>
    <t>F161-99-C-MARC-SGRA-RCIB</t>
  </si>
  <si>
    <t>F160-XX-MARCA</t>
  </si>
  <si>
    <t>F164-68-MARCA</t>
  </si>
  <si>
    <t>F163-67-MARCA</t>
  </si>
  <si>
    <t>X</t>
  </si>
  <si>
    <t>F160-XX-CLIENTE</t>
  </si>
  <si>
    <t>F164-68-CLIENTE</t>
  </si>
  <si>
    <t>F163-67-CLIENTE</t>
  </si>
  <si>
    <t>F161-99-CLIENTE</t>
  </si>
  <si>
    <t>F161-XX-N-APOLICE</t>
  </si>
  <si>
    <t>F160-61-N-APOLICE</t>
  </si>
  <si>
    <t>F164-68-N-APOLICE</t>
  </si>
  <si>
    <t>F163-67-N-APOLICE</t>
  </si>
  <si>
    <t>F163-67-NOME-MAPA</t>
  </si>
  <si>
    <t>F161-XX-NOME-MAPA</t>
  </si>
  <si>
    <t>F160-XX-NOME-MAPA</t>
  </si>
  <si>
    <t>F164-68-NOME-MAPA</t>
  </si>
  <si>
    <t>F161-99-DS-MOTIVO</t>
  </si>
  <si>
    <t>F164-68-N-APOLICE-GIS</t>
  </si>
  <si>
    <t>F160-61-TP-CARTA</t>
  </si>
  <si>
    <t>F160-61-CD-RAMO</t>
  </si>
  <si>
    <t>F161-XX-CD-RAMO</t>
  </si>
  <si>
    <t>F160-61-DS-RAMO</t>
  </si>
  <si>
    <t>F161-XX-DS-RAMO</t>
  </si>
  <si>
    <t>F161-XX-ID-CREDOR</t>
  </si>
  <si>
    <t>F160-61-ID-CREDOR</t>
  </si>
  <si>
    <t>F161-XX-NOME-ENTIDADE</t>
  </si>
  <si>
    <t>F160-XX-NOME-ENTIDADE</t>
  </si>
  <si>
    <t>F164-68-NOME-ENTIDADE</t>
  </si>
  <si>
    <t>F163-67-COD-POSTAL-CLIENTE</t>
  </si>
  <si>
    <t>F164-68-COD-POSTAL-CLIENTE</t>
  </si>
  <si>
    <t>F160-XX-CODIGO-BARRAS</t>
  </si>
  <si>
    <t>F161-XX-CODIGO-BARRAS</t>
  </si>
  <si>
    <t>F161-XX-DT-CARTA</t>
  </si>
  <si>
    <t>F160-XX-DT-CARTA</t>
  </si>
  <si>
    <t>F164-68-DT-CARTA</t>
  </si>
  <si>
    <t>F163-67-DT-CARTA</t>
  </si>
  <si>
    <t>F160-61-IBAN</t>
  </si>
  <si>
    <t>F160-61-BIC-SWIFT</t>
  </si>
  <si>
    <t>F160-61-ENTIDADE-ATM</t>
  </si>
  <si>
    <t>F163-67-ENTIDADE-ATM</t>
  </si>
  <si>
    <t>F163-67-REFERENCIA-ATM</t>
  </si>
  <si>
    <t>F160-61-REFERENCIA-ATM</t>
  </si>
  <si>
    <t>F163-67-NOME-ENTIDADE</t>
  </si>
  <si>
    <t>F160-XX-MORADA-1</t>
  </si>
  <si>
    <t>F164-68-DT-RESGATE</t>
  </si>
  <si>
    <t>F161-XX-DT-DEVIDO</t>
  </si>
  <si>
    <t>F163-67-DT-PAGAMENTO</t>
  </si>
  <si>
    <t>F163-67-DT-DEVIDO</t>
  </si>
  <si>
    <t>F163-67-VALOR-ATM</t>
  </si>
  <si>
    <t>F160-61-M-RECIBO</t>
  </si>
  <si>
    <t>F164-68-M-VALOR RESGATE</t>
  </si>
  <si>
    <t>F161-XX-M-RECIBO</t>
  </si>
  <si>
    <t>F160-XX-MORADA-2</t>
  </si>
  <si>
    <t>F161-XX-MORADA-1</t>
  </si>
  <si>
    <t>F161-XX-MORADA-2</t>
  </si>
  <si>
    <t>F163-67-MORADA-1</t>
  </si>
  <si>
    <t>F163-67-MORADA-2</t>
  </si>
  <si>
    <t>F164-68-MORADA-1</t>
  </si>
  <si>
    <t>F164-68-MORADA-2</t>
  </si>
  <si>
    <t>Falha ADD - Mudança de periodicidade</t>
  </si>
  <si>
    <t>Falha ADD - Outros motivos</t>
  </si>
  <si>
    <t xml:space="preserve">      88  :PREFIX:-DOC-CRT-RESG            VALUE 'RESG'.</t>
  </si>
  <si>
    <t xml:space="preserve">     'IMPR' - Carta impossibilidade de cobrança Poupança Auto</t>
  </si>
  <si>
    <t>F160-DS-MOTIVO</t>
  </si>
  <si>
    <t>Número da apólice Poupança Auto</t>
  </si>
  <si>
    <t>Identificação do credor (SEPA)</t>
  </si>
  <si>
    <t xml:space="preserve">      11  :PREFIX:-DEB-ADD              PIC X(11).</t>
  </si>
  <si>
    <t>Número da ADD</t>
  </si>
  <si>
    <t xml:space="preserve">    09  :PREFIX:-VLR-PAGAMENTO          PIC S9(12)V9(02)
                                   SIGN LEADING SEPARATE.</t>
  </si>
  <si>
    <t xml:space="preserve">    09  :PREFIX:-DT-LIMITE-PAG          PIC X(08).</t>
  </si>
  <si>
    <t xml:space="preserve">    09  :PREFIX:-DT-CARTA               PIC X(08).</t>
  </si>
  <si>
    <t xml:space="preserve">    09  :PREFIX:-NR-APOLICE-SO          PIC X(16).</t>
  </si>
  <si>
    <t xml:space="preserve">    09  :PREFIX:-TIPO-CARTA             PIC X(02).</t>
  </si>
  <si>
    <t xml:space="preserve">      11  :PREFIX:-ID-CREDOR            PIC X(35).</t>
  </si>
  <si>
    <t>F163-67-N-APCE-GIS</t>
  </si>
  <si>
    <t xml:space="preserve">    09  :PREFIX:-COD-MOTIVO             PIC X(04).</t>
  </si>
  <si>
    <t>Código do motivo de rejeição SEPA</t>
  </si>
  <si>
    <t>Descritivo do motivo de rejeição SEPA</t>
  </si>
  <si>
    <t xml:space="preserve">      88  :PREFIX:-ORI-SGF-GR               VALUE 'SPG'.</t>
  </si>
  <si>
    <t xml:space="preserve">      88  :PREFIX:-ORI-SGF-IN               VALUE 'SPA'.</t>
  </si>
  <si>
    <t xml:space="preserve">      88  :PREFIX:-ORI-FGS                  VALUE 'FGS'.</t>
  </si>
  <si>
    <t xml:space="preserve">     'FGS' - FGS</t>
  </si>
  <si>
    <t xml:space="preserve">     'SPG' - SGF-GR</t>
  </si>
  <si>
    <t xml:space="preserve">     'SPA' - SGF-IN</t>
  </si>
  <si>
    <t xml:space="preserve">    09  :PREFIX:-DESCR-MOTIVO           PIC X(60).</t>
  </si>
  <si>
    <t xml:space="preserve">    09  :PREFIX:-COD-RAMO               PIC X(10).</t>
  </si>
  <si>
    <r>
      <t xml:space="preserve">Número do Recibo </t>
    </r>
    <r>
      <rPr>
        <sz val="11"/>
        <color rgb="FFFF0000"/>
        <rFont val="Calibri"/>
        <family val="2"/>
        <scheme val="minor"/>
      </rPr>
      <t>[Garantir que no máximo vem 11 posições Vida / 10 posições nos restantes]</t>
    </r>
  </si>
  <si>
    <t>&lt;NEW&gt;</t>
  </si>
  <si>
    <t xml:space="preserve">    09  :PREFIX:-NR-RECIBO-SO           PIC X(16).</t>
  </si>
  <si>
    <t>Data vencimento [aaaammdd]</t>
  </si>
  <si>
    <t>Data de resgate [aaaammdd]</t>
  </si>
  <si>
    <t xml:space="preserve">    09  :PREFIX:-DT-VENCIMENTO          PIC X(08).</t>
  </si>
  <si>
    <t xml:space="preserve">      88  :PREFIX:-MAR-EUROBIC              VALUE '028'.</t>
  </si>
  <si>
    <t xml:space="preserve">     '028' - Eurobic</t>
  </si>
  <si>
    <t>05  :PREFIX:-DADOS-DOCUMENTO            PIC X(2906).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</si>
</sst>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2" borderId="3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0" fillId="5" borderId="0" xfId="0" applyFill="1"/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10" borderId="1" xfId="0" applyFill="1" applyBorder="1"/>
    <xf numFmtId="0" fontId="2" fillId="10" borderId="2" xfId="0" applyFont="1" applyFill="1" applyBorder="1"/>
    <xf numFmtId="0" fontId="3" fillId="10" borderId="2" xfId="0" applyFont="1" applyFill="1" applyBorder="1"/>
    <xf numFmtId="0" fontId="0" fillId="10" borderId="2" xfId="0" applyFill="1" applyBorder="1"/>
    <xf numFmtId="0" fontId="0" fillId="1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B1" workbookViewId="0">
      <pane ySplit="2" topLeftCell="A21" activePane="bottomLeft" state="frozen"/>
      <selection pane="bottomLeft" activeCell="D29" sqref="D29"/>
    </sheetView>
  </sheetViews>
  <sheetFormatPr defaultRowHeight="15" x14ac:dyDescent="0.25"/>
  <cols>
    <col min="1" max="1" width="1.7109375" customWidth="1"/>
    <col min="2" max="2" width="91.42578125" bestFit="1" customWidth="1"/>
    <col min="3" max="3" width="7.7109375" bestFit="1" customWidth="1"/>
    <col min="4" max="4" width="62.85546875" customWidth="1"/>
    <col min="5" max="5" width="9.140625" customWidth="1"/>
    <col min="6" max="6" width="9.140625" bestFit="1" customWidth="1"/>
    <col min="7" max="7" width="12.7109375" style="27" bestFit="1" customWidth="1"/>
    <col min="8" max="8" width="1.7109375" customWidth="1"/>
    <col min="9" max="9" width="20.5703125" bestFit="1" customWidth="1"/>
    <col min="10" max="10" width="24.28515625" style="49" bestFit="1" customWidth="1"/>
    <col min="11" max="11" width="26.28515625" style="49" bestFit="1" customWidth="1"/>
    <col min="12" max="13" width="28" style="49" bestFit="1" customWidth="1"/>
  </cols>
  <sheetData>
    <row r="1" spans="2:13" ht="9" customHeight="1" x14ac:dyDescent="0.25"/>
    <row r="2" spans="2:13" x14ac:dyDescent="0.25">
      <c r="B2" s="1" t="s">
        <v>2</v>
      </c>
      <c r="C2" s="1" t="s">
        <v>29</v>
      </c>
      <c r="D2" s="1" t="s">
        <v>31</v>
      </c>
      <c r="E2" s="32" t="s">
        <v>0</v>
      </c>
      <c r="F2" s="32" t="s">
        <v>1</v>
      </c>
      <c r="G2" s="28" t="s">
        <v>116</v>
      </c>
      <c r="I2" s="33"/>
      <c r="J2" s="49" t="s">
        <v>135</v>
      </c>
      <c r="K2" s="49" t="s">
        <v>136</v>
      </c>
      <c r="L2" s="49" t="s">
        <v>137</v>
      </c>
      <c r="M2" s="49" t="s">
        <v>138</v>
      </c>
    </row>
    <row r="3" spans="2:13" x14ac:dyDescent="0.25">
      <c r="B3" s="8" t="s">
        <v>17</v>
      </c>
      <c r="C3" s="9"/>
      <c r="D3" s="10"/>
      <c r="E3" s="11">
        <v>1</v>
      </c>
      <c r="F3" s="11">
        <v>0</v>
      </c>
      <c r="G3" s="29"/>
      <c r="J3" s="49" t="s">
        <v>145</v>
      </c>
      <c r="K3" s="49" t="s">
        <v>146</v>
      </c>
      <c r="L3" s="49" t="s">
        <v>147</v>
      </c>
      <c r="M3" s="49" t="s">
        <v>134</v>
      </c>
    </row>
    <row r="4" spans="2:13" x14ac:dyDescent="0.25">
      <c r="B4" s="6" t="s">
        <v>40</v>
      </c>
      <c r="C4" s="5"/>
      <c r="D4" s="17" t="s">
        <v>18</v>
      </c>
      <c r="E4" s="2">
        <f>E3+F3</f>
        <v>1</v>
      </c>
      <c r="F4" s="2">
        <v>4</v>
      </c>
      <c r="G4" s="44" t="s">
        <v>139</v>
      </c>
      <c r="J4" s="49" t="s">
        <v>169</v>
      </c>
      <c r="K4" s="49" t="s">
        <v>168</v>
      </c>
      <c r="L4" s="49" t="s">
        <v>167</v>
      </c>
      <c r="M4" s="49" t="s">
        <v>170</v>
      </c>
    </row>
    <row r="5" spans="2:13" x14ac:dyDescent="0.25">
      <c r="B5" s="6" t="s">
        <v>216</v>
      </c>
      <c r="C5" s="5"/>
      <c r="D5" s="17" t="s">
        <v>143</v>
      </c>
      <c r="E5" s="2"/>
      <c r="F5" s="2"/>
      <c r="G5" s="34"/>
    </row>
    <row r="6" spans="2:13" x14ac:dyDescent="0.25">
      <c r="B6" s="6" t="s">
        <v>148</v>
      </c>
      <c r="C6" s="5"/>
      <c r="D6" s="17" t="s">
        <v>217</v>
      </c>
      <c r="E6" s="2"/>
      <c r="F6" s="2"/>
      <c r="G6" s="34"/>
    </row>
    <row r="7" spans="2:13" x14ac:dyDescent="0.25">
      <c r="B7" s="6" t="s">
        <v>149</v>
      </c>
      <c r="C7" s="5"/>
      <c r="D7" s="17" t="s">
        <v>119</v>
      </c>
      <c r="E7" s="2"/>
      <c r="F7" s="2"/>
      <c r="G7" s="34"/>
    </row>
    <row r="8" spans="2:13" x14ac:dyDescent="0.25">
      <c r="B8" s="6" t="s">
        <v>150</v>
      </c>
      <c r="C8" s="5"/>
      <c r="D8" s="17" t="s">
        <v>120</v>
      </c>
      <c r="E8" s="2"/>
      <c r="F8" s="2"/>
      <c r="G8" s="34"/>
    </row>
    <row r="9" spans="2:13" x14ac:dyDescent="0.25">
      <c r="B9" s="6" t="s">
        <v>53</v>
      </c>
      <c r="C9" s="5"/>
      <c r="D9" s="4" t="s">
        <v>41</v>
      </c>
      <c r="E9" s="2">
        <f>E4+F4</f>
        <v>5</v>
      </c>
      <c r="F9" s="4">
        <v>1</v>
      </c>
      <c r="G9" s="44" t="s">
        <v>139</v>
      </c>
    </row>
    <row r="10" spans="2:13" x14ac:dyDescent="0.25">
      <c r="B10" s="6" t="s">
        <v>54</v>
      </c>
      <c r="C10" s="5"/>
      <c r="D10" s="4" t="s">
        <v>121</v>
      </c>
      <c r="E10" s="2"/>
      <c r="F10" s="4"/>
      <c r="G10" s="34"/>
    </row>
    <row r="11" spans="2:13" x14ac:dyDescent="0.25">
      <c r="B11" s="6" t="s">
        <v>55</v>
      </c>
      <c r="C11" s="5"/>
      <c r="D11" s="4"/>
      <c r="E11" s="2"/>
      <c r="F11" s="4"/>
      <c r="G11" s="47" t="s">
        <v>144</v>
      </c>
    </row>
    <row r="12" spans="2:13" x14ac:dyDescent="0.25">
      <c r="B12" s="6" t="s">
        <v>117</v>
      </c>
      <c r="C12" s="5"/>
      <c r="D12" s="4"/>
      <c r="E12" s="2"/>
      <c r="F12" s="4"/>
      <c r="G12" s="47" t="s">
        <v>144</v>
      </c>
    </row>
    <row r="13" spans="2:13" x14ac:dyDescent="0.25">
      <c r="B13" s="6" t="s">
        <v>42</v>
      </c>
      <c r="C13" s="5"/>
      <c r="D13" s="17" t="s">
        <v>37</v>
      </c>
      <c r="E13" s="2">
        <f>E9+F9</f>
        <v>6</v>
      </c>
      <c r="F13" s="2">
        <v>1</v>
      </c>
      <c r="G13" s="44" t="s">
        <v>139</v>
      </c>
    </row>
    <row r="14" spans="2:13" x14ac:dyDescent="0.25">
      <c r="B14" s="6" t="s">
        <v>43</v>
      </c>
      <c r="C14" s="5"/>
      <c r="D14" s="17" t="s">
        <v>38</v>
      </c>
      <c r="E14" s="2"/>
      <c r="F14" s="2"/>
      <c r="G14" s="34"/>
    </row>
    <row r="15" spans="2:13" x14ac:dyDescent="0.25">
      <c r="B15" s="6" t="s">
        <v>44</v>
      </c>
      <c r="C15" s="5"/>
      <c r="D15" s="17" t="s">
        <v>39</v>
      </c>
      <c r="E15" s="2"/>
      <c r="F15" s="2"/>
      <c r="G15" s="34"/>
    </row>
    <row r="16" spans="2:13" x14ac:dyDescent="0.25">
      <c r="B16" s="6" t="s">
        <v>79</v>
      </c>
      <c r="C16" s="5"/>
      <c r="D16" s="4" t="s">
        <v>80</v>
      </c>
      <c r="E16" s="2">
        <f>E13+F13</f>
        <v>7</v>
      </c>
      <c r="F16" s="4">
        <v>8</v>
      </c>
      <c r="G16" s="45" t="s">
        <v>140</v>
      </c>
    </row>
    <row r="17" spans="2:13" x14ac:dyDescent="0.25">
      <c r="B17" s="6" t="s">
        <v>45</v>
      </c>
      <c r="C17" s="16"/>
      <c r="D17" s="17" t="s">
        <v>3</v>
      </c>
      <c r="E17" s="2">
        <f>E16+F16</f>
        <v>15</v>
      </c>
      <c r="F17" s="2">
        <v>3</v>
      </c>
      <c r="G17" s="44" t="s">
        <v>139</v>
      </c>
      <c r="J17" s="49" t="s">
        <v>151</v>
      </c>
      <c r="K17" s="48" t="s">
        <v>158</v>
      </c>
      <c r="L17" s="49" t="s">
        <v>153</v>
      </c>
      <c r="M17" s="49" t="s">
        <v>152</v>
      </c>
    </row>
    <row r="18" spans="2:13" x14ac:dyDescent="0.25">
      <c r="B18" s="6" t="s">
        <v>46</v>
      </c>
      <c r="C18" s="16"/>
      <c r="D18" s="17" t="s">
        <v>19</v>
      </c>
      <c r="E18" s="2"/>
      <c r="F18" s="2"/>
      <c r="G18" s="34"/>
    </row>
    <row r="19" spans="2:13" x14ac:dyDescent="0.25">
      <c r="B19" s="6" t="s">
        <v>47</v>
      </c>
      <c r="C19" s="16"/>
      <c r="D19" s="17" t="s">
        <v>35</v>
      </c>
      <c r="E19" s="2"/>
      <c r="F19" s="2"/>
      <c r="G19" s="34"/>
    </row>
    <row r="20" spans="2:13" x14ac:dyDescent="0.25">
      <c r="B20" s="6" t="s">
        <v>108</v>
      </c>
      <c r="C20" s="16"/>
      <c r="D20" s="17" t="s">
        <v>109</v>
      </c>
      <c r="E20" s="2"/>
      <c r="F20" s="2"/>
      <c r="G20" s="34"/>
    </row>
    <row r="21" spans="2:13" x14ac:dyDescent="0.25">
      <c r="B21" s="6" t="s">
        <v>48</v>
      </c>
      <c r="C21" s="5"/>
      <c r="D21" s="17" t="s">
        <v>20</v>
      </c>
      <c r="E21" s="4"/>
      <c r="F21" s="4"/>
      <c r="G21" s="34"/>
    </row>
    <row r="22" spans="2:13" x14ac:dyDescent="0.25">
      <c r="B22" s="6" t="s">
        <v>49</v>
      </c>
      <c r="C22" s="5"/>
      <c r="D22" s="17" t="s">
        <v>4</v>
      </c>
      <c r="E22" s="2">
        <f>E17+F17</f>
        <v>18</v>
      </c>
      <c r="F22" s="4">
        <v>3</v>
      </c>
      <c r="G22" s="44" t="s">
        <v>139</v>
      </c>
      <c r="J22" s="49" t="s">
        <v>155</v>
      </c>
      <c r="K22" s="49" t="s">
        <v>154</v>
      </c>
      <c r="L22" s="49" t="s">
        <v>157</v>
      </c>
      <c r="M22" s="49" t="s">
        <v>156</v>
      </c>
    </row>
    <row r="23" spans="2:13" x14ac:dyDescent="0.25">
      <c r="B23" s="6" t="s">
        <v>50</v>
      </c>
      <c r="C23" s="5"/>
      <c r="D23" s="17" t="s">
        <v>21</v>
      </c>
      <c r="E23" s="4"/>
      <c r="F23" s="4"/>
      <c r="G23" s="34"/>
    </row>
    <row r="24" spans="2:13" x14ac:dyDescent="0.25">
      <c r="B24" s="6" t="s">
        <v>99</v>
      </c>
      <c r="C24" s="5"/>
      <c r="D24" s="17" t="s">
        <v>98</v>
      </c>
      <c r="E24" s="4"/>
      <c r="F24" s="4"/>
      <c r="G24" s="34"/>
    </row>
    <row r="25" spans="2:13" x14ac:dyDescent="0.25">
      <c r="B25" s="6" t="s">
        <v>110</v>
      </c>
      <c r="C25" s="5"/>
      <c r="D25" s="17" t="s">
        <v>111</v>
      </c>
      <c r="E25" s="4"/>
      <c r="F25" s="4"/>
      <c r="G25" s="34"/>
    </row>
    <row r="26" spans="2:13" x14ac:dyDescent="0.25">
      <c r="B26" s="6" t="s">
        <v>113</v>
      </c>
      <c r="C26" s="5"/>
      <c r="D26" s="17" t="s">
        <v>112</v>
      </c>
      <c r="E26" s="4"/>
      <c r="F26" s="4"/>
      <c r="G26" s="34"/>
    </row>
    <row r="27" spans="2:13" x14ac:dyDescent="0.25">
      <c r="B27" s="6" t="s">
        <v>51</v>
      </c>
      <c r="C27" s="5"/>
      <c r="D27" s="17" t="s">
        <v>23</v>
      </c>
      <c r="E27" s="4"/>
      <c r="F27" s="4"/>
      <c r="G27" s="34"/>
    </row>
    <row r="28" spans="2:13" x14ac:dyDescent="0.25">
      <c r="B28" s="6" t="s">
        <v>52</v>
      </c>
      <c r="C28" s="5"/>
      <c r="D28" s="17" t="s">
        <v>22</v>
      </c>
      <c r="E28" s="4"/>
      <c r="F28" s="4"/>
      <c r="G28" s="34"/>
    </row>
    <row r="29" spans="2:13" x14ac:dyDescent="0.25">
      <c r="B29" s="6" t="s">
        <v>247</v>
      </c>
      <c r="C29" s="5"/>
      <c r="D29" s="17" t="s">
        <v>248</v>
      </c>
      <c r="E29" s="4"/>
      <c r="F29" s="4"/>
      <c r="G29" s="34"/>
    </row>
    <row r="30" spans="2:13" x14ac:dyDescent="0.25">
      <c r="B30" s="6" t="s">
        <v>81</v>
      </c>
      <c r="C30" s="5"/>
      <c r="D30" s="17"/>
      <c r="E30" s="4">
        <f>E22+F22</f>
        <v>21</v>
      </c>
      <c r="F30" s="4">
        <v>1</v>
      </c>
      <c r="G30" s="46" t="s">
        <v>141</v>
      </c>
    </row>
    <row r="31" spans="2:13" ht="30" x14ac:dyDescent="0.25">
      <c r="B31" s="19" t="s">
        <v>82</v>
      </c>
      <c r="C31" s="20"/>
      <c r="D31" s="21" t="s">
        <v>100</v>
      </c>
      <c r="E31" s="22"/>
      <c r="F31" s="22"/>
      <c r="G31" s="34"/>
    </row>
    <row r="32" spans="2:13" x14ac:dyDescent="0.25">
      <c r="B32" s="6" t="s">
        <v>56</v>
      </c>
      <c r="C32" s="5"/>
      <c r="D32" s="4" t="s">
        <v>6</v>
      </c>
      <c r="E32" s="2">
        <f>E30+F30</f>
        <v>22</v>
      </c>
      <c r="F32" s="4">
        <v>10</v>
      </c>
      <c r="G32" s="47" t="s">
        <v>144</v>
      </c>
      <c r="J32" s="48" t="s">
        <v>158</v>
      </c>
      <c r="K32" s="48" t="s">
        <v>158</v>
      </c>
      <c r="L32" s="48" t="s">
        <v>158</v>
      </c>
      <c r="M32" s="48" t="s">
        <v>158</v>
      </c>
    </row>
    <row r="33" spans="2:13" x14ac:dyDescent="0.25">
      <c r="B33" s="6" t="s">
        <v>57</v>
      </c>
      <c r="C33" s="5"/>
      <c r="D33" s="4" t="s">
        <v>7</v>
      </c>
      <c r="E33" s="2">
        <f>E32+F32</f>
        <v>32</v>
      </c>
      <c r="F33" s="4">
        <v>10</v>
      </c>
      <c r="G33" s="44" t="s">
        <v>139</v>
      </c>
      <c r="J33" s="49" t="s">
        <v>159</v>
      </c>
      <c r="K33" s="49" t="s">
        <v>162</v>
      </c>
      <c r="L33" s="49" t="s">
        <v>161</v>
      </c>
      <c r="M33" s="49" t="s">
        <v>160</v>
      </c>
    </row>
    <row r="34" spans="2:13" x14ac:dyDescent="0.25">
      <c r="B34" s="6" t="s">
        <v>58</v>
      </c>
      <c r="C34" s="5"/>
      <c r="D34" s="4" t="s">
        <v>8</v>
      </c>
      <c r="E34" s="2">
        <f>E33+F33</f>
        <v>42</v>
      </c>
      <c r="F34" s="4">
        <v>16</v>
      </c>
      <c r="G34" s="44" t="s">
        <v>139</v>
      </c>
      <c r="J34" s="49" t="s">
        <v>164</v>
      </c>
      <c r="K34" s="49" t="s">
        <v>163</v>
      </c>
      <c r="L34" s="49" t="s">
        <v>166</v>
      </c>
      <c r="M34" s="49" t="s">
        <v>165</v>
      </c>
    </row>
    <row r="35" spans="2:13" x14ac:dyDescent="0.25">
      <c r="B35" s="6" t="s">
        <v>59</v>
      </c>
      <c r="C35" s="5"/>
      <c r="D35" s="17" t="s">
        <v>5</v>
      </c>
      <c r="E35" s="2">
        <f>E34+F34</f>
        <v>58</v>
      </c>
      <c r="F35" s="4">
        <v>3</v>
      </c>
      <c r="G35" s="44" t="s">
        <v>139</v>
      </c>
      <c r="J35" s="48" t="s">
        <v>158</v>
      </c>
      <c r="K35" s="48" t="s">
        <v>158</v>
      </c>
      <c r="L35" s="48" t="s">
        <v>158</v>
      </c>
      <c r="M35" s="48" t="s">
        <v>158</v>
      </c>
    </row>
    <row r="36" spans="2:13" x14ac:dyDescent="0.25">
      <c r="B36" s="6" t="s">
        <v>87</v>
      </c>
      <c r="C36" s="5"/>
      <c r="D36" s="4" t="s">
        <v>88</v>
      </c>
      <c r="E36" s="4"/>
      <c r="F36" s="4"/>
      <c r="G36" s="30"/>
    </row>
    <row r="37" spans="2:13" x14ac:dyDescent="0.25">
      <c r="B37" s="6" t="s">
        <v>89</v>
      </c>
      <c r="C37" s="5"/>
      <c r="D37" s="4" t="s">
        <v>90</v>
      </c>
      <c r="E37" s="4"/>
      <c r="F37" s="4"/>
      <c r="G37" s="30"/>
    </row>
    <row r="38" spans="2:13" x14ac:dyDescent="0.25">
      <c r="B38" s="6" t="s">
        <v>60</v>
      </c>
      <c r="C38" s="5"/>
      <c r="D38" s="4" t="s">
        <v>24</v>
      </c>
      <c r="E38" s="4"/>
      <c r="F38" s="4"/>
      <c r="G38" s="30"/>
    </row>
    <row r="39" spans="2:13" x14ac:dyDescent="0.25">
      <c r="B39" s="6" t="s">
        <v>61</v>
      </c>
      <c r="C39" s="5"/>
      <c r="D39" s="4" t="s">
        <v>91</v>
      </c>
      <c r="E39" s="4"/>
      <c r="F39" s="4"/>
      <c r="G39" s="30"/>
    </row>
    <row r="40" spans="2:13" x14ac:dyDescent="0.25">
      <c r="B40" s="6" t="s">
        <v>62</v>
      </c>
      <c r="C40" s="5"/>
      <c r="D40" s="4" t="s">
        <v>25</v>
      </c>
      <c r="E40" s="4"/>
      <c r="F40" s="4"/>
      <c r="G40" s="30"/>
    </row>
    <row r="41" spans="2:13" x14ac:dyDescent="0.25">
      <c r="B41" s="6" t="s">
        <v>233</v>
      </c>
      <c r="C41" s="5"/>
      <c r="D41" s="4" t="s">
        <v>237</v>
      </c>
      <c r="E41" s="4"/>
      <c r="F41" s="4"/>
      <c r="G41" s="30"/>
    </row>
    <row r="42" spans="2:13" x14ac:dyDescent="0.25">
      <c r="B42" s="6" t="s">
        <v>234</v>
      </c>
      <c r="C42" s="5"/>
      <c r="D42" s="4" t="s">
        <v>238</v>
      </c>
      <c r="E42" s="4"/>
      <c r="F42" s="4"/>
      <c r="G42" s="30"/>
    </row>
    <row r="43" spans="2:13" x14ac:dyDescent="0.25">
      <c r="B43" s="6" t="s">
        <v>235</v>
      </c>
      <c r="C43" s="5"/>
      <c r="D43" s="4" t="s">
        <v>236</v>
      </c>
      <c r="E43" s="4"/>
      <c r="F43" s="4"/>
      <c r="G43" s="30"/>
    </row>
    <row r="44" spans="2:13" x14ac:dyDescent="0.25">
      <c r="B44" s="6" t="s">
        <v>123</v>
      </c>
      <c r="C44" s="5"/>
      <c r="D44" s="4" t="s">
        <v>122</v>
      </c>
      <c r="E44" s="4"/>
      <c r="F44" s="4"/>
      <c r="G44" s="30"/>
    </row>
    <row r="45" spans="2:13" x14ac:dyDescent="0.25">
      <c r="B45" s="6" t="s">
        <v>63</v>
      </c>
      <c r="C45" s="5"/>
      <c r="D45" s="4" t="s">
        <v>30</v>
      </c>
      <c r="E45" s="2">
        <f>E35+F35</f>
        <v>61</v>
      </c>
      <c r="F45" s="4">
        <v>1</v>
      </c>
      <c r="G45" s="46" t="s">
        <v>141</v>
      </c>
    </row>
    <row r="46" spans="2:13" x14ac:dyDescent="0.25">
      <c r="B46" s="8" t="s">
        <v>249</v>
      </c>
      <c r="C46" s="9"/>
      <c r="D46" s="10"/>
      <c r="E46" s="11">
        <f>E45+F45</f>
        <v>62</v>
      </c>
      <c r="F46" s="11">
        <v>2906</v>
      </c>
      <c r="G46" s="34"/>
    </row>
    <row r="47" spans="2:13" x14ac:dyDescent="0.25">
      <c r="B47" s="12" t="s">
        <v>124</v>
      </c>
      <c r="C47" s="13"/>
      <c r="D47" s="14"/>
      <c r="E47" s="15">
        <f>E46</f>
        <v>62</v>
      </c>
      <c r="F47" s="14">
        <v>0</v>
      </c>
      <c r="G47" s="34"/>
    </row>
    <row r="48" spans="2:13" x14ac:dyDescent="0.25">
      <c r="B48" s="6" t="s">
        <v>227</v>
      </c>
      <c r="C48" s="5"/>
      <c r="D48" s="4" t="s">
        <v>128</v>
      </c>
      <c r="E48" s="2">
        <f>E47+F47</f>
        <v>62</v>
      </c>
      <c r="F48" s="4">
        <v>2</v>
      </c>
      <c r="G48" s="45" t="s">
        <v>140</v>
      </c>
      <c r="J48" s="49" t="s">
        <v>173</v>
      </c>
      <c r="K48" s="48" t="s">
        <v>158</v>
      </c>
      <c r="L48" s="48" t="s">
        <v>158</v>
      </c>
      <c r="M48" s="48" t="s">
        <v>158</v>
      </c>
    </row>
    <row r="49" spans="1:13" x14ac:dyDescent="0.25">
      <c r="A49" s="6"/>
      <c r="B49" s="6" t="s">
        <v>129</v>
      </c>
      <c r="C49" s="5"/>
      <c r="D49" s="4" t="s">
        <v>215</v>
      </c>
      <c r="E49" s="4"/>
      <c r="F49" s="4"/>
      <c r="G49" s="34"/>
      <c r="J49" s="45" t="s">
        <v>140</v>
      </c>
    </row>
    <row r="50" spans="1:13" x14ac:dyDescent="0.25">
      <c r="A50" s="6"/>
      <c r="B50" s="6" t="s">
        <v>130</v>
      </c>
      <c r="C50" s="5"/>
      <c r="D50" s="4" t="s">
        <v>214</v>
      </c>
      <c r="E50" s="4"/>
      <c r="F50" s="4"/>
      <c r="G50" s="34"/>
      <c r="J50" s="45" t="s">
        <v>140</v>
      </c>
    </row>
    <row r="51" spans="1:13" x14ac:dyDescent="0.25">
      <c r="B51" s="6" t="s">
        <v>230</v>
      </c>
      <c r="C51" s="5"/>
      <c r="D51" s="4" t="s">
        <v>231</v>
      </c>
      <c r="E51" s="2">
        <f>E48+F48</f>
        <v>64</v>
      </c>
      <c r="F51" s="4">
        <v>4</v>
      </c>
      <c r="G51" s="45" t="s">
        <v>140</v>
      </c>
      <c r="L51" s="48"/>
      <c r="M51" s="48"/>
    </row>
    <row r="52" spans="1:13" x14ac:dyDescent="0.25">
      <c r="B52" s="6" t="s">
        <v>239</v>
      </c>
      <c r="C52" s="5"/>
      <c r="D52" s="4" t="s">
        <v>232</v>
      </c>
      <c r="E52" s="2">
        <f t="shared" ref="E52:E71" si="0">E51+F51</f>
        <v>68</v>
      </c>
      <c r="F52" s="52">
        <v>60</v>
      </c>
      <c r="G52" s="45" t="s">
        <v>140</v>
      </c>
      <c r="J52" s="49" t="s">
        <v>218</v>
      </c>
      <c r="K52" s="49" t="s">
        <v>171</v>
      </c>
      <c r="L52" s="48" t="s">
        <v>158</v>
      </c>
      <c r="M52" s="48" t="s">
        <v>158</v>
      </c>
    </row>
    <row r="53" spans="1:13" x14ac:dyDescent="0.25">
      <c r="B53" s="6" t="s">
        <v>226</v>
      </c>
      <c r="C53" s="5"/>
      <c r="D53" s="4" t="s">
        <v>219</v>
      </c>
      <c r="E53" s="2">
        <f t="shared" si="0"/>
        <v>128</v>
      </c>
      <c r="F53" s="4">
        <v>16</v>
      </c>
      <c r="G53" s="45" t="s">
        <v>140</v>
      </c>
      <c r="J53" s="50" t="s">
        <v>229</v>
      </c>
      <c r="K53" s="48" t="s">
        <v>158</v>
      </c>
      <c r="L53" s="48" t="s">
        <v>158</v>
      </c>
      <c r="M53" s="49" t="s">
        <v>172</v>
      </c>
    </row>
    <row r="54" spans="1:13" x14ac:dyDescent="0.25">
      <c r="B54" s="53" t="s">
        <v>243</v>
      </c>
      <c r="C54" s="54" t="s">
        <v>242</v>
      </c>
      <c r="D54" s="55" t="s">
        <v>241</v>
      </c>
      <c r="E54" s="56">
        <f t="shared" si="0"/>
        <v>144</v>
      </c>
      <c r="F54" s="55">
        <v>16</v>
      </c>
      <c r="G54" s="45" t="s">
        <v>140</v>
      </c>
      <c r="J54" s="50"/>
      <c r="K54" s="48"/>
      <c r="L54" s="48"/>
    </row>
    <row r="55" spans="1:13" x14ac:dyDescent="0.25">
      <c r="B55" s="23" t="s">
        <v>64</v>
      </c>
      <c r="C55" s="24"/>
      <c r="D55" s="25" t="s">
        <v>32</v>
      </c>
      <c r="E55" s="2">
        <f t="shared" si="0"/>
        <v>160</v>
      </c>
      <c r="F55" s="25">
        <v>3</v>
      </c>
      <c r="G55" s="44" t="s">
        <v>139</v>
      </c>
      <c r="J55" s="48" t="s">
        <v>158</v>
      </c>
      <c r="K55" s="48" t="s">
        <v>158</v>
      </c>
      <c r="L55" s="48" t="s">
        <v>158</v>
      </c>
      <c r="M55" s="48" t="s">
        <v>158</v>
      </c>
    </row>
    <row r="56" spans="1:13" x14ac:dyDescent="0.25">
      <c r="B56" s="6" t="s">
        <v>104</v>
      </c>
      <c r="C56" s="5"/>
      <c r="D56" s="4" t="s">
        <v>131</v>
      </c>
      <c r="E56" s="2">
        <f t="shared" si="0"/>
        <v>163</v>
      </c>
      <c r="F56" s="4">
        <v>10</v>
      </c>
      <c r="G56" s="44" t="s">
        <v>139</v>
      </c>
      <c r="J56" s="48" t="s">
        <v>158</v>
      </c>
      <c r="K56" s="48" t="s">
        <v>158</v>
      </c>
      <c r="L56" s="48" t="s">
        <v>158</v>
      </c>
      <c r="M56" s="48" t="s">
        <v>158</v>
      </c>
    </row>
    <row r="57" spans="1:13" x14ac:dyDescent="0.25">
      <c r="B57" s="6" t="s">
        <v>240</v>
      </c>
      <c r="C57" s="5"/>
      <c r="D57" s="4" t="s">
        <v>132</v>
      </c>
      <c r="E57" s="2">
        <f t="shared" si="0"/>
        <v>173</v>
      </c>
      <c r="F57" s="4">
        <v>10</v>
      </c>
      <c r="G57" s="44" t="s">
        <v>139</v>
      </c>
      <c r="J57" s="49" t="s">
        <v>174</v>
      </c>
      <c r="K57" s="50" t="s">
        <v>175</v>
      </c>
      <c r="L57" s="48" t="s">
        <v>158</v>
      </c>
      <c r="M57" s="48" t="s">
        <v>158</v>
      </c>
    </row>
    <row r="58" spans="1:13" s="18" customFormat="1" x14ac:dyDescent="0.25">
      <c r="B58" s="19" t="s">
        <v>114</v>
      </c>
      <c r="C58" s="20"/>
      <c r="D58" s="22" t="s">
        <v>115</v>
      </c>
      <c r="E58" s="26">
        <f t="shared" si="0"/>
        <v>183</v>
      </c>
      <c r="F58" s="22">
        <v>40</v>
      </c>
      <c r="G58" s="44" t="s">
        <v>139</v>
      </c>
      <c r="H58"/>
      <c r="I58"/>
      <c r="J58" s="51" t="s">
        <v>176</v>
      </c>
      <c r="K58" s="51" t="s">
        <v>177</v>
      </c>
      <c r="L58" s="48" t="s">
        <v>158</v>
      </c>
      <c r="M58" s="48" t="s">
        <v>158</v>
      </c>
    </row>
    <row r="59" spans="1:13" x14ac:dyDescent="0.25">
      <c r="B59" s="12" t="s">
        <v>65</v>
      </c>
      <c r="C59" s="13"/>
      <c r="D59" s="14"/>
      <c r="E59" s="15">
        <f t="shared" si="0"/>
        <v>223</v>
      </c>
      <c r="F59" s="14">
        <v>0</v>
      </c>
      <c r="G59" s="31"/>
    </row>
    <row r="60" spans="1:13" s="39" customFormat="1" x14ac:dyDescent="0.25">
      <c r="B60" s="35" t="s">
        <v>66</v>
      </c>
      <c r="C60" s="36"/>
      <c r="D60" s="37" t="s">
        <v>9</v>
      </c>
      <c r="E60" s="38">
        <f t="shared" si="0"/>
        <v>223</v>
      </c>
      <c r="F60" s="37">
        <v>40</v>
      </c>
      <c r="G60" s="44" t="s">
        <v>139</v>
      </c>
      <c r="H60"/>
      <c r="I60"/>
      <c r="J60" s="49" t="s">
        <v>181</v>
      </c>
      <c r="K60" s="49" t="s">
        <v>180</v>
      </c>
      <c r="L60" s="50" t="s">
        <v>197</v>
      </c>
      <c r="M60" s="50" t="s">
        <v>182</v>
      </c>
    </row>
    <row r="61" spans="1:13" s="39" customFormat="1" x14ac:dyDescent="0.25">
      <c r="B61" s="35" t="s">
        <v>67</v>
      </c>
      <c r="C61" s="36"/>
      <c r="D61" s="37" t="s">
        <v>33</v>
      </c>
      <c r="E61" s="38">
        <f t="shared" si="0"/>
        <v>263</v>
      </c>
      <c r="F61" s="37">
        <v>4</v>
      </c>
      <c r="G61" s="44" t="s">
        <v>139</v>
      </c>
      <c r="H61"/>
      <c r="I61"/>
      <c r="J61" s="48" t="s">
        <v>158</v>
      </c>
      <c r="K61" s="48" t="s">
        <v>158</v>
      </c>
      <c r="L61" s="48" t="s">
        <v>158</v>
      </c>
      <c r="M61" s="48" t="s">
        <v>158</v>
      </c>
    </row>
    <row r="62" spans="1:13" s="39" customFormat="1" x14ac:dyDescent="0.25">
      <c r="B62" s="35" t="s">
        <v>68</v>
      </c>
      <c r="C62" s="36"/>
      <c r="D62" s="37" t="s">
        <v>10</v>
      </c>
      <c r="E62" s="38">
        <f t="shared" si="0"/>
        <v>267</v>
      </c>
      <c r="F62" s="37">
        <v>40</v>
      </c>
      <c r="G62" s="44" t="s">
        <v>139</v>
      </c>
      <c r="H62"/>
      <c r="I62"/>
      <c r="J62" s="49" t="s">
        <v>198</v>
      </c>
      <c r="K62" s="49" t="s">
        <v>208</v>
      </c>
      <c r="L62" s="49" t="s">
        <v>210</v>
      </c>
      <c r="M62" s="49" t="s">
        <v>212</v>
      </c>
    </row>
    <row r="63" spans="1:13" s="39" customFormat="1" x14ac:dyDescent="0.25">
      <c r="B63" s="35" t="s">
        <v>69</v>
      </c>
      <c r="C63" s="36"/>
      <c r="D63" s="37" t="s">
        <v>11</v>
      </c>
      <c r="E63" s="38">
        <f t="shared" si="0"/>
        <v>307</v>
      </c>
      <c r="F63" s="37">
        <v>40</v>
      </c>
      <c r="G63" s="46" t="s">
        <v>141</v>
      </c>
      <c r="H63"/>
      <c r="I63"/>
      <c r="J63" s="49" t="s">
        <v>207</v>
      </c>
      <c r="K63" s="49" t="s">
        <v>209</v>
      </c>
      <c r="L63" s="49" t="s">
        <v>211</v>
      </c>
      <c r="M63" s="49" t="s">
        <v>213</v>
      </c>
    </row>
    <row r="64" spans="1:13" s="39" customFormat="1" x14ac:dyDescent="0.25">
      <c r="B64" s="35" t="s">
        <v>70</v>
      </c>
      <c r="C64" s="36"/>
      <c r="D64" s="37" t="s">
        <v>12</v>
      </c>
      <c r="E64" s="38">
        <f t="shared" si="0"/>
        <v>347</v>
      </c>
      <c r="F64" s="37">
        <v>40</v>
      </c>
      <c r="G64" s="46" t="s">
        <v>141</v>
      </c>
      <c r="H64"/>
      <c r="I64"/>
      <c r="J64" s="49"/>
      <c r="K64" s="49"/>
      <c r="L64" s="49"/>
      <c r="M64" s="49"/>
    </row>
    <row r="65" spans="2:13" s="39" customFormat="1" x14ac:dyDescent="0.25">
      <c r="B65" s="35" t="s">
        <v>71</v>
      </c>
      <c r="C65" s="36"/>
      <c r="D65" s="37" t="s">
        <v>34</v>
      </c>
      <c r="E65" s="38">
        <f t="shared" si="0"/>
        <v>387</v>
      </c>
      <c r="F65" s="37">
        <v>9</v>
      </c>
      <c r="G65" s="44" t="s">
        <v>139</v>
      </c>
      <c r="H65"/>
      <c r="I65"/>
      <c r="J65" s="49" t="s">
        <v>185</v>
      </c>
      <c r="K65" s="49" t="s">
        <v>186</v>
      </c>
      <c r="L65" s="49" t="s">
        <v>183</v>
      </c>
      <c r="M65" s="49" t="s">
        <v>184</v>
      </c>
    </row>
    <row r="66" spans="2:13" s="39" customFormat="1" x14ac:dyDescent="0.25">
      <c r="B66" s="35" t="s">
        <v>72</v>
      </c>
      <c r="C66" s="36"/>
      <c r="D66" s="37" t="s">
        <v>13</v>
      </c>
      <c r="E66" s="38">
        <f t="shared" si="0"/>
        <v>396</v>
      </c>
      <c r="F66" s="37">
        <v>40</v>
      </c>
      <c r="G66" s="44" t="s">
        <v>139</v>
      </c>
      <c r="H66"/>
      <c r="I66"/>
      <c r="J66" s="48" t="s">
        <v>158</v>
      </c>
      <c r="K66" s="48" t="s">
        <v>158</v>
      </c>
      <c r="L66" s="48" t="s">
        <v>158</v>
      </c>
      <c r="M66" s="48" t="s">
        <v>158</v>
      </c>
    </row>
    <row r="67" spans="2:13" s="39" customFormat="1" x14ac:dyDescent="0.25">
      <c r="B67" s="35" t="s">
        <v>93</v>
      </c>
      <c r="C67" s="36"/>
      <c r="D67" s="37" t="s">
        <v>92</v>
      </c>
      <c r="E67" s="38">
        <f t="shared" si="0"/>
        <v>436</v>
      </c>
      <c r="F67" s="37">
        <v>3</v>
      </c>
      <c r="G67" s="44" t="s">
        <v>139</v>
      </c>
      <c r="H67"/>
      <c r="I67"/>
      <c r="J67" s="48" t="s">
        <v>158</v>
      </c>
      <c r="K67" s="48" t="s">
        <v>158</v>
      </c>
      <c r="L67" s="48" t="s">
        <v>158</v>
      </c>
      <c r="M67" s="48" t="s">
        <v>158</v>
      </c>
    </row>
    <row r="68" spans="2:13" s="39" customFormat="1" x14ac:dyDescent="0.25">
      <c r="B68" s="35" t="s">
        <v>94</v>
      </c>
      <c r="C68" s="36"/>
      <c r="D68" s="37" t="s">
        <v>95</v>
      </c>
      <c r="E68" s="38">
        <f t="shared" si="0"/>
        <v>439</v>
      </c>
      <c r="F68" s="37">
        <v>40</v>
      </c>
      <c r="G68" s="44" t="s">
        <v>139</v>
      </c>
      <c r="H68"/>
      <c r="I68"/>
      <c r="J68" s="48" t="s">
        <v>158</v>
      </c>
      <c r="K68" s="48" t="s">
        <v>158</v>
      </c>
      <c r="L68" s="48" t="s">
        <v>158</v>
      </c>
      <c r="M68" s="48" t="s">
        <v>158</v>
      </c>
    </row>
    <row r="69" spans="2:13" s="39" customFormat="1" x14ac:dyDescent="0.25">
      <c r="B69" s="41" t="s">
        <v>96</v>
      </c>
      <c r="C69" s="42"/>
      <c r="D69" s="43" t="s">
        <v>97</v>
      </c>
      <c r="E69" s="38">
        <f t="shared" si="0"/>
        <v>479</v>
      </c>
      <c r="F69" s="43">
        <v>4</v>
      </c>
      <c r="G69" s="44" t="s">
        <v>139</v>
      </c>
      <c r="H69"/>
      <c r="I69"/>
      <c r="J69" s="48" t="s">
        <v>158</v>
      </c>
      <c r="K69" s="48" t="s">
        <v>158</v>
      </c>
      <c r="L69" s="48" t="s">
        <v>158</v>
      </c>
      <c r="M69" s="48" t="s">
        <v>158</v>
      </c>
    </row>
    <row r="70" spans="2:13" s="39" customFormat="1" x14ac:dyDescent="0.25">
      <c r="B70" s="35" t="s">
        <v>105</v>
      </c>
      <c r="C70" s="36"/>
      <c r="D70" s="37" t="s">
        <v>106</v>
      </c>
      <c r="E70" s="38">
        <f t="shared" si="0"/>
        <v>483</v>
      </c>
      <c r="F70" s="37">
        <v>22</v>
      </c>
      <c r="G70" s="44" t="s">
        <v>139</v>
      </c>
      <c r="H70"/>
      <c r="I70"/>
      <c r="J70" s="48" t="s">
        <v>158</v>
      </c>
      <c r="K70" s="48" t="s">
        <v>158</v>
      </c>
      <c r="L70" s="48" t="s">
        <v>158</v>
      </c>
      <c r="M70" s="48" t="s">
        <v>158</v>
      </c>
    </row>
    <row r="71" spans="2:13" s="39" customFormat="1" x14ac:dyDescent="0.25">
      <c r="B71" s="35" t="s">
        <v>73</v>
      </c>
      <c r="C71" s="36"/>
      <c r="D71" s="37" t="s">
        <v>36</v>
      </c>
      <c r="E71" s="38">
        <f t="shared" si="0"/>
        <v>505</v>
      </c>
      <c r="F71" s="37">
        <v>1</v>
      </c>
      <c r="G71" s="46" t="s">
        <v>141</v>
      </c>
      <c r="H71"/>
      <c r="I71"/>
      <c r="J71" s="48" t="s">
        <v>158</v>
      </c>
      <c r="K71" s="48" t="s">
        <v>158</v>
      </c>
      <c r="L71" s="48" t="s">
        <v>158</v>
      </c>
      <c r="M71" s="48" t="s">
        <v>158</v>
      </c>
    </row>
    <row r="72" spans="2:13" s="39" customFormat="1" x14ac:dyDescent="0.25">
      <c r="B72" s="35" t="s">
        <v>83</v>
      </c>
      <c r="C72" s="36"/>
      <c r="D72" s="37" t="s">
        <v>85</v>
      </c>
      <c r="E72" s="38"/>
      <c r="F72" s="37"/>
      <c r="G72" s="34"/>
      <c r="H72"/>
      <c r="I72"/>
      <c r="J72" s="49"/>
      <c r="K72" s="49"/>
      <c r="L72" s="49"/>
      <c r="M72" s="49"/>
    </row>
    <row r="73" spans="2:13" s="39" customFormat="1" x14ac:dyDescent="0.25">
      <c r="B73" s="35" t="s">
        <v>84</v>
      </c>
      <c r="C73" s="36"/>
      <c r="D73" s="37" t="s">
        <v>86</v>
      </c>
      <c r="E73" s="38"/>
      <c r="F73" s="37"/>
      <c r="G73" s="34"/>
      <c r="H73"/>
      <c r="I73"/>
      <c r="J73" s="49"/>
      <c r="K73" s="49"/>
      <c r="L73" s="49"/>
      <c r="M73" s="49"/>
    </row>
    <row r="74" spans="2:13" x14ac:dyDescent="0.25">
      <c r="B74" s="12" t="s">
        <v>74</v>
      </c>
      <c r="C74" s="13"/>
      <c r="D74" s="14"/>
      <c r="E74" s="15">
        <f>E71+F71</f>
        <v>506</v>
      </c>
      <c r="F74" s="14">
        <v>0</v>
      </c>
      <c r="G74" s="31"/>
    </row>
    <row r="75" spans="2:13" s="39" customFormat="1" x14ac:dyDescent="0.25">
      <c r="B75" s="35" t="s">
        <v>225</v>
      </c>
      <c r="C75" s="36"/>
      <c r="D75" s="37" t="s">
        <v>142</v>
      </c>
      <c r="E75" s="38">
        <f t="shared" ref="E75:E92" si="1">E74+F74</f>
        <v>506</v>
      </c>
      <c r="F75" s="37">
        <v>8</v>
      </c>
      <c r="G75" s="44" t="s">
        <v>139</v>
      </c>
      <c r="H75"/>
      <c r="I75"/>
      <c r="J75" s="49" t="s">
        <v>188</v>
      </c>
      <c r="K75" s="49" t="s">
        <v>187</v>
      </c>
      <c r="L75" s="49" t="s">
        <v>190</v>
      </c>
      <c r="M75" s="49" t="s">
        <v>189</v>
      </c>
    </row>
    <row r="76" spans="2:13" s="39" customFormat="1" x14ac:dyDescent="0.25">
      <c r="B76" s="35" t="s">
        <v>246</v>
      </c>
      <c r="C76" s="36"/>
      <c r="D76" s="37" t="s">
        <v>244</v>
      </c>
      <c r="E76" s="38">
        <f t="shared" si="1"/>
        <v>514</v>
      </c>
      <c r="F76" s="37">
        <v>8</v>
      </c>
      <c r="G76" s="45" t="s">
        <v>140</v>
      </c>
      <c r="H76"/>
      <c r="I76"/>
      <c r="J76" s="49"/>
      <c r="K76" s="49"/>
      <c r="L76" s="49" t="s">
        <v>202</v>
      </c>
      <c r="M76" s="49"/>
    </row>
    <row r="77" spans="2:13" s="39" customFormat="1" x14ac:dyDescent="0.25">
      <c r="B77" s="35" t="s">
        <v>125</v>
      </c>
      <c r="C77" s="36"/>
      <c r="D77" s="37" t="s">
        <v>245</v>
      </c>
      <c r="E77" s="38">
        <f t="shared" si="1"/>
        <v>522</v>
      </c>
      <c r="F77" s="37">
        <v>8</v>
      </c>
      <c r="G77" s="45" t="s">
        <v>140</v>
      </c>
      <c r="H77"/>
      <c r="I77"/>
      <c r="J77" s="48" t="s">
        <v>158</v>
      </c>
      <c r="K77" s="48" t="s">
        <v>158</v>
      </c>
      <c r="L77" s="48" t="s">
        <v>158</v>
      </c>
      <c r="M77" s="49" t="s">
        <v>199</v>
      </c>
    </row>
    <row r="78" spans="2:13" s="39" customFormat="1" x14ac:dyDescent="0.25">
      <c r="B78" s="35" t="s">
        <v>224</v>
      </c>
      <c r="C78" s="36"/>
      <c r="D78" s="37" t="s">
        <v>126</v>
      </c>
      <c r="E78" s="38">
        <f t="shared" si="1"/>
        <v>530</v>
      </c>
      <c r="F78" s="37">
        <v>8</v>
      </c>
      <c r="G78" s="45" t="s">
        <v>140</v>
      </c>
      <c r="H78"/>
      <c r="I78"/>
      <c r="J78" s="48" t="s">
        <v>158</v>
      </c>
      <c r="K78" s="49" t="s">
        <v>200</v>
      </c>
      <c r="L78" s="50" t="s">
        <v>201</v>
      </c>
      <c r="M78" s="48" t="s">
        <v>158</v>
      </c>
    </row>
    <row r="79" spans="2:13" x14ac:dyDescent="0.25">
      <c r="B79" s="12" t="s">
        <v>118</v>
      </c>
      <c r="C79" s="13"/>
      <c r="D79" s="14"/>
      <c r="E79" s="15">
        <f t="shared" si="1"/>
        <v>538</v>
      </c>
      <c r="F79" s="14">
        <v>0</v>
      </c>
      <c r="G79" s="31"/>
    </row>
    <row r="80" spans="2:13" s="39" customFormat="1" ht="30" x14ac:dyDescent="0.25">
      <c r="B80" s="40" t="s">
        <v>223</v>
      </c>
      <c r="C80" s="36"/>
      <c r="D80" s="37" t="s">
        <v>127</v>
      </c>
      <c r="E80" s="38">
        <f t="shared" si="1"/>
        <v>538</v>
      </c>
      <c r="F80" s="37">
        <v>15</v>
      </c>
      <c r="G80" s="44" t="s">
        <v>139</v>
      </c>
      <c r="H80"/>
      <c r="I80"/>
      <c r="J80" s="49" t="s">
        <v>204</v>
      </c>
      <c r="K80" s="49" t="s">
        <v>206</v>
      </c>
      <c r="L80" s="49" t="s">
        <v>203</v>
      </c>
      <c r="M80" s="49" t="s">
        <v>205</v>
      </c>
    </row>
    <row r="81" spans="2:13" x14ac:dyDescent="0.25">
      <c r="B81" s="12" t="s">
        <v>75</v>
      </c>
      <c r="C81" s="13"/>
      <c r="D81" s="14"/>
      <c r="E81" s="15">
        <f t="shared" si="1"/>
        <v>553</v>
      </c>
      <c r="F81" s="14">
        <v>0</v>
      </c>
      <c r="G81" s="31"/>
    </row>
    <row r="82" spans="2:13" x14ac:dyDescent="0.25">
      <c r="B82" s="6" t="s">
        <v>101</v>
      </c>
      <c r="C82" s="5"/>
      <c r="D82" s="4"/>
      <c r="E82" s="2">
        <f t="shared" si="1"/>
        <v>553</v>
      </c>
      <c r="F82" s="4">
        <v>0</v>
      </c>
      <c r="G82" s="30"/>
    </row>
    <row r="83" spans="2:13" x14ac:dyDescent="0.25">
      <c r="B83" s="6" t="s">
        <v>107</v>
      </c>
      <c r="C83" s="5"/>
      <c r="D83" s="4" t="s">
        <v>14</v>
      </c>
      <c r="E83" s="2">
        <f t="shared" si="1"/>
        <v>553</v>
      </c>
      <c r="F83" s="4">
        <v>60</v>
      </c>
      <c r="G83" s="45" t="s">
        <v>140</v>
      </c>
      <c r="J83" s="48" t="s">
        <v>158</v>
      </c>
      <c r="K83" s="48" t="s">
        <v>158</v>
      </c>
      <c r="L83" s="48" t="s">
        <v>158</v>
      </c>
      <c r="M83" s="48" t="s">
        <v>158</v>
      </c>
    </row>
    <row r="84" spans="2:13" x14ac:dyDescent="0.25">
      <c r="B84" s="6" t="s">
        <v>102</v>
      </c>
      <c r="C84" s="5"/>
      <c r="D84" s="4" t="s">
        <v>26</v>
      </c>
      <c r="E84" s="2">
        <f t="shared" si="1"/>
        <v>613</v>
      </c>
      <c r="F84" s="4">
        <v>34</v>
      </c>
      <c r="G84" s="45" t="s">
        <v>140</v>
      </c>
      <c r="J84" s="49" t="s">
        <v>191</v>
      </c>
      <c r="K84" s="48" t="s">
        <v>158</v>
      </c>
      <c r="L84" s="48" t="s">
        <v>158</v>
      </c>
      <c r="M84" s="48" t="s">
        <v>158</v>
      </c>
    </row>
    <row r="85" spans="2:13" x14ac:dyDescent="0.25">
      <c r="B85" s="6" t="s">
        <v>103</v>
      </c>
      <c r="C85" s="5"/>
      <c r="D85" s="4" t="s">
        <v>27</v>
      </c>
      <c r="E85" s="2">
        <f t="shared" si="1"/>
        <v>647</v>
      </c>
      <c r="F85" s="4">
        <v>11</v>
      </c>
      <c r="G85" s="45" t="s">
        <v>140</v>
      </c>
      <c r="J85" s="49" t="s">
        <v>192</v>
      </c>
      <c r="K85" s="48" t="s">
        <v>158</v>
      </c>
      <c r="L85" s="48" t="s">
        <v>158</v>
      </c>
      <c r="M85" s="48" t="s">
        <v>158</v>
      </c>
    </row>
    <row r="86" spans="2:13" x14ac:dyDescent="0.25">
      <c r="B86" s="6" t="s">
        <v>228</v>
      </c>
      <c r="C86" s="5"/>
      <c r="D86" s="4" t="s">
        <v>220</v>
      </c>
      <c r="E86" s="26">
        <f t="shared" si="1"/>
        <v>658</v>
      </c>
      <c r="F86" s="4">
        <v>35</v>
      </c>
      <c r="G86" s="45" t="s">
        <v>140</v>
      </c>
      <c r="J86" s="49" t="s">
        <v>179</v>
      </c>
      <c r="K86" s="49" t="s">
        <v>178</v>
      </c>
      <c r="L86" s="48" t="s">
        <v>158</v>
      </c>
      <c r="M86" s="48" t="s">
        <v>158</v>
      </c>
    </row>
    <row r="87" spans="2:13" x14ac:dyDescent="0.25">
      <c r="B87" s="6" t="s">
        <v>221</v>
      </c>
      <c r="C87" s="5"/>
      <c r="D87" s="4" t="s">
        <v>222</v>
      </c>
      <c r="E87" s="2">
        <f t="shared" si="1"/>
        <v>693</v>
      </c>
      <c r="F87" s="4">
        <v>11</v>
      </c>
      <c r="G87" s="45" t="s">
        <v>140</v>
      </c>
      <c r="J87"/>
      <c r="K87"/>
      <c r="L87"/>
      <c r="M87"/>
    </row>
    <row r="88" spans="2:13" x14ac:dyDescent="0.25">
      <c r="B88" s="6" t="s">
        <v>76</v>
      </c>
      <c r="C88" s="5"/>
      <c r="D88" s="4"/>
      <c r="E88" s="2">
        <f t="shared" si="1"/>
        <v>704</v>
      </c>
      <c r="F88" s="4">
        <v>0</v>
      </c>
      <c r="G88" s="30"/>
    </row>
    <row r="89" spans="2:13" s="39" customFormat="1" x14ac:dyDescent="0.25">
      <c r="B89" s="35" t="s">
        <v>77</v>
      </c>
      <c r="C89" s="36"/>
      <c r="D89" s="37" t="s">
        <v>15</v>
      </c>
      <c r="E89" s="38">
        <f t="shared" si="1"/>
        <v>704</v>
      </c>
      <c r="F89" s="37">
        <v>5</v>
      </c>
      <c r="G89" s="45" t="s">
        <v>140</v>
      </c>
      <c r="H89"/>
      <c r="I89"/>
      <c r="J89" s="49" t="s">
        <v>193</v>
      </c>
      <c r="K89" s="48" t="s">
        <v>158</v>
      </c>
      <c r="L89" s="49" t="s">
        <v>194</v>
      </c>
      <c r="M89" s="48" t="s">
        <v>158</v>
      </c>
    </row>
    <row r="90" spans="2:13" s="39" customFormat="1" x14ac:dyDescent="0.25">
      <c r="B90" s="35" t="s">
        <v>78</v>
      </c>
      <c r="C90" s="36"/>
      <c r="D90" s="37" t="s">
        <v>16</v>
      </c>
      <c r="E90" s="38">
        <f t="shared" si="1"/>
        <v>709</v>
      </c>
      <c r="F90" s="37">
        <v>9</v>
      </c>
      <c r="G90" s="45" t="s">
        <v>140</v>
      </c>
      <c r="H90"/>
      <c r="I90"/>
      <c r="J90" s="49" t="s">
        <v>196</v>
      </c>
      <c r="K90" s="48" t="s">
        <v>158</v>
      </c>
      <c r="L90" s="49" t="s">
        <v>195</v>
      </c>
      <c r="M90" s="48" t="s">
        <v>158</v>
      </c>
    </row>
    <row r="91" spans="2:13" x14ac:dyDescent="0.25">
      <c r="B91" s="12" t="s">
        <v>133</v>
      </c>
      <c r="C91" s="13"/>
      <c r="D91" s="14"/>
      <c r="E91" s="15">
        <f t="shared" si="1"/>
        <v>718</v>
      </c>
      <c r="F91" s="14">
        <v>2250</v>
      </c>
      <c r="G91" s="31"/>
    </row>
    <row r="92" spans="2:13" x14ac:dyDescent="0.25">
      <c r="D92" s="3" t="s">
        <v>28</v>
      </c>
      <c r="E92" s="7">
        <f t="shared" si="1"/>
        <v>2968</v>
      </c>
    </row>
  </sheetData>
  <pageMargins left="0.70866141732283472" right="0.70866141732283472" top="0.74803149606299213" bottom="0.74803149606299213" header="0.31496062992125984" footer="0.31496062992125984"/>
  <pageSetup paperSize="9" scale="64" fitToHeight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Novo Layout - Final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Ângela Cristiane Puhl [EE] (FIT)</cp:lastModifiedBy>
  <cp:lastPrinted>2016-10-03T14:42:59Z</cp:lastPrinted>
  <dcterms:created xsi:type="dcterms:W3CDTF">2015-07-28T09:44:45Z</dcterms:created>
  <dcterms:modified xsi:type="dcterms:W3CDTF">2024-07-15T14:29:08Z</dcterms:modified>
</cp:coreProperties>
</file>