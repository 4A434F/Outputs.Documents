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X01105\AppData\Local\Temp\OneNote\16.0\Exported\{CC97C778-768F-4130-9473-308A2C69C329}\NT\3\"/>
    </mc:Choice>
  </mc:AlternateContent>
  <xr:revisionPtr revIDLastSave="0" documentId="13_ncr:1_{2CAECB8E-FF4E-4D5C-98A7-902B679BA6D8}" xr6:coauthVersionLast="47" xr6:coauthVersionMax="47" xr10:uidLastSave="{00000000-0000-0000-0000-000000000000}"/>
  <bookViews>
    <workbookView xWindow="5805" yWindow="2370" windowWidth="18855" windowHeight="9450" xr2:uid="{00000000-000D-0000-FFFF-FFFF00000000}"/>
  </bookViews>
  <sheets>
    <sheet name="Layou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3" l="1"/>
  <c r="D47" i="3" l="1"/>
  <c r="D69" i="3"/>
  <c r="D48" i="3" l="1"/>
  <c r="D49" i="3" s="1"/>
  <c r="D50" i="3" s="1"/>
  <c r="D51" i="3" s="1"/>
  <c r="D52" i="3" s="1"/>
  <c r="D53" i="3" s="1"/>
  <c r="D54" i="3" s="1"/>
  <c r="D55" i="3" s="1"/>
  <c r="D56" i="3" s="1"/>
  <c r="D57" i="3" l="1"/>
  <c r="D58" i="3" s="1"/>
  <c r="D61" i="3" s="1"/>
  <c r="D87" i="3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62" i="3" l="1"/>
  <c r="D63" i="3" s="1"/>
  <c r="D64" i="3" s="1"/>
  <c r="D65" i="3" s="1"/>
  <c r="D66" i="3" s="1"/>
  <c r="E103" i="3"/>
  <c r="D3" i="3"/>
  <c r="D5" i="3" l="1"/>
  <c r="D9" i="3" s="1"/>
  <c r="D12" i="3" s="1"/>
  <c r="D13" i="3" s="1"/>
  <c r="D18" i="3" s="1"/>
  <c r="D26" i="3" s="1"/>
  <c r="D28" i="3" s="1"/>
  <c r="D29" i="3" s="1"/>
  <c r="D30" i="3" s="1"/>
  <c r="D31" i="3" s="1"/>
  <c r="D42" i="3" s="1"/>
  <c r="D43" i="3" s="1"/>
  <c r="E43" i="3" s="1"/>
  <c r="E66" i="3"/>
  <c r="D70" i="3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E8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Ângela Cristiane Puhl [EE] (DSI)</author>
    <author>José Augusto Duarte Santos (DSI)</author>
  </authors>
  <commentList>
    <comment ref="F1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Obrigatório quando impressão on-line, TIPO-IMPRESSAO = I </t>
        </r>
      </text>
    </comment>
    <comment ref="F26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Preenchido quando Leve, apenas para marcas FM e IB.
</t>
        </r>
      </text>
    </comment>
    <comment ref="F2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Deve ser sempre a espaços</t>
        </r>
      </text>
    </comment>
    <comment ref="F3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Deve ser sempre a espaços</t>
        </r>
      </text>
    </comment>
  </commentList>
</comments>
</file>

<file path=xl/sharedStrings.xml><?xml version="1.0" encoding="utf-8"?>
<sst xmlns="http://schemas.openxmlformats.org/spreadsheetml/2006/main" count="251" uniqueCount="195">
  <si>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</si>
  <si>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</si>
  <si>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</si>
  <si>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</si>
  <si>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</si>
  <si>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</si>
  <si>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</si>
  <si>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da Apólice</t>
  </si>
  <si>
    <t>Nome</t>
  </si>
  <si>
    <t>Dados de morada 1</t>
  </si>
  <si>
    <t>Dados de morada 2</t>
  </si>
  <si>
    <t>Localidade</t>
  </si>
  <si>
    <t>Descritivo do código postal</t>
  </si>
  <si>
    <t>05  :PREFIX:-DADOS-REGISTO.</t>
  </si>
  <si>
    <t>Código de documento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</si>
  <si>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</si>
  <si>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</si>
  <si>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</si>
  <si>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</si>
  <si>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</si>
  <si>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</si>
  <si>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 xml:space="preserve">     'MHS' - Multicare</t>
  </si>
  <si>
    <t>Novo</t>
  </si>
  <si>
    <t>Indicador de inclusão de Flyer (ex: "V" - Cobertura PVC)</t>
  </si>
  <si>
    <t>Descrição / Valores Possiveis / [Formato]</t>
  </si>
  <si>
    <t>Código de moeda (ex: EUR)</t>
  </si>
  <si>
    <t>Referência da morada</t>
  </si>
  <si>
    <t>Código postal (Se estrangeiro deverá vir a zeros) [9999-999]</t>
  </si>
  <si>
    <t xml:space="preserve">     '128' - Fidelidade</t>
  </si>
  <si>
    <t>Tipo de impressão</t>
  </si>
  <si>
    <t xml:space="preserve">     'I' - Impressão OnLine (Immediate)</t>
  </si>
  <si>
    <t xml:space="preserve">     'O' - Impressão via batch (Overnight)</t>
  </si>
  <si>
    <t>Tipo de registo</t>
  </si>
  <si>
    <t>05  FILLER  REDEFINES  :PREFIX:-DADOS-DOCUMENTO.</t>
  </si>
  <si>
    <t>User Id da impressão OnLine</t>
  </si>
  <si>
    <t xml:space="preserve">     'CG2' - Cogen 22</t>
  </si>
  <si>
    <t xml:space="preserve">     'CGN' - Cogen 33</t>
  </si>
  <si>
    <t xml:space="preserve">     'CLH' - Colheitas (GIC)</t>
  </si>
  <si>
    <t>Código do País (Se estrangeiro, diferente de 620)</t>
  </si>
  <si>
    <t>Descritivo do País</t>
  </si>
  <si>
    <t>Identificação da Porta (no CBC)</t>
  </si>
  <si>
    <t xml:space="preserve">     '002' - Fidelidade</t>
  </si>
  <si>
    <t xml:space="preserve">     '138' - Império</t>
  </si>
  <si>
    <t xml:space="preserve">     '003' - Império</t>
  </si>
  <si>
    <t xml:space="preserve">     '004' - ICI</t>
  </si>
  <si>
    <t>Número do Sinistro</t>
  </si>
  <si>
    <t>Observações</t>
  </si>
  <si>
    <t>Obrigatório</t>
  </si>
  <si>
    <t>Condicional</t>
  </si>
  <si>
    <t>Opcional</t>
  </si>
  <si>
    <t xml:space="preserve">     'FCS' - FCS</t>
  </si>
  <si>
    <t>Data de emissão [aaaammdd]</t>
  </si>
  <si>
    <t xml:space="preserve">Número da Apólice: Preencher a espaços, uma vez que poderá existir várias apólices associadas </t>
  </si>
  <si>
    <t xml:space="preserve">     'EXCE' - Extrato Mensal Conta Efetivo</t>
  </si>
  <si>
    <t xml:space="preserve">     '2' - Detalhe do documento</t>
  </si>
  <si>
    <t xml:space="preserve">     '1' - Dados do documento</t>
  </si>
  <si>
    <t xml:space="preserve">     '3' - Totais do documento</t>
  </si>
  <si>
    <t xml:space="preserve">     'L' - Leve (Substitui 'L02' - FM Leve / 'L03' - IB Leve, apenas para marca 002 ou 003)</t>
  </si>
  <si>
    <t>Quantidade de linhas de detalhe</t>
  </si>
  <si>
    <t>Total Valor Comissões do Acumulado Fiscal</t>
  </si>
  <si>
    <t>Total Valor IRS do Acumulado Fiscal</t>
  </si>
  <si>
    <t>Total Valor Imposto Selo do Acumulado Fiscal</t>
  </si>
  <si>
    <t>Total Valor Segurança Social do Acumulado Fiscal</t>
  </si>
  <si>
    <t>Valor de Saldo Inicial do Resumo</t>
  </si>
  <si>
    <t>Total Valor Recibo do Resumo</t>
  </si>
  <si>
    <t>Total Valor Comissões do Resumo</t>
  </si>
  <si>
    <t>Total Valor IRS do Resumo</t>
  </si>
  <si>
    <t>Total Valor Imposto Selo do Resumo</t>
  </si>
  <si>
    <t>Total Valor Segurança Social do Resumo</t>
  </si>
  <si>
    <t>Total Valor Outros Movimentos do Resumo</t>
  </si>
  <si>
    <t>Valor de Saldo Final do Resumo</t>
  </si>
  <si>
    <t>Tipo de Recibo</t>
  </si>
  <si>
    <t>Referência do Movimento</t>
  </si>
  <si>
    <t>Tipo do Movimento</t>
  </si>
  <si>
    <t>Valor Total do Recibo</t>
  </si>
  <si>
    <t>Valor Comissão</t>
  </si>
  <si>
    <t>Valor IRS</t>
  </si>
  <si>
    <t>Valor Imposto Selo</t>
  </si>
  <si>
    <t>Valor Segurança Social</t>
  </si>
  <si>
    <t>Valor Outros Movimentos</t>
  </si>
  <si>
    <t xml:space="preserve">    07  :PREFIX:-COD-DOCUMENTO            PIC X(04).</t>
  </si>
  <si>
    <t xml:space="preserve">    07  :PREFIX:-TIPO-REGISTO             PIC X(01).</t>
  </si>
  <si>
    <t xml:space="preserve">    07  :PREFIX:-TIPO-IMPRESSAO           PIC X(01).</t>
  </si>
  <si>
    <t xml:space="preserve">    07  :PREFIX:-USERID                   PIC X(08).</t>
  </si>
  <si>
    <t xml:space="preserve">    07  :PREFIX:-COD-COMPANHIA            PIC X(03).</t>
  </si>
  <si>
    <t xml:space="preserve">    07  :PREFIX:-COD-MARCA                PIC X(03).</t>
  </si>
  <si>
    <t xml:space="preserve">    07  :PREFIX:-AUX-MARCA                PIC X(01).</t>
  </si>
  <si>
    <t xml:space="preserve">    07  :PREFIX:-NR-AGENTE                PIC X(10).</t>
  </si>
  <si>
    <t xml:space="preserve">    07  :PREFIX:-NR-CLIENTE               PIC X(10).</t>
  </si>
  <si>
    <t xml:space="preserve">    07  :PREFIX:-NR-APOLICE               PIC X(16).</t>
  </si>
  <si>
    <t xml:space="preserve">    07  :PREFIX:-COD-ORIGEM               PIC X(03).</t>
  </si>
  <si>
    <t xml:space="preserve">    07  :PREFIX:-IND-FLYER                PIC X(01).</t>
  </si>
  <si>
    <t xml:space="preserve">    07  :PREFIX:-DADOS-MEDIADOR.</t>
  </si>
  <si>
    <t xml:space="preserve">    07  :PREFIX:-DETALHE-EXTRATO.</t>
  </si>
  <si>
    <t xml:space="preserve">    07  :PREFIX:-TOTAIS-EXTRATO.</t>
  </si>
  <si>
    <t xml:space="preserve">        09  :PREFIX:-TOTAIS-EXT-RESUMO.</t>
  </si>
  <si>
    <t xml:space="preserve">        09  :PREFIX:-TOTAIS-EXT-ACUMULADO.</t>
  </si>
  <si>
    <t xml:space="preserve">        88  :PREFIX:-REG-TIPO1                      VALUE '1'.</t>
  </si>
  <si>
    <t xml:space="preserve">        88  :PREFIX:-REG-TIPO2                      VALUE '2'.</t>
  </si>
  <si>
    <t xml:space="preserve">        88  :PREFIX:-REG-TIPO3                      VALUE '3'.</t>
  </si>
  <si>
    <t xml:space="preserve">        88  :PREFIX:-IMP-ONLINE                     VALUE 'I'.</t>
  </si>
  <si>
    <t xml:space="preserve">        88  :PREFIX:-IMP-BATCH                      VALUE 'O'.</t>
  </si>
  <si>
    <t xml:space="preserve">        88  :PREFIX:-COM-VIADIRECTA                 VALUE '111'.</t>
  </si>
  <si>
    <t xml:space="preserve">        88  :PREFIX:-COM-FIDELIDADE                 VALUE '128'.</t>
  </si>
  <si>
    <t xml:space="preserve">        88  :PREFIX:-COM-IMPERIO                    VALUE '138'.</t>
  </si>
  <si>
    <t xml:space="preserve">        88  :PREFIX:-COM-MULTICARE                  VALUE '148'.</t>
  </si>
  <si>
    <t xml:space="preserve">        88  :PREFIX:-MAR-OKTELESEGURO               VALUE '001'.</t>
  </si>
  <si>
    <t xml:space="preserve">        88  :PREFIX:-MAR-FIDELIDADE                 VALUE '002'.</t>
  </si>
  <si>
    <t xml:space="preserve">        88  :PREFIX:-MAR-IMPERIO                    VALUE '003'.</t>
  </si>
  <si>
    <t xml:space="preserve">        88  :PREFIX:-MAR-ICI                        VALUE '004'.</t>
  </si>
  <si>
    <t xml:space="preserve">        88  :PREFIX:-MAR-SONAE                      VALUE '005'.</t>
  </si>
  <si>
    <t xml:space="preserve">        88  :PREFIX:-MAR-MULTICARE                  VALUE '006'.</t>
  </si>
  <si>
    <t xml:space="preserve">        88  :PREFIX:-MAR-LEVE                       VALUE 'L'.</t>
  </si>
  <si>
    <t xml:space="preserve">        88  :PREFIX:-ORI-COGEN22                    VALUE 'CG2'.</t>
  </si>
  <si>
    <t xml:space="preserve">        88  :PREFIX:-ORI-COGEN33                    VALUE 'CGN'.</t>
  </si>
  <si>
    <t xml:space="preserve">        88  :PREFIX:-ORI-GIS                        VALUE 'GIS'.</t>
  </si>
  <si>
    <t xml:space="preserve">        88  :PREFIX:-ORI-COLHEITAS                  VALUE 'CLH'.</t>
  </si>
  <si>
    <t xml:space="preserve">        88  :PREFIX:-ORI-MULTICARE                  VALUE 'MHS'.</t>
  </si>
  <si>
    <t xml:space="preserve">        88  :PREFIX:-ORI-FCS                        VALUE 'FCS'.</t>
  </si>
  <si>
    <t xml:space="preserve">        09  :PREFIX:-DT-EMISSAO           PIC X(08).</t>
  </si>
  <si>
    <t xml:space="preserve">        09  :PREFIX:-COD-MOEDA            PIC X(03).</t>
  </si>
  <si>
    <t xml:space="preserve">        09  :PREFIX:-QTE-LIN-DET          PIC X(05).</t>
  </si>
  <si>
    <t xml:space="preserve">        09  :PREFIX:-DT-NR-APOLICE        PIC X(16).</t>
  </si>
  <si>
    <t xml:space="preserve">        09  :PREFIX:-DT-NR-SINISTRO       PIC X(12).</t>
  </si>
  <si>
    <t xml:space="preserve">        09  :PREFIX:-DT-NR-RECIBO         PIC X(16).</t>
  </si>
  <si>
    <t xml:space="preserve">        09  :PREFIX:-DT-VLR-REC           PIC S9(12)V9(02)  SIGN LEADING SEPARATE.</t>
  </si>
  <si>
    <t xml:space="preserve">        09  :PREFIX:-DT-VLR-COM           PIC S9(12)V9(02)  SIGN LEADING SEPARATE.</t>
  </si>
  <si>
    <t xml:space="preserve">        09  :PREFIX:-DT-VLR-IRS           PIC S9(12)V9(02)  SIGN LEADING SEPARATE.</t>
  </si>
  <si>
    <t xml:space="preserve">        09  :PREFIX:-DT-VLR-SEL           PIC S9(12)V9(02)  SIGN LEADING SEPARATE.</t>
  </si>
  <si>
    <t xml:space="preserve">        09  :PREFIX:-DT-VLR-SEG           PIC S9(12)V9(02)  SIGN LEADING SEPARATE.</t>
  </si>
  <si>
    <t xml:space="preserve">        09  :PREFIX:-DT-VLR-OUT           PIC S9(12)V9(02)  SIGN LEADING SEPARATE.</t>
  </si>
  <si>
    <t xml:space="preserve">            11  :PREFIX:-TR-VLR-REC       PIC S9(12)V9(02)  SIGN LEADING SEPARATE.</t>
  </si>
  <si>
    <t xml:space="preserve">            11  :PREFIX:-TR-VLR-COM       PIC S9(12)V9(02)  SIGN LEADING SEPARATE.</t>
  </si>
  <si>
    <t xml:space="preserve">            11  :PREFIX:-TR-VLR-IRS       PIC S9(12)V9(02)  SIGN LEADING SEPARATE.</t>
  </si>
  <si>
    <t xml:space="preserve">            11  :PREFIX:-TR-VLR-SEL       PIC S9(12)V9(02)  SIGN LEADING SEPARATE.</t>
  </si>
  <si>
    <t xml:space="preserve">            11  :PREFIX:-TR-VLR-SEG       PIC S9(12)V9(02)  SIGN LEADING SEPARATE.</t>
  </si>
  <si>
    <t xml:space="preserve">            11  :PREFIX:-TR-VLR-OUT       PIC S9(12)V9(02)  SIGN LEADING SEPARATE.</t>
  </si>
  <si>
    <t xml:space="preserve">            11  :PREFIX:-TA-VLR-COM       PIC S9(12)V9(02)  SIGN LEADING SEPARATE.</t>
  </si>
  <si>
    <t xml:space="preserve">            11  :PREFIX:-TA-VLR-IRS       PIC S9(12)V9(02)  SIGN LEADING SEPARATE.</t>
  </si>
  <si>
    <t xml:space="preserve">            11  :PREFIX:-TA-VLR-SEL       PIC S9(12)V9(02)  SIGN LEADING SEPARATE.</t>
  </si>
  <si>
    <t xml:space="preserve">            11  :PREFIX:-TA-VLR-SEG       PIC S9(12)V9(02)  SIGN LEADING SEPARATE.</t>
  </si>
  <si>
    <t xml:space="preserve">        09  :PREFIX:-DT-TIPO              PIC X(12).</t>
  </si>
  <si>
    <t xml:space="preserve">        09  :PREFIX:-DT-REFERENCIA        PIC X(50).</t>
  </si>
  <si>
    <t xml:space="preserve">        09  :PREFIX:-DT-TIPO-MOVIMENTO    PIC X(50).</t>
  </si>
  <si>
    <t xml:space="preserve">        88  :PREFIX:-DOC-EXTRATO                    VALUE 'EXCE'.</t>
  </si>
  <si>
    <t>Número do Recibo (Garantir que no máximo vem 11 posições Vida / 10 posições nos restantes)</t>
  </si>
  <si>
    <t>Este bloco repete n vezes</t>
  </si>
  <si>
    <t>Número de Identificação Fiscal do Mediador (No caso de Portugal será PT999999999)</t>
  </si>
  <si>
    <t xml:space="preserve">        09  :PREFIX:-PERIODO              PIC X(07).</t>
  </si>
  <si>
    <t>Período (aaaa/mm)</t>
  </si>
  <si>
    <t>Espaços</t>
  </si>
  <si>
    <r>
      <t>Detalhe do Extrato (</t>
    </r>
    <r>
      <rPr>
        <b/>
        <sz val="11"/>
        <color theme="1"/>
        <rFont val="Calibri"/>
        <family val="2"/>
        <scheme val="minor"/>
      </rPr>
      <t>Registo do tipo 2</t>
    </r>
    <r>
      <rPr>
        <sz val="11"/>
        <color theme="1"/>
        <rFont val="Calibri"/>
        <family val="2"/>
        <scheme val="minor"/>
      </rPr>
      <t>)</t>
    </r>
  </si>
  <si>
    <r>
      <t>Totais do Extrato (</t>
    </r>
    <r>
      <rPr>
        <b/>
        <sz val="11"/>
        <color theme="1"/>
        <rFont val="Calibri"/>
        <family val="2"/>
        <scheme val="minor"/>
      </rPr>
      <t>Registo do tipo 3</t>
    </r>
    <r>
      <rPr>
        <sz val="11"/>
        <color theme="1"/>
        <rFont val="Calibri"/>
        <family val="2"/>
        <scheme val="minor"/>
      </rPr>
      <t>)</t>
    </r>
  </si>
  <si>
    <t xml:space="preserve">    07  :PREFIX:-DADOS-EXTRATO.</t>
  </si>
  <si>
    <r>
      <t>Dados do Extrato (</t>
    </r>
    <r>
      <rPr>
        <b/>
        <sz val="11"/>
        <color theme="1"/>
        <rFont val="Calibri"/>
        <family val="2"/>
        <scheme val="minor"/>
      </rPr>
      <t>Registo do tipo 1</t>
    </r>
    <r>
      <rPr>
        <sz val="11"/>
        <color theme="1"/>
        <rFont val="Calibri"/>
        <family val="2"/>
        <scheme val="minor"/>
      </rPr>
      <t>)</t>
    </r>
  </si>
  <si>
    <t>Data [aaaammdd]</t>
  </si>
  <si>
    <t xml:space="preserve">        09  :PREFIX:-DT-DATA              PIC X(08).</t>
  </si>
  <si>
    <t>Data de Saldo Inicial do Resumo [aaaammdd]</t>
  </si>
  <si>
    <t>Número do Cliente: Preencher a espaços, uma vez que é sempre para mediador</t>
  </si>
  <si>
    <t xml:space="preserve">            11  :PREFIX:-TR-SI-DATA       PIC X(08).</t>
  </si>
  <si>
    <t xml:space="preserve">            11  :PREFIX:-TR-SI-VALOR      PIC S9(12)V9(02)  SIGN LEADING SEPARATE.</t>
  </si>
  <si>
    <t xml:space="preserve">            11  :PREFIX:-TR-SF-VALOR      PIC S9(12)V9(02)  SIGN LEADING SEPARATE.</t>
  </si>
  <si>
    <t xml:space="preserve">        88  :PREFIX:-MAR-EUROBIC                    VALUE '028'.</t>
  </si>
  <si>
    <t xml:space="preserve">     '028' - EuroBic</t>
  </si>
  <si>
    <t xml:space="preserve">        09  :PREFIX:-MD-NOME              PIC X(40).</t>
  </si>
  <si>
    <t xml:space="preserve">        09  :PREFIX:-MD-LOCATION-REF      PIC X(04).</t>
  </si>
  <si>
    <t xml:space="preserve">        09  :PREFIX:-MD-MORADA1           PIC X(40).</t>
  </si>
  <si>
    <t xml:space="preserve">        09  :PREFIX:-MD-MORADA2           PIC X(40).</t>
  </si>
  <si>
    <t xml:space="preserve">        09  :PREFIX:-MD-LOCALIDADE        PIC X(40).</t>
  </si>
  <si>
    <t xml:space="preserve">        09  :PREFIX:-MD-CPOSTAL           PIC X(09).</t>
  </si>
  <si>
    <t xml:space="preserve">        09  :PREFIX:-MD-CPOSTAL-DESC      PIC X(40).</t>
  </si>
  <si>
    <t xml:space="preserve">        09  :PREFIX:-MD-CPAIS             PIC X(03).</t>
  </si>
  <si>
    <t xml:space="preserve">        09  :PREFIX:-MD-CPAIS-DESC        PIC X(40).</t>
  </si>
  <si>
    <t xml:space="preserve">        09  :PREFIX:-MD-IDP               PIC X(04).</t>
  </si>
  <si>
    <t xml:space="preserve">        09  :PREFIX:-MD-NIF               PIC X(22).</t>
  </si>
  <si>
    <t xml:space="preserve">        09  :PREFIX:-MD-TIPO-ENTIDADE     PIC X(01).</t>
  </si>
  <si>
    <t xml:space="preserve">            88 :PREFIX:-MD-ENT-PARTICUL             VALUE '1'.</t>
  </si>
  <si>
    <t xml:space="preserve">            88 :PREFIX:-MD-ENT-COLETIVA             VALUE '2'.</t>
  </si>
  <si>
    <t xml:space="preserve">        88  :PREFIX:-ORI-SGF-GR                     VALUE 'SPG'.</t>
  </si>
  <si>
    <t xml:space="preserve">        88  :PREFIX:-ORI-SGF-IN                     VALUE 'SPA'.</t>
  </si>
  <si>
    <t xml:space="preserve">        88  :PREFIX:-ORI-FGS                        VALUE 'FGS'.</t>
  </si>
  <si>
    <t xml:space="preserve">     'FGS' - FGS</t>
  </si>
  <si>
    <t xml:space="preserve">     'SPA' - SPA</t>
  </si>
  <si>
    <t xml:space="preserve">     'SPG' - SPG</t>
  </si>
  <si>
    <t>Hora (hhmmss)</t>
  </si>
  <si>
    <t xml:space="preserve">        09  :PREFIX:-DT-HORA              PIC X(06).</t>
  </si>
  <si>
    <t>Tipo Entidade</t>
  </si>
  <si>
    <t xml:space="preserve">     '1' - Pessoa / Particular</t>
  </si>
  <si>
    <t xml:space="preserve">     '2' - Colectivo/Conta Interna</t>
  </si>
  <si>
    <t xml:space="preserve">    07  FILLER                            PIC X(1950).</t>
  </si>
  <si>
    <t xml:space="preserve">    07  FILLER                            PIC X(1878).</t>
  </si>
  <si>
    <t xml:space="preserve">    07  FILLER                            PIC X(1832).</t>
  </si>
  <si>
    <t>05  :PREFIX:-DADOS-DOCUMENTO              PIC X(2138).</t>
  </si>
  <si>
    <t xml:space="preserve">        88  :PREFIX:-ORI-SAS                        VALUE 'SAS'.</t>
  </si>
  <si>
    <t xml:space="preserve">     'SAS' -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</si>
</sst>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ourier New"/>
      <family val="3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2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2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2" fillId="0" borderId="2" xfId="0" applyFont="1" applyBorder="1"/>
    <xf numFmtId="0" fontId="0" fillId="0" borderId="2" xfId="0" applyBorder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6" fillId="4" borderId="1" xfId="0" applyFont="1" applyFill="1" applyBorder="1" applyAlignment="1">
      <alignment horizontal="left"/>
    </xf>
    <xf numFmtId="0" fontId="0" fillId="3" borderId="1" xfId="0" applyFill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/>
    <xf numFmtId="0" fontId="0" fillId="0" borderId="0" xfId="0" applyAlignment="1">
      <alignment horizontal="center" vertical="center"/>
    </xf>
    <xf numFmtId="0" fontId="8" fillId="4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vertical="top"/>
    </xf>
    <xf numFmtId="0" fontId="8" fillId="3" borderId="1" xfId="0" applyFont="1" applyFill="1" applyBorder="1"/>
    <xf numFmtId="0" fontId="9" fillId="2" borderId="1" xfId="0" applyFont="1" applyFill="1" applyBorder="1"/>
    <xf numFmtId="0" fontId="2" fillId="0" borderId="0" xfId="0" applyFont="1"/>
    <xf numFmtId="0" fontId="0" fillId="0" borderId="3" xfId="0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3"/>
  <sheetViews>
    <sheetView tabSelected="1" topLeftCell="A51" workbookViewId="0">
      <selection activeCell="C65" sqref="C65"/>
    </sheetView>
  </sheetViews>
  <sheetFormatPr defaultRowHeight="15" x14ac:dyDescent="0.25"/>
  <cols>
    <col min="1" max="1" width="110.140625" style="37" bestFit="1" customWidth="1"/>
    <col min="2" max="2" width="5.7109375" bestFit="1" customWidth="1"/>
    <col min="3" max="3" width="88" bestFit="1" customWidth="1"/>
    <col min="4" max="4" width="7.7109375" bestFit="1" customWidth="1"/>
    <col min="5" max="5" width="9.140625" bestFit="1" customWidth="1"/>
    <col min="6" max="6" width="12.28515625" style="30" bestFit="1" customWidth="1"/>
  </cols>
  <sheetData>
    <row r="1" spans="1:6" ht="15.75" x14ac:dyDescent="0.3">
      <c r="A1" s="36" t="s">
        <v>2</v>
      </c>
      <c r="B1" s="1" t="s">
        <v>22</v>
      </c>
      <c r="C1" s="1" t="s">
        <v>24</v>
      </c>
      <c r="D1" s="2" t="s">
        <v>0</v>
      </c>
      <c r="E1" s="2" t="s">
        <v>1</v>
      </c>
      <c r="F1" s="22" t="s">
        <v>46</v>
      </c>
    </row>
    <row r="2" spans="1:6" x14ac:dyDescent="0.25">
      <c r="A2" s="6" t="s">
        <v>13</v>
      </c>
      <c r="B2" s="31"/>
      <c r="C2" s="8"/>
      <c r="D2" s="9">
        <v>1</v>
      </c>
      <c r="E2" s="9">
        <v>0</v>
      </c>
      <c r="F2" s="26"/>
    </row>
    <row r="3" spans="1:6" x14ac:dyDescent="0.25">
      <c r="A3" s="5" t="s">
        <v>80</v>
      </c>
      <c r="B3" s="32"/>
      <c r="C3" s="13" t="s">
        <v>14</v>
      </c>
      <c r="D3" s="3">
        <f>D2+E2</f>
        <v>1</v>
      </c>
      <c r="E3" s="3">
        <v>4</v>
      </c>
      <c r="F3" s="44" t="s">
        <v>47</v>
      </c>
    </row>
    <row r="4" spans="1:6" x14ac:dyDescent="0.25">
      <c r="A4" s="5" t="s">
        <v>144</v>
      </c>
      <c r="B4" s="32"/>
      <c r="C4" s="13" t="s">
        <v>53</v>
      </c>
      <c r="D4" s="3"/>
      <c r="E4" s="3"/>
      <c r="F4" s="45"/>
    </row>
    <row r="5" spans="1:6" x14ac:dyDescent="0.25">
      <c r="A5" s="5" t="s">
        <v>81</v>
      </c>
      <c r="B5" s="32"/>
      <c r="C5" s="4" t="s">
        <v>32</v>
      </c>
      <c r="D5" s="3">
        <f>D3+E3</f>
        <v>5</v>
      </c>
      <c r="E5" s="4">
        <v>1</v>
      </c>
      <c r="F5" s="44" t="s">
        <v>47</v>
      </c>
    </row>
    <row r="6" spans="1:6" x14ac:dyDescent="0.25">
      <c r="A6" s="5" t="s">
        <v>97</v>
      </c>
      <c r="B6" s="32"/>
      <c r="C6" s="4" t="s">
        <v>55</v>
      </c>
      <c r="D6" s="3"/>
      <c r="E6" s="4"/>
      <c r="F6" s="45"/>
    </row>
    <row r="7" spans="1:6" x14ac:dyDescent="0.25">
      <c r="A7" s="5" t="s">
        <v>98</v>
      </c>
      <c r="B7" s="32"/>
      <c r="C7" s="4" t="s">
        <v>54</v>
      </c>
      <c r="D7" s="3"/>
      <c r="E7" s="4"/>
      <c r="F7" s="45"/>
    </row>
    <row r="8" spans="1:6" x14ac:dyDescent="0.25">
      <c r="A8" s="5" t="s">
        <v>99</v>
      </c>
      <c r="B8" s="32"/>
      <c r="C8" s="4" t="s">
        <v>56</v>
      </c>
      <c r="D8" s="3"/>
      <c r="E8" s="4"/>
      <c r="F8" s="43"/>
    </row>
    <row r="9" spans="1:6" x14ac:dyDescent="0.25">
      <c r="A9" s="5" t="s">
        <v>82</v>
      </c>
      <c r="B9" s="32"/>
      <c r="C9" s="13" t="s">
        <v>29</v>
      </c>
      <c r="D9" s="3">
        <f>D5+E5</f>
        <v>6</v>
      </c>
      <c r="E9" s="3">
        <v>1</v>
      </c>
      <c r="F9" s="44" t="s">
        <v>47</v>
      </c>
    </row>
    <row r="10" spans="1:6" x14ac:dyDescent="0.25">
      <c r="A10" s="5" t="s">
        <v>100</v>
      </c>
      <c r="B10" s="32"/>
      <c r="C10" s="13" t="s">
        <v>30</v>
      </c>
      <c r="D10" s="3"/>
      <c r="E10" s="3"/>
      <c r="F10" s="45"/>
    </row>
    <row r="11" spans="1:6" x14ac:dyDescent="0.25">
      <c r="A11" s="5" t="s">
        <v>101</v>
      </c>
      <c r="B11" s="32"/>
      <c r="C11" s="13" t="s">
        <v>31</v>
      </c>
      <c r="D11" s="3"/>
      <c r="E11" s="3"/>
      <c r="F11" s="43"/>
    </row>
    <row r="12" spans="1:6" x14ac:dyDescent="0.25">
      <c r="A12" s="5" t="s">
        <v>83</v>
      </c>
      <c r="B12" s="32"/>
      <c r="C12" s="4" t="s">
        <v>34</v>
      </c>
      <c r="D12" s="3">
        <f>D9+E9</f>
        <v>7</v>
      </c>
      <c r="E12" s="4">
        <v>8</v>
      </c>
      <c r="F12" s="24" t="s">
        <v>48</v>
      </c>
    </row>
    <row r="13" spans="1:6" x14ac:dyDescent="0.25">
      <c r="A13" s="5" t="s">
        <v>84</v>
      </c>
      <c r="B13" s="33"/>
      <c r="C13" s="13" t="s">
        <v>3</v>
      </c>
      <c r="D13" s="3">
        <f>D12+E12</f>
        <v>15</v>
      </c>
      <c r="E13" s="3">
        <v>3</v>
      </c>
      <c r="F13" s="44" t="s">
        <v>47</v>
      </c>
    </row>
    <row r="14" spans="1:6" x14ac:dyDescent="0.25">
      <c r="A14" s="5" t="s">
        <v>102</v>
      </c>
      <c r="B14" s="33"/>
      <c r="C14" s="13" t="s">
        <v>15</v>
      </c>
      <c r="D14" s="3"/>
      <c r="E14" s="3"/>
      <c r="F14" s="45"/>
    </row>
    <row r="15" spans="1:6" x14ac:dyDescent="0.25">
      <c r="A15" s="5" t="s">
        <v>103</v>
      </c>
      <c r="B15" s="33"/>
      <c r="C15" s="13" t="s">
        <v>28</v>
      </c>
      <c r="D15" s="3"/>
      <c r="E15" s="3"/>
      <c r="F15" s="45"/>
    </row>
    <row r="16" spans="1:6" x14ac:dyDescent="0.25">
      <c r="A16" s="5" t="s">
        <v>104</v>
      </c>
      <c r="B16" s="33"/>
      <c r="C16" s="13" t="s">
        <v>42</v>
      </c>
      <c r="D16" s="3"/>
      <c r="E16" s="3"/>
      <c r="F16" s="45"/>
    </row>
    <row r="17" spans="1:6" x14ac:dyDescent="0.25">
      <c r="A17" s="5" t="s">
        <v>105</v>
      </c>
      <c r="B17" s="32"/>
      <c r="C17" s="13" t="s">
        <v>16</v>
      </c>
      <c r="D17" s="4"/>
      <c r="E17" s="4"/>
      <c r="F17" s="43"/>
    </row>
    <row r="18" spans="1:6" x14ac:dyDescent="0.25">
      <c r="A18" s="5" t="s">
        <v>85</v>
      </c>
      <c r="B18" s="32"/>
      <c r="C18" s="13" t="s">
        <v>4</v>
      </c>
      <c r="D18" s="3">
        <f>D13+E13</f>
        <v>18</v>
      </c>
      <c r="E18" s="4">
        <v>3</v>
      </c>
      <c r="F18" s="44" t="s">
        <v>47</v>
      </c>
    </row>
    <row r="19" spans="1:6" x14ac:dyDescent="0.25">
      <c r="A19" s="5" t="s">
        <v>106</v>
      </c>
      <c r="B19" s="32"/>
      <c r="C19" s="13" t="s">
        <v>17</v>
      </c>
      <c r="D19" s="4"/>
      <c r="E19" s="4"/>
      <c r="F19" s="46"/>
    </row>
    <row r="20" spans="1:6" x14ac:dyDescent="0.25">
      <c r="A20" s="5" t="s">
        <v>107</v>
      </c>
      <c r="B20" s="32"/>
      <c r="C20" s="13" t="s">
        <v>41</v>
      </c>
      <c r="D20" s="4"/>
      <c r="E20" s="4"/>
      <c r="F20" s="46"/>
    </row>
    <row r="21" spans="1:6" x14ac:dyDescent="0.25">
      <c r="A21" s="5" t="s">
        <v>108</v>
      </c>
      <c r="B21" s="32"/>
      <c r="C21" s="13" t="s">
        <v>43</v>
      </c>
      <c r="D21" s="4"/>
      <c r="E21" s="4"/>
      <c r="F21" s="46"/>
    </row>
    <row r="22" spans="1:6" x14ac:dyDescent="0.25">
      <c r="A22" s="5" t="s">
        <v>109</v>
      </c>
      <c r="B22" s="32"/>
      <c r="C22" s="13" t="s">
        <v>44</v>
      </c>
      <c r="D22" s="4"/>
      <c r="E22" s="4"/>
      <c r="F22" s="46"/>
    </row>
    <row r="23" spans="1:6" x14ac:dyDescent="0.25">
      <c r="A23" s="5" t="s">
        <v>110</v>
      </c>
      <c r="B23" s="32"/>
      <c r="C23" s="13" t="s">
        <v>19</v>
      </c>
      <c r="D23" s="4"/>
      <c r="E23" s="4"/>
      <c r="F23" s="46"/>
    </row>
    <row r="24" spans="1:6" x14ac:dyDescent="0.25">
      <c r="A24" s="5" t="s">
        <v>111</v>
      </c>
      <c r="B24" s="32"/>
      <c r="C24" s="13" t="s">
        <v>18</v>
      </c>
      <c r="D24" s="4"/>
      <c r="E24" s="4"/>
      <c r="F24" s="46"/>
    </row>
    <row r="25" spans="1:6" x14ac:dyDescent="0.25">
      <c r="A25" s="5" t="s">
        <v>162</v>
      </c>
      <c r="B25" s="32"/>
      <c r="C25" s="13" t="s">
        <v>163</v>
      </c>
      <c r="D25" s="4"/>
      <c r="E25" s="4"/>
      <c r="F25" s="47"/>
    </row>
    <row r="26" spans="1:6" x14ac:dyDescent="0.25">
      <c r="A26" s="5" t="s">
        <v>86</v>
      </c>
      <c r="B26" s="32"/>
      <c r="C26" s="13"/>
      <c r="D26" s="4">
        <f>D18+E18</f>
        <v>21</v>
      </c>
      <c r="E26" s="4">
        <v>1</v>
      </c>
      <c r="F26" s="42" t="s">
        <v>49</v>
      </c>
    </row>
    <row r="27" spans="1:6" x14ac:dyDescent="0.25">
      <c r="A27" s="18" t="s">
        <v>112</v>
      </c>
      <c r="B27" s="34"/>
      <c r="C27" s="19" t="s">
        <v>57</v>
      </c>
      <c r="D27" s="17"/>
      <c r="E27" s="17"/>
      <c r="F27" s="43"/>
    </row>
    <row r="28" spans="1:6" x14ac:dyDescent="0.25">
      <c r="A28" s="5" t="s">
        <v>87</v>
      </c>
      <c r="B28" s="32"/>
      <c r="C28" s="4" t="s">
        <v>6</v>
      </c>
      <c r="D28" s="3">
        <f>D26+E26</f>
        <v>22</v>
      </c>
      <c r="E28" s="4">
        <v>10</v>
      </c>
      <c r="F28" s="23" t="s">
        <v>47</v>
      </c>
    </row>
    <row r="29" spans="1:6" x14ac:dyDescent="0.25">
      <c r="A29" s="5" t="s">
        <v>88</v>
      </c>
      <c r="B29" s="32"/>
      <c r="C29" s="4" t="s">
        <v>158</v>
      </c>
      <c r="D29" s="3">
        <f>D28+E28</f>
        <v>32</v>
      </c>
      <c r="E29" s="4">
        <v>10</v>
      </c>
      <c r="F29" s="25" t="s">
        <v>49</v>
      </c>
    </row>
    <row r="30" spans="1:6" x14ac:dyDescent="0.25">
      <c r="A30" s="5" t="s">
        <v>89</v>
      </c>
      <c r="B30" s="32"/>
      <c r="C30" s="4" t="s">
        <v>52</v>
      </c>
      <c r="D30" s="3">
        <f>D29+E29</f>
        <v>42</v>
      </c>
      <c r="E30" s="4">
        <v>16</v>
      </c>
      <c r="F30" s="25" t="s">
        <v>49</v>
      </c>
    </row>
    <row r="31" spans="1:6" x14ac:dyDescent="0.25">
      <c r="A31" s="5" t="s">
        <v>90</v>
      </c>
      <c r="B31" s="32"/>
      <c r="C31" s="13" t="s">
        <v>5</v>
      </c>
      <c r="D31" s="3">
        <f>D30+E30</f>
        <v>58</v>
      </c>
      <c r="E31" s="4">
        <v>3</v>
      </c>
      <c r="F31" s="44" t="s">
        <v>47</v>
      </c>
    </row>
    <row r="32" spans="1:6" x14ac:dyDescent="0.25">
      <c r="A32" s="5" t="s">
        <v>113</v>
      </c>
      <c r="B32" s="32"/>
      <c r="C32" s="4" t="s">
        <v>35</v>
      </c>
      <c r="D32" s="4"/>
      <c r="E32" s="4"/>
      <c r="F32" s="45"/>
    </row>
    <row r="33" spans="1:6" x14ac:dyDescent="0.25">
      <c r="A33" s="5" t="s">
        <v>114</v>
      </c>
      <c r="B33" s="32"/>
      <c r="C33" s="4" t="s">
        <v>36</v>
      </c>
      <c r="D33" s="4"/>
      <c r="E33" s="4"/>
      <c r="F33" s="45"/>
    </row>
    <row r="34" spans="1:6" x14ac:dyDescent="0.25">
      <c r="A34" s="5" t="s">
        <v>115</v>
      </c>
      <c r="B34" s="32"/>
      <c r="C34" s="4" t="s">
        <v>20</v>
      </c>
      <c r="D34" s="4"/>
      <c r="E34" s="4"/>
      <c r="F34" s="45"/>
    </row>
    <row r="35" spans="1:6" x14ac:dyDescent="0.25">
      <c r="A35" s="5" t="s">
        <v>116</v>
      </c>
      <c r="B35" s="32"/>
      <c r="C35" s="4" t="s">
        <v>37</v>
      </c>
      <c r="D35" s="4"/>
      <c r="E35" s="4"/>
      <c r="F35" s="45"/>
    </row>
    <row r="36" spans="1:6" x14ac:dyDescent="0.25">
      <c r="A36" s="5" t="s">
        <v>117</v>
      </c>
      <c r="B36" s="32"/>
      <c r="C36" s="4" t="s">
        <v>21</v>
      </c>
      <c r="D36" s="4"/>
      <c r="E36" s="4"/>
      <c r="F36" s="45"/>
    </row>
    <row r="37" spans="1:6" x14ac:dyDescent="0.25">
      <c r="A37" s="5" t="s">
        <v>178</v>
      </c>
      <c r="B37" s="32"/>
      <c r="C37" s="4" t="s">
        <v>183</v>
      </c>
      <c r="D37" s="4"/>
      <c r="E37" s="4"/>
      <c r="F37" s="45"/>
    </row>
    <row r="38" spans="1:6" x14ac:dyDescent="0.25">
      <c r="A38" s="5" t="s">
        <v>179</v>
      </c>
      <c r="B38" s="32"/>
      <c r="C38" s="4" t="s">
        <v>182</v>
      </c>
      <c r="D38" s="4"/>
      <c r="E38" s="4"/>
      <c r="F38" s="45"/>
    </row>
    <row r="39" spans="1:6" x14ac:dyDescent="0.25">
      <c r="A39" s="5" t="s">
        <v>180</v>
      </c>
      <c r="B39" s="32"/>
      <c r="C39" s="4" t="s">
        <v>181</v>
      </c>
      <c r="D39" s="4"/>
      <c r="E39" s="4"/>
      <c r="F39" s="45"/>
    </row>
    <row r="40" spans="1:6" x14ac:dyDescent="0.25">
      <c r="A40" s="5" t="s">
        <v>118</v>
      </c>
      <c r="B40" s="32"/>
      <c r="C40" s="4" t="s">
        <v>50</v>
      </c>
      <c r="D40" s="4"/>
      <c r="E40" s="4"/>
      <c r="F40" s="43"/>
    </row>
    <row r="41" spans="1:6" x14ac:dyDescent="0.25">
      <c r="A41" s="5" t="s">
        <v>193</v>
      </c>
      <c r="B41" s="32"/>
      <c r="C41" s="4" t="s">
        <v>194</v>
      </c>
      <c r="D41" s="4"/>
      <c r="E41" s="4"/>
      <c r="F41" s="38"/>
    </row>
    <row r="42" spans="1:6" x14ac:dyDescent="0.25">
      <c r="A42" s="5" t="s">
        <v>91</v>
      </c>
      <c r="B42" s="32"/>
      <c r="C42" s="4" t="s">
        <v>23</v>
      </c>
      <c r="D42" s="3">
        <f>D31+E31</f>
        <v>61</v>
      </c>
      <c r="E42" s="4">
        <v>1</v>
      </c>
      <c r="F42" s="25" t="s">
        <v>49</v>
      </c>
    </row>
    <row r="43" spans="1:6" x14ac:dyDescent="0.25">
      <c r="A43" s="6" t="s">
        <v>192</v>
      </c>
      <c r="B43" s="31"/>
      <c r="C43" s="8"/>
      <c r="D43" s="9">
        <f>D42+E42</f>
        <v>62</v>
      </c>
      <c r="E43" s="9">
        <f>2200-D43</f>
        <v>2138</v>
      </c>
      <c r="F43" s="27"/>
    </row>
    <row r="44" spans="1:6" x14ac:dyDescent="0.25">
      <c r="A44" s="28"/>
      <c r="B44" s="33"/>
      <c r="C44" s="13"/>
      <c r="D44" s="3"/>
      <c r="E44" s="3"/>
      <c r="F44" s="27"/>
    </row>
    <row r="45" spans="1:6" x14ac:dyDescent="0.25">
      <c r="A45" s="6" t="s">
        <v>33</v>
      </c>
      <c r="B45" s="7"/>
      <c r="C45" s="8"/>
      <c r="D45" s="9">
        <v>62</v>
      </c>
      <c r="E45" s="9">
        <v>0</v>
      </c>
      <c r="F45" s="27"/>
    </row>
    <row r="46" spans="1:6" x14ac:dyDescent="0.25">
      <c r="A46" s="10" t="s">
        <v>92</v>
      </c>
      <c r="B46" s="35"/>
      <c r="C46" s="11" t="s">
        <v>154</v>
      </c>
      <c r="D46" s="21">
        <f>D45+E45</f>
        <v>62</v>
      </c>
      <c r="E46" s="11">
        <v>0</v>
      </c>
      <c r="F46" s="4"/>
    </row>
    <row r="47" spans="1:6" x14ac:dyDescent="0.25">
      <c r="A47" s="5" t="s">
        <v>164</v>
      </c>
      <c r="B47" s="32"/>
      <c r="C47" s="4" t="s">
        <v>8</v>
      </c>
      <c r="D47" s="17">
        <f>D46+E46</f>
        <v>62</v>
      </c>
      <c r="E47" s="4">
        <v>40</v>
      </c>
      <c r="F47" s="23" t="s">
        <v>47</v>
      </c>
    </row>
    <row r="48" spans="1:6" x14ac:dyDescent="0.25">
      <c r="A48" s="5" t="s">
        <v>165</v>
      </c>
      <c r="B48" s="32"/>
      <c r="C48" s="4" t="s">
        <v>26</v>
      </c>
      <c r="D48" s="17">
        <f t="shared" ref="D48:D66" si="0">D47+E47</f>
        <v>102</v>
      </c>
      <c r="E48" s="4">
        <v>4</v>
      </c>
      <c r="F48" s="23" t="s">
        <v>47</v>
      </c>
    </row>
    <row r="49" spans="1:6" x14ac:dyDescent="0.25">
      <c r="A49" s="5" t="s">
        <v>166</v>
      </c>
      <c r="B49" s="32"/>
      <c r="C49" s="4" t="s">
        <v>9</v>
      </c>
      <c r="D49" s="17">
        <f t="shared" si="0"/>
        <v>106</v>
      </c>
      <c r="E49" s="4">
        <v>40</v>
      </c>
      <c r="F49" s="23" t="s">
        <v>47</v>
      </c>
    </row>
    <row r="50" spans="1:6" x14ac:dyDescent="0.25">
      <c r="A50" s="5" t="s">
        <v>167</v>
      </c>
      <c r="B50" s="32"/>
      <c r="C50" s="4" t="s">
        <v>10</v>
      </c>
      <c r="D50" s="17">
        <f t="shared" si="0"/>
        <v>146</v>
      </c>
      <c r="E50" s="4">
        <v>40</v>
      </c>
      <c r="F50" s="25" t="s">
        <v>49</v>
      </c>
    </row>
    <row r="51" spans="1:6" x14ac:dyDescent="0.25">
      <c r="A51" s="5" t="s">
        <v>168</v>
      </c>
      <c r="B51" s="32"/>
      <c r="C51" s="4" t="s">
        <v>11</v>
      </c>
      <c r="D51" s="17">
        <f t="shared" si="0"/>
        <v>186</v>
      </c>
      <c r="E51" s="4">
        <v>40</v>
      </c>
      <c r="F51" s="25" t="s">
        <v>49</v>
      </c>
    </row>
    <row r="52" spans="1:6" x14ac:dyDescent="0.25">
      <c r="A52" s="5" t="s">
        <v>169</v>
      </c>
      <c r="B52" s="32"/>
      <c r="C52" s="4" t="s">
        <v>27</v>
      </c>
      <c r="D52" s="17">
        <f t="shared" si="0"/>
        <v>226</v>
      </c>
      <c r="E52" s="4">
        <v>9</v>
      </c>
      <c r="F52" s="23" t="s">
        <v>47</v>
      </c>
    </row>
    <row r="53" spans="1:6" x14ac:dyDescent="0.25">
      <c r="A53" s="5" t="s">
        <v>170</v>
      </c>
      <c r="B53" s="32"/>
      <c r="C53" s="4" t="s">
        <v>12</v>
      </c>
      <c r="D53" s="17">
        <f t="shared" si="0"/>
        <v>235</v>
      </c>
      <c r="E53" s="4">
        <v>40</v>
      </c>
      <c r="F53" s="23" t="s">
        <v>47</v>
      </c>
    </row>
    <row r="54" spans="1:6" x14ac:dyDescent="0.25">
      <c r="A54" s="5" t="s">
        <v>171</v>
      </c>
      <c r="B54" s="32"/>
      <c r="C54" s="4" t="s">
        <v>38</v>
      </c>
      <c r="D54" s="17">
        <f t="shared" si="0"/>
        <v>275</v>
      </c>
      <c r="E54" s="4">
        <v>3</v>
      </c>
      <c r="F54" s="23" t="s">
        <v>47</v>
      </c>
    </row>
    <row r="55" spans="1:6" x14ac:dyDescent="0.25">
      <c r="A55" s="5" t="s">
        <v>172</v>
      </c>
      <c r="B55" s="32"/>
      <c r="C55" s="4" t="s">
        <v>39</v>
      </c>
      <c r="D55" s="17">
        <f t="shared" si="0"/>
        <v>278</v>
      </c>
      <c r="E55" s="4">
        <v>40</v>
      </c>
      <c r="F55" s="23" t="s">
        <v>47</v>
      </c>
    </row>
    <row r="56" spans="1:6" x14ac:dyDescent="0.25">
      <c r="A56" s="18" t="s">
        <v>173</v>
      </c>
      <c r="B56" s="32"/>
      <c r="C56" s="17" t="s">
        <v>40</v>
      </c>
      <c r="D56" s="17">
        <f t="shared" si="0"/>
        <v>318</v>
      </c>
      <c r="E56" s="17">
        <v>4</v>
      </c>
      <c r="F56" s="23" t="s">
        <v>47</v>
      </c>
    </row>
    <row r="57" spans="1:6" x14ac:dyDescent="0.25">
      <c r="A57" s="18" t="s">
        <v>174</v>
      </c>
      <c r="B57" s="32"/>
      <c r="C57" s="17" t="s">
        <v>147</v>
      </c>
      <c r="D57" s="17">
        <f t="shared" si="0"/>
        <v>322</v>
      </c>
      <c r="E57" s="17">
        <v>22</v>
      </c>
      <c r="F57" s="23" t="s">
        <v>47</v>
      </c>
    </row>
    <row r="58" spans="1:6" x14ac:dyDescent="0.25">
      <c r="A58" s="18" t="s">
        <v>175</v>
      </c>
      <c r="B58" s="32"/>
      <c r="C58" s="4" t="s">
        <v>186</v>
      </c>
      <c r="D58" s="17">
        <f t="shared" si="0"/>
        <v>344</v>
      </c>
      <c r="E58" s="17">
        <v>1</v>
      </c>
      <c r="F58" s="39" t="s">
        <v>49</v>
      </c>
    </row>
    <row r="59" spans="1:6" x14ac:dyDescent="0.25">
      <c r="A59" s="18" t="s">
        <v>176</v>
      </c>
      <c r="B59" s="32"/>
      <c r="C59" s="4" t="s">
        <v>187</v>
      </c>
      <c r="D59" s="17"/>
      <c r="E59" s="17"/>
      <c r="F59" s="40"/>
    </row>
    <row r="60" spans="1:6" x14ac:dyDescent="0.25">
      <c r="A60" s="18" t="s">
        <v>177</v>
      </c>
      <c r="B60" s="32"/>
      <c r="C60" s="4" t="s">
        <v>188</v>
      </c>
      <c r="D60" s="17"/>
      <c r="E60" s="17"/>
      <c r="F60" s="41"/>
    </row>
    <row r="61" spans="1:6" x14ac:dyDescent="0.25">
      <c r="A61" s="10" t="s">
        <v>153</v>
      </c>
      <c r="B61" s="35"/>
      <c r="C61" s="21"/>
      <c r="D61" s="21">
        <f>D58+E58</f>
        <v>345</v>
      </c>
      <c r="E61" s="21">
        <v>0</v>
      </c>
      <c r="F61" s="26"/>
    </row>
    <row r="62" spans="1:6" x14ac:dyDescent="0.25">
      <c r="A62" s="5" t="s">
        <v>119</v>
      </c>
      <c r="B62" s="32"/>
      <c r="C62" s="4" t="s">
        <v>51</v>
      </c>
      <c r="D62" s="17">
        <f t="shared" si="0"/>
        <v>345</v>
      </c>
      <c r="E62" s="17">
        <v>8</v>
      </c>
      <c r="F62" s="23" t="s">
        <v>47</v>
      </c>
    </row>
    <row r="63" spans="1:6" x14ac:dyDescent="0.25">
      <c r="A63" s="14" t="s">
        <v>120</v>
      </c>
      <c r="B63" s="32"/>
      <c r="C63" s="15" t="s">
        <v>25</v>
      </c>
      <c r="D63" s="17">
        <f t="shared" si="0"/>
        <v>353</v>
      </c>
      <c r="E63" s="15">
        <v>3</v>
      </c>
      <c r="F63" s="23" t="s">
        <v>47</v>
      </c>
    </row>
    <row r="64" spans="1:6" x14ac:dyDescent="0.25">
      <c r="A64" s="14" t="s">
        <v>121</v>
      </c>
      <c r="B64" s="32"/>
      <c r="C64" s="15" t="s">
        <v>58</v>
      </c>
      <c r="D64" s="17">
        <f t="shared" si="0"/>
        <v>356</v>
      </c>
      <c r="E64" s="15">
        <v>5</v>
      </c>
      <c r="F64" s="23" t="s">
        <v>47</v>
      </c>
    </row>
    <row r="65" spans="1:6" x14ac:dyDescent="0.25">
      <c r="A65" s="14" t="s">
        <v>148</v>
      </c>
      <c r="B65" s="32"/>
      <c r="C65" s="15" t="s">
        <v>149</v>
      </c>
      <c r="D65" s="17">
        <f t="shared" si="0"/>
        <v>361</v>
      </c>
      <c r="E65" s="15">
        <v>7</v>
      </c>
      <c r="F65" s="23" t="s">
        <v>47</v>
      </c>
    </row>
    <row r="66" spans="1:6" x14ac:dyDescent="0.25">
      <c r="A66" s="10" t="s">
        <v>191</v>
      </c>
      <c r="B66" s="35"/>
      <c r="C66" s="11" t="s">
        <v>150</v>
      </c>
      <c r="D66" s="21">
        <f t="shared" si="0"/>
        <v>368</v>
      </c>
      <c r="E66" s="11">
        <f>2200-D66</f>
        <v>1832</v>
      </c>
      <c r="F66" s="4"/>
    </row>
    <row r="67" spans="1:6" x14ac:dyDescent="0.25">
      <c r="A67" s="5"/>
      <c r="B67" s="32"/>
      <c r="C67" s="4"/>
      <c r="D67" s="17"/>
      <c r="E67" s="4"/>
      <c r="F67" s="4"/>
    </row>
    <row r="68" spans="1:6" x14ac:dyDescent="0.25">
      <c r="A68" s="6" t="s">
        <v>33</v>
      </c>
      <c r="B68" s="31"/>
      <c r="C68" s="20" t="s">
        <v>146</v>
      </c>
      <c r="D68" s="9">
        <v>62</v>
      </c>
      <c r="E68" s="9">
        <v>0</v>
      </c>
      <c r="F68" s="3"/>
    </row>
    <row r="69" spans="1:6" x14ac:dyDescent="0.25">
      <c r="A69" s="10" t="s">
        <v>93</v>
      </c>
      <c r="B69" s="35"/>
      <c r="C69" s="11" t="s">
        <v>151</v>
      </c>
      <c r="D69" s="12">
        <f>D68+E68</f>
        <v>62</v>
      </c>
      <c r="E69" s="11">
        <v>0</v>
      </c>
      <c r="F69" s="4"/>
    </row>
    <row r="70" spans="1:6" x14ac:dyDescent="0.25">
      <c r="A70" s="5" t="s">
        <v>156</v>
      </c>
      <c r="B70" s="32"/>
      <c r="C70" s="4" t="s">
        <v>155</v>
      </c>
      <c r="D70" s="3">
        <f>D69+E69</f>
        <v>62</v>
      </c>
      <c r="E70" s="4">
        <v>8</v>
      </c>
      <c r="F70" s="23" t="s">
        <v>47</v>
      </c>
    </row>
    <row r="71" spans="1:6" x14ac:dyDescent="0.25">
      <c r="A71" s="5" t="s">
        <v>185</v>
      </c>
      <c r="B71" s="32"/>
      <c r="C71" s="4" t="s">
        <v>184</v>
      </c>
      <c r="D71" s="3">
        <f t="shared" ref="D71:D84" si="1">D70+E70</f>
        <v>70</v>
      </c>
      <c r="E71" s="4">
        <v>6</v>
      </c>
      <c r="F71" s="23" t="s">
        <v>47</v>
      </c>
    </row>
    <row r="72" spans="1:6" x14ac:dyDescent="0.25">
      <c r="A72" s="5" t="s">
        <v>142</v>
      </c>
      <c r="B72" s="32"/>
      <c r="C72" s="4" t="s">
        <v>72</v>
      </c>
      <c r="D72" s="3">
        <f t="shared" si="1"/>
        <v>76</v>
      </c>
      <c r="E72" s="4">
        <v>50</v>
      </c>
      <c r="F72" s="23" t="s">
        <v>47</v>
      </c>
    </row>
    <row r="73" spans="1:6" x14ac:dyDescent="0.25">
      <c r="A73" s="5" t="s">
        <v>143</v>
      </c>
      <c r="B73" s="32"/>
      <c r="C73" s="4" t="s">
        <v>73</v>
      </c>
      <c r="D73" s="3">
        <f t="shared" si="1"/>
        <v>126</v>
      </c>
      <c r="E73" s="4">
        <v>50</v>
      </c>
      <c r="F73" s="23" t="s">
        <v>47</v>
      </c>
    </row>
    <row r="74" spans="1:6" x14ac:dyDescent="0.25">
      <c r="A74" s="18" t="s">
        <v>122</v>
      </c>
      <c r="B74" s="32"/>
      <c r="C74" s="17" t="s">
        <v>7</v>
      </c>
      <c r="D74" s="3">
        <f t="shared" si="1"/>
        <v>176</v>
      </c>
      <c r="E74" s="17">
        <v>16</v>
      </c>
      <c r="F74" s="25" t="s">
        <v>49</v>
      </c>
    </row>
    <row r="75" spans="1:6" x14ac:dyDescent="0.25">
      <c r="A75" s="5" t="s">
        <v>123</v>
      </c>
      <c r="B75" s="32"/>
      <c r="C75" s="17" t="s">
        <v>45</v>
      </c>
      <c r="D75" s="3">
        <f t="shared" si="1"/>
        <v>192</v>
      </c>
      <c r="E75" s="17">
        <v>12</v>
      </c>
      <c r="F75" s="25" t="s">
        <v>49</v>
      </c>
    </row>
    <row r="76" spans="1:6" x14ac:dyDescent="0.25">
      <c r="A76" s="5" t="s">
        <v>124</v>
      </c>
      <c r="B76" s="32"/>
      <c r="C76" s="29" t="s">
        <v>145</v>
      </c>
      <c r="D76" s="3">
        <f t="shared" si="1"/>
        <v>204</v>
      </c>
      <c r="E76" s="4">
        <v>16</v>
      </c>
      <c r="F76" s="23" t="s">
        <v>47</v>
      </c>
    </row>
    <row r="77" spans="1:6" x14ac:dyDescent="0.25">
      <c r="A77" s="5" t="s">
        <v>141</v>
      </c>
      <c r="B77" s="32"/>
      <c r="C77" s="4" t="s">
        <v>71</v>
      </c>
      <c r="D77" s="3">
        <f t="shared" si="1"/>
        <v>220</v>
      </c>
      <c r="E77" s="4">
        <v>12</v>
      </c>
      <c r="F77" s="23" t="s">
        <v>47</v>
      </c>
    </row>
    <row r="78" spans="1:6" x14ac:dyDescent="0.25">
      <c r="A78" s="16" t="s">
        <v>125</v>
      </c>
      <c r="B78" s="32"/>
      <c r="C78" s="17" t="s">
        <v>74</v>
      </c>
      <c r="D78" s="3">
        <f t="shared" si="1"/>
        <v>232</v>
      </c>
      <c r="E78" s="17">
        <v>15</v>
      </c>
      <c r="F78" s="25" t="s">
        <v>49</v>
      </c>
    </row>
    <row r="79" spans="1:6" x14ac:dyDescent="0.25">
      <c r="A79" s="16" t="s">
        <v>126</v>
      </c>
      <c r="B79" s="32"/>
      <c r="C79" s="17" t="s">
        <v>75</v>
      </c>
      <c r="D79" s="3">
        <f t="shared" si="1"/>
        <v>247</v>
      </c>
      <c r="E79" s="17">
        <v>15</v>
      </c>
      <c r="F79" s="25" t="s">
        <v>49</v>
      </c>
    </row>
    <row r="80" spans="1:6" x14ac:dyDescent="0.25">
      <c r="A80" s="16" t="s">
        <v>127</v>
      </c>
      <c r="B80" s="32"/>
      <c r="C80" s="17" t="s">
        <v>76</v>
      </c>
      <c r="D80" s="3">
        <f t="shared" si="1"/>
        <v>262</v>
      </c>
      <c r="E80" s="17">
        <v>15</v>
      </c>
      <c r="F80" s="25" t="s">
        <v>49</v>
      </c>
    </row>
    <row r="81" spans="1:6" x14ac:dyDescent="0.25">
      <c r="A81" s="16" t="s">
        <v>128</v>
      </c>
      <c r="B81" s="32"/>
      <c r="C81" s="17" t="s">
        <v>77</v>
      </c>
      <c r="D81" s="3">
        <f t="shared" si="1"/>
        <v>277</v>
      </c>
      <c r="E81" s="17">
        <v>15</v>
      </c>
      <c r="F81" s="25" t="s">
        <v>49</v>
      </c>
    </row>
    <row r="82" spans="1:6" x14ac:dyDescent="0.25">
      <c r="A82" s="16" t="s">
        <v>129</v>
      </c>
      <c r="B82" s="32"/>
      <c r="C82" s="17" t="s">
        <v>78</v>
      </c>
      <c r="D82" s="3">
        <f t="shared" si="1"/>
        <v>292</v>
      </c>
      <c r="E82" s="17">
        <v>15</v>
      </c>
      <c r="F82" s="25" t="s">
        <v>49</v>
      </c>
    </row>
    <row r="83" spans="1:6" x14ac:dyDescent="0.25">
      <c r="A83" s="16" t="s">
        <v>130</v>
      </c>
      <c r="B83" s="32"/>
      <c r="C83" s="17" t="s">
        <v>79</v>
      </c>
      <c r="D83" s="3">
        <f t="shared" si="1"/>
        <v>307</v>
      </c>
      <c r="E83" s="17">
        <v>15</v>
      </c>
      <c r="F83" s="25" t="s">
        <v>49</v>
      </c>
    </row>
    <row r="84" spans="1:6" x14ac:dyDescent="0.25">
      <c r="A84" s="10" t="s">
        <v>190</v>
      </c>
      <c r="B84" s="35"/>
      <c r="C84" s="11" t="s">
        <v>150</v>
      </c>
      <c r="D84" s="12">
        <f t="shared" si="1"/>
        <v>322</v>
      </c>
      <c r="E84" s="11">
        <f>2200-D84</f>
        <v>1878</v>
      </c>
      <c r="F84" s="4"/>
    </row>
    <row r="85" spans="1:6" x14ac:dyDescent="0.25">
      <c r="A85" s="5"/>
      <c r="B85" s="32"/>
      <c r="C85" s="4"/>
      <c r="D85" s="3"/>
      <c r="E85" s="4"/>
      <c r="F85" s="4"/>
    </row>
    <row r="86" spans="1:6" x14ac:dyDescent="0.25">
      <c r="A86" s="6" t="s">
        <v>33</v>
      </c>
      <c r="B86" s="31"/>
      <c r="C86" s="8"/>
      <c r="D86" s="9">
        <v>62</v>
      </c>
      <c r="E86" s="9">
        <v>0</v>
      </c>
      <c r="F86" s="3"/>
    </row>
    <row r="87" spans="1:6" x14ac:dyDescent="0.25">
      <c r="A87" s="10" t="s">
        <v>94</v>
      </c>
      <c r="B87" s="35"/>
      <c r="C87" s="11" t="s">
        <v>152</v>
      </c>
      <c r="D87" s="12">
        <f t="shared" ref="D87:D103" si="2">D86+E86</f>
        <v>62</v>
      </c>
      <c r="E87" s="11">
        <v>0</v>
      </c>
      <c r="F87" s="4"/>
    </row>
    <row r="88" spans="1:6" x14ac:dyDescent="0.25">
      <c r="A88" s="5" t="s">
        <v>95</v>
      </c>
      <c r="B88" s="32"/>
      <c r="C88" s="4"/>
      <c r="D88" s="3">
        <f t="shared" si="2"/>
        <v>62</v>
      </c>
      <c r="E88" s="4">
        <v>0</v>
      </c>
      <c r="F88" s="4"/>
    </row>
    <row r="89" spans="1:6" x14ac:dyDescent="0.25">
      <c r="A89" s="5" t="s">
        <v>159</v>
      </c>
      <c r="B89" s="32"/>
      <c r="C89" s="4" t="s">
        <v>157</v>
      </c>
      <c r="D89" s="3">
        <f t="shared" si="2"/>
        <v>62</v>
      </c>
      <c r="E89" s="4">
        <v>8</v>
      </c>
      <c r="F89" s="23" t="s">
        <v>47</v>
      </c>
    </row>
    <row r="90" spans="1:6" x14ac:dyDescent="0.25">
      <c r="A90" s="16" t="s">
        <v>160</v>
      </c>
      <c r="B90" s="32"/>
      <c r="C90" s="4" t="s">
        <v>63</v>
      </c>
      <c r="D90" s="3">
        <f t="shared" si="2"/>
        <v>70</v>
      </c>
      <c r="E90" s="4">
        <v>15</v>
      </c>
      <c r="F90" s="25" t="s">
        <v>49</v>
      </c>
    </row>
    <row r="91" spans="1:6" x14ac:dyDescent="0.25">
      <c r="A91" s="16" t="s">
        <v>131</v>
      </c>
      <c r="B91" s="32"/>
      <c r="C91" s="4" t="s">
        <v>64</v>
      </c>
      <c r="D91" s="3">
        <f t="shared" si="2"/>
        <v>85</v>
      </c>
      <c r="E91" s="4">
        <v>15</v>
      </c>
      <c r="F91" s="25" t="s">
        <v>49</v>
      </c>
    </row>
    <row r="92" spans="1:6" x14ac:dyDescent="0.25">
      <c r="A92" s="16" t="s">
        <v>132</v>
      </c>
      <c r="B92" s="32"/>
      <c r="C92" s="4" t="s">
        <v>65</v>
      </c>
      <c r="D92" s="3">
        <f t="shared" si="2"/>
        <v>100</v>
      </c>
      <c r="E92" s="4">
        <v>15</v>
      </c>
      <c r="F92" s="25" t="s">
        <v>49</v>
      </c>
    </row>
    <row r="93" spans="1:6" x14ac:dyDescent="0.25">
      <c r="A93" s="16" t="s">
        <v>133</v>
      </c>
      <c r="B93" s="32"/>
      <c r="C93" s="4" t="s">
        <v>66</v>
      </c>
      <c r="D93" s="3">
        <f t="shared" si="2"/>
        <v>115</v>
      </c>
      <c r="E93" s="4">
        <v>15</v>
      </c>
      <c r="F93" s="25" t="s">
        <v>49</v>
      </c>
    </row>
    <row r="94" spans="1:6" x14ac:dyDescent="0.25">
      <c r="A94" s="16" t="s">
        <v>134</v>
      </c>
      <c r="B94" s="32"/>
      <c r="C94" s="4" t="s">
        <v>67</v>
      </c>
      <c r="D94" s="3">
        <f t="shared" si="2"/>
        <v>130</v>
      </c>
      <c r="E94" s="4">
        <v>15</v>
      </c>
      <c r="F94" s="25" t="s">
        <v>49</v>
      </c>
    </row>
    <row r="95" spans="1:6" x14ac:dyDescent="0.25">
      <c r="A95" s="16" t="s">
        <v>135</v>
      </c>
      <c r="B95" s="32"/>
      <c r="C95" s="4" t="s">
        <v>68</v>
      </c>
      <c r="D95" s="3">
        <f t="shared" si="2"/>
        <v>145</v>
      </c>
      <c r="E95" s="4">
        <v>15</v>
      </c>
      <c r="F95" s="25" t="s">
        <v>49</v>
      </c>
    </row>
    <row r="96" spans="1:6" x14ac:dyDescent="0.25">
      <c r="A96" s="16" t="s">
        <v>136</v>
      </c>
      <c r="B96" s="32"/>
      <c r="C96" s="4" t="s">
        <v>69</v>
      </c>
      <c r="D96" s="3">
        <f t="shared" si="2"/>
        <v>160</v>
      </c>
      <c r="E96" s="4">
        <v>15</v>
      </c>
      <c r="F96" s="25" t="s">
        <v>49</v>
      </c>
    </row>
    <row r="97" spans="1:6" x14ac:dyDescent="0.25">
      <c r="A97" s="16" t="s">
        <v>161</v>
      </c>
      <c r="B97" s="32"/>
      <c r="C97" s="4" t="s">
        <v>70</v>
      </c>
      <c r="D97" s="3">
        <f t="shared" si="2"/>
        <v>175</v>
      </c>
      <c r="E97" s="4">
        <v>15</v>
      </c>
      <c r="F97" s="25" t="s">
        <v>49</v>
      </c>
    </row>
    <row r="98" spans="1:6" x14ac:dyDescent="0.25">
      <c r="A98" s="5" t="s">
        <v>96</v>
      </c>
      <c r="B98" s="32"/>
      <c r="C98" s="4"/>
      <c r="D98" s="3">
        <f t="shared" si="2"/>
        <v>190</v>
      </c>
      <c r="E98" s="4">
        <v>0</v>
      </c>
      <c r="F98" s="26"/>
    </row>
    <row r="99" spans="1:6" x14ac:dyDescent="0.25">
      <c r="A99" s="16" t="s">
        <v>137</v>
      </c>
      <c r="B99" s="32"/>
      <c r="C99" s="4" t="s">
        <v>59</v>
      </c>
      <c r="D99" s="3">
        <f t="shared" si="2"/>
        <v>190</v>
      </c>
      <c r="E99" s="4">
        <v>15</v>
      </c>
      <c r="F99" s="25" t="s">
        <v>49</v>
      </c>
    </row>
    <row r="100" spans="1:6" x14ac:dyDescent="0.25">
      <c r="A100" s="16" t="s">
        <v>138</v>
      </c>
      <c r="B100" s="32"/>
      <c r="C100" s="4" t="s">
        <v>60</v>
      </c>
      <c r="D100" s="3">
        <f t="shared" si="2"/>
        <v>205</v>
      </c>
      <c r="E100" s="4">
        <v>15</v>
      </c>
      <c r="F100" s="25" t="s">
        <v>49</v>
      </c>
    </row>
    <row r="101" spans="1:6" x14ac:dyDescent="0.25">
      <c r="A101" s="16" t="s">
        <v>139</v>
      </c>
      <c r="B101" s="32"/>
      <c r="C101" s="4" t="s">
        <v>61</v>
      </c>
      <c r="D101" s="3">
        <f t="shared" si="2"/>
        <v>220</v>
      </c>
      <c r="E101" s="4">
        <v>15</v>
      </c>
      <c r="F101" s="25" t="s">
        <v>49</v>
      </c>
    </row>
    <row r="102" spans="1:6" x14ac:dyDescent="0.25">
      <c r="A102" s="16" t="s">
        <v>140</v>
      </c>
      <c r="B102" s="32"/>
      <c r="C102" s="4" t="s">
        <v>62</v>
      </c>
      <c r="D102" s="3">
        <f t="shared" si="2"/>
        <v>235</v>
      </c>
      <c r="E102" s="4">
        <v>15</v>
      </c>
      <c r="F102" s="25" t="s">
        <v>49</v>
      </c>
    </row>
    <row r="103" spans="1:6" x14ac:dyDescent="0.25">
      <c r="A103" s="10" t="s">
        <v>189</v>
      </c>
      <c r="B103" s="35"/>
      <c r="C103" s="11" t="s">
        <v>150</v>
      </c>
      <c r="D103" s="12">
        <f t="shared" si="2"/>
        <v>250</v>
      </c>
      <c r="E103" s="11">
        <f>2200-D103</f>
        <v>1950</v>
      </c>
      <c r="F103" s="4"/>
    </row>
  </sheetData>
  <mergeCells count="8">
    <mergeCell ref="F58:F60"/>
    <mergeCell ref="F26:F27"/>
    <mergeCell ref="F31:F40"/>
    <mergeCell ref="F3:F4"/>
    <mergeCell ref="F5:F8"/>
    <mergeCell ref="F9:F11"/>
    <mergeCell ref="F13:F17"/>
    <mergeCell ref="F18:F25"/>
  </mergeCells>
  <pageMargins left="0.23622047244094491" right="0.23622047244094491" top="0.74803149606299213" bottom="0.74803149606299213" header="0.31496062992125984" footer="0.31496062992125984"/>
  <pageSetup paperSize="9" scale="53" fitToHeight="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Ângela Cristiane Puhl [EE] (FIT)</cp:lastModifiedBy>
  <cp:lastPrinted>2016-03-09T11:26:57Z</cp:lastPrinted>
  <dcterms:created xsi:type="dcterms:W3CDTF">2015-07-28T09:44:45Z</dcterms:created>
  <dcterms:modified xsi:type="dcterms:W3CDTF">2024-07-23T09:47:28Z</dcterms:modified>
</cp:coreProperties>
</file>