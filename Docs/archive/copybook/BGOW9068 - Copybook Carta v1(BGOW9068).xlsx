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:\z 202500480 OUT-3550 Carta comunicar mudança\"/>
    </mc:Choice>
  </mc:AlternateContent>
  <xr:revisionPtr revIDLastSave="0" documentId="13_ncr:1_{60507294-20D7-4EE2-A306-929DE0B2D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GOW9068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5" i="3" l="1"/>
  <c r="D38" i="3"/>
  <c r="D23" i="3"/>
  <c r="C40" i="3"/>
  <c r="C3" i="3"/>
  <c r="C4" i="3" s="1"/>
  <c r="C5" i="3" s="1"/>
  <c r="C6" i="3" s="1"/>
  <c r="C7" i="3" s="1"/>
  <c r="C8" i="3" s="1"/>
  <c r="C9" i="3" s="1"/>
  <c r="C10" i="3" s="1"/>
  <c r="C11" i="3" s="1"/>
  <c r="C12" i="3" s="1"/>
  <c r="C14" i="3" l="1"/>
  <c r="C21" i="3" l="1"/>
  <c r="C23" i="3" s="1"/>
  <c r="C16" i="3"/>
  <c r="C19" i="3" s="1"/>
  <c r="C25" i="3" l="1"/>
  <c r="C37" i="3"/>
  <c r="C38" i="3" s="1"/>
  <c r="C26" i="3" l="1"/>
  <c r="C27" i="3" s="1"/>
  <c r="C28" i="3" s="1"/>
  <c r="C29" i="3" s="1"/>
  <c r="C30" i="3" s="1"/>
  <c r="C31" i="3" s="1"/>
  <c r="C32" i="3" s="1"/>
  <c r="C33" i="3" s="1"/>
  <c r="C34" i="3" s="1"/>
  <c r="C35" i="3" s="1"/>
</calcChain>
</file>

<file path=xl/sharedStrings.xml><?xml version="1.0" encoding="utf-8"?>
<sst xmlns="http://schemas.openxmlformats.org/spreadsheetml/2006/main" count="95" uniqueCount="70">
  <si>
    <t>Posição</t>
  </si>
  <si>
    <t>Tamanho</t>
  </si>
  <si>
    <t>Copybook</t>
  </si>
  <si>
    <t>Código de identificação da Companhia</t>
  </si>
  <si>
    <t>Código de identificação da Marca</t>
  </si>
  <si>
    <t>Número da Apólice</t>
  </si>
  <si>
    <t>Obrigatório</t>
  </si>
  <si>
    <t>Opcional</t>
  </si>
  <si>
    <t>Espaços</t>
  </si>
  <si>
    <t>Número do Cliente</t>
  </si>
  <si>
    <t xml:space="preserve">Nome </t>
  </si>
  <si>
    <t>Dados de morada 1</t>
  </si>
  <si>
    <t>Dados de morada 2</t>
  </si>
  <si>
    <t>Localidade</t>
  </si>
  <si>
    <t>Identificação da Porta (no CBC)</t>
  </si>
  <si>
    <t>Descritivo do Produto</t>
  </si>
  <si>
    <t>Código postal do Mediador (Se estrangeiro deverá vir a zeros) [99990999]</t>
  </si>
  <si>
    <t>Código postal do Cliente (Se estrangeiro deverá vir a zeros) [99990999]</t>
  </si>
  <si>
    <t>Descritivo do código postal</t>
  </si>
  <si>
    <t>Descrição / 'Valores Possiveis' / (Notas) / [Formato]</t>
  </si>
  <si>
    <t>Número do Mediador (se existir Mediador, espaços para restantes casos)</t>
  </si>
  <si>
    <t>Observação</t>
  </si>
  <si>
    <t>Fim do Documento</t>
  </si>
  <si>
    <t>05  :PREFIX:-TIPO-IMPRESSAO           PIC X(001)</t>
  </si>
  <si>
    <t>05  :PREFIX:-LINHA-ZA                 REDEFINES :PREFIX:-PRINT-DATA.</t>
  </si>
  <si>
    <t xml:space="preserve">  07  :PREFIX:-TM-TNUM-PORTA          PIC X(001).</t>
  </si>
  <si>
    <t xml:space="preserve">  07  :PREFIX:-TM-NUM-PORTA           PIC X(004).</t>
  </si>
  <si>
    <t xml:space="preserve">  07  :PREFIX:-DATA-PROCESSAMENTO     PIC X(008).</t>
  </si>
  <si>
    <t xml:space="preserve">  07  :PREFIX:-PRODUCT                PIC X(030).</t>
  </si>
  <si>
    <t xml:space="preserve">  07  :PREFIX:-TM-ADDRESS4            PIC X(040).</t>
  </si>
  <si>
    <t xml:space="preserve">  07  :PREFIX:-TM-ADDRESS3            PIC X(040).</t>
  </si>
  <si>
    <t xml:space="preserve">  07  :PREFIX:-TM-ADDRESS2            PIC X(040).</t>
  </si>
  <si>
    <t xml:space="preserve">  07  :PREFIX:-TM-ADDRESS1            PIC X(040).</t>
  </si>
  <si>
    <t xml:space="preserve">  07  :PREFIX:-TM-ADDRESSEE           PIC X(040).</t>
  </si>
  <si>
    <t>05  :PREFIX:-SORT-KEY.</t>
  </si>
  <si>
    <t>Código do Produto</t>
  </si>
  <si>
    <t>Policy Transaction</t>
  </si>
  <si>
    <t xml:space="preserve">    88  :PREFIX:-CART1                          VALUE 'CART1'.</t>
  </si>
  <si>
    <t>Tipo de Documento</t>
  </si>
  <si>
    <t>Sequencia</t>
  </si>
  <si>
    <t xml:space="preserve">  07  :PREFIX:-TYPE-1-2.                            </t>
  </si>
  <si>
    <t xml:space="preserve">      88  :PREFIX:-DADOS-GERAIS                 VALUE 'AA'.</t>
  </si>
  <si>
    <t xml:space="preserve">      88  :PREFIX:-FIM-DOCUMENTO                VALUE 'ZA'.</t>
  </si>
  <si>
    <t xml:space="preserve">      88  :PREFIX:-TYPE-A                       VALUE 'A'. </t>
  </si>
  <si>
    <t xml:space="preserve">    88  :PREFIX:-VALID-TYPE-1-2                 VALUE 'AAA' 'ZAA'.</t>
  </si>
  <si>
    <t>Tipo de impressão ('I' impressão Online (Não Expedir), 'O' impressão Batch (Expedir))</t>
  </si>
  <si>
    <t xml:space="preserve"> 'AA' - Dados Gerais</t>
  </si>
  <si>
    <t xml:space="preserve"> 'ZA' - Fim de Documento</t>
  </si>
  <si>
    <t>Record Type 1</t>
  </si>
  <si>
    <t>Record Type 2</t>
  </si>
  <si>
    <t>Dados de Endereçamento</t>
  </si>
  <si>
    <t>05  :PREFIX:-LINHA-AA                 REDEFINES :PREFIX:-PRINT-DATA.</t>
  </si>
  <si>
    <t xml:space="preserve">  07  :PREFIX:-COMPANY                PIC X(003).</t>
  </si>
  <si>
    <t xml:space="preserve">  07  :PREFIX:-MARCA                  PIC X(003).</t>
  </si>
  <si>
    <t xml:space="preserve">  07  :PREFIX:-CLIENT-REFERENCE       PIC X(010).</t>
  </si>
  <si>
    <t xml:space="preserve">  07  :PREFIX:-POST-CODE              PIC X(008).</t>
  </si>
  <si>
    <t xml:space="preserve">  07  :PREFIX:-AGENTE-COBRADOR        PIC X(010).</t>
  </si>
  <si>
    <t xml:space="preserve">  07  :PREFIX:-AG-POST-CODE           PIC X(008).</t>
  </si>
  <si>
    <t xml:space="preserve">  07  :PREFIX:-PRODUTO                PIC X(005).</t>
  </si>
  <si>
    <t xml:space="preserve">  07  :PREFIX:-POLICY-NUMBER          PIC X(016).</t>
  </si>
  <si>
    <t xml:space="preserve">  07  :PREFIX:-POLICY-TRANSACTION     PIC X(010).</t>
  </si>
  <si>
    <t xml:space="preserve">  07  :PREFIX:-TIPO-DOC               PIC X(005).</t>
  </si>
  <si>
    <t xml:space="preserve">  07  :PREFIX:-NUM-SEQ-1              PIC 9(005).</t>
  </si>
  <si>
    <t xml:space="preserve">    09  :PREFIX:-RECORD-TYPE-1        PIC X(002).    </t>
  </si>
  <si>
    <t xml:space="preserve">    09  :PREFIX:-RECORD-TYPE-2        PIC X(001).    </t>
  </si>
  <si>
    <t xml:space="preserve">  07  FILLER REDEFINES :PREFIX:-TYPE-1-2 PIC X(003).       </t>
  </si>
  <si>
    <t>Data da carta  [aaaammdd]</t>
  </si>
  <si>
    <t xml:space="preserve">  07  FILLER                          PIC X(083).</t>
  </si>
  <si>
    <t>05  :PREFIX:-PRINT-DATA               PIC X(413).</t>
  </si>
  <si>
    <t xml:space="preserve">  07  FILLER                          PIC X(413).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</si>
</sst>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b/>
      <sz val="11"/>
      <color theme="0"/>
      <name val="Courier New"/>
      <family val="3"/>
    </font>
    <font>
      <sz val="11"/>
      <name val="Courier New"/>
      <family val="3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2" fillId="0" borderId="1" xfId="0" applyFont="1" applyBorder="1"/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4" fillId="2" borderId="1" xfId="0" applyFont="1" applyFill="1" applyBorder="1"/>
    <xf numFmtId="0" fontId="2" fillId="0" borderId="0" xfId="0" applyFont="1"/>
    <xf numFmtId="0" fontId="2" fillId="6" borderId="1" xfId="0" applyFont="1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right"/>
    </xf>
    <xf numFmtId="0" fontId="0" fillId="6" borderId="1" xfId="0" applyFill="1" applyBorder="1"/>
    <xf numFmtId="0" fontId="5" fillId="6" borderId="1" xfId="0" applyFont="1" applyFill="1" applyBorder="1"/>
    <xf numFmtId="0" fontId="3" fillId="6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6" fillId="2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2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0"/>
  <sheetViews>
    <sheetView tabSelected="1" zoomScaleNormal="100" workbookViewId="0"/>
  </sheetViews>
  <sheetFormatPr defaultRowHeight="14.4" x14ac:dyDescent="0.3"/>
  <cols>
    <col min="1" max="1" width="103.44140625" style="17" bestFit="1" customWidth="1"/>
    <col min="2" max="2" width="70.33203125" bestFit="1" customWidth="1"/>
    <col min="3" max="3" width="7.6640625" bestFit="1" customWidth="1"/>
    <col min="4" max="4" width="9.109375" bestFit="1" customWidth="1"/>
    <col min="5" max="5" width="11.33203125" style="15" bestFit="1" customWidth="1"/>
  </cols>
  <sheetData>
    <row r="1" spans="1:5" x14ac:dyDescent="0.3">
      <c r="A1" s="16" t="s">
        <v>2</v>
      </c>
      <c r="B1" s="25" t="s">
        <v>19</v>
      </c>
      <c r="C1" s="1" t="s">
        <v>0</v>
      </c>
      <c r="D1" s="1" t="s">
        <v>1</v>
      </c>
      <c r="E1" s="11" t="s">
        <v>21</v>
      </c>
    </row>
    <row r="2" spans="1:5" x14ac:dyDescent="0.3">
      <c r="A2" s="5" t="s">
        <v>34</v>
      </c>
      <c r="B2" s="14"/>
      <c r="C2" s="6">
        <v>1</v>
      </c>
      <c r="D2" s="6">
        <v>0</v>
      </c>
      <c r="E2" s="28"/>
    </row>
    <row r="3" spans="1:5" x14ac:dyDescent="0.3">
      <c r="A3" s="18" t="s">
        <v>52</v>
      </c>
      <c r="B3" s="19" t="s">
        <v>3</v>
      </c>
      <c r="C3" s="20">
        <f>C2+D2</f>
        <v>1</v>
      </c>
      <c r="D3" s="20">
        <v>3</v>
      </c>
      <c r="E3" s="26" t="s">
        <v>6</v>
      </c>
    </row>
    <row r="4" spans="1:5" x14ac:dyDescent="0.3">
      <c r="A4" s="18" t="s">
        <v>53</v>
      </c>
      <c r="B4" s="19" t="s">
        <v>4</v>
      </c>
      <c r="C4" s="20">
        <f t="shared" ref="C4:C12" si="0">C3+D3</f>
        <v>4</v>
      </c>
      <c r="D4" s="21">
        <v>3</v>
      </c>
      <c r="E4" s="26" t="s">
        <v>6</v>
      </c>
    </row>
    <row r="5" spans="1:5" x14ac:dyDescent="0.3">
      <c r="A5" s="18" t="s">
        <v>54</v>
      </c>
      <c r="B5" s="21" t="s">
        <v>9</v>
      </c>
      <c r="C5" s="20">
        <f t="shared" si="0"/>
        <v>7</v>
      </c>
      <c r="D5" s="21">
        <v>10</v>
      </c>
      <c r="E5" s="26" t="s">
        <v>6</v>
      </c>
    </row>
    <row r="6" spans="1:5" x14ac:dyDescent="0.3">
      <c r="A6" s="18" t="s">
        <v>55</v>
      </c>
      <c r="B6" s="21" t="s">
        <v>17</v>
      </c>
      <c r="C6" s="20">
        <f t="shared" si="0"/>
        <v>17</v>
      </c>
      <c r="D6" s="21">
        <v>8</v>
      </c>
      <c r="E6" s="26" t="s">
        <v>6</v>
      </c>
    </row>
    <row r="7" spans="1:5" x14ac:dyDescent="0.3">
      <c r="A7" s="18" t="s">
        <v>56</v>
      </c>
      <c r="B7" s="21" t="s">
        <v>20</v>
      </c>
      <c r="C7" s="20">
        <f t="shared" si="0"/>
        <v>25</v>
      </c>
      <c r="D7" s="21">
        <v>10</v>
      </c>
      <c r="E7" s="27" t="s">
        <v>7</v>
      </c>
    </row>
    <row r="8" spans="1:5" x14ac:dyDescent="0.3">
      <c r="A8" s="18" t="s">
        <v>57</v>
      </c>
      <c r="B8" s="21" t="s">
        <v>16</v>
      </c>
      <c r="C8" s="20">
        <f t="shared" si="0"/>
        <v>35</v>
      </c>
      <c r="D8" s="21">
        <v>8</v>
      </c>
      <c r="E8" s="27" t="s">
        <v>7</v>
      </c>
    </row>
    <row r="9" spans="1:5" x14ac:dyDescent="0.3">
      <c r="A9" s="18" t="s">
        <v>58</v>
      </c>
      <c r="B9" s="19" t="s">
        <v>35</v>
      </c>
      <c r="C9" s="20">
        <f t="shared" si="0"/>
        <v>43</v>
      </c>
      <c r="D9" s="20">
        <v>5</v>
      </c>
      <c r="E9" s="26" t="s">
        <v>6</v>
      </c>
    </row>
    <row r="10" spans="1:5" x14ac:dyDescent="0.3">
      <c r="A10" s="18" t="s">
        <v>59</v>
      </c>
      <c r="B10" s="21" t="s">
        <v>5</v>
      </c>
      <c r="C10" s="20">
        <f t="shared" si="0"/>
        <v>48</v>
      </c>
      <c r="D10" s="21">
        <v>16</v>
      </c>
      <c r="E10" s="26" t="s">
        <v>6</v>
      </c>
    </row>
    <row r="11" spans="1:5" x14ac:dyDescent="0.3">
      <c r="A11" s="18" t="s">
        <v>60</v>
      </c>
      <c r="B11" s="21" t="s">
        <v>36</v>
      </c>
      <c r="C11" s="20">
        <f t="shared" si="0"/>
        <v>64</v>
      </c>
      <c r="D11" s="21">
        <v>10</v>
      </c>
      <c r="E11" s="27" t="s">
        <v>7</v>
      </c>
    </row>
    <row r="12" spans="1:5" x14ac:dyDescent="0.3">
      <c r="A12" s="18" t="s">
        <v>61</v>
      </c>
      <c r="B12" s="19" t="s">
        <v>38</v>
      </c>
      <c r="C12" s="20">
        <f t="shared" si="0"/>
        <v>74</v>
      </c>
      <c r="D12" s="20">
        <v>5</v>
      </c>
      <c r="E12" s="26" t="s">
        <v>6</v>
      </c>
    </row>
    <row r="13" spans="1:5" x14ac:dyDescent="0.3">
      <c r="A13" s="22" t="s">
        <v>37</v>
      </c>
      <c r="B13" s="23"/>
      <c r="C13" s="20"/>
      <c r="D13" s="20"/>
      <c r="E13" s="26"/>
    </row>
    <row r="14" spans="1:5" x14ac:dyDescent="0.3">
      <c r="A14" s="18" t="s">
        <v>62</v>
      </c>
      <c r="B14" s="19" t="s">
        <v>39</v>
      </c>
      <c r="C14" s="20">
        <f>C12+D12</f>
        <v>79</v>
      </c>
      <c r="D14" s="20">
        <v>5</v>
      </c>
      <c r="E14" s="26" t="s">
        <v>6</v>
      </c>
    </row>
    <row r="15" spans="1:5" x14ac:dyDescent="0.3">
      <c r="A15" s="18" t="s">
        <v>40</v>
      </c>
      <c r="B15" s="19"/>
      <c r="C15" s="20"/>
      <c r="D15" s="20"/>
      <c r="E15" s="26"/>
    </row>
    <row r="16" spans="1:5" x14ac:dyDescent="0.3">
      <c r="A16" s="18" t="s">
        <v>63</v>
      </c>
      <c r="B16" s="19" t="s">
        <v>48</v>
      </c>
      <c r="C16" s="20">
        <f>C14+D14</f>
        <v>84</v>
      </c>
      <c r="D16" s="20">
        <v>2</v>
      </c>
      <c r="E16" s="26" t="s">
        <v>6</v>
      </c>
    </row>
    <row r="17" spans="1:5" x14ac:dyDescent="0.3">
      <c r="A17" s="18" t="s">
        <v>41</v>
      </c>
      <c r="B17" s="19" t="s">
        <v>46</v>
      </c>
      <c r="C17" s="20"/>
      <c r="D17" s="20"/>
      <c r="E17" s="26"/>
    </row>
    <row r="18" spans="1:5" x14ac:dyDescent="0.3">
      <c r="A18" s="18" t="s">
        <v>42</v>
      </c>
      <c r="B18" s="19" t="s">
        <v>47</v>
      </c>
      <c r="C18" s="20"/>
      <c r="D18" s="20"/>
      <c r="E18" s="26"/>
    </row>
    <row r="19" spans="1:5" x14ac:dyDescent="0.3">
      <c r="A19" s="22" t="s">
        <v>64</v>
      </c>
      <c r="B19" s="23" t="s">
        <v>49</v>
      </c>
      <c r="C19" s="20">
        <f>C16+D16</f>
        <v>86</v>
      </c>
      <c r="D19" s="20">
        <v>1</v>
      </c>
      <c r="E19" s="26" t="s">
        <v>6</v>
      </c>
    </row>
    <row r="20" spans="1:5" x14ac:dyDescent="0.3">
      <c r="A20" s="22" t="s">
        <v>43</v>
      </c>
      <c r="B20" s="23"/>
      <c r="C20" s="20"/>
      <c r="D20" s="20"/>
      <c r="E20" s="26"/>
    </row>
    <row r="21" spans="1:5" x14ac:dyDescent="0.3">
      <c r="A21" s="18" t="s">
        <v>65</v>
      </c>
      <c r="B21" s="19"/>
      <c r="C21" s="20">
        <f>C14+D14</f>
        <v>84</v>
      </c>
      <c r="D21" s="20">
        <v>3</v>
      </c>
      <c r="E21" s="26"/>
    </row>
    <row r="22" spans="1:5" x14ac:dyDescent="0.3">
      <c r="A22" s="18" t="s">
        <v>44</v>
      </c>
      <c r="B22" s="19"/>
      <c r="C22" s="20"/>
      <c r="D22" s="20"/>
      <c r="E22" s="26"/>
    </row>
    <row r="23" spans="1:5" x14ac:dyDescent="0.3">
      <c r="A23" s="5" t="s">
        <v>68</v>
      </c>
      <c r="B23" s="14"/>
      <c r="C23" s="6">
        <f>C21+D21</f>
        <v>87</v>
      </c>
      <c r="D23" s="6">
        <f>500-C23</f>
        <v>413</v>
      </c>
      <c r="E23" s="28"/>
    </row>
    <row r="24" spans="1:5" x14ac:dyDescent="0.3">
      <c r="A24" s="13"/>
      <c r="B24" s="7"/>
      <c r="C24" s="2"/>
      <c r="D24" s="2"/>
      <c r="E24" s="12"/>
    </row>
    <row r="25" spans="1:5" x14ac:dyDescent="0.3">
      <c r="A25" s="5" t="s">
        <v>51</v>
      </c>
      <c r="B25" s="14" t="s">
        <v>50</v>
      </c>
      <c r="C25" s="6">
        <f>C23</f>
        <v>87</v>
      </c>
      <c r="D25" s="6">
        <v>0</v>
      </c>
      <c r="E25" s="28"/>
    </row>
    <row r="26" spans="1:5" x14ac:dyDescent="0.3">
      <c r="A26" s="4" t="s">
        <v>33</v>
      </c>
      <c r="B26" s="3" t="s">
        <v>10</v>
      </c>
      <c r="C26" s="9">
        <f>C25+D25</f>
        <v>87</v>
      </c>
      <c r="D26" s="3">
        <v>40</v>
      </c>
      <c r="E26" s="26" t="s">
        <v>6</v>
      </c>
    </row>
    <row r="27" spans="1:5" x14ac:dyDescent="0.3">
      <c r="A27" s="4" t="s">
        <v>32</v>
      </c>
      <c r="B27" s="3" t="s">
        <v>11</v>
      </c>
      <c r="C27" s="9">
        <f t="shared" ref="C27:C35" si="1">C26+D26</f>
        <v>127</v>
      </c>
      <c r="D27" s="3">
        <v>40</v>
      </c>
      <c r="E27" s="26" t="s">
        <v>6</v>
      </c>
    </row>
    <row r="28" spans="1:5" x14ac:dyDescent="0.3">
      <c r="A28" s="4" t="s">
        <v>31</v>
      </c>
      <c r="B28" s="3" t="s">
        <v>12</v>
      </c>
      <c r="C28" s="9">
        <f t="shared" si="1"/>
        <v>167</v>
      </c>
      <c r="D28" s="3">
        <v>40</v>
      </c>
      <c r="E28" s="27" t="s">
        <v>7</v>
      </c>
    </row>
    <row r="29" spans="1:5" x14ac:dyDescent="0.3">
      <c r="A29" s="4" t="s">
        <v>30</v>
      </c>
      <c r="B29" s="3" t="s">
        <v>13</v>
      </c>
      <c r="C29" s="9">
        <f t="shared" si="1"/>
        <v>207</v>
      </c>
      <c r="D29" s="3">
        <v>40</v>
      </c>
      <c r="E29" s="27" t="s">
        <v>7</v>
      </c>
    </row>
    <row r="30" spans="1:5" x14ac:dyDescent="0.3">
      <c r="A30" s="4" t="s">
        <v>29</v>
      </c>
      <c r="B30" s="3" t="s">
        <v>18</v>
      </c>
      <c r="C30" s="9">
        <f t="shared" si="1"/>
        <v>247</v>
      </c>
      <c r="D30" s="3">
        <v>40</v>
      </c>
      <c r="E30" s="26" t="s">
        <v>6</v>
      </c>
    </row>
    <row r="31" spans="1:5" x14ac:dyDescent="0.3">
      <c r="A31" s="4" t="s">
        <v>25</v>
      </c>
      <c r="B31" s="8" t="s">
        <v>14</v>
      </c>
      <c r="C31" s="9">
        <f t="shared" si="1"/>
        <v>287</v>
      </c>
      <c r="D31" s="3">
        <v>1</v>
      </c>
      <c r="E31" s="27" t="s">
        <v>7</v>
      </c>
    </row>
    <row r="32" spans="1:5" x14ac:dyDescent="0.3">
      <c r="A32" s="4" t="s">
        <v>26</v>
      </c>
      <c r="B32" s="8" t="s">
        <v>14</v>
      </c>
      <c r="C32" s="9">
        <f t="shared" si="1"/>
        <v>288</v>
      </c>
      <c r="D32" s="3">
        <v>4</v>
      </c>
      <c r="E32" s="27" t="s">
        <v>7</v>
      </c>
    </row>
    <row r="33" spans="1:5" x14ac:dyDescent="0.3">
      <c r="A33" s="10" t="s">
        <v>27</v>
      </c>
      <c r="B33" s="8" t="s">
        <v>66</v>
      </c>
      <c r="C33" s="9">
        <f t="shared" si="1"/>
        <v>292</v>
      </c>
      <c r="D33" s="9">
        <v>8</v>
      </c>
      <c r="E33" s="27" t="s">
        <v>7</v>
      </c>
    </row>
    <row r="34" spans="1:5" x14ac:dyDescent="0.3">
      <c r="A34" s="10" t="s">
        <v>28</v>
      </c>
      <c r="B34" s="3" t="s">
        <v>15</v>
      </c>
      <c r="C34" s="9">
        <f t="shared" si="1"/>
        <v>300</v>
      </c>
      <c r="D34" s="9">
        <v>30</v>
      </c>
      <c r="E34" s="26" t="s">
        <v>6</v>
      </c>
    </row>
    <row r="35" spans="1:5" x14ac:dyDescent="0.3">
      <c r="A35" s="10" t="s">
        <v>67</v>
      </c>
      <c r="B35" s="3" t="s">
        <v>8</v>
      </c>
      <c r="C35" s="9">
        <f t="shared" si="1"/>
        <v>330</v>
      </c>
      <c r="D35" s="9">
        <f>413-C35</f>
        <v>83</v>
      </c>
      <c r="E35" s="26" t="s">
        <v>6</v>
      </c>
    </row>
    <row r="36" spans="1:5" x14ac:dyDescent="0.3">
      <c r="A36" s="4"/>
      <c r="B36" s="3"/>
      <c r="C36" s="2"/>
      <c r="D36" s="3"/>
      <c r="E36" s="29"/>
    </row>
    <row r="37" spans="1:5" x14ac:dyDescent="0.3">
      <c r="A37" s="5" t="s">
        <v>24</v>
      </c>
      <c r="B37" s="24" t="s">
        <v>22</v>
      </c>
      <c r="C37" s="6">
        <f>C23</f>
        <v>87</v>
      </c>
      <c r="D37" s="6">
        <v>0</v>
      </c>
      <c r="E37" s="28"/>
    </row>
    <row r="38" spans="1:5" x14ac:dyDescent="0.3">
      <c r="A38" s="4" t="s">
        <v>69</v>
      </c>
      <c r="B38" s="3" t="s">
        <v>8</v>
      </c>
      <c r="C38" s="2">
        <f>C37+D37</f>
        <v>87</v>
      </c>
      <c r="D38" s="3">
        <f>500-C38</f>
        <v>413</v>
      </c>
      <c r="E38" s="26" t="s">
        <v>6</v>
      </c>
    </row>
    <row r="39" spans="1:5" x14ac:dyDescent="0.3">
      <c r="A39" s="4"/>
      <c r="B39" s="3"/>
      <c r="C39" s="2"/>
      <c r="D39" s="3"/>
      <c r="E39" s="3"/>
    </row>
    <row r="40" spans="1:5" x14ac:dyDescent="0.3">
      <c r="A40" s="5" t="s">
        <v>23</v>
      </c>
      <c r="B40" s="24" t="s">
        <v>45</v>
      </c>
      <c r="C40" s="6">
        <f>C23+D23</f>
        <v>500</v>
      </c>
      <c r="D40" s="6">
        <v>1</v>
      </c>
      <c r="E40" s="26" t="s">
        <v>6</v>
      </c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scale="74" fitToHeight="6" orientation="landscape" r:id="rId1"/>
</worksheet>
</file>

<file path=docMetadata/LabelInfo.xml><?xml version="1.0" encoding="utf-8"?>
<clbl:labelList xmlns:clbl="http://schemas.microsoft.com/office/2020/mipLabelMetadata">
  <clbl:label id="{b0391acc-8330-42a2-8f91-859034ac3aa4}" enabled="1" method="Standard" siteId="{b27f00d3-6ccb-4240-b5d0-5672954488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BGOW9068</vt:lpstr>
    </vt:vector>
  </TitlesOfParts>
  <Company>Fidelidade Mundial,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José Augusto Duarte dos Santos (ITD)</cp:lastModifiedBy>
  <cp:lastPrinted>2023-08-14T13:20:04Z</cp:lastPrinted>
  <dcterms:created xsi:type="dcterms:W3CDTF">2015-07-28T09:44:45Z</dcterms:created>
  <dcterms:modified xsi:type="dcterms:W3CDTF">2026-04-20T14:16:59Z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391acc-8330-42a2-8f91-859034ac3aa4_Enabled">
    <vt:lpwstr>true</vt:lpwstr>
  </property>
  <property fmtid="{D5CDD505-2E9C-101B-9397-08002B2CF9AE}" pid="3" name="MSIP_Label_b0391acc-8330-42a2-8f91-859034ac3aa4_SetDate">
    <vt:lpwstr>2025-11-28T16:50:34Z</vt:lpwstr>
  </property>
  <property fmtid="{D5CDD505-2E9C-101B-9397-08002B2CF9AE}" pid="4" name="MSIP_Label_b0391acc-8330-42a2-8f91-859034ac3aa4_Method">
    <vt:lpwstr>Standard</vt:lpwstr>
  </property>
  <property fmtid="{D5CDD505-2E9C-101B-9397-08002B2CF9AE}" pid="5" name="MSIP_Label_b0391acc-8330-42a2-8f91-859034ac3aa4_Name">
    <vt:lpwstr>b0391acc-8330-42a2-8f91-859034ac3aa4</vt:lpwstr>
  </property>
  <property fmtid="{D5CDD505-2E9C-101B-9397-08002B2CF9AE}" pid="6" name="MSIP_Label_b0391acc-8330-42a2-8f91-859034ac3aa4_SiteId">
    <vt:lpwstr>b27f00d3-6ccb-4240-b5d0-56729544887e</vt:lpwstr>
  </property>
  <property fmtid="{D5CDD505-2E9C-101B-9397-08002B2CF9AE}" pid="7" name="MSIP_Label_b0391acc-8330-42a2-8f91-859034ac3aa4_ActionId">
    <vt:lpwstr>047db491-c514-4ba5-8091-1c6992ed7929</vt:lpwstr>
  </property>
  <property fmtid="{D5CDD505-2E9C-101B-9397-08002B2CF9AE}" pid="8" name="MSIP_Label_b0391acc-8330-42a2-8f91-859034ac3aa4_ContentBits">
    <vt:lpwstr>0</vt:lpwstr>
  </property>
  <property fmtid="{D5CDD505-2E9C-101B-9397-08002B2CF9AE}" pid="9" name="MSIP_Label_b0391acc-8330-42a2-8f91-859034ac3aa4_Tag">
    <vt:lpwstr>10, 3, 0, 1</vt:lpwstr>
  </property>
</Properties>
</file>