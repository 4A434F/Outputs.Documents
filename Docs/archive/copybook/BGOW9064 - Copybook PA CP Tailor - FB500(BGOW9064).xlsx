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005473\Documents\PROCESS TRANSFORMATION\OUTPUTS\ACTIVIDADES\202200494 - TAILOR - Oferta Agregada AT MRE CYBER\"/>
    </mc:Choice>
  </mc:AlternateContent>
  <xr:revisionPtr revIDLastSave="0" documentId="13_ncr:1_{8B609A7B-C24C-41D3-BB30-2D236BB93B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GOW906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" l="1"/>
  <c r="C5" i="3" s="1"/>
  <c r="C19" i="3" s="1"/>
  <c r="C22" i="3" s="1"/>
  <c r="C23" i="3" s="1"/>
  <c r="C26" i="3" s="1"/>
  <c r="C30" i="3" s="1"/>
  <c r="C31" i="3" s="1"/>
  <c r="C32" i="3" s="1"/>
  <c r="C33" i="3" s="1"/>
  <c r="C34" i="3" l="1"/>
  <c r="C35" i="3" s="1"/>
  <c r="C36" i="3" s="1"/>
  <c r="C37" i="3" s="1"/>
  <c r="C39" i="3" s="1"/>
  <c r="C40" i="3" s="1"/>
  <c r="C95" i="3" l="1"/>
  <c r="C124" i="3"/>
  <c r="C125" i="3" s="1"/>
  <c r="C126" i="3" s="1"/>
  <c r="C127" i="3" s="1"/>
  <c r="C128" i="3" s="1"/>
  <c r="C129" i="3" s="1"/>
  <c r="C130" i="3" s="1"/>
  <c r="D130" i="3" s="1"/>
  <c r="C138" i="3"/>
  <c r="C139" i="3" s="1"/>
  <c r="C140" i="3" s="1"/>
  <c r="C144" i="3" s="1"/>
  <c r="C145" i="3" s="1"/>
  <c r="C146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D163" i="3" s="1"/>
  <c r="C165" i="3"/>
  <c r="C166" i="3" s="1"/>
  <c r="C167" i="3" s="1"/>
  <c r="C168" i="3" s="1"/>
  <c r="D168" i="3" s="1"/>
  <c r="C183" i="3"/>
  <c r="C184" i="3" s="1"/>
  <c r="D184" i="3" s="1"/>
  <c r="C132" i="3"/>
  <c r="C133" i="3" s="1"/>
  <c r="C134" i="3" s="1"/>
  <c r="C135" i="3" s="1"/>
  <c r="C136" i="3" s="1"/>
  <c r="D136" i="3" s="1"/>
  <c r="C170" i="3"/>
  <c r="C171" i="3" s="1"/>
  <c r="C172" i="3" s="1"/>
  <c r="C173" i="3" s="1"/>
  <c r="C174" i="3" s="1"/>
  <c r="D174" i="3" s="1"/>
  <c r="C118" i="3"/>
  <c r="C119" i="3" s="1"/>
  <c r="C120" i="3" s="1"/>
  <c r="C121" i="3" s="1"/>
  <c r="C122" i="3" s="1"/>
  <c r="D122" i="3" s="1"/>
  <c r="C108" i="3"/>
  <c r="C109" i="3" s="1"/>
  <c r="C110" i="3" s="1"/>
  <c r="C111" i="3" s="1"/>
  <c r="C112" i="3" s="1"/>
  <c r="C113" i="3" s="1"/>
  <c r="C114" i="3" s="1"/>
  <c r="C115" i="3" s="1"/>
  <c r="C116" i="3" s="1"/>
  <c r="D116" i="3" s="1"/>
  <c r="C103" i="3"/>
  <c r="C176" i="3"/>
  <c r="C177" i="3" s="1"/>
  <c r="C178" i="3" s="1"/>
  <c r="C181" i="3" s="1"/>
  <c r="D40" i="3"/>
  <c r="C56" i="3"/>
  <c r="C57" i="3" s="1"/>
  <c r="C58" i="3" s="1"/>
  <c r="C59" i="3" s="1"/>
  <c r="C60" i="3" s="1"/>
  <c r="C42" i="3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96" i="3"/>
  <c r="C97" i="3" s="1"/>
  <c r="C98" i="3" s="1"/>
  <c r="C99" i="3" s="1"/>
  <c r="C100" i="3" s="1"/>
  <c r="C101" i="3" s="1"/>
  <c r="D101" i="3" s="1"/>
  <c r="C54" i="3" l="1"/>
  <c r="D54" i="3" s="1"/>
  <c r="C63" i="3"/>
  <c r="C104" i="3" l="1"/>
  <c r="C105" i="3" s="1"/>
  <c r="C106" i="3" l="1"/>
  <c r="D106" i="3" s="1"/>
  <c r="C64" i="3"/>
  <c r="C65" i="3" s="1"/>
  <c r="C66" i="3" s="1"/>
  <c r="C67" i="3" s="1"/>
  <c r="C68" i="3" s="1"/>
  <c r="C69" i="3" s="1"/>
  <c r="C70" i="3" s="1"/>
  <c r="C76" i="3" s="1"/>
  <c r="C80" i="3" s="1"/>
  <c r="C81" i="3" l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D9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Jorge Santos Graça [EE] (DSI)</author>
    <author>Nuno Jorge de Sousa Fernandes (ITD)</author>
  </authors>
  <commentList>
    <comment ref="B5" authorId="0" shapeId="0" xr:uid="{95843C61-455A-4F21-8DD6-715FB0C8BC8F}">
      <text>
        <r>
          <rPr>
            <sz val="8"/>
            <color indexed="81"/>
            <rFont val="Tahoma"/>
            <family val="2"/>
          </rPr>
          <t xml:space="preserve">Registo único - Tipo de Registo que só pode aparecer 1 vez no ficheiro
Registo Bloco - Tipo de Registo de Bloco de Informação (pode repetir, mas não consecutivamente)
Registo Lista - Tipo de Registo de Lista (pode repetir consecutivamente)
</t>
        </r>
      </text>
    </comment>
    <comment ref="E22" authorId="0" shapeId="0" xr:uid="{24F8620E-D440-4B68-85CB-08D3A4B17DCB}">
      <text>
        <r>
          <rPr>
            <b/>
            <sz val="9"/>
            <color indexed="81"/>
            <rFont val="Tahoma"/>
            <family val="2"/>
          </rPr>
          <t>Obrigatório, quando se trata de uma impressão Online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1" authorId="0" shapeId="0" xr:uid="{EF2DEB2B-705F-4CD1-BADD-E1E5636CDED1}">
      <text>
        <r>
          <rPr>
            <b/>
            <sz val="9"/>
            <color indexed="81"/>
            <rFont val="Tahoma"/>
            <family val="2"/>
          </rPr>
          <t>Obrigatório para cobranca por agente</t>
        </r>
      </text>
    </comment>
    <comment ref="E84" authorId="0" shapeId="0" xr:uid="{9E0B93A3-9EB1-48F2-823B-A666E586E8DA}">
      <text>
        <r>
          <rPr>
            <b/>
            <sz val="9"/>
            <color indexed="81"/>
            <rFont val="Tahoma"/>
            <family val="2"/>
          </rPr>
          <t>Obrigatório, se 
:PREFIX:-DG-TIPO-TRANSACAO = 'A'</t>
        </r>
      </text>
    </comment>
    <comment ref="E85" authorId="0" shapeId="0" xr:uid="{298EC1D6-A80B-42B1-99A9-CA2811293ADB}">
      <text>
        <r>
          <rPr>
            <b/>
            <sz val="9"/>
            <color indexed="81"/>
            <rFont val="Tahoma"/>
            <family val="2"/>
          </rPr>
          <t>Obrigatório, se 
:PREFIX:-DG-TIPO-TRANSACAO = 'A'</t>
        </r>
      </text>
    </comment>
    <comment ref="E86" authorId="0" shapeId="0" xr:uid="{C3A6C9F4-F560-4D23-8796-96556C3D1C97}">
      <text>
        <r>
          <rPr>
            <b/>
            <sz val="9"/>
            <color indexed="81"/>
            <rFont val="Tahoma"/>
            <family val="2"/>
          </rPr>
          <t>Obrigatório, se 
:PREFIX:-DG-TIPO-TRANSACAO = 'A'</t>
        </r>
      </text>
    </comment>
    <comment ref="E87" authorId="0" shapeId="0" xr:uid="{57D91F20-BC65-4B44-A9E8-480D32404488}">
      <text>
        <r>
          <rPr>
            <b/>
            <sz val="9"/>
            <color indexed="81"/>
            <rFont val="Tahoma"/>
            <family val="2"/>
          </rPr>
          <t>Obrigatório, se 
(:PREFIX:-DG-TIPO-TRANSACAO = 'N' ou 'R') e (:PREFIX:-DG-TIPO-FRACCIONA = 'M' ou 'T' ou 'S')</t>
        </r>
      </text>
    </comment>
    <comment ref="E88" authorId="0" shapeId="0" xr:uid="{A4E4640B-59B7-4D48-9218-A295A10954FA}">
      <text>
        <r>
          <rPr>
            <b/>
            <sz val="9"/>
            <color indexed="81"/>
            <rFont val="Tahoma"/>
            <family val="2"/>
          </rPr>
          <t>Obrigatório, se 
(:PREFIX:-DG-TIPO-TRANSACAO = 'N' ou 'R') e (:PREFIX:-DG-TIPO-FRACCIONA = 'M' ou 'T' ou 'S')</t>
        </r>
      </text>
    </comment>
    <comment ref="E89" authorId="0" shapeId="0" xr:uid="{18104F0A-8FD9-45D5-8F6E-41021348F6AA}">
      <text>
        <r>
          <rPr>
            <b/>
            <sz val="9"/>
            <color indexed="81"/>
            <rFont val="Tahoma"/>
            <family val="2"/>
          </rPr>
          <t>Obrigatório, se 
(:PREFIX:-DG-TIPO-TRANSACAO = 'N' ou 'R') e (:PREFIX:-DG-TIPO-FRACCIONA = 'M' ou 'T' ou 'S')</t>
        </r>
      </text>
    </comment>
    <comment ref="E90" authorId="0" shapeId="0" xr:uid="{5043ADDD-CA19-49A5-86C8-866E41AC3B1C}">
      <text>
        <r>
          <rPr>
            <b/>
            <sz val="9"/>
            <color indexed="81"/>
            <rFont val="Tahoma"/>
            <family val="2"/>
          </rPr>
          <t>Obrigatório, se 
:PREFIX:-DG-TIPO-FRACCIONA = 'M' ou 'T' ou 'S'</t>
        </r>
      </text>
    </comment>
    <comment ref="E91" authorId="0" shapeId="0" xr:uid="{E0C519D8-16BF-4483-9EB4-163CE3195FC2}">
      <text>
        <r>
          <rPr>
            <b/>
            <sz val="9"/>
            <color indexed="81"/>
            <rFont val="Tahoma"/>
            <family val="2"/>
          </rPr>
          <t>Obrigatório, se 
:PREFIX:-DG-TIPO-FRACCIONA = 'M' ou 'T' ou 'S'</t>
        </r>
      </text>
    </comment>
    <comment ref="E92" authorId="0" shapeId="0" xr:uid="{38E8CFB9-99C0-4AB0-A7E4-9194EE089CC2}">
      <text>
        <r>
          <rPr>
            <b/>
            <sz val="9"/>
            <color indexed="81"/>
            <rFont val="Tahoma"/>
            <family val="2"/>
          </rPr>
          <t>Obrigatório, se 
:PREFIX:-DG-TIPO-FRACCIONA = 'M' ou 'T' ou 'S'</t>
        </r>
      </text>
    </comment>
    <comment ref="A151" authorId="1" shapeId="0" xr:uid="{ABB1A8A5-A150-4AB0-AAFE-07AF6EE49386}">
      <text>
        <r>
          <rPr>
            <b/>
            <sz val="9"/>
            <color indexed="81"/>
            <rFont val="Tahoma"/>
            <family val="2"/>
          </rPr>
          <t xml:space="preserve">PREENCHIMENTO DOS CAMPOS FRANQUIA     </t>
        </r>
        <r>
          <rPr>
            <sz val="9"/>
            <color indexed="81"/>
            <rFont val="Tahoma"/>
            <family val="2"/>
          </rPr>
          <t xml:space="preserve">                    
 SEM FRANQUIA                 
    CB-COD-FRANQUIA = 'SF' (CB-VALOR-FRANQUIA = ZEROS)             
                               ==&gt; 'SEM FRANQUIA'                 
 FRANQUIA FIXA                                            
    CB-COD-FRANQUIA = 'CE' (CB-VALOR-FRANQUIA = ZEROS)             
                               ==&gt; 'CONFORME CONDIÇÃO ESPECIAL'   
 FRANQUIA FIXA                                            
    CB-COD-FRANQUIA = 'CC' (CB-VALOR-FRANQUIA = ZEROS)             
                               ==&gt; 'CONFORME CONDIÇÃO PARTICULAR' 
 FRANQUIA FIXA                                            
    CB-COD-FRANQUIA = 'CA' (CB-VALOR-FRANQUIA = ZEROS)             
                               ==&gt; 'CONFORME COBERTURA AFECTADA'  
 FRANQUIA DIAS                                            
    CB-COD-FRANQUIA = 'N4' (CB-VALOR-FRANQUIA = ZEROS E CB-NUMERO-DIAS &lt;&gt; ZEROS)             
                               ==&gt; 'X DIAS'              
 PERCENTAGEM DO CAPITAL                                   
    CB-COD-FRANQUIA = 'CF' (CB-VALOR-FRANQUIA &lt;&gt; ZEROS)            
                               ==&gt; 'VALOR'
</t>
        </r>
        <r>
          <rPr>
            <b/>
            <sz val="9"/>
            <color indexed="81"/>
            <rFont val="Tahoma"/>
            <family val="2"/>
          </rPr>
          <t>PARA AS SUB-COBERTURAS</t>
        </r>
        <r>
          <rPr>
            <sz val="9"/>
            <color indexed="81"/>
            <rFont val="Tahoma"/>
            <family val="2"/>
          </rPr>
          <t xml:space="preserve"> 
   CB-COD-FRANQUIA = ' ' (CB-VALOR-FRANQUIA = ZEROS)                    
</t>
        </r>
        <r>
          <rPr>
            <b/>
            <sz val="9"/>
            <color indexed="81"/>
            <rFont val="Tahoma"/>
            <family val="2"/>
          </rPr>
          <t xml:space="preserve">PERCENTAGEM DO SINISTRO                                   
 </t>
        </r>
        <r>
          <rPr>
            <sz val="9"/>
            <color indexed="81"/>
            <rFont val="Tahoma"/>
            <family val="2"/>
          </rPr>
          <t xml:space="preserve">  CB-COD-FRANQUIA = 'N2' (CB-PERC-FRANQUIA &lt;&gt; ZEROS):
      CB-VALOR-FRANQUIA E CB-VALOR-MAX-FRANQ = ZEROS
                              ==&gt; 'X% DOS PREJ. IND.'             
      CB-VALOR-FRANQUIA E CB-VALOR-MAX-FRANQ &lt;&gt; ZEROS
                              ==&gt; 'X% DOS PREJ. IND., MIN Y E MAX Z'
      CB-VALOR-FRANQUIA &lt;&gt; ZEROS E CB-VALOR-MAX-FRANQ = ZEROS
                              ==&gt; 'X% DOS PREJ. IND., MIN Y'
      CB-VALOR-FRANQUIA = ZEROS E CB-VALOR-MAX-FRANQ &lt;&gt; ZEROS
                              ==&gt; 'X% DOS PREJ. IND., MAX Z'</t>
        </r>
        <r>
          <rPr>
            <b/>
            <sz val="9"/>
            <color indexed="81"/>
            <rFont val="Tahoma"/>
            <family val="2"/>
          </rPr>
          <t xml:space="preserve">
FRANQUIA CONFORME CONDIÇÕES GERAIS                        
 </t>
        </r>
        <r>
          <rPr>
            <sz val="9"/>
            <color indexed="81"/>
            <rFont val="Tahoma"/>
            <family val="2"/>
          </rPr>
          <t xml:space="preserve">  CB-COD-FRANQUIA = 'CG' (CB-VALOR-FRANQUIA = ZEROS)             
                              ==&gt; 'CONFORME CONDIÇÕES GERAIS'     
 </t>
        </r>
      </text>
    </comment>
    <comment ref="A156" authorId="1" shapeId="0" xr:uid="{1BACE105-D753-48B4-A1DC-01E71EB0FD47}">
      <text>
        <r>
          <rPr>
            <b/>
            <sz val="9"/>
            <color indexed="81"/>
            <rFont val="Tahoma"/>
            <family val="2"/>
          </rPr>
          <t xml:space="preserve">PREENCHIMENTO DO CAMPO LIMITE DE INDEMNIZAÇÃO       </t>
        </r>
        <r>
          <rPr>
            <sz val="9"/>
            <color indexed="81"/>
            <rFont val="Tahoma"/>
            <family val="2"/>
          </rPr>
          <t xml:space="preserve">
CB-IND-LIM-INDMN = '01' (CB-VALOR-LIM-INDMN &lt;&gt; ZEROS)   
                           ==&gt; 'VALOR'                      
CB-IND-LIM-INDMN = '02' (CAMPO CB-PERC-LIM-INDMN E CB-VALOR-LIM-INDMN &lt;&gt; ZEROS)           
                           ==&gt; 'X% PREJ.IND - MÁX Y'        
CB-IND-LIM-INDMN = '03' (CB-VALOR-LIM-INDMN E CB-DIAS-LIM-INDMN &lt;&gt; ZEROS) 
                           ==&gt; 'Y E MÁX Z DIAS'
CB-IND-LIM-INDMN = '04' 
                           ==&gt; 'CONFORME CONDIÇÃO ESPECIAL'         
CB-IND-LIM-INDMN = '05' 
                          ==&gt; 'CONFORME CONDIÇÕES GERAIS'          
CB-IND-LIM-INDMN = '06' (CB-VALOR-LIM-INDMN E CB-VLR1-LIM-INDMN)         
                           ==&gt; 'Y SINISTRO / Z ANUIDADE'   
CB-IND-LIM-INDMN = '07' (CB-VALOR-LIM-INDMN E CB-DIAS-LIM-INDMN)           
                           ==&gt; 'SUBS. Y/MES - MAX Z DIAS MESES'   
CB-IND-LIM-INDMN = '08' (CB-VALOR-LIM-INDMN E CB-DIAS-LIM-INDMN)           
                           ==&gt; 'Y RENDAS - MAX Z DIAS MESES'
</t>
        </r>
      </text>
    </comment>
  </commentList>
</comments>
</file>

<file path=xl/sharedStrings.xml><?xml version="1.0" encoding="utf-8"?>
<sst xmlns="http://schemas.openxmlformats.org/spreadsheetml/2006/main" count="413" uniqueCount="303">
  <si>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</si>
  <si>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</si>
  <si>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</si>
  <si>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</si>
  <si>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</si>
  <si>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</si>
  <si>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da Apólice</t>
  </si>
  <si>
    <t>05  :PREFIX:-DADOS-REGISTO.</t>
  </si>
  <si>
    <t xml:space="preserve">     '128' - Fidelidade</t>
  </si>
  <si>
    <t xml:space="preserve">     '002' - Fidelidade</t>
  </si>
  <si>
    <t xml:space="preserve">     '138' - Império</t>
  </si>
  <si>
    <t xml:space="preserve">     '003' - Império</t>
  </si>
  <si>
    <t xml:space="preserve">     '004' - ICI</t>
  </si>
  <si>
    <t>Obrigatório</t>
  </si>
  <si>
    <t>Opcional</t>
  </si>
  <si>
    <t>Espaços</t>
  </si>
  <si>
    <t xml:space="preserve">     '1' - Pessoa / Particular</t>
  </si>
  <si>
    <t xml:space="preserve">     '2' - Colectivo/Conta Interna</t>
  </si>
  <si>
    <t>Número do Cliente</t>
  </si>
  <si>
    <t>Data Início do período de Vigência [aaaammdd]</t>
  </si>
  <si>
    <t>Data Fim do período de Vigência [aaaammdd]</t>
  </si>
  <si>
    <t>Fraccionamento (à semelhança do FSCD):</t>
  </si>
  <si>
    <t xml:space="preserve">Data de Vencimento [aaaammdd] </t>
  </si>
  <si>
    <t>05  FILLER              REDEFINES :PREFIX:-DADOS-DOCUMENTO.</t>
  </si>
  <si>
    <t xml:space="preserve">  07  :PREFIX:-COD-COMPANHIA          PIC X(03).</t>
  </si>
  <si>
    <t>Referência da morada</t>
  </si>
  <si>
    <t>Dados de morada 1</t>
  </si>
  <si>
    <t>Dados de morada 2</t>
  </si>
  <si>
    <t>Localidade</t>
  </si>
  <si>
    <t>Código do País (Se estrangeiro, diferente de 620) - Se estrangeiro vai " "</t>
  </si>
  <si>
    <t>Código postal (Se estrangeiro deverá vir a zeros) [99990999]</t>
  </si>
  <si>
    <t>Identificação da Porta (no CBC)</t>
  </si>
  <si>
    <t>Tipo Entidade</t>
  </si>
  <si>
    <t>Data de emissão [aaaammdd]</t>
  </si>
  <si>
    <t>Descritivo do Produto</t>
  </si>
  <si>
    <t>Tipo da Transacção do Movimento:</t>
  </si>
  <si>
    <t xml:space="preserve">     'A' - Anual</t>
  </si>
  <si>
    <t xml:space="preserve">     'M' - Mensal</t>
  </si>
  <si>
    <t xml:space="preserve">     'S' - Semestral</t>
  </si>
  <si>
    <t xml:space="preserve">     'T' - Trimestral</t>
  </si>
  <si>
    <t xml:space="preserve">     'U' - Único</t>
  </si>
  <si>
    <t xml:space="preserve">     'N' - Novo Negócio</t>
  </si>
  <si>
    <t xml:space="preserve">     'R' - Renovação</t>
  </si>
  <si>
    <t xml:space="preserve">     'A' - Alteração</t>
  </si>
  <si>
    <t xml:space="preserve">  07  :PREFIX:-DADOS-GERAIS.</t>
  </si>
  <si>
    <t xml:space="preserve">    09  :PREFIX:-DG-PRODUTO-DESC      PIC X(40).</t>
  </si>
  <si>
    <t xml:space="preserve">    09  :PREFIX:-DG-COD-RAMO          PIC X(02).</t>
  </si>
  <si>
    <t xml:space="preserve">    09  :PREFIX:-DG-DT-VENCIMENTO     PIC X(08).</t>
  </si>
  <si>
    <t xml:space="preserve">    09  :PREFIX:-DG-DT-INI-PERIODO    PIC X(08).</t>
  </si>
  <si>
    <t xml:space="preserve">    09  :PREFIX:-DG-DT-FIM-PERIODO    PIC X(08).</t>
  </si>
  <si>
    <t xml:space="preserve">    09  :PREFIX:-DG-TIPO-FRACCIONA    PIC X(01).</t>
  </si>
  <si>
    <t xml:space="preserve">      88  :PREFIX:-DG-FRAC-ANUAL                VALUE 'A'.</t>
  </si>
  <si>
    <t xml:space="preserve">      88  :PREFIX:-DG-FRAC-MENSAL               VALUE 'M'.</t>
  </si>
  <si>
    <t xml:space="preserve">      88  :PREFIX:-DG-FRAC-SEMESTRAL            VALUE 'S'.</t>
  </si>
  <si>
    <t xml:space="preserve">      88  :PREFIX:-DG-FRAC-TRIMESTRAL           VALUE 'T'.</t>
  </si>
  <si>
    <t xml:space="preserve">      88  :PREFIX:-DG-FRAC-UNICO                VALUE 'U'.</t>
  </si>
  <si>
    <t xml:space="preserve">    09  :PREFIX:-DG-TIPO-TRANSACAO    PIC X(01).</t>
  </si>
  <si>
    <t xml:space="preserve">      88  :PREFIX:-DG-TRANS-NOVO                VALUE 'N'.</t>
  </si>
  <si>
    <t xml:space="preserve">      88  :PREFIX:-DG-TRANS-RENOVACAO           VALUE 'R'.</t>
  </si>
  <si>
    <t xml:space="preserve">      88  :PREFIX:-DG-TRANS-ALTERACAO           VALUE 'A'.</t>
  </si>
  <si>
    <t>Capital Seguro</t>
  </si>
  <si>
    <t>Descritivo do código postal</t>
  </si>
  <si>
    <t>Descritivo do País (se Portugal vem vazio)</t>
  </si>
  <si>
    <t>Descritivo da Cobertura</t>
  </si>
  <si>
    <t>Descrição / 'Valores Possiveis' / (Notas) / [Formato]</t>
  </si>
  <si>
    <t xml:space="preserve">    09  :PREFIX:-DG-DT-EMISSAO        PIC X(08).</t>
  </si>
  <si>
    <t>Número de Identificação Fiscal do Tomador (se Portugal PT999999999)</t>
  </si>
  <si>
    <t xml:space="preserve">  07  :PREFIX:-COBERTURAS.</t>
  </si>
  <si>
    <t>Observação</t>
  </si>
  <si>
    <t>Objecto Seguro</t>
  </si>
  <si>
    <t xml:space="preserve">    09  :PREFIX:-OS-OBJECTO-SEG       PIC X(20).</t>
  </si>
  <si>
    <t xml:space="preserve">    09  :PREFIX:-OS-LOCAL-RISC1       PIC X(40).</t>
  </si>
  <si>
    <t xml:space="preserve">    09  :PREFIX:-OS-LOCAL-RISC2       PIC X(40).</t>
  </si>
  <si>
    <t>Local Risco 1</t>
  </si>
  <si>
    <t>Local Risco 2</t>
  </si>
  <si>
    <t xml:space="preserve">    09  :PREFIX:-DO-APOLICE           PIC X(16).</t>
  </si>
  <si>
    <t xml:space="preserve">    09  :PREFIX:-DO-MODALIDADE        PIC X(30).</t>
  </si>
  <si>
    <t>Numero Apolice</t>
  </si>
  <si>
    <t>Descritivo do Objecto Seguro</t>
  </si>
  <si>
    <t>Descritivo da Actividade</t>
  </si>
  <si>
    <t>Descritivo da Modalidade</t>
  </si>
  <si>
    <t>Descritivo do Ambito da Cobertura</t>
  </si>
  <si>
    <t>Descritivo do Local de Risco</t>
  </si>
  <si>
    <t xml:space="preserve">  07  :PREFIX:-TRABALHADORES.</t>
  </si>
  <si>
    <t xml:space="preserve">    09  :PREFIX:-LT-PROFISSAO         PIC X(20).</t>
  </si>
  <si>
    <t xml:space="preserve">    09  :PREFIX:-LT-RETR-ANUAL        PIC S9(12)V9(02) SIGN LEADING SEPARATE.</t>
  </si>
  <si>
    <t>Nome Trabalhador</t>
  </si>
  <si>
    <t>Retribuição Anual Trabalhador</t>
  </si>
  <si>
    <t>Detalhe das Retribuições</t>
  </si>
  <si>
    <t>Número de Trabalhadores</t>
  </si>
  <si>
    <t>Prémio Total</t>
  </si>
  <si>
    <t>Prémio Comercial</t>
  </si>
  <si>
    <t>Encargos Fiscais e Parafiscais</t>
  </si>
  <si>
    <t>Profissão Trabalhador</t>
  </si>
  <si>
    <t xml:space="preserve">    09  :PREFIX:-OS-CAPITAL-SEG       PIC S9(12)V9(02) SIGN LEADING SEPARATE.</t>
  </si>
  <si>
    <t xml:space="preserve">  07  :PREFIX:-PRODUTOS.</t>
  </si>
  <si>
    <t xml:space="preserve">    09  :PREFIX:-DO-AMBITO-COB        PIC X(50).</t>
  </si>
  <si>
    <t xml:space="preserve">    09  :PREFIX:-DO-OBJETO-SEG        PIC X(40).</t>
  </si>
  <si>
    <t xml:space="preserve">  07  :PREFIX:-COND-GERAIS.</t>
  </si>
  <si>
    <t>Descritivo das Condições Gerais</t>
  </si>
  <si>
    <t xml:space="preserve">    09  :PREFIX:-PR-PRODUTO           PIC X(60).</t>
  </si>
  <si>
    <t xml:space="preserve">    09  :PREFIX:-DO-PRODUTO           PIC X(60).</t>
  </si>
  <si>
    <t xml:space="preserve">    09  :PREFIX:-CB-DESC-COB          PIC X(60).</t>
  </si>
  <si>
    <t xml:space="preserve">    09  :PREFIX:-DO-LOCAL-RISC        PIC X(200).</t>
  </si>
  <si>
    <t xml:space="preserve">    09  :PREFIX:-DO-NR-TRABALH        PIC X(05).</t>
  </si>
  <si>
    <t>Código de documento</t>
  </si>
  <si>
    <t>Tipo de registo</t>
  </si>
  <si>
    <t>Tipo de impressão</t>
  </si>
  <si>
    <t xml:space="preserve">     'I' - Impressão OnLine (Immediate)</t>
  </si>
  <si>
    <t xml:space="preserve">     'O' - Impressão via batch (Overnight)</t>
  </si>
  <si>
    <t>User Id da impressão OnLine</t>
  </si>
  <si>
    <t>Condicional</t>
  </si>
  <si>
    <t>Número do Mediador</t>
  </si>
  <si>
    <t xml:space="preserve">     'CG2' - Cogen 22</t>
  </si>
  <si>
    <t xml:space="preserve">  07  :PREFIX:-USERID                 PIC X(08).</t>
  </si>
  <si>
    <t xml:space="preserve">  07  :PREFIX:-TIPO-IMPRESSAO         PIC X(01).</t>
  </si>
  <si>
    <t xml:space="preserve">  07  :PREFIX:-COD-DOCUMENTO          PIC X(04).</t>
  </si>
  <si>
    <t xml:space="preserve">    88  :PREFIX:-DOC-PAGR                       VALUE 'PAGR'.</t>
  </si>
  <si>
    <t xml:space="preserve">    88  :PREFIX:-IMP-ONLINE                     VALUE 'I'.</t>
  </si>
  <si>
    <t xml:space="preserve">    88  :PREFIX:-IMP-BATCH                      VALUE 'O'.</t>
  </si>
  <si>
    <t xml:space="preserve">  07  :PREFIX:-COD-MARCA              PIC X(03).</t>
  </si>
  <si>
    <t xml:space="preserve">    88  :PREFIX:-COM-FIDELIDADE                 VALUE '128'.</t>
  </si>
  <si>
    <t xml:space="preserve">    88  :PREFIX:-COM-IMPERIO                    VALUE '138'.</t>
  </si>
  <si>
    <t xml:space="preserve">    88  :PREFIX:-MAR-FIDELIDADE                 VALUE '002'.</t>
  </si>
  <si>
    <t xml:space="preserve">    88  :PREFIX:-MAR-IMPERIO                    VALUE '003'.</t>
  </si>
  <si>
    <t xml:space="preserve">    88  :PREFIX:-MAR-ICI                        VALUE '004'.</t>
  </si>
  <si>
    <t xml:space="preserve">  07  :PREFIX:-NR-AGENTE              PIC X(10).</t>
  </si>
  <si>
    <t xml:space="preserve">  07  :PREFIX:-NR-CLIENTE             PIC X(10).</t>
  </si>
  <si>
    <t xml:space="preserve">  07  :PREFIX:-NR-APOLICE             PIC X(16).</t>
  </si>
  <si>
    <t xml:space="preserve">  07  :PREFIX:-COD-ORIGEM             PIC X(03).</t>
  </si>
  <si>
    <t xml:space="preserve">    88  :PREFIX:-ORI-COGEN22                    VALUE 'CG2'.</t>
  </si>
  <si>
    <t xml:space="preserve">  07  :PREFIX:-IND-FLYER              PIC X(01).</t>
  </si>
  <si>
    <t xml:space="preserve">    09  :PREFIX:-CL-NIF               PIC X(22).</t>
  </si>
  <si>
    <t xml:space="preserve">    09  :PREFIX:-CL-TIPO-ENTIDADE     PIC X(01).</t>
  </si>
  <si>
    <t xml:space="preserve">      88  :PREFIX:-CL-ENT-PARTICUL              VALUE '1'.</t>
  </si>
  <si>
    <t xml:space="preserve">      88  :PREFIX:-CL-ENT-COLETIVA              VALUE '2'.</t>
  </si>
  <si>
    <t xml:space="preserve">  07  :PREFIX:-DADOS-VALOR.</t>
  </si>
  <si>
    <t xml:space="preserve">    09  :PREFIX:-DV-PREMIO-COM        PIC S9(12)V9(02) SIGN LEADING SEPARATE.</t>
  </si>
  <si>
    <t xml:space="preserve">    09  :PREFIX:-DV-ENCARGOS          PIC S9(12)V9(02) SIGN LEADING SEPARATE.</t>
  </si>
  <si>
    <t xml:space="preserve">    09  :PREFIX:-DV-PREMIO-TOT        PIC S9(12)V9(02) SIGN LEADING SEPARATE.</t>
  </si>
  <si>
    <t xml:space="preserve">    09  :PREFIX:-CB-FRANQUIA.</t>
  </si>
  <si>
    <t>Nome do cliente (no corpo do documento)</t>
  </si>
  <si>
    <t xml:space="preserve">    09  :PREFIX:-DV-PREMIO-COM-AD     PIC S9(12)V9(02) SIGN LEADING SEPARATE.</t>
  </si>
  <si>
    <t xml:space="preserve">    09  :PREFIX:-DV-ENCARGOS-AD       PIC S9(12)V9(02) SIGN LEADING SEPARATE.</t>
  </si>
  <si>
    <t xml:space="preserve">    09  :PREFIX:-DV-PREMIO-TOT-AD     PIC S9(12)V9(02) SIGN LEADING SEPARATE.</t>
  </si>
  <si>
    <t>Prémio Comercial - Adicional</t>
  </si>
  <si>
    <t>Encargos Fiscais e Parafiscais - Adicional</t>
  </si>
  <si>
    <t>Prémio Total - Adicional</t>
  </si>
  <si>
    <t xml:space="preserve">    09  :PREFIX:-DV-PREMIO-COM-1F     PIC S9(12)V9(02) SIGN LEADING SEPARATE.</t>
  </si>
  <si>
    <t xml:space="preserve">    09  :PREFIX:-DV-ENCARGOS-1F       PIC S9(12)V9(02) SIGN LEADING SEPARATE.</t>
  </si>
  <si>
    <t xml:space="preserve">    09  :PREFIX:-DV-PREMIO-TOT-1F     PIC S9(12)V9(02) SIGN LEADING SEPARATE.</t>
  </si>
  <si>
    <t>Prémio Comercial - 1 Fracção</t>
  </si>
  <si>
    <t>Encargos Fiscais e Parafiscais - 1 Fracção</t>
  </si>
  <si>
    <t>Prémio Total - 1 Fracção</t>
  </si>
  <si>
    <t xml:space="preserve">    09  :PREFIX:-DV-PREMIO-COM-FS     PIC S9(12)V9(02) SIGN LEADING SEPARATE.</t>
  </si>
  <si>
    <t xml:space="preserve">    09  :PREFIX:-DV-ENCARGOS-FS       PIC S9(12)V9(02) SIGN LEADING SEPARATE.</t>
  </si>
  <si>
    <t xml:space="preserve">    09  :PREFIX:-DV-PREMIO-TOT-FS     PIC S9(12)V9(02) SIGN LEADING SEPARATE.</t>
  </si>
  <si>
    <t>Prémio Comercial - Fracções Seguintes</t>
  </si>
  <si>
    <t>Encargos Fiscais e Parafiscais - Fracções Seguintes</t>
  </si>
  <si>
    <t>Prémio Total - Fracções Seguintes</t>
  </si>
  <si>
    <t xml:space="preserve">    09  :PREFIX:-DO-ACTIVIDADE        PIC X(60).</t>
  </si>
  <si>
    <t xml:space="preserve">    09  :PREFIX:-CG-DESCRITIVO        PIC X(80).</t>
  </si>
  <si>
    <t xml:space="preserve">    09  :PREFIX:-CG-CODIGO            PIC X(03).</t>
  </si>
  <si>
    <t>Código das Condições Gerais</t>
  </si>
  <si>
    <t xml:space="preserve">    09  :PREFIX:-CL-NOME              PIC X(40).</t>
  </si>
  <si>
    <t>Nome</t>
  </si>
  <si>
    <t xml:space="preserve">  07  :PREFIX:-RUBRICAS.</t>
  </si>
  <si>
    <t xml:space="preserve">    09  :PREFIX:-RU-DESCRITIVO        PIC X(60).</t>
  </si>
  <si>
    <t xml:space="preserve">    09  :PREFIX:-LT-DET-RETR          PIC X(75).</t>
  </si>
  <si>
    <t xml:space="preserve">    09  :PREFIX:-LT-NOME              PIC X(40).</t>
  </si>
  <si>
    <t xml:space="preserve">     'PAGR' - Plano Agregado Tailor</t>
  </si>
  <si>
    <t xml:space="preserve">  07  :PREFIX:-TIPO-REGISTO           PIC X(04).</t>
  </si>
  <si>
    <t xml:space="preserve">  07  FILLER                          PIC X(01).</t>
  </si>
  <si>
    <t>Indicador de inclusão de Flyer</t>
  </si>
  <si>
    <t xml:space="preserve">    88  :PREFIX:-CAB                            VALUE 'CAB '.</t>
  </si>
  <si>
    <t xml:space="preserve">    88  :PREFIX:-OBJ                            VALUE 'OBJ '.</t>
  </si>
  <si>
    <t xml:space="preserve">    88  :PREFIX:-PRD                            VALUE 'PRD '.</t>
  </si>
  <si>
    <t xml:space="preserve">    88  :PREFIX:-TRA                            VALUE 'TRA '.</t>
  </si>
  <si>
    <t xml:space="preserve">    88  :PREFIX:-RUB                            VALUE 'RUB '.</t>
  </si>
  <si>
    <t xml:space="preserve">    88  :PREFIX:-COB                            VALUE 'COB '.</t>
  </si>
  <si>
    <t xml:space="preserve">    88  :PREFIX:-CGE                            VALUE 'CGE '.</t>
  </si>
  <si>
    <t xml:space="preserve">    88  :PREFIX:-DCL                            VALUE 'DCL '.</t>
  </si>
  <si>
    <t xml:space="preserve">    88  :PREFIX:-ZZZ                            VALUE 'ZZZ '.</t>
  </si>
  <si>
    <t xml:space="preserve">     Objecto Seguro (Registo Bloco)</t>
  </si>
  <si>
    <t xml:space="preserve">     Produtos (Registo Lista)</t>
  </si>
  <si>
    <t xml:space="preserve">     Trabalhadores (Registo Lista)</t>
  </si>
  <si>
    <t xml:space="preserve">     Coberturas (Registo Lista)</t>
  </si>
  <si>
    <t xml:space="preserve">     Rubricas (Registo Lista)</t>
  </si>
  <si>
    <t xml:space="preserve">     Detalhe Condições Gerais (Registo Bloco)</t>
  </si>
  <si>
    <t xml:space="preserve">     Declarações e Cláusulas (Registo Bloco)</t>
  </si>
  <si>
    <t xml:space="preserve">     Fim do documento (Registo Único)</t>
  </si>
  <si>
    <t xml:space="preserve">  07  :PREFIX:-DADOS-CLIENTE.</t>
  </si>
  <si>
    <t xml:space="preserve">  07  :PREFIX:-OBJECTO-SEGURO.</t>
  </si>
  <si>
    <t xml:space="preserve">    09  :PREFIX:-CB-TIPO-COBERTURA    PIC X(03).</t>
  </si>
  <si>
    <t xml:space="preserve">      88  :PREFIX:-CB-TIPO-OBJ                  VALUE 'OBJ'.</t>
  </si>
  <si>
    <t>Tipo de Cobertura:</t>
  </si>
  <si>
    <t xml:space="preserve">      88  :PREFIX:-CB-TIPO-APO                  VALUE 'APO'.</t>
  </si>
  <si>
    <t xml:space="preserve">     'APO' - Cobertura ao nível da Apólice</t>
  </si>
  <si>
    <t xml:space="preserve">     'OBJ' - Cobertura ao nível do Objecto Seguro</t>
  </si>
  <si>
    <t xml:space="preserve">      88  :PREFIX:-CB-TIPO-ADI                  VALUE 'ADI'.</t>
  </si>
  <si>
    <t xml:space="preserve">     'ADI' - Cobertura Adicional</t>
  </si>
  <si>
    <t xml:space="preserve">    09  :PREFIX:-CB-TIPO-TABELA       PIC X(02).</t>
  </si>
  <si>
    <t>Identificador de tipo de tabela a usar para listar as Coberturas:</t>
  </si>
  <si>
    <t xml:space="preserve">      88  :PREFIX:-CB-TIPO-3C                   VALUE '3C'.</t>
  </si>
  <si>
    <t xml:space="preserve">      88  :PREFIX:-CB-TIPO-3I                   VALUE '3I'.</t>
  </si>
  <si>
    <t xml:space="preserve">     '3C' - Tabela com 3 colunas sendo a última referente ao Capital</t>
  </si>
  <si>
    <t xml:space="preserve">     '3I' - Tabela com 3 colunas sendo a última referente ao Limite de Indemnização</t>
  </si>
  <si>
    <t xml:space="preserve">  07  :PREFIX:-DECLAR-CLAUSULAS.</t>
  </si>
  <si>
    <t xml:space="preserve">    09  :PREFIX:-DC-TIPO-DEC-CLAUS    PIC X(03).</t>
  </si>
  <si>
    <t xml:space="preserve">      88  :PREFIX:-DC-TIPO-OBJ                  VALUE 'OBJ'.</t>
  </si>
  <si>
    <t xml:space="preserve">      88  :PREFIX:-DC-TIPO-APO                  VALUE 'APO'.</t>
  </si>
  <si>
    <t>Tipo de Declarações e Cláusulas:</t>
  </si>
  <si>
    <t xml:space="preserve">     'OBJ' - ao nível do Objecto Seguro</t>
  </si>
  <si>
    <t xml:space="preserve">     'APO' - ao nível da Apólice</t>
  </si>
  <si>
    <t>Descrição das Declarações e Cláusulas Particulares</t>
  </si>
  <si>
    <t>Descritivo da Rubrica</t>
  </si>
  <si>
    <t xml:space="preserve">      88  :PREFIX:-CB-TIPO-2F                   VALUE '2F'.</t>
  </si>
  <si>
    <t xml:space="preserve">     '2F' - Tabela com 2 colunas sendo a última referente à Franquia</t>
  </si>
  <si>
    <t xml:space="preserve">  07  :PREFIX:-NOTAS-COBERTURA.</t>
  </si>
  <si>
    <t xml:space="preserve">    09  :PREFIX:-NC-NOTAS-COB         PIC X(80).</t>
  </si>
  <si>
    <t xml:space="preserve">    88  :PREFIX:-NCO                            VALUE 'NCO '.</t>
  </si>
  <si>
    <t xml:space="preserve">     Notas das Coberturas (Registo Bloco)</t>
  </si>
  <si>
    <t>Valor Capital Seguro</t>
  </si>
  <si>
    <t>Literal com texto relativo à Franquia</t>
  </si>
  <si>
    <t xml:space="preserve">      11  :PREFIX:-CB-COD-FRANQUIA    PIC X(02).</t>
  </si>
  <si>
    <t xml:space="preserve">      11  :PREFIX:-CB-NUMERO-DIAS     PIC 9(03).</t>
  </si>
  <si>
    <t xml:space="preserve">      11  :PREFIX:-CB-VALOR-FRANQUIA  PIC S9(12)V9(02) SIGN LEADING SEPARATE.</t>
  </si>
  <si>
    <t xml:space="preserve">      11  :PREFIX:-CB-VALOR-MAX-FRANQ PIC S9(12)V9(02) SIGN LEADING SEPARATE.</t>
  </si>
  <si>
    <t xml:space="preserve">    09  :PREFIX:-CB-COD-COB           PIC X(05).</t>
  </si>
  <si>
    <t>Código da Cobertura</t>
  </si>
  <si>
    <t xml:space="preserve">      11  :PREFIX:-CB-PERC-FRANQUIA   PIC 9(03)V9(02).</t>
  </si>
  <si>
    <t xml:space="preserve">      11  :PREFIX:-CB-IND-LIM-INDMN   PIC X(02).</t>
  </si>
  <si>
    <t xml:space="preserve">      11  :PREFIX:-CB-VALOR-LIM-INDMN PIC S9(12)V9(02) SIGN LEADING SEPARATE.</t>
  </si>
  <si>
    <t xml:space="preserve">      11  :PREFIX:-CB-PERC-LIM-INDMN  PIC 9(02).</t>
  </si>
  <si>
    <t xml:space="preserve">      11  :PREFIX:-CB-DIAS-LIM-INDMN  PIC 9(02).</t>
  </si>
  <si>
    <t xml:space="preserve">      11  :PREFIX:-CB-VLR1-LIM-INDMN  PIC S9(12)V9(02) SIGN LEADING SEPARATE.</t>
  </si>
  <si>
    <t xml:space="preserve">Notas relativas à Cobertura[(Ex: "(1) Conforme Condições Gerais…]"  </t>
  </si>
  <si>
    <t>Indicador do tipo de Franquia</t>
  </si>
  <si>
    <t>Valor de Franquia</t>
  </si>
  <si>
    <t>Valor Máximo de Franquia</t>
  </si>
  <si>
    <t>Percentagem de Franquia</t>
  </si>
  <si>
    <t>Número de dias de Franquia</t>
  </si>
  <si>
    <t>Indicador do tipo de Limite de Indemnização</t>
  </si>
  <si>
    <t>Valor Limite de Indemnização</t>
  </si>
  <si>
    <t>Percentagem de Limite de Indemnização</t>
  </si>
  <si>
    <t>Número de dias de Limite de indemnização</t>
  </si>
  <si>
    <t>Valor Limite de Indemnização (Anuidade)</t>
  </si>
  <si>
    <t xml:space="preserve">    09  :PREFIX:-RU-VALOR             PIC S9(12)V9(02) SIGN LEADING SEPARATE.</t>
  </si>
  <si>
    <t xml:space="preserve">    09  :PREFIX:-CB-FRANQUIA-CHAR     PIC X(30).</t>
  </si>
  <si>
    <t xml:space="preserve">    09  :PREFIX:-CB-VALOR-CAP-SEG     PIC S9(12)V9(02) SIGN LEADING SEPARATE.</t>
  </si>
  <si>
    <t xml:space="preserve">  07  :PREFIX:-ORI-ORDER.</t>
  </si>
  <si>
    <t xml:space="preserve">    09  :PREFIX:-DOC-NR               PIC X(10).</t>
  </si>
  <si>
    <t xml:space="preserve">    09  :PREFIX:-DOC-SEQREG-NR        PIC X(05).</t>
  </si>
  <si>
    <t>Ordenação do Sistema Origem - Número do documento</t>
  </si>
  <si>
    <t>Ordenação do Sistema Origem - Número de sequência do registo</t>
  </si>
  <si>
    <t xml:space="preserve">  07  :PREFIX:-DADOS-MORADA.</t>
  </si>
  <si>
    <t xml:space="preserve">    88  :PREFIX:-MOR                            VALUE 'MOR '.</t>
  </si>
  <si>
    <t xml:space="preserve">     Morada (Registo Único)</t>
  </si>
  <si>
    <t>05  :PREFIX:-DADOS-DOCUMENTO          PIC X(421).</t>
  </si>
  <si>
    <t xml:space="preserve">  07  FILLER                          PIC X(161).</t>
  </si>
  <si>
    <r>
      <rPr>
        <sz val="11"/>
        <rFont val="Calibri"/>
        <family val="2"/>
        <scheme val="minor"/>
      </rPr>
      <t xml:space="preserve">Informação de Cabeçalho (Registo do tipo </t>
    </r>
    <r>
      <rPr>
        <b/>
        <sz val="11"/>
        <rFont val="Calibri"/>
        <family val="2"/>
        <scheme val="minor"/>
      </rPr>
      <t>CAB</t>
    </r>
    <r>
      <rPr>
        <sz val="11"/>
        <rFont val="Calibri"/>
        <family val="2"/>
        <scheme val="minor"/>
      </rPr>
      <t>)</t>
    </r>
    <r>
      <rPr>
        <sz val="11"/>
        <color rgb="FFFF0000"/>
        <rFont val="Calibri"/>
        <family val="2"/>
        <scheme val="minor"/>
      </rPr>
      <t xml:space="preserve"> </t>
    </r>
  </si>
  <si>
    <r>
      <rPr>
        <sz val="11"/>
        <rFont val="Calibri"/>
        <family val="2"/>
        <scheme val="minor"/>
      </rPr>
      <t xml:space="preserve">Informação de Cabeçalho (Registo do tipo </t>
    </r>
    <r>
      <rPr>
        <b/>
        <sz val="11"/>
        <rFont val="Calibri"/>
        <family val="2"/>
        <scheme val="minor"/>
      </rPr>
      <t>MOR</t>
    </r>
    <r>
      <rPr>
        <sz val="11"/>
        <rFont val="Calibri"/>
        <family val="2"/>
        <scheme val="minor"/>
      </rPr>
      <t>)</t>
    </r>
    <r>
      <rPr>
        <sz val="11"/>
        <color rgb="FFFF0000"/>
        <rFont val="Calibri"/>
        <family val="2"/>
        <scheme val="minor"/>
      </rPr>
      <t xml:space="preserve"> </t>
    </r>
  </si>
  <si>
    <t xml:space="preserve">    09  :PREFIX:-MR-NOME              PIC X(40).</t>
  </si>
  <si>
    <t xml:space="preserve">    09  :PREFIX:-MR-LOCATION-REF      PIC X(04).</t>
  </si>
  <si>
    <t xml:space="preserve">    09  :PREFIX:-MR-MORADA1           PIC X(40).</t>
  </si>
  <si>
    <t xml:space="preserve">    09  :PREFIX:-MR-MORADA2           PIC X(40).</t>
  </si>
  <si>
    <t xml:space="preserve">    09  :PREFIX:-MR-LOCALIDADE        PIC X(40).</t>
  </si>
  <si>
    <t xml:space="preserve">    09  :PREFIX:-MR-CPOSTAL           PIC X(09).</t>
  </si>
  <si>
    <t xml:space="preserve">    09  :PREFIX:-MR-CPOSTAL-DESC      PIC X(40).</t>
  </si>
  <si>
    <t xml:space="preserve">    09  :PREFIX:-MR-CPAIS             PIC X(03).</t>
  </si>
  <si>
    <t xml:space="preserve">    09  :PREFIX:-MR-CPAIS-DESC        PIC X(40).</t>
  </si>
  <si>
    <t xml:space="preserve">    09  :PREFIX:-MR-IDP               PIC X(04).</t>
  </si>
  <si>
    <t>Código do Ramo</t>
  </si>
  <si>
    <t xml:space="preserve">  07  FILLER                          PIC X(102).</t>
  </si>
  <si>
    <t xml:space="preserve">     Cabeçalho (Registo Único)</t>
  </si>
  <si>
    <t xml:space="preserve">  07  FILLER                          PIC X(306).</t>
  </si>
  <si>
    <r>
      <t xml:space="preserve">Objecto Seguro (Registo do tipo </t>
    </r>
    <r>
      <rPr>
        <b/>
        <sz val="11"/>
        <rFont val="Calibri"/>
        <family val="2"/>
        <scheme val="minor"/>
      </rPr>
      <t>OBJ</t>
    </r>
    <r>
      <rPr>
        <sz val="11"/>
        <rFont val="Calibri"/>
        <family val="2"/>
        <scheme val="minor"/>
      </rPr>
      <t>)</t>
    </r>
  </si>
  <si>
    <t xml:space="preserve">  07  FILLER                          PIC X(361).</t>
  </si>
  <si>
    <r>
      <t xml:space="preserve">Produtos (Registo do tipo </t>
    </r>
    <r>
      <rPr>
        <b/>
        <sz val="11"/>
        <rFont val="Calibri"/>
        <family val="2"/>
        <scheme val="minor"/>
      </rPr>
      <t>PRD</t>
    </r>
    <r>
      <rPr>
        <sz val="11"/>
        <rFont val="Calibri"/>
        <family val="2"/>
        <scheme val="minor"/>
      </rPr>
      <t>) repete-se de 0 a N</t>
    </r>
  </si>
  <si>
    <t xml:space="preserve">  07  :PREFIX:-DET-OBJ-SEG1.</t>
  </si>
  <si>
    <t xml:space="preserve">  07  FILLER                          PIC X(165).</t>
  </si>
  <si>
    <t xml:space="preserve">  07  :PREFIX:-DET-OBJ-SEG2.</t>
  </si>
  <si>
    <t xml:space="preserve">  07  FILLER                          PIC X(216).</t>
  </si>
  <si>
    <t xml:space="preserve">    88  :PREFIX:-DOB1                           VALUE 'DOB1'.</t>
  </si>
  <si>
    <t xml:space="preserve">    88  :PREFIX:-DOB2                           VALUE 'DOB2'.</t>
  </si>
  <si>
    <t xml:space="preserve">     Detalhe Objecto Seguro 1 (Registo Bloco)</t>
  </si>
  <si>
    <t xml:space="preserve">     Detalhe Objecto Seguro 2 (Registo Bloco)</t>
  </si>
  <si>
    <r>
      <t xml:space="preserve">Detalhe do Objecto Seguro 1 (Registo do tipo </t>
    </r>
    <r>
      <rPr>
        <b/>
        <sz val="11"/>
        <rFont val="Calibri"/>
        <family val="2"/>
        <scheme val="minor"/>
      </rPr>
      <t>DOB1</t>
    </r>
    <r>
      <rPr>
        <sz val="11"/>
        <rFont val="Calibri"/>
        <family val="2"/>
        <scheme val="minor"/>
      </rPr>
      <t>)</t>
    </r>
  </si>
  <si>
    <r>
      <t xml:space="preserve">Detalhe do Objecto Seguro 2 (Registo do tipo </t>
    </r>
    <r>
      <rPr>
        <b/>
        <sz val="11"/>
        <rFont val="Calibri"/>
        <family val="2"/>
        <scheme val="minor"/>
      </rPr>
      <t>DOB2</t>
    </r>
    <r>
      <rPr>
        <sz val="11"/>
        <rFont val="Calibri"/>
        <family val="2"/>
        <scheme val="minor"/>
      </rPr>
      <t>)</t>
    </r>
  </si>
  <si>
    <t xml:space="preserve">  07  FILLER                          PIC X(271).</t>
  </si>
  <si>
    <r>
      <t xml:space="preserve">Trabalhadores (Registo do tipo </t>
    </r>
    <r>
      <rPr>
        <b/>
        <sz val="11"/>
        <rFont val="Calibri"/>
        <family val="2"/>
        <scheme val="minor"/>
      </rPr>
      <t>TRA</t>
    </r>
    <r>
      <rPr>
        <sz val="11"/>
        <rFont val="Calibri"/>
        <family val="2"/>
        <scheme val="minor"/>
      </rPr>
      <t>) repete-se de 0 a N</t>
    </r>
  </si>
  <si>
    <r>
      <t xml:space="preserve">Lista de Rubricas (Registo do tipo </t>
    </r>
    <r>
      <rPr>
        <b/>
        <sz val="11"/>
        <rFont val="Calibri"/>
        <family val="2"/>
        <scheme val="minor"/>
      </rPr>
      <t>RUB</t>
    </r>
    <r>
      <rPr>
        <sz val="11"/>
        <rFont val="Calibri"/>
        <family val="2"/>
        <scheme val="minor"/>
      </rPr>
      <t>) repete-se de 0 a N</t>
    </r>
  </si>
  <si>
    <t xml:space="preserve">  07  FILLER                          PIC X(346).</t>
  </si>
  <si>
    <r>
      <t xml:space="preserve">Lista de Coberturas (Registo do tipo </t>
    </r>
    <r>
      <rPr>
        <b/>
        <sz val="11"/>
        <rFont val="Calibri"/>
        <family val="2"/>
        <scheme val="minor"/>
      </rPr>
      <t>COB</t>
    </r>
    <r>
      <rPr>
        <sz val="11"/>
        <rFont val="Calibri"/>
        <family val="2"/>
        <scheme val="minor"/>
      </rPr>
      <t>) repete-se de 0 a N</t>
    </r>
  </si>
  <si>
    <t xml:space="preserve">  07  FILLER                          PIC X(230).</t>
  </si>
  <si>
    <r>
      <t xml:space="preserve">Notas das Coberturas (Registo do tipo </t>
    </r>
    <r>
      <rPr>
        <b/>
        <sz val="11"/>
        <rFont val="Calibri"/>
        <family val="2"/>
        <scheme val="minor"/>
      </rPr>
      <t>NCO</t>
    </r>
    <r>
      <rPr>
        <sz val="11"/>
        <rFont val="Calibri"/>
        <family val="2"/>
        <scheme val="minor"/>
      </rPr>
      <t>)</t>
    </r>
  </si>
  <si>
    <t xml:space="preserve">  07  FILLER                          PIC X(341).</t>
  </si>
  <si>
    <r>
      <t xml:space="preserve">Detalhe das Condições Gerais (Registo do tipo </t>
    </r>
    <r>
      <rPr>
        <b/>
        <sz val="11"/>
        <rFont val="Calibri"/>
        <family val="2"/>
        <scheme val="minor"/>
      </rPr>
      <t>CGE</t>
    </r>
    <r>
      <rPr>
        <sz val="11"/>
        <rFont val="Calibri"/>
        <family val="2"/>
        <scheme val="minor"/>
      </rPr>
      <t>)</t>
    </r>
  </si>
  <si>
    <t xml:space="preserve">  07  FILLER                          PIC X(338).</t>
  </si>
  <si>
    <r>
      <t xml:space="preserve">Condições e Cláusulas Particulares (Registo do tipo </t>
    </r>
    <r>
      <rPr>
        <b/>
        <sz val="11"/>
        <rFont val="Calibri"/>
        <family val="2"/>
        <scheme val="minor"/>
      </rPr>
      <t>DCL</t>
    </r>
    <r>
      <rPr>
        <sz val="11"/>
        <rFont val="Calibri"/>
        <family val="2"/>
        <scheme val="minor"/>
      </rPr>
      <t>)</t>
    </r>
  </si>
  <si>
    <t xml:space="preserve">  07  FILLER                          PIC X(421).</t>
  </si>
  <si>
    <t xml:space="preserve">    09  :PREFIX:-DC-DESCRITIVO        PIC X(418).</t>
  </si>
  <si>
    <r>
      <t xml:space="preserve">Fim do Documento (Registo do tipo </t>
    </r>
    <r>
      <rPr>
        <b/>
        <sz val="11"/>
        <rFont val="Calibri"/>
        <family val="2"/>
        <scheme val="minor"/>
      </rPr>
      <t>ZZZ</t>
    </r>
    <r>
      <rPr>
        <sz val="1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</si>
</sst>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11"/>
      <name val="Courier New"/>
      <family val="3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6" fillId="2" borderId="1" xfId="0" applyFont="1" applyFill="1" applyBorder="1"/>
    <xf numFmtId="0" fontId="5" fillId="4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1" xfId="0" applyFont="1" applyBorder="1" applyAlignment="1">
      <alignment vertical="top" wrapText="1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wrapText="1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4" fillId="0" borderId="1" xfId="0" applyFont="1" applyBorder="1"/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top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3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13" xfId="0" applyFont="1" applyBorder="1"/>
    <xf numFmtId="0" fontId="3" fillId="0" borderId="1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4"/>
  <sheetViews>
    <sheetView tabSelected="1" topLeftCell="A16" zoomScaleNormal="100" workbookViewId="0">
      <selection activeCell="I47" sqref="I47"/>
    </sheetView>
  </sheetViews>
  <sheetFormatPr defaultRowHeight="14.4" x14ac:dyDescent="0.3"/>
  <cols>
    <col min="1" max="1" width="98.77734375" style="10" customWidth="1"/>
    <col min="2" max="2" width="72.109375" bestFit="1" customWidth="1"/>
    <col min="3" max="3" width="7.21875" bestFit="1" customWidth="1"/>
    <col min="4" max="4" width="8.77734375" bestFit="1" customWidth="1"/>
    <col min="5" max="5" width="11.109375" style="9" bestFit="1" customWidth="1"/>
    <col min="7" max="7" width="11.77734375" bestFit="1" customWidth="1"/>
  </cols>
  <sheetData>
    <row r="1" spans="1:5" x14ac:dyDescent="0.3">
      <c r="A1" s="13" t="s">
        <v>2</v>
      </c>
      <c r="B1" s="13" t="s">
        <v>64</v>
      </c>
      <c r="C1" s="1" t="s">
        <v>0</v>
      </c>
      <c r="D1" s="1" t="s">
        <v>1</v>
      </c>
      <c r="E1" s="8" t="s">
        <v>68</v>
      </c>
    </row>
    <row r="2" spans="1:5" x14ac:dyDescent="0.3">
      <c r="A2" s="3" t="s">
        <v>7</v>
      </c>
      <c r="B2" s="31"/>
      <c r="C2" s="42">
        <v>1</v>
      </c>
      <c r="D2" s="42">
        <v>0</v>
      </c>
      <c r="E2" s="18"/>
    </row>
    <row r="3" spans="1:5" x14ac:dyDescent="0.3">
      <c r="A3" s="2" t="s">
        <v>116</v>
      </c>
      <c r="B3" s="32" t="s">
        <v>105</v>
      </c>
      <c r="C3" s="60">
        <f>C2+D2</f>
        <v>1</v>
      </c>
      <c r="D3" s="60">
        <v>4</v>
      </c>
      <c r="E3" s="80" t="s">
        <v>13</v>
      </c>
    </row>
    <row r="4" spans="1:5" x14ac:dyDescent="0.3">
      <c r="A4" s="2" t="s">
        <v>117</v>
      </c>
      <c r="B4" s="59" t="s">
        <v>170</v>
      </c>
      <c r="C4" s="51"/>
      <c r="D4" s="52"/>
      <c r="E4" s="81"/>
    </row>
    <row r="5" spans="1:5" x14ac:dyDescent="0.3">
      <c r="A5" s="40" t="s">
        <v>171</v>
      </c>
      <c r="B5" s="35" t="s">
        <v>106</v>
      </c>
      <c r="C5" s="50">
        <f>C3+D3</f>
        <v>5</v>
      </c>
      <c r="D5" s="61">
        <v>4</v>
      </c>
      <c r="E5" s="80" t="s">
        <v>13</v>
      </c>
    </row>
    <row r="6" spans="1:5" x14ac:dyDescent="0.3">
      <c r="A6" s="40" t="s">
        <v>256</v>
      </c>
      <c r="B6" s="49" t="s">
        <v>257</v>
      </c>
      <c r="C6" s="53"/>
      <c r="D6" s="54"/>
      <c r="E6" s="80"/>
    </row>
    <row r="7" spans="1:5" x14ac:dyDescent="0.3">
      <c r="A7" s="40" t="s">
        <v>174</v>
      </c>
      <c r="B7" s="49" t="s">
        <v>274</v>
      </c>
      <c r="C7" s="55"/>
      <c r="D7" s="56"/>
      <c r="E7" s="80"/>
    </row>
    <row r="8" spans="1:5" x14ac:dyDescent="0.3">
      <c r="A8" s="40" t="s">
        <v>175</v>
      </c>
      <c r="B8" s="49" t="s">
        <v>183</v>
      </c>
      <c r="C8" s="55"/>
      <c r="D8" s="56"/>
      <c r="E8" s="80"/>
    </row>
    <row r="9" spans="1:5" x14ac:dyDescent="0.3">
      <c r="A9" s="40" t="s">
        <v>176</v>
      </c>
      <c r="B9" s="49" t="s">
        <v>184</v>
      </c>
      <c r="C9" s="55"/>
      <c r="D9" s="56"/>
      <c r="E9" s="80"/>
    </row>
    <row r="10" spans="1:5" x14ac:dyDescent="0.3">
      <c r="A10" s="40" t="s">
        <v>283</v>
      </c>
      <c r="B10" s="49" t="s">
        <v>285</v>
      </c>
      <c r="C10" s="55"/>
      <c r="D10" s="56"/>
      <c r="E10" s="80"/>
    </row>
    <row r="11" spans="1:5" x14ac:dyDescent="0.3">
      <c r="A11" s="40" t="s">
        <v>284</v>
      </c>
      <c r="B11" s="49" t="s">
        <v>286</v>
      </c>
      <c r="C11" s="55"/>
      <c r="D11" s="56"/>
      <c r="E11" s="80"/>
    </row>
    <row r="12" spans="1:5" x14ac:dyDescent="0.3">
      <c r="A12" s="40" t="s">
        <v>177</v>
      </c>
      <c r="B12" s="49" t="s">
        <v>185</v>
      </c>
      <c r="C12" s="55"/>
      <c r="D12" s="56"/>
      <c r="E12" s="80"/>
    </row>
    <row r="13" spans="1:5" x14ac:dyDescent="0.3">
      <c r="A13" s="40" t="s">
        <v>178</v>
      </c>
      <c r="B13" s="49" t="s">
        <v>187</v>
      </c>
      <c r="C13" s="55"/>
      <c r="D13" s="56"/>
      <c r="E13" s="80"/>
    </row>
    <row r="14" spans="1:5" x14ac:dyDescent="0.3">
      <c r="A14" s="40" t="s">
        <v>179</v>
      </c>
      <c r="B14" s="49" t="s">
        <v>186</v>
      </c>
      <c r="C14" s="55"/>
      <c r="D14" s="56"/>
      <c r="E14" s="80"/>
    </row>
    <row r="15" spans="1:5" x14ac:dyDescent="0.3">
      <c r="A15" s="40" t="s">
        <v>220</v>
      </c>
      <c r="B15" s="49" t="s">
        <v>221</v>
      </c>
      <c r="C15" s="55"/>
      <c r="D15" s="56"/>
      <c r="E15" s="80"/>
    </row>
    <row r="16" spans="1:5" x14ac:dyDescent="0.3">
      <c r="A16" s="40" t="s">
        <v>180</v>
      </c>
      <c r="B16" s="49" t="s">
        <v>188</v>
      </c>
      <c r="C16" s="55"/>
      <c r="D16" s="56"/>
      <c r="E16" s="80"/>
    </row>
    <row r="17" spans="1:5" x14ac:dyDescent="0.3">
      <c r="A17" s="40" t="s">
        <v>181</v>
      </c>
      <c r="B17" s="49" t="s">
        <v>189</v>
      </c>
      <c r="C17" s="55"/>
      <c r="D17" s="56"/>
      <c r="E17" s="80"/>
    </row>
    <row r="18" spans="1:5" x14ac:dyDescent="0.3">
      <c r="A18" s="40" t="s">
        <v>182</v>
      </c>
      <c r="B18" s="49" t="s">
        <v>190</v>
      </c>
      <c r="C18" s="57"/>
      <c r="D18" s="58"/>
      <c r="E18" s="80"/>
    </row>
    <row r="19" spans="1:5" x14ac:dyDescent="0.3">
      <c r="A19" s="2" t="s">
        <v>115</v>
      </c>
      <c r="B19" s="32" t="s">
        <v>107</v>
      </c>
      <c r="C19" s="44">
        <f>C5+D5</f>
        <v>9</v>
      </c>
      <c r="D19" s="44">
        <v>1</v>
      </c>
      <c r="E19" s="82" t="s">
        <v>13</v>
      </c>
    </row>
    <row r="20" spans="1:5" x14ac:dyDescent="0.3">
      <c r="A20" s="2" t="s">
        <v>118</v>
      </c>
      <c r="B20" s="32" t="s">
        <v>108</v>
      </c>
      <c r="C20" s="53"/>
      <c r="D20" s="54"/>
      <c r="E20" s="83"/>
    </row>
    <row r="21" spans="1:5" x14ac:dyDescent="0.3">
      <c r="A21" s="2" t="s">
        <v>119</v>
      </c>
      <c r="B21" s="32" t="s">
        <v>109</v>
      </c>
      <c r="C21" s="57"/>
      <c r="D21" s="58"/>
      <c r="E21" s="84"/>
    </row>
    <row r="22" spans="1:5" x14ac:dyDescent="0.3">
      <c r="A22" s="2" t="s">
        <v>114</v>
      </c>
      <c r="B22" s="26" t="s">
        <v>110</v>
      </c>
      <c r="C22" s="44">
        <f>C19+D19</f>
        <v>10</v>
      </c>
      <c r="D22" s="45">
        <v>8</v>
      </c>
      <c r="E22" s="19" t="s">
        <v>111</v>
      </c>
    </row>
    <row r="23" spans="1:5" x14ac:dyDescent="0.3">
      <c r="A23" s="2" t="s">
        <v>24</v>
      </c>
      <c r="B23" s="32" t="s">
        <v>3</v>
      </c>
      <c r="C23" s="44">
        <f>C22+D22</f>
        <v>18</v>
      </c>
      <c r="D23" s="44">
        <v>3</v>
      </c>
      <c r="E23" s="82" t="s">
        <v>13</v>
      </c>
    </row>
    <row r="24" spans="1:5" x14ac:dyDescent="0.3">
      <c r="A24" s="2" t="s">
        <v>121</v>
      </c>
      <c r="B24" s="32" t="s">
        <v>8</v>
      </c>
      <c r="C24" s="53"/>
      <c r="D24" s="54"/>
      <c r="E24" s="83"/>
    </row>
    <row r="25" spans="1:5" x14ac:dyDescent="0.3">
      <c r="A25" s="2" t="s">
        <v>122</v>
      </c>
      <c r="B25" s="32" t="s">
        <v>10</v>
      </c>
      <c r="C25" s="57"/>
      <c r="D25" s="58"/>
      <c r="E25" s="83"/>
    </row>
    <row r="26" spans="1:5" x14ac:dyDescent="0.3">
      <c r="A26" s="2" t="s">
        <v>120</v>
      </c>
      <c r="B26" s="32" t="s">
        <v>4</v>
      </c>
      <c r="C26" s="44">
        <f>C23+D23</f>
        <v>21</v>
      </c>
      <c r="D26" s="45">
        <v>3</v>
      </c>
      <c r="E26" s="82" t="s">
        <v>13</v>
      </c>
    </row>
    <row r="27" spans="1:5" x14ac:dyDescent="0.3">
      <c r="A27" s="2" t="s">
        <v>123</v>
      </c>
      <c r="B27" s="32" t="s">
        <v>9</v>
      </c>
      <c r="C27" s="53"/>
      <c r="D27" s="54"/>
      <c r="E27" s="83"/>
    </row>
    <row r="28" spans="1:5" x14ac:dyDescent="0.3">
      <c r="A28" s="2" t="s">
        <v>124</v>
      </c>
      <c r="B28" s="32" t="s">
        <v>11</v>
      </c>
      <c r="C28" s="55"/>
      <c r="D28" s="56"/>
      <c r="E28" s="83"/>
    </row>
    <row r="29" spans="1:5" x14ac:dyDescent="0.3">
      <c r="A29" s="2" t="s">
        <v>125</v>
      </c>
      <c r="B29" s="32" t="s">
        <v>12</v>
      </c>
      <c r="C29" s="57"/>
      <c r="D29" s="58"/>
      <c r="E29" s="83"/>
    </row>
    <row r="30" spans="1:5" x14ac:dyDescent="0.3">
      <c r="A30" s="2" t="s">
        <v>172</v>
      </c>
      <c r="B30" s="32"/>
      <c r="C30" s="45">
        <f>C26+D26</f>
        <v>24</v>
      </c>
      <c r="D30" s="45">
        <v>1</v>
      </c>
      <c r="E30" s="24"/>
    </row>
    <row r="31" spans="1:5" x14ac:dyDescent="0.3">
      <c r="A31" s="2" t="s">
        <v>126</v>
      </c>
      <c r="B31" s="26" t="s">
        <v>112</v>
      </c>
      <c r="C31" s="44">
        <f t="shared" ref="C31:C37" si="0">C30+D30</f>
        <v>25</v>
      </c>
      <c r="D31" s="45">
        <v>10</v>
      </c>
      <c r="E31" s="19" t="s">
        <v>111</v>
      </c>
    </row>
    <row r="32" spans="1:5" x14ac:dyDescent="0.3">
      <c r="A32" s="2" t="s">
        <v>127</v>
      </c>
      <c r="B32" s="26" t="s">
        <v>18</v>
      </c>
      <c r="C32" s="44">
        <f t="shared" si="0"/>
        <v>35</v>
      </c>
      <c r="D32" s="45">
        <v>10</v>
      </c>
      <c r="E32" s="20" t="s">
        <v>13</v>
      </c>
    </row>
    <row r="33" spans="1:5" x14ac:dyDescent="0.3">
      <c r="A33" s="2" t="s">
        <v>128</v>
      </c>
      <c r="B33" s="26" t="s">
        <v>6</v>
      </c>
      <c r="C33" s="44">
        <f t="shared" si="0"/>
        <v>45</v>
      </c>
      <c r="D33" s="45">
        <v>16</v>
      </c>
      <c r="E33" s="20" t="s">
        <v>13</v>
      </c>
    </row>
    <row r="34" spans="1:5" x14ac:dyDescent="0.3">
      <c r="A34" s="2" t="s">
        <v>250</v>
      </c>
      <c r="B34" s="26"/>
      <c r="C34" s="44">
        <f t="shared" si="0"/>
        <v>61</v>
      </c>
      <c r="D34" s="45">
        <v>0</v>
      </c>
      <c r="E34" s="24"/>
    </row>
    <row r="35" spans="1:5" x14ac:dyDescent="0.3">
      <c r="A35" s="2" t="s">
        <v>251</v>
      </c>
      <c r="B35" s="26" t="s">
        <v>253</v>
      </c>
      <c r="C35" s="44">
        <f t="shared" si="0"/>
        <v>61</v>
      </c>
      <c r="D35" s="45">
        <v>10</v>
      </c>
      <c r="E35" s="20" t="s">
        <v>13</v>
      </c>
    </row>
    <row r="36" spans="1:5" x14ac:dyDescent="0.3">
      <c r="A36" s="2" t="s">
        <v>252</v>
      </c>
      <c r="B36" s="26" t="s">
        <v>254</v>
      </c>
      <c r="C36" s="44">
        <f t="shared" si="0"/>
        <v>71</v>
      </c>
      <c r="D36" s="45">
        <v>5</v>
      </c>
      <c r="E36" s="20" t="s">
        <v>13</v>
      </c>
    </row>
    <row r="37" spans="1:5" x14ac:dyDescent="0.3">
      <c r="A37" s="2" t="s">
        <v>129</v>
      </c>
      <c r="B37" s="32" t="s">
        <v>5</v>
      </c>
      <c r="C37" s="44">
        <f t="shared" si="0"/>
        <v>76</v>
      </c>
      <c r="D37" s="45">
        <v>3</v>
      </c>
      <c r="E37" s="82" t="s">
        <v>13</v>
      </c>
    </row>
    <row r="38" spans="1:5" x14ac:dyDescent="0.3">
      <c r="A38" s="2" t="s">
        <v>130</v>
      </c>
      <c r="B38" s="26" t="s">
        <v>113</v>
      </c>
      <c r="C38" s="51"/>
      <c r="D38" s="52"/>
      <c r="E38" s="83"/>
    </row>
    <row r="39" spans="1:5" x14ac:dyDescent="0.3">
      <c r="A39" s="2" t="s">
        <v>131</v>
      </c>
      <c r="B39" s="26" t="s">
        <v>173</v>
      </c>
      <c r="C39" s="44">
        <f>C37+D37</f>
        <v>79</v>
      </c>
      <c r="D39" s="45">
        <v>1</v>
      </c>
      <c r="E39" s="21" t="s">
        <v>14</v>
      </c>
    </row>
    <row r="40" spans="1:5" x14ac:dyDescent="0.3">
      <c r="A40" s="41" t="s">
        <v>258</v>
      </c>
      <c r="B40" s="31"/>
      <c r="C40" s="46">
        <f>C39+D39</f>
        <v>80</v>
      </c>
      <c r="D40" s="46">
        <f>500-C40+1</f>
        <v>421</v>
      </c>
      <c r="E40" s="22"/>
    </row>
    <row r="41" spans="1:5" x14ac:dyDescent="0.3">
      <c r="A41" s="74"/>
      <c r="B41" s="75"/>
      <c r="C41" s="75"/>
      <c r="D41" s="75"/>
      <c r="E41" s="76"/>
    </row>
    <row r="42" spans="1:5" x14ac:dyDescent="0.3">
      <c r="A42" s="3" t="s">
        <v>23</v>
      </c>
      <c r="B42" s="14" t="s">
        <v>261</v>
      </c>
      <c r="C42" s="42">
        <f>$C$40</f>
        <v>80</v>
      </c>
      <c r="D42" s="42">
        <v>0</v>
      </c>
      <c r="E42" s="18"/>
    </row>
    <row r="43" spans="1:5" x14ac:dyDescent="0.3">
      <c r="A43" s="4" t="s">
        <v>255</v>
      </c>
      <c r="B43" s="23"/>
      <c r="C43" s="47">
        <f>C42+D42</f>
        <v>80</v>
      </c>
      <c r="D43" s="47">
        <v>0</v>
      </c>
      <c r="E43" s="24"/>
    </row>
    <row r="44" spans="1:5" x14ac:dyDescent="0.3">
      <c r="A44" s="2" t="s">
        <v>262</v>
      </c>
      <c r="B44" s="26" t="s">
        <v>165</v>
      </c>
      <c r="C44" s="34">
        <f>C43+D43</f>
        <v>80</v>
      </c>
      <c r="D44" s="35">
        <v>40</v>
      </c>
      <c r="E44" s="20" t="s">
        <v>13</v>
      </c>
    </row>
    <row r="45" spans="1:5" x14ac:dyDescent="0.3">
      <c r="A45" s="2" t="s">
        <v>263</v>
      </c>
      <c r="B45" s="26" t="s">
        <v>25</v>
      </c>
      <c r="C45" s="34">
        <f t="shared" ref="C45:C53" si="1">C44+D44</f>
        <v>120</v>
      </c>
      <c r="D45" s="35">
        <v>4</v>
      </c>
      <c r="E45" s="21" t="s">
        <v>14</v>
      </c>
    </row>
    <row r="46" spans="1:5" x14ac:dyDescent="0.3">
      <c r="A46" s="2" t="s">
        <v>264</v>
      </c>
      <c r="B46" s="26" t="s">
        <v>26</v>
      </c>
      <c r="C46" s="34">
        <f t="shared" si="1"/>
        <v>124</v>
      </c>
      <c r="D46" s="35">
        <v>40</v>
      </c>
      <c r="E46" s="20" t="s">
        <v>13</v>
      </c>
    </row>
    <row r="47" spans="1:5" x14ac:dyDescent="0.3">
      <c r="A47" s="2" t="s">
        <v>265</v>
      </c>
      <c r="B47" s="26" t="s">
        <v>27</v>
      </c>
      <c r="C47" s="34">
        <f t="shared" si="1"/>
        <v>164</v>
      </c>
      <c r="D47" s="35">
        <v>40</v>
      </c>
      <c r="E47" s="21" t="s">
        <v>14</v>
      </c>
    </row>
    <row r="48" spans="1:5" x14ac:dyDescent="0.3">
      <c r="A48" s="2" t="s">
        <v>266</v>
      </c>
      <c r="B48" s="26" t="s">
        <v>28</v>
      </c>
      <c r="C48" s="34">
        <f t="shared" si="1"/>
        <v>204</v>
      </c>
      <c r="D48" s="35">
        <v>40</v>
      </c>
      <c r="E48" s="21" t="s">
        <v>14</v>
      </c>
    </row>
    <row r="49" spans="1:5" x14ac:dyDescent="0.3">
      <c r="A49" s="2" t="s">
        <v>267</v>
      </c>
      <c r="B49" s="26" t="s">
        <v>30</v>
      </c>
      <c r="C49" s="34">
        <f t="shared" si="1"/>
        <v>244</v>
      </c>
      <c r="D49" s="35">
        <v>9</v>
      </c>
      <c r="E49" s="20" t="s">
        <v>13</v>
      </c>
    </row>
    <row r="50" spans="1:5" x14ac:dyDescent="0.3">
      <c r="A50" s="2" t="s">
        <v>268</v>
      </c>
      <c r="B50" s="26" t="s">
        <v>61</v>
      </c>
      <c r="C50" s="34">
        <f t="shared" si="1"/>
        <v>253</v>
      </c>
      <c r="D50" s="35">
        <v>40</v>
      </c>
      <c r="E50" s="20" t="s">
        <v>13</v>
      </c>
    </row>
    <row r="51" spans="1:5" x14ac:dyDescent="0.3">
      <c r="A51" s="2" t="s">
        <v>269</v>
      </c>
      <c r="B51" s="26" t="s">
        <v>29</v>
      </c>
      <c r="C51" s="34">
        <f t="shared" si="1"/>
        <v>293</v>
      </c>
      <c r="D51" s="35">
        <v>3</v>
      </c>
      <c r="E51" s="20" t="s">
        <v>13</v>
      </c>
    </row>
    <row r="52" spans="1:5" x14ac:dyDescent="0.3">
      <c r="A52" s="2" t="s">
        <v>270</v>
      </c>
      <c r="B52" s="26" t="s">
        <v>62</v>
      </c>
      <c r="C52" s="34">
        <f t="shared" si="1"/>
        <v>296</v>
      </c>
      <c r="D52" s="35">
        <v>40</v>
      </c>
      <c r="E52" s="20" t="s">
        <v>13</v>
      </c>
    </row>
    <row r="53" spans="1:5" x14ac:dyDescent="0.3">
      <c r="A53" s="7" t="s">
        <v>271</v>
      </c>
      <c r="B53" s="27" t="s">
        <v>31</v>
      </c>
      <c r="C53" s="34">
        <f t="shared" si="1"/>
        <v>336</v>
      </c>
      <c r="D53" s="34">
        <v>4</v>
      </c>
      <c r="E53" s="21" t="s">
        <v>14</v>
      </c>
    </row>
    <row r="54" spans="1:5" x14ac:dyDescent="0.3">
      <c r="A54" s="37" t="s">
        <v>259</v>
      </c>
      <c r="B54" s="30" t="s">
        <v>15</v>
      </c>
      <c r="C54" s="47">
        <f>C53+D53</f>
        <v>340</v>
      </c>
      <c r="D54" s="38">
        <f>500-C54+1</f>
        <v>161</v>
      </c>
      <c r="E54" s="28"/>
    </row>
    <row r="55" spans="1:5" x14ac:dyDescent="0.3">
      <c r="A55" s="74"/>
      <c r="B55" s="75"/>
      <c r="C55" s="75"/>
      <c r="D55" s="75"/>
      <c r="E55" s="76"/>
    </row>
    <row r="56" spans="1:5" x14ac:dyDescent="0.3">
      <c r="A56" s="3" t="s">
        <v>23</v>
      </c>
      <c r="B56" s="14" t="s">
        <v>260</v>
      </c>
      <c r="C56" s="42">
        <f>$C$40</f>
        <v>80</v>
      </c>
      <c r="D56" s="42">
        <v>0</v>
      </c>
      <c r="E56" s="18"/>
    </row>
    <row r="57" spans="1:5" x14ac:dyDescent="0.3">
      <c r="A57" s="4" t="s">
        <v>191</v>
      </c>
      <c r="B57" s="23"/>
      <c r="C57" s="47">
        <f>C56+D56</f>
        <v>80</v>
      </c>
      <c r="D57" s="47">
        <v>0</v>
      </c>
      <c r="E57" s="24"/>
    </row>
    <row r="58" spans="1:5" x14ac:dyDescent="0.3">
      <c r="A58" s="15" t="s">
        <v>164</v>
      </c>
      <c r="B58" s="33" t="s">
        <v>141</v>
      </c>
      <c r="C58" s="34">
        <f>C57+D57</f>
        <v>80</v>
      </c>
      <c r="D58" s="48">
        <v>40</v>
      </c>
      <c r="E58" s="20" t="s">
        <v>13</v>
      </c>
    </row>
    <row r="59" spans="1:5" x14ac:dyDescent="0.3">
      <c r="A59" s="7" t="s">
        <v>132</v>
      </c>
      <c r="B59" s="26" t="s">
        <v>66</v>
      </c>
      <c r="C59" s="34">
        <f>C58+D58</f>
        <v>120</v>
      </c>
      <c r="D59" s="34">
        <v>22</v>
      </c>
      <c r="E59" s="20" t="s">
        <v>13</v>
      </c>
    </row>
    <row r="60" spans="1:5" x14ac:dyDescent="0.3">
      <c r="A60" s="7" t="s">
        <v>133</v>
      </c>
      <c r="B60" s="26" t="s">
        <v>32</v>
      </c>
      <c r="C60" s="34">
        <f>C59+D59</f>
        <v>142</v>
      </c>
      <c r="D60" s="34">
        <v>1</v>
      </c>
      <c r="E60" s="85" t="s">
        <v>14</v>
      </c>
    </row>
    <row r="61" spans="1:5" x14ac:dyDescent="0.3">
      <c r="A61" s="7" t="s">
        <v>134</v>
      </c>
      <c r="B61" s="26" t="s">
        <v>16</v>
      </c>
      <c r="C61" s="62"/>
      <c r="D61" s="63"/>
      <c r="E61" s="86"/>
    </row>
    <row r="62" spans="1:5" x14ac:dyDescent="0.3">
      <c r="A62" s="7" t="s">
        <v>135</v>
      </c>
      <c r="B62" s="26" t="s">
        <v>17</v>
      </c>
      <c r="C62" s="64"/>
      <c r="D62" s="65"/>
      <c r="E62" s="87"/>
    </row>
    <row r="63" spans="1:5" x14ac:dyDescent="0.3">
      <c r="A63" s="4" t="s">
        <v>44</v>
      </c>
      <c r="B63" s="23"/>
      <c r="C63" s="47">
        <f>C60+D60</f>
        <v>143</v>
      </c>
      <c r="D63" s="47">
        <v>0</v>
      </c>
      <c r="E63" s="24"/>
    </row>
    <row r="64" spans="1:5" x14ac:dyDescent="0.3">
      <c r="A64" s="2" t="s">
        <v>65</v>
      </c>
      <c r="B64" s="26" t="s">
        <v>33</v>
      </c>
      <c r="C64" s="34">
        <f t="shared" ref="C64:C70" si="2">C63+D63</f>
        <v>143</v>
      </c>
      <c r="D64" s="34">
        <v>8</v>
      </c>
      <c r="E64" s="20" t="s">
        <v>13</v>
      </c>
    </row>
    <row r="65" spans="1:5" x14ac:dyDescent="0.3">
      <c r="A65" s="5" t="s">
        <v>45</v>
      </c>
      <c r="B65" s="26" t="s">
        <v>34</v>
      </c>
      <c r="C65" s="34">
        <f t="shared" si="2"/>
        <v>151</v>
      </c>
      <c r="D65" s="48">
        <v>40</v>
      </c>
      <c r="E65" s="20" t="s">
        <v>13</v>
      </c>
    </row>
    <row r="66" spans="1:5" x14ac:dyDescent="0.3">
      <c r="A66" s="5" t="s">
        <v>46</v>
      </c>
      <c r="B66" s="27" t="s">
        <v>272</v>
      </c>
      <c r="C66" s="34">
        <f t="shared" si="2"/>
        <v>191</v>
      </c>
      <c r="D66" s="48">
        <v>2</v>
      </c>
      <c r="E66" s="21" t="s">
        <v>14</v>
      </c>
    </row>
    <row r="67" spans="1:5" x14ac:dyDescent="0.3">
      <c r="A67" s="5" t="s">
        <v>47</v>
      </c>
      <c r="B67" s="26" t="s">
        <v>22</v>
      </c>
      <c r="C67" s="34">
        <f t="shared" si="2"/>
        <v>193</v>
      </c>
      <c r="D67" s="48">
        <v>8</v>
      </c>
      <c r="E67" s="21" t="s">
        <v>14</v>
      </c>
    </row>
    <row r="68" spans="1:5" x14ac:dyDescent="0.3">
      <c r="A68" s="5" t="s">
        <v>48</v>
      </c>
      <c r="B68" s="26" t="s">
        <v>19</v>
      </c>
      <c r="C68" s="34">
        <f t="shared" si="2"/>
        <v>201</v>
      </c>
      <c r="D68" s="48">
        <v>8</v>
      </c>
      <c r="E68" s="20" t="s">
        <v>13</v>
      </c>
    </row>
    <row r="69" spans="1:5" x14ac:dyDescent="0.3">
      <c r="A69" s="5" t="s">
        <v>49</v>
      </c>
      <c r="B69" s="26" t="s">
        <v>20</v>
      </c>
      <c r="C69" s="34">
        <f t="shared" si="2"/>
        <v>209</v>
      </c>
      <c r="D69" s="48">
        <v>8</v>
      </c>
      <c r="E69" s="20" t="s">
        <v>13</v>
      </c>
    </row>
    <row r="70" spans="1:5" x14ac:dyDescent="0.3">
      <c r="A70" s="11" t="s">
        <v>50</v>
      </c>
      <c r="B70" s="26" t="s">
        <v>21</v>
      </c>
      <c r="C70" s="34">
        <f t="shared" si="2"/>
        <v>217</v>
      </c>
      <c r="D70" s="48">
        <v>1</v>
      </c>
      <c r="E70" s="82" t="s">
        <v>13</v>
      </c>
    </row>
    <row r="71" spans="1:5" x14ac:dyDescent="0.3">
      <c r="A71" s="7" t="s">
        <v>51</v>
      </c>
      <c r="B71" s="26" t="s">
        <v>36</v>
      </c>
      <c r="C71" s="62"/>
      <c r="D71" s="63"/>
      <c r="E71" s="83"/>
    </row>
    <row r="72" spans="1:5" x14ac:dyDescent="0.3">
      <c r="A72" s="7" t="s">
        <v>52</v>
      </c>
      <c r="B72" s="26" t="s">
        <v>37</v>
      </c>
      <c r="C72" s="66"/>
      <c r="D72" s="67"/>
      <c r="E72" s="83"/>
    </row>
    <row r="73" spans="1:5" x14ac:dyDescent="0.3">
      <c r="A73" s="7" t="s">
        <v>53</v>
      </c>
      <c r="B73" s="26" t="s">
        <v>38</v>
      </c>
      <c r="C73" s="66"/>
      <c r="D73" s="67"/>
      <c r="E73" s="83"/>
    </row>
    <row r="74" spans="1:5" x14ac:dyDescent="0.3">
      <c r="A74" s="7" t="s">
        <v>54</v>
      </c>
      <c r="B74" s="26" t="s">
        <v>39</v>
      </c>
      <c r="C74" s="66"/>
      <c r="D74" s="67"/>
      <c r="E74" s="83"/>
    </row>
    <row r="75" spans="1:5" x14ac:dyDescent="0.3">
      <c r="A75" s="7" t="s">
        <v>55</v>
      </c>
      <c r="B75" s="26" t="s">
        <v>40</v>
      </c>
      <c r="C75" s="64"/>
      <c r="D75" s="65"/>
      <c r="E75" s="84"/>
    </row>
    <row r="76" spans="1:5" x14ac:dyDescent="0.3">
      <c r="A76" s="11" t="s">
        <v>56</v>
      </c>
      <c r="B76" s="26" t="s">
        <v>35</v>
      </c>
      <c r="C76" s="34">
        <f>C70+D70</f>
        <v>218</v>
      </c>
      <c r="D76" s="48">
        <v>1</v>
      </c>
      <c r="E76" s="82" t="s">
        <v>13</v>
      </c>
    </row>
    <row r="77" spans="1:5" x14ac:dyDescent="0.3">
      <c r="A77" s="7" t="s">
        <v>57</v>
      </c>
      <c r="B77" s="26" t="s">
        <v>41</v>
      </c>
      <c r="C77" s="62"/>
      <c r="D77" s="63"/>
      <c r="E77" s="83"/>
    </row>
    <row r="78" spans="1:5" x14ac:dyDescent="0.3">
      <c r="A78" s="7" t="s">
        <v>58</v>
      </c>
      <c r="B78" s="26" t="s">
        <v>42</v>
      </c>
      <c r="C78" s="66"/>
      <c r="D78" s="67"/>
      <c r="E78" s="83"/>
    </row>
    <row r="79" spans="1:5" x14ac:dyDescent="0.3">
      <c r="A79" s="7" t="s">
        <v>59</v>
      </c>
      <c r="B79" s="26" t="s">
        <v>43</v>
      </c>
      <c r="C79" s="64"/>
      <c r="D79" s="65"/>
      <c r="E79" s="84"/>
    </row>
    <row r="80" spans="1:5" x14ac:dyDescent="0.3">
      <c r="A80" s="4" t="s">
        <v>136</v>
      </c>
      <c r="B80" s="23"/>
      <c r="C80" s="47">
        <f>C76+D76</f>
        <v>219</v>
      </c>
      <c r="D80" s="47">
        <v>0</v>
      </c>
      <c r="E80" s="24"/>
    </row>
    <row r="81" spans="1:5" x14ac:dyDescent="0.3">
      <c r="A81" s="5" t="s">
        <v>137</v>
      </c>
      <c r="B81" s="33" t="s">
        <v>91</v>
      </c>
      <c r="C81" s="34">
        <f t="shared" ref="C81:C92" si="3">C80+D80</f>
        <v>219</v>
      </c>
      <c r="D81" s="48">
        <v>15</v>
      </c>
      <c r="E81" s="20" t="s">
        <v>13</v>
      </c>
    </row>
    <row r="82" spans="1:5" x14ac:dyDescent="0.3">
      <c r="A82" s="5" t="s">
        <v>138</v>
      </c>
      <c r="B82" s="26" t="s">
        <v>92</v>
      </c>
      <c r="C82" s="34">
        <f t="shared" si="3"/>
        <v>234</v>
      </c>
      <c r="D82" s="34">
        <v>15</v>
      </c>
      <c r="E82" s="20" t="s">
        <v>13</v>
      </c>
    </row>
    <row r="83" spans="1:5" x14ac:dyDescent="0.3">
      <c r="A83" s="5" t="s">
        <v>139</v>
      </c>
      <c r="B83" s="33" t="s">
        <v>90</v>
      </c>
      <c r="C83" s="34">
        <f t="shared" si="3"/>
        <v>249</v>
      </c>
      <c r="D83" s="48">
        <v>15</v>
      </c>
      <c r="E83" s="20" t="s">
        <v>13</v>
      </c>
    </row>
    <row r="84" spans="1:5" x14ac:dyDescent="0.3">
      <c r="A84" s="15" t="s">
        <v>142</v>
      </c>
      <c r="B84" s="33" t="s">
        <v>145</v>
      </c>
      <c r="C84" s="34">
        <f t="shared" si="3"/>
        <v>264</v>
      </c>
      <c r="D84" s="48">
        <v>15</v>
      </c>
      <c r="E84" s="19" t="s">
        <v>111</v>
      </c>
    </row>
    <row r="85" spans="1:5" x14ac:dyDescent="0.3">
      <c r="A85" s="15" t="s">
        <v>143</v>
      </c>
      <c r="B85" s="26" t="s">
        <v>146</v>
      </c>
      <c r="C85" s="34">
        <f t="shared" si="3"/>
        <v>279</v>
      </c>
      <c r="D85" s="34">
        <v>15</v>
      </c>
      <c r="E85" s="19" t="s">
        <v>111</v>
      </c>
    </row>
    <row r="86" spans="1:5" x14ac:dyDescent="0.3">
      <c r="A86" s="15" t="s">
        <v>144</v>
      </c>
      <c r="B86" s="33" t="s">
        <v>147</v>
      </c>
      <c r="C86" s="34">
        <f t="shared" si="3"/>
        <v>294</v>
      </c>
      <c r="D86" s="48">
        <v>15</v>
      </c>
      <c r="E86" s="19" t="s">
        <v>111</v>
      </c>
    </row>
    <row r="87" spans="1:5" x14ac:dyDescent="0.3">
      <c r="A87" s="15" t="s">
        <v>148</v>
      </c>
      <c r="B87" s="33" t="s">
        <v>151</v>
      </c>
      <c r="C87" s="34">
        <f t="shared" si="3"/>
        <v>309</v>
      </c>
      <c r="D87" s="48">
        <v>15</v>
      </c>
      <c r="E87" s="19" t="s">
        <v>111</v>
      </c>
    </row>
    <row r="88" spans="1:5" x14ac:dyDescent="0.3">
      <c r="A88" s="15" t="s">
        <v>149</v>
      </c>
      <c r="B88" s="26" t="s">
        <v>152</v>
      </c>
      <c r="C88" s="34">
        <f t="shared" si="3"/>
        <v>324</v>
      </c>
      <c r="D88" s="34">
        <v>15</v>
      </c>
      <c r="E88" s="19" t="s">
        <v>111</v>
      </c>
    </row>
    <row r="89" spans="1:5" x14ac:dyDescent="0.3">
      <c r="A89" s="15" t="s">
        <v>150</v>
      </c>
      <c r="B89" s="33" t="s">
        <v>153</v>
      </c>
      <c r="C89" s="34">
        <f t="shared" si="3"/>
        <v>339</v>
      </c>
      <c r="D89" s="48">
        <v>15</v>
      </c>
      <c r="E89" s="19" t="s">
        <v>111</v>
      </c>
    </row>
    <row r="90" spans="1:5" x14ac:dyDescent="0.3">
      <c r="A90" s="15" t="s">
        <v>154</v>
      </c>
      <c r="B90" s="33" t="s">
        <v>157</v>
      </c>
      <c r="C90" s="34">
        <f t="shared" si="3"/>
        <v>354</v>
      </c>
      <c r="D90" s="48">
        <v>15</v>
      </c>
      <c r="E90" s="19" t="s">
        <v>111</v>
      </c>
    </row>
    <row r="91" spans="1:5" x14ac:dyDescent="0.3">
      <c r="A91" s="15" t="s">
        <v>155</v>
      </c>
      <c r="B91" s="26" t="s">
        <v>158</v>
      </c>
      <c r="C91" s="34">
        <f t="shared" si="3"/>
        <v>369</v>
      </c>
      <c r="D91" s="34">
        <v>15</v>
      </c>
      <c r="E91" s="19" t="s">
        <v>111</v>
      </c>
    </row>
    <row r="92" spans="1:5" x14ac:dyDescent="0.3">
      <c r="A92" s="15" t="s">
        <v>156</v>
      </c>
      <c r="B92" s="33" t="s">
        <v>159</v>
      </c>
      <c r="C92" s="34">
        <f t="shared" si="3"/>
        <v>384</v>
      </c>
      <c r="D92" s="48">
        <v>15</v>
      </c>
      <c r="E92" s="19" t="s">
        <v>111</v>
      </c>
    </row>
    <row r="93" spans="1:5" x14ac:dyDescent="0.3">
      <c r="A93" s="37" t="s">
        <v>273</v>
      </c>
      <c r="B93" s="30" t="s">
        <v>15</v>
      </c>
      <c r="C93" s="47">
        <f>C92+D92</f>
        <v>399</v>
      </c>
      <c r="D93" s="38">
        <f>500-C93+1</f>
        <v>102</v>
      </c>
      <c r="E93" s="28"/>
    </row>
    <row r="94" spans="1:5" x14ac:dyDescent="0.3">
      <c r="A94" s="74"/>
      <c r="B94" s="75"/>
      <c r="C94" s="75"/>
      <c r="D94" s="75"/>
      <c r="E94" s="76"/>
    </row>
    <row r="95" spans="1:5" x14ac:dyDescent="0.3">
      <c r="A95" s="3" t="s">
        <v>23</v>
      </c>
      <c r="B95" s="12" t="s">
        <v>276</v>
      </c>
      <c r="C95" s="42">
        <f>$C$40</f>
        <v>80</v>
      </c>
      <c r="D95" s="42">
        <v>0</v>
      </c>
      <c r="E95" s="18"/>
    </row>
    <row r="96" spans="1:5" x14ac:dyDescent="0.3">
      <c r="A96" s="4" t="s">
        <v>192</v>
      </c>
      <c r="B96" s="30"/>
      <c r="C96" s="39">
        <f>C95+D95</f>
        <v>80</v>
      </c>
      <c r="D96" s="38">
        <v>0</v>
      </c>
      <c r="E96" s="28"/>
    </row>
    <row r="97" spans="1:5" x14ac:dyDescent="0.3">
      <c r="A97" s="6" t="s">
        <v>70</v>
      </c>
      <c r="B97" s="26" t="s">
        <v>69</v>
      </c>
      <c r="C97" s="36">
        <f>C96+D96</f>
        <v>80</v>
      </c>
      <c r="D97" s="34">
        <v>20</v>
      </c>
      <c r="E97" s="21" t="s">
        <v>14</v>
      </c>
    </row>
    <row r="98" spans="1:5" x14ac:dyDescent="0.3">
      <c r="A98" s="6" t="s">
        <v>71</v>
      </c>
      <c r="B98" s="26" t="s">
        <v>73</v>
      </c>
      <c r="C98" s="36">
        <f t="shared" ref="C98:C100" si="4">C97+D97</f>
        <v>100</v>
      </c>
      <c r="D98" s="34">
        <v>40</v>
      </c>
      <c r="E98" s="21" t="s">
        <v>14</v>
      </c>
    </row>
    <row r="99" spans="1:5" x14ac:dyDescent="0.3">
      <c r="A99" s="6" t="s">
        <v>72</v>
      </c>
      <c r="B99" s="26" t="s">
        <v>74</v>
      </c>
      <c r="C99" s="36">
        <f t="shared" si="4"/>
        <v>140</v>
      </c>
      <c r="D99" s="34">
        <v>40</v>
      </c>
      <c r="E99" s="21" t="s">
        <v>14</v>
      </c>
    </row>
    <row r="100" spans="1:5" x14ac:dyDescent="0.3">
      <c r="A100" s="6" t="s">
        <v>94</v>
      </c>
      <c r="B100" s="26" t="s">
        <v>60</v>
      </c>
      <c r="C100" s="36">
        <f t="shared" si="4"/>
        <v>180</v>
      </c>
      <c r="D100" s="34">
        <v>15</v>
      </c>
      <c r="E100" s="21" t="s">
        <v>14</v>
      </c>
    </row>
    <row r="101" spans="1:5" x14ac:dyDescent="0.3">
      <c r="A101" s="37" t="s">
        <v>275</v>
      </c>
      <c r="B101" s="30" t="s">
        <v>15</v>
      </c>
      <c r="C101" s="39">
        <f>C100+D100</f>
        <v>195</v>
      </c>
      <c r="D101" s="38">
        <f>500-C101+1</f>
        <v>306</v>
      </c>
      <c r="E101" s="28"/>
    </row>
    <row r="102" spans="1:5" x14ac:dyDescent="0.3">
      <c r="A102" s="74"/>
      <c r="B102" s="75"/>
      <c r="C102" s="75"/>
      <c r="D102" s="75"/>
      <c r="E102" s="76"/>
    </row>
    <row r="103" spans="1:5" x14ac:dyDescent="0.3">
      <c r="A103" s="3" t="s">
        <v>23</v>
      </c>
      <c r="B103" s="12" t="s">
        <v>278</v>
      </c>
      <c r="C103" s="42">
        <f>$C$40</f>
        <v>80</v>
      </c>
      <c r="D103" s="42">
        <v>0</v>
      </c>
      <c r="E103" s="18"/>
    </row>
    <row r="104" spans="1:5" x14ac:dyDescent="0.3">
      <c r="A104" s="4" t="s">
        <v>95</v>
      </c>
      <c r="B104" s="30"/>
      <c r="C104" s="39">
        <f>C103+D103</f>
        <v>80</v>
      </c>
      <c r="D104" s="38">
        <v>0</v>
      </c>
      <c r="E104" s="28"/>
    </row>
    <row r="105" spans="1:5" x14ac:dyDescent="0.3">
      <c r="A105" s="6" t="s">
        <v>100</v>
      </c>
      <c r="B105" s="26" t="s">
        <v>34</v>
      </c>
      <c r="C105" s="36">
        <f>C104+D104</f>
        <v>80</v>
      </c>
      <c r="D105" s="34">
        <v>60</v>
      </c>
      <c r="E105" s="21" t="s">
        <v>14</v>
      </c>
    </row>
    <row r="106" spans="1:5" x14ac:dyDescent="0.3">
      <c r="A106" s="37" t="s">
        <v>277</v>
      </c>
      <c r="B106" s="30" t="s">
        <v>15</v>
      </c>
      <c r="C106" s="39">
        <f>C105+D105</f>
        <v>140</v>
      </c>
      <c r="D106" s="38">
        <f>500-C106+1</f>
        <v>361</v>
      </c>
      <c r="E106" s="28"/>
    </row>
    <row r="107" spans="1:5" x14ac:dyDescent="0.3">
      <c r="A107" s="74"/>
      <c r="B107" s="75"/>
      <c r="C107" s="75"/>
      <c r="D107" s="75"/>
      <c r="E107" s="76"/>
    </row>
    <row r="108" spans="1:5" x14ac:dyDescent="0.3">
      <c r="A108" s="3" t="s">
        <v>23</v>
      </c>
      <c r="B108" s="12" t="s">
        <v>287</v>
      </c>
      <c r="C108" s="42">
        <f>$C$40</f>
        <v>80</v>
      </c>
      <c r="D108" s="42">
        <v>0</v>
      </c>
      <c r="E108" s="18"/>
    </row>
    <row r="109" spans="1:5" x14ac:dyDescent="0.3">
      <c r="A109" s="4" t="s">
        <v>279</v>
      </c>
      <c r="B109" s="30"/>
      <c r="C109" s="39">
        <f>C108+D108</f>
        <v>80</v>
      </c>
      <c r="D109" s="38">
        <v>0</v>
      </c>
      <c r="E109" s="28"/>
    </row>
    <row r="110" spans="1:5" x14ac:dyDescent="0.3">
      <c r="A110" s="6" t="s">
        <v>101</v>
      </c>
      <c r="B110" s="26" t="s">
        <v>34</v>
      </c>
      <c r="C110" s="36">
        <f>C109+D109</f>
        <v>80</v>
      </c>
      <c r="D110" s="34">
        <v>60</v>
      </c>
      <c r="E110" s="21" t="s">
        <v>14</v>
      </c>
    </row>
    <row r="111" spans="1:5" x14ac:dyDescent="0.3">
      <c r="A111" s="6" t="s">
        <v>75</v>
      </c>
      <c r="B111" s="26" t="s">
        <v>77</v>
      </c>
      <c r="C111" s="36">
        <f t="shared" ref="C111:C115" si="5">C110+D110</f>
        <v>140</v>
      </c>
      <c r="D111" s="34">
        <v>16</v>
      </c>
      <c r="E111" s="21" t="s">
        <v>14</v>
      </c>
    </row>
    <row r="112" spans="1:5" x14ac:dyDescent="0.3">
      <c r="A112" s="6" t="s">
        <v>97</v>
      </c>
      <c r="B112" s="26" t="s">
        <v>78</v>
      </c>
      <c r="C112" s="36">
        <f t="shared" si="5"/>
        <v>156</v>
      </c>
      <c r="D112" s="34">
        <v>40</v>
      </c>
      <c r="E112" s="21" t="s">
        <v>14</v>
      </c>
    </row>
    <row r="113" spans="1:5" x14ac:dyDescent="0.3">
      <c r="A113" s="16" t="s">
        <v>160</v>
      </c>
      <c r="B113" s="26" t="s">
        <v>79</v>
      </c>
      <c r="C113" s="36">
        <f t="shared" si="5"/>
        <v>196</v>
      </c>
      <c r="D113" s="34">
        <v>60</v>
      </c>
      <c r="E113" s="21" t="s">
        <v>14</v>
      </c>
    </row>
    <row r="114" spans="1:5" x14ac:dyDescent="0.3">
      <c r="A114" s="6" t="s">
        <v>76</v>
      </c>
      <c r="B114" s="26" t="s">
        <v>80</v>
      </c>
      <c r="C114" s="36">
        <f t="shared" si="5"/>
        <v>256</v>
      </c>
      <c r="D114" s="34">
        <v>30</v>
      </c>
      <c r="E114" s="21" t="s">
        <v>14</v>
      </c>
    </row>
    <row r="115" spans="1:5" x14ac:dyDescent="0.3">
      <c r="A115" s="6" t="s">
        <v>96</v>
      </c>
      <c r="B115" s="26" t="s">
        <v>81</v>
      </c>
      <c r="C115" s="36">
        <f t="shared" si="5"/>
        <v>286</v>
      </c>
      <c r="D115" s="34">
        <v>50</v>
      </c>
      <c r="E115" s="21" t="s">
        <v>14</v>
      </c>
    </row>
    <row r="116" spans="1:5" x14ac:dyDescent="0.3">
      <c r="A116" s="37" t="s">
        <v>280</v>
      </c>
      <c r="B116" s="30" t="s">
        <v>15</v>
      </c>
      <c r="C116" s="39">
        <f>C115+D115</f>
        <v>336</v>
      </c>
      <c r="D116" s="38">
        <f>500-C116+1</f>
        <v>165</v>
      </c>
      <c r="E116" s="28"/>
    </row>
    <row r="117" spans="1:5" x14ac:dyDescent="0.3">
      <c r="A117" s="74"/>
      <c r="B117" s="75"/>
      <c r="C117" s="75"/>
      <c r="D117" s="75"/>
      <c r="E117" s="76"/>
    </row>
    <row r="118" spans="1:5" x14ac:dyDescent="0.3">
      <c r="A118" s="3" t="s">
        <v>23</v>
      </c>
      <c r="B118" s="12" t="s">
        <v>288</v>
      </c>
      <c r="C118" s="42">
        <f>$C$40</f>
        <v>80</v>
      </c>
      <c r="D118" s="42">
        <v>0</v>
      </c>
      <c r="E118" s="18"/>
    </row>
    <row r="119" spans="1:5" x14ac:dyDescent="0.3">
      <c r="A119" s="4" t="s">
        <v>281</v>
      </c>
      <c r="B119" s="30"/>
      <c r="C119" s="39">
        <f>C118+D118</f>
        <v>80</v>
      </c>
      <c r="D119" s="38">
        <v>0</v>
      </c>
      <c r="E119" s="28"/>
    </row>
    <row r="120" spans="1:5" x14ac:dyDescent="0.3">
      <c r="A120" s="6" t="s">
        <v>103</v>
      </c>
      <c r="B120" s="26" t="s">
        <v>82</v>
      </c>
      <c r="C120" s="36">
        <f>C119+D119</f>
        <v>80</v>
      </c>
      <c r="D120" s="34">
        <v>200</v>
      </c>
      <c r="E120" s="21" t="s">
        <v>14</v>
      </c>
    </row>
    <row r="121" spans="1:5" x14ac:dyDescent="0.3">
      <c r="A121" s="6" t="s">
        <v>104</v>
      </c>
      <c r="B121" s="26" t="s">
        <v>89</v>
      </c>
      <c r="C121" s="36">
        <f>C120+D120</f>
        <v>280</v>
      </c>
      <c r="D121" s="34">
        <v>5</v>
      </c>
      <c r="E121" s="21" t="s">
        <v>14</v>
      </c>
    </row>
    <row r="122" spans="1:5" x14ac:dyDescent="0.3">
      <c r="A122" s="37" t="s">
        <v>282</v>
      </c>
      <c r="B122" s="30" t="s">
        <v>15</v>
      </c>
      <c r="C122" s="39">
        <f>C121+D121</f>
        <v>285</v>
      </c>
      <c r="D122" s="38">
        <f>500-C122+1</f>
        <v>216</v>
      </c>
      <c r="E122" s="28"/>
    </row>
    <row r="123" spans="1:5" x14ac:dyDescent="0.3">
      <c r="A123" s="74"/>
      <c r="B123" s="75"/>
      <c r="C123" s="75"/>
      <c r="D123" s="75"/>
      <c r="E123" s="76"/>
    </row>
    <row r="124" spans="1:5" x14ac:dyDescent="0.3">
      <c r="A124" s="3" t="s">
        <v>23</v>
      </c>
      <c r="B124" s="12" t="s">
        <v>290</v>
      </c>
      <c r="C124" s="42">
        <f>$C$40</f>
        <v>80</v>
      </c>
      <c r="D124" s="42">
        <v>0</v>
      </c>
      <c r="E124" s="18"/>
    </row>
    <row r="125" spans="1:5" x14ac:dyDescent="0.3">
      <c r="A125" s="4" t="s">
        <v>83</v>
      </c>
      <c r="B125" s="30"/>
      <c r="C125" s="39">
        <f>C124+D124</f>
        <v>80</v>
      </c>
      <c r="D125" s="38">
        <v>0</v>
      </c>
      <c r="E125" s="28"/>
    </row>
    <row r="126" spans="1:5" x14ac:dyDescent="0.3">
      <c r="A126" s="16" t="s">
        <v>169</v>
      </c>
      <c r="B126" s="35" t="s">
        <v>86</v>
      </c>
      <c r="C126" s="36">
        <f>C125+D125</f>
        <v>80</v>
      </c>
      <c r="D126" s="34">
        <v>40</v>
      </c>
      <c r="E126" s="21" t="s">
        <v>14</v>
      </c>
    </row>
    <row r="127" spans="1:5" x14ac:dyDescent="0.3">
      <c r="A127" s="16" t="s">
        <v>84</v>
      </c>
      <c r="B127" s="35" t="s">
        <v>93</v>
      </c>
      <c r="C127" s="36">
        <f t="shared" ref="C127:C129" si="6">C126+D126</f>
        <v>120</v>
      </c>
      <c r="D127" s="34">
        <v>20</v>
      </c>
      <c r="E127" s="21" t="s">
        <v>14</v>
      </c>
    </row>
    <row r="128" spans="1:5" x14ac:dyDescent="0.3">
      <c r="A128" s="16" t="s">
        <v>85</v>
      </c>
      <c r="B128" s="35" t="s">
        <v>87</v>
      </c>
      <c r="C128" s="36">
        <f t="shared" si="6"/>
        <v>140</v>
      </c>
      <c r="D128" s="34">
        <v>15</v>
      </c>
      <c r="E128" s="21" t="s">
        <v>14</v>
      </c>
    </row>
    <row r="129" spans="1:5" x14ac:dyDescent="0.3">
      <c r="A129" s="16" t="s">
        <v>168</v>
      </c>
      <c r="B129" s="35" t="s">
        <v>88</v>
      </c>
      <c r="C129" s="36">
        <f t="shared" si="6"/>
        <v>155</v>
      </c>
      <c r="D129" s="34">
        <v>75</v>
      </c>
      <c r="E129" s="21" t="s">
        <v>14</v>
      </c>
    </row>
    <row r="130" spans="1:5" x14ac:dyDescent="0.3">
      <c r="A130" s="37" t="s">
        <v>289</v>
      </c>
      <c r="B130" s="38" t="s">
        <v>15</v>
      </c>
      <c r="C130" s="39">
        <f>C129+D129</f>
        <v>230</v>
      </c>
      <c r="D130" s="38">
        <f>500-C130+1</f>
        <v>271</v>
      </c>
      <c r="E130" s="28"/>
    </row>
    <row r="131" spans="1:5" x14ac:dyDescent="0.3">
      <c r="A131" s="74"/>
      <c r="B131" s="75"/>
      <c r="C131" s="75"/>
      <c r="D131" s="75"/>
      <c r="E131" s="76"/>
    </row>
    <row r="132" spans="1:5" x14ac:dyDescent="0.3">
      <c r="A132" s="41" t="s">
        <v>23</v>
      </c>
      <c r="B132" s="12" t="s">
        <v>291</v>
      </c>
      <c r="C132" s="42">
        <f>$C$40</f>
        <v>80</v>
      </c>
      <c r="D132" s="42">
        <v>0</v>
      </c>
      <c r="E132" s="18"/>
    </row>
    <row r="133" spans="1:5" x14ac:dyDescent="0.3">
      <c r="A133" s="37" t="s">
        <v>166</v>
      </c>
      <c r="B133" s="38"/>
      <c r="C133" s="39">
        <f>C132+D132</f>
        <v>80</v>
      </c>
      <c r="D133" s="38">
        <v>0</v>
      </c>
      <c r="E133" s="28"/>
    </row>
    <row r="134" spans="1:5" x14ac:dyDescent="0.3">
      <c r="A134" s="16" t="s">
        <v>167</v>
      </c>
      <c r="B134" s="34" t="s">
        <v>215</v>
      </c>
      <c r="C134" s="36">
        <f>C133+D133</f>
        <v>80</v>
      </c>
      <c r="D134" s="34">
        <v>60</v>
      </c>
      <c r="E134" s="21" t="s">
        <v>14</v>
      </c>
    </row>
    <row r="135" spans="1:5" x14ac:dyDescent="0.3">
      <c r="A135" s="16" t="s">
        <v>247</v>
      </c>
      <c r="B135" s="34" t="s">
        <v>222</v>
      </c>
      <c r="C135" s="36">
        <f>C134+D134</f>
        <v>140</v>
      </c>
      <c r="D135" s="34">
        <v>15</v>
      </c>
      <c r="E135" s="21" t="s">
        <v>14</v>
      </c>
    </row>
    <row r="136" spans="1:5" x14ac:dyDescent="0.3">
      <c r="A136" s="37" t="s">
        <v>292</v>
      </c>
      <c r="B136" s="38" t="s">
        <v>15</v>
      </c>
      <c r="C136" s="39">
        <f>C135+D135</f>
        <v>155</v>
      </c>
      <c r="D136" s="38">
        <f>500-C136+1</f>
        <v>346</v>
      </c>
      <c r="E136" s="28"/>
    </row>
    <row r="137" spans="1:5" x14ac:dyDescent="0.3">
      <c r="A137" s="74"/>
      <c r="B137" s="75"/>
      <c r="C137" s="75"/>
      <c r="D137" s="75"/>
      <c r="E137" s="76"/>
    </row>
    <row r="138" spans="1:5" x14ac:dyDescent="0.3">
      <c r="A138" s="3" t="s">
        <v>23</v>
      </c>
      <c r="B138" s="12" t="s">
        <v>293</v>
      </c>
      <c r="C138" s="42">
        <f>$C$40</f>
        <v>80</v>
      </c>
      <c r="D138" s="42">
        <v>0</v>
      </c>
      <c r="E138" s="18"/>
    </row>
    <row r="139" spans="1:5" x14ac:dyDescent="0.3">
      <c r="A139" s="4" t="s">
        <v>67</v>
      </c>
      <c r="B139" s="30"/>
      <c r="C139" s="39">
        <f>C138+D138</f>
        <v>80</v>
      </c>
      <c r="D139" s="38">
        <v>0</v>
      </c>
      <c r="E139" s="28"/>
    </row>
    <row r="140" spans="1:5" x14ac:dyDescent="0.3">
      <c r="A140" s="16" t="s">
        <v>193</v>
      </c>
      <c r="B140" s="34" t="s">
        <v>195</v>
      </c>
      <c r="C140" s="36">
        <f>C139+D139</f>
        <v>80</v>
      </c>
      <c r="D140" s="34">
        <v>3</v>
      </c>
      <c r="E140" s="77" t="s">
        <v>14</v>
      </c>
    </row>
    <row r="141" spans="1:5" x14ac:dyDescent="0.3">
      <c r="A141" s="43" t="s">
        <v>194</v>
      </c>
      <c r="B141" s="35" t="s">
        <v>198</v>
      </c>
      <c r="C141" s="68"/>
      <c r="D141" s="69"/>
      <c r="E141" s="78"/>
    </row>
    <row r="142" spans="1:5" x14ac:dyDescent="0.3">
      <c r="A142" s="43" t="s">
        <v>196</v>
      </c>
      <c r="B142" s="35" t="s">
        <v>197</v>
      </c>
      <c r="C142" s="70"/>
      <c r="D142" s="71"/>
      <c r="E142" s="78"/>
    </row>
    <row r="143" spans="1:5" x14ac:dyDescent="0.3">
      <c r="A143" s="43" t="s">
        <v>199</v>
      </c>
      <c r="B143" s="35" t="s">
        <v>200</v>
      </c>
      <c r="C143" s="72"/>
      <c r="D143" s="73"/>
      <c r="E143" s="79"/>
    </row>
    <row r="144" spans="1:5" x14ac:dyDescent="0.3">
      <c r="A144" s="16" t="s">
        <v>228</v>
      </c>
      <c r="B144" s="34" t="s">
        <v>229</v>
      </c>
      <c r="C144" s="36">
        <f>C140+D140</f>
        <v>83</v>
      </c>
      <c r="D144" s="34">
        <v>5</v>
      </c>
      <c r="E144" s="21" t="s">
        <v>14</v>
      </c>
    </row>
    <row r="145" spans="1:5" x14ac:dyDescent="0.3">
      <c r="A145" s="6" t="s">
        <v>102</v>
      </c>
      <c r="B145" s="25" t="s">
        <v>63</v>
      </c>
      <c r="C145" s="36">
        <f>C144+D144</f>
        <v>88</v>
      </c>
      <c r="D145" s="34">
        <v>60</v>
      </c>
      <c r="E145" s="21" t="s">
        <v>14</v>
      </c>
    </row>
    <row r="146" spans="1:5" x14ac:dyDescent="0.3">
      <c r="A146" s="16" t="s">
        <v>201</v>
      </c>
      <c r="B146" s="34" t="s">
        <v>202</v>
      </c>
      <c r="C146" s="36">
        <f>C145+D145</f>
        <v>148</v>
      </c>
      <c r="D146" s="34">
        <v>2</v>
      </c>
      <c r="E146" s="77" t="s">
        <v>14</v>
      </c>
    </row>
    <row r="147" spans="1:5" x14ac:dyDescent="0.3">
      <c r="A147" s="43" t="s">
        <v>216</v>
      </c>
      <c r="B147" s="35" t="s">
        <v>217</v>
      </c>
      <c r="C147" s="68"/>
      <c r="D147" s="69"/>
      <c r="E147" s="78"/>
    </row>
    <row r="148" spans="1:5" x14ac:dyDescent="0.3">
      <c r="A148" s="43" t="s">
        <v>203</v>
      </c>
      <c r="B148" s="35" t="s">
        <v>205</v>
      </c>
      <c r="C148" s="70"/>
      <c r="D148" s="71"/>
      <c r="E148" s="78"/>
    </row>
    <row r="149" spans="1:5" x14ac:dyDescent="0.3">
      <c r="A149" s="43" t="s">
        <v>204</v>
      </c>
      <c r="B149" s="35" t="s">
        <v>206</v>
      </c>
      <c r="C149" s="72"/>
      <c r="D149" s="73"/>
      <c r="E149" s="79"/>
    </row>
    <row r="150" spans="1:5" x14ac:dyDescent="0.3">
      <c r="A150" s="6" t="s">
        <v>140</v>
      </c>
      <c r="B150" s="25"/>
      <c r="C150" s="36">
        <f>C146+D146</f>
        <v>150</v>
      </c>
      <c r="D150" s="34">
        <v>0</v>
      </c>
      <c r="E150" s="24"/>
    </row>
    <row r="151" spans="1:5" x14ac:dyDescent="0.3">
      <c r="A151" s="16" t="s">
        <v>224</v>
      </c>
      <c r="B151" s="34" t="s">
        <v>237</v>
      </c>
      <c r="C151" s="36">
        <f>C150+D150</f>
        <v>150</v>
      </c>
      <c r="D151" s="34">
        <v>2</v>
      </c>
      <c r="E151" s="21" t="s">
        <v>14</v>
      </c>
    </row>
    <row r="152" spans="1:5" x14ac:dyDescent="0.3">
      <c r="A152" s="16" t="s">
        <v>226</v>
      </c>
      <c r="B152" s="34" t="s">
        <v>238</v>
      </c>
      <c r="C152" s="36">
        <f t="shared" ref="C152:C162" si="7">C151+D151</f>
        <v>152</v>
      </c>
      <c r="D152" s="34">
        <v>15</v>
      </c>
      <c r="E152" s="21" t="s">
        <v>14</v>
      </c>
    </row>
    <row r="153" spans="1:5" x14ac:dyDescent="0.3">
      <c r="A153" s="16" t="s">
        <v>227</v>
      </c>
      <c r="B153" s="34" t="s">
        <v>239</v>
      </c>
      <c r="C153" s="36">
        <f t="shared" si="7"/>
        <v>167</v>
      </c>
      <c r="D153" s="34">
        <v>15</v>
      </c>
      <c r="E153" s="21" t="s">
        <v>14</v>
      </c>
    </row>
    <row r="154" spans="1:5" x14ac:dyDescent="0.3">
      <c r="A154" s="16" t="s">
        <v>230</v>
      </c>
      <c r="B154" s="34" t="s">
        <v>240</v>
      </c>
      <c r="C154" s="36">
        <f t="shared" si="7"/>
        <v>182</v>
      </c>
      <c r="D154" s="34">
        <v>5</v>
      </c>
      <c r="E154" s="21" t="s">
        <v>14</v>
      </c>
    </row>
    <row r="155" spans="1:5" x14ac:dyDescent="0.3">
      <c r="A155" s="16" t="s">
        <v>225</v>
      </c>
      <c r="B155" s="34" t="s">
        <v>241</v>
      </c>
      <c r="C155" s="36">
        <f t="shared" si="7"/>
        <v>187</v>
      </c>
      <c r="D155" s="34">
        <v>3</v>
      </c>
      <c r="E155" s="21" t="s">
        <v>14</v>
      </c>
    </row>
    <row r="156" spans="1:5" x14ac:dyDescent="0.3">
      <c r="A156" s="16" t="s">
        <v>231</v>
      </c>
      <c r="B156" s="34" t="s">
        <v>242</v>
      </c>
      <c r="C156" s="36">
        <f t="shared" si="7"/>
        <v>190</v>
      </c>
      <c r="D156" s="34">
        <v>2</v>
      </c>
      <c r="E156" s="21" t="s">
        <v>14</v>
      </c>
    </row>
    <row r="157" spans="1:5" x14ac:dyDescent="0.3">
      <c r="A157" s="16" t="s">
        <v>232</v>
      </c>
      <c r="B157" s="34" t="s">
        <v>243</v>
      </c>
      <c r="C157" s="36">
        <f t="shared" si="7"/>
        <v>192</v>
      </c>
      <c r="D157" s="34">
        <v>15</v>
      </c>
      <c r="E157" s="21" t="s">
        <v>14</v>
      </c>
    </row>
    <row r="158" spans="1:5" x14ac:dyDescent="0.3">
      <c r="A158" s="16" t="s">
        <v>233</v>
      </c>
      <c r="B158" s="34" t="s">
        <v>244</v>
      </c>
      <c r="C158" s="36">
        <f t="shared" si="7"/>
        <v>207</v>
      </c>
      <c r="D158" s="34">
        <v>2</v>
      </c>
      <c r="E158" s="21" t="s">
        <v>14</v>
      </c>
    </row>
    <row r="159" spans="1:5" x14ac:dyDescent="0.3">
      <c r="A159" s="16" t="s">
        <v>234</v>
      </c>
      <c r="B159" s="34" t="s">
        <v>245</v>
      </c>
      <c r="C159" s="36">
        <f t="shared" si="7"/>
        <v>209</v>
      </c>
      <c r="D159" s="34">
        <v>2</v>
      </c>
      <c r="E159" s="21" t="s">
        <v>14</v>
      </c>
    </row>
    <row r="160" spans="1:5" x14ac:dyDescent="0.3">
      <c r="A160" s="16" t="s">
        <v>235</v>
      </c>
      <c r="B160" s="34" t="s">
        <v>246</v>
      </c>
      <c r="C160" s="36">
        <f t="shared" si="7"/>
        <v>211</v>
      </c>
      <c r="D160" s="34">
        <v>15</v>
      </c>
      <c r="E160" s="21" t="s">
        <v>14</v>
      </c>
    </row>
    <row r="161" spans="1:5" x14ac:dyDescent="0.3">
      <c r="A161" s="16" t="s">
        <v>248</v>
      </c>
      <c r="B161" s="34" t="s">
        <v>223</v>
      </c>
      <c r="C161" s="36">
        <f t="shared" si="7"/>
        <v>226</v>
      </c>
      <c r="D161" s="34">
        <v>30</v>
      </c>
      <c r="E161" s="21" t="s">
        <v>14</v>
      </c>
    </row>
    <row r="162" spans="1:5" x14ac:dyDescent="0.3">
      <c r="A162" s="16" t="s">
        <v>249</v>
      </c>
      <c r="B162" s="34" t="s">
        <v>222</v>
      </c>
      <c r="C162" s="36">
        <f t="shared" si="7"/>
        <v>256</v>
      </c>
      <c r="D162" s="34">
        <v>15</v>
      </c>
      <c r="E162" s="21" t="s">
        <v>14</v>
      </c>
    </row>
    <row r="163" spans="1:5" x14ac:dyDescent="0.3">
      <c r="A163" s="37" t="s">
        <v>294</v>
      </c>
      <c r="B163" s="38" t="s">
        <v>15</v>
      </c>
      <c r="C163" s="39">
        <f>C162+D162</f>
        <v>271</v>
      </c>
      <c r="D163" s="38">
        <f>500-C163+1</f>
        <v>230</v>
      </c>
      <c r="E163" s="28"/>
    </row>
    <row r="164" spans="1:5" x14ac:dyDescent="0.3">
      <c r="A164" s="74"/>
      <c r="B164" s="75"/>
      <c r="C164" s="75"/>
      <c r="D164" s="75"/>
      <c r="E164" s="76"/>
    </row>
    <row r="165" spans="1:5" x14ac:dyDescent="0.3">
      <c r="A165" s="41" t="s">
        <v>23</v>
      </c>
      <c r="B165" s="12" t="s">
        <v>295</v>
      </c>
      <c r="C165" s="42">
        <f>$C$40</f>
        <v>80</v>
      </c>
      <c r="D165" s="42">
        <v>0</v>
      </c>
      <c r="E165" s="18"/>
    </row>
    <row r="166" spans="1:5" x14ac:dyDescent="0.3">
      <c r="A166" s="37" t="s">
        <v>218</v>
      </c>
      <c r="B166" s="38"/>
      <c r="C166" s="39">
        <f>C165+D165</f>
        <v>80</v>
      </c>
      <c r="D166" s="38">
        <v>0</v>
      </c>
      <c r="E166" s="28"/>
    </row>
    <row r="167" spans="1:5" x14ac:dyDescent="0.3">
      <c r="A167" s="16" t="s">
        <v>219</v>
      </c>
      <c r="B167" s="35" t="s">
        <v>236</v>
      </c>
      <c r="C167" s="36">
        <f>C166+D166</f>
        <v>80</v>
      </c>
      <c r="D167" s="34">
        <v>80</v>
      </c>
      <c r="E167" s="21" t="s">
        <v>14</v>
      </c>
    </row>
    <row r="168" spans="1:5" x14ac:dyDescent="0.3">
      <c r="A168" s="37" t="s">
        <v>296</v>
      </c>
      <c r="B168" s="38" t="s">
        <v>15</v>
      </c>
      <c r="C168" s="39">
        <f>C167+D167</f>
        <v>160</v>
      </c>
      <c r="D168" s="38">
        <f>500-C168+1</f>
        <v>341</v>
      </c>
      <c r="E168" s="28"/>
    </row>
    <row r="169" spans="1:5" x14ac:dyDescent="0.3">
      <c r="A169" s="74"/>
      <c r="B169" s="75"/>
      <c r="C169" s="75"/>
      <c r="D169" s="75"/>
      <c r="E169" s="76"/>
    </row>
    <row r="170" spans="1:5" x14ac:dyDescent="0.3">
      <c r="A170" s="3" t="s">
        <v>23</v>
      </c>
      <c r="B170" s="12" t="s">
        <v>297</v>
      </c>
      <c r="C170" s="42">
        <f>$C$40</f>
        <v>80</v>
      </c>
      <c r="D170" s="17">
        <v>0</v>
      </c>
      <c r="E170" s="18"/>
    </row>
    <row r="171" spans="1:5" x14ac:dyDescent="0.3">
      <c r="A171" s="4" t="s">
        <v>98</v>
      </c>
      <c r="B171" s="30"/>
      <c r="C171" s="29">
        <f>C170+D170</f>
        <v>80</v>
      </c>
      <c r="D171" s="30">
        <v>0</v>
      </c>
      <c r="E171" s="28"/>
    </row>
    <row r="172" spans="1:5" x14ac:dyDescent="0.3">
      <c r="A172" s="16" t="s">
        <v>162</v>
      </c>
      <c r="B172" s="35" t="s">
        <v>163</v>
      </c>
      <c r="C172" s="36">
        <f>C171+D171</f>
        <v>80</v>
      </c>
      <c r="D172" s="34">
        <v>3</v>
      </c>
      <c r="E172" s="21" t="s">
        <v>14</v>
      </c>
    </row>
    <row r="173" spans="1:5" x14ac:dyDescent="0.3">
      <c r="A173" s="16" t="s">
        <v>161</v>
      </c>
      <c r="B173" s="35" t="s">
        <v>99</v>
      </c>
      <c r="C173" s="36">
        <f>C172+D172</f>
        <v>83</v>
      </c>
      <c r="D173" s="34">
        <v>80</v>
      </c>
      <c r="E173" s="21" t="s">
        <v>14</v>
      </c>
    </row>
    <row r="174" spans="1:5" x14ac:dyDescent="0.3">
      <c r="A174" s="37" t="s">
        <v>298</v>
      </c>
      <c r="B174" s="38" t="s">
        <v>15</v>
      </c>
      <c r="C174" s="39">
        <f>C173+D173</f>
        <v>163</v>
      </c>
      <c r="D174" s="38">
        <f>500-C174+1</f>
        <v>338</v>
      </c>
      <c r="E174" s="28"/>
    </row>
    <row r="175" spans="1:5" x14ac:dyDescent="0.3">
      <c r="A175" s="74"/>
      <c r="B175" s="75"/>
      <c r="C175" s="75"/>
      <c r="D175" s="75"/>
      <c r="E175" s="76"/>
    </row>
    <row r="176" spans="1:5" x14ac:dyDescent="0.3">
      <c r="A176" s="41" t="s">
        <v>23</v>
      </c>
      <c r="B176" s="12" t="s">
        <v>299</v>
      </c>
      <c r="C176" s="42">
        <f>$C$40</f>
        <v>80</v>
      </c>
      <c r="D176" s="42">
        <v>0</v>
      </c>
      <c r="E176" s="18"/>
    </row>
    <row r="177" spans="1:5" x14ac:dyDescent="0.3">
      <c r="A177" s="37" t="s">
        <v>207</v>
      </c>
      <c r="B177" s="38"/>
      <c r="C177" s="39">
        <f>C176+D176</f>
        <v>80</v>
      </c>
      <c r="D177" s="38">
        <v>0</v>
      </c>
      <c r="E177" s="28"/>
    </row>
    <row r="178" spans="1:5" x14ac:dyDescent="0.3">
      <c r="A178" s="16" t="s">
        <v>208</v>
      </c>
      <c r="B178" s="34" t="s">
        <v>211</v>
      </c>
      <c r="C178" s="36">
        <f>C177+D177</f>
        <v>80</v>
      </c>
      <c r="D178" s="34">
        <v>3</v>
      </c>
      <c r="E178" s="77" t="s">
        <v>14</v>
      </c>
    </row>
    <row r="179" spans="1:5" x14ac:dyDescent="0.3">
      <c r="A179" s="43" t="s">
        <v>209</v>
      </c>
      <c r="B179" s="35" t="s">
        <v>212</v>
      </c>
      <c r="C179" s="62"/>
      <c r="D179" s="63"/>
      <c r="E179" s="78"/>
    </row>
    <row r="180" spans="1:5" x14ac:dyDescent="0.3">
      <c r="A180" s="43" t="s">
        <v>210</v>
      </c>
      <c r="B180" s="35" t="s">
        <v>213</v>
      </c>
      <c r="C180" s="64"/>
      <c r="D180" s="65"/>
      <c r="E180" s="79"/>
    </row>
    <row r="181" spans="1:5" x14ac:dyDescent="0.3">
      <c r="A181" s="16" t="s">
        <v>301</v>
      </c>
      <c r="B181" s="35" t="s">
        <v>214</v>
      </c>
      <c r="C181" s="36">
        <f>C178+D178</f>
        <v>83</v>
      </c>
      <c r="D181" s="34">
        <v>418</v>
      </c>
      <c r="E181" s="21" t="s">
        <v>14</v>
      </c>
    </row>
    <row r="182" spans="1:5" x14ac:dyDescent="0.3">
      <c r="A182" s="74"/>
      <c r="B182" s="75"/>
      <c r="C182" s="75"/>
      <c r="D182" s="75"/>
      <c r="E182" s="76"/>
    </row>
    <row r="183" spans="1:5" x14ac:dyDescent="0.3">
      <c r="A183" s="3" t="s">
        <v>23</v>
      </c>
      <c r="B183" s="12" t="s">
        <v>302</v>
      </c>
      <c r="C183" s="42">
        <f>$C$40</f>
        <v>80</v>
      </c>
      <c r="D183" s="17">
        <v>0</v>
      </c>
      <c r="E183" s="18"/>
    </row>
    <row r="184" spans="1:5" x14ac:dyDescent="0.3">
      <c r="A184" s="37" t="s">
        <v>300</v>
      </c>
      <c r="B184" s="38" t="s">
        <v>15</v>
      </c>
      <c r="C184" s="39">
        <f>C183+D183</f>
        <v>80</v>
      </c>
      <c r="D184" s="38">
        <f>500-C184+1</f>
        <v>421</v>
      </c>
      <c r="E184" s="20" t="s">
        <v>13</v>
      </c>
    </row>
  </sheetData>
  <mergeCells count="25">
    <mergeCell ref="A182:E182"/>
    <mergeCell ref="A137:E137"/>
    <mergeCell ref="E140:E143"/>
    <mergeCell ref="E146:E149"/>
    <mergeCell ref="A123:E123"/>
    <mergeCell ref="A131:E131"/>
    <mergeCell ref="A164:E164"/>
    <mergeCell ref="A169:E169"/>
    <mergeCell ref="A175:E175"/>
    <mergeCell ref="A55:E55"/>
    <mergeCell ref="A94:E94"/>
    <mergeCell ref="E178:E180"/>
    <mergeCell ref="E3:E4"/>
    <mergeCell ref="E76:E79"/>
    <mergeCell ref="E70:E75"/>
    <mergeCell ref="E60:E62"/>
    <mergeCell ref="E19:E21"/>
    <mergeCell ref="E23:E25"/>
    <mergeCell ref="E26:E29"/>
    <mergeCell ref="E37:E38"/>
    <mergeCell ref="A41:E41"/>
    <mergeCell ref="E5:E18"/>
    <mergeCell ref="A102:E102"/>
    <mergeCell ref="A107:E107"/>
    <mergeCell ref="A117:E117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74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BGOW9064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Nuno Jorge de Sousa Fernandes (ITD)</cp:lastModifiedBy>
  <cp:lastPrinted>2023-08-14T13:20:04Z</cp:lastPrinted>
  <dcterms:created xsi:type="dcterms:W3CDTF">2015-07-28T09:44:45Z</dcterms:created>
  <dcterms:modified xsi:type="dcterms:W3CDTF">2024-06-20T17:51:27Z</dcterms:modified>
</cp:coreProperties>
</file>